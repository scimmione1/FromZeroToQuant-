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/FromZeroToQuant-/09_papers/01_The Unintended Consequences of Rebalancing/"/>
    </mc:Choice>
  </mc:AlternateContent>
  <xr:revisionPtr revIDLastSave="38" documentId="11_37118CBD104714DFE54878D6425DCE3A874230B6" xr6:coauthVersionLast="47" xr6:coauthVersionMax="47" xr10:uidLastSave="{E9C45ABC-574C-4E67-B4CD-CD567E73D7B0}"/>
  <bookViews>
    <workbookView xWindow="-120" yWindow="-120" windowWidth="29040" windowHeight="17520" activeTab="1" xr2:uid="{00000000-000D-0000-FFFF-FFFF00000000}"/>
  </bookViews>
  <sheets>
    <sheet name="Sheet1" sheetId="1" r:id="rId1"/>
    <sheet name="Sheet2" sheetId="2" r:id="rId2"/>
    <sheet name="Sheet2 (2)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0" i="3" l="1"/>
  <c r="H280" i="3"/>
  <c r="H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H274" i="3" s="1"/>
  <c r="K274" i="3" s="1"/>
  <c r="B274" i="3"/>
  <c r="A274" i="3"/>
  <c r="I273" i="3"/>
  <c r="G273" i="3"/>
  <c r="F273" i="3"/>
  <c r="E273" i="3"/>
  <c r="D273" i="3"/>
  <c r="C273" i="3"/>
  <c r="I274" i="3" s="1"/>
  <c r="B273" i="3"/>
  <c r="A273" i="3"/>
  <c r="G272" i="3"/>
  <c r="F272" i="3"/>
  <c r="E272" i="3"/>
  <c r="D272" i="3"/>
  <c r="C272" i="3"/>
  <c r="H272" i="3" s="1"/>
  <c r="B272" i="3"/>
  <c r="A272" i="3"/>
  <c r="G271" i="3"/>
  <c r="F271" i="3"/>
  <c r="E271" i="3"/>
  <c r="D271" i="3"/>
  <c r="C271" i="3"/>
  <c r="H271" i="3" s="1"/>
  <c r="B271" i="3"/>
  <c r="A271" i="3"/>
  <c r="G270" i="3"/>
  <c r="F270" i="3"/>
  <c r="E270" i="3"/>
  <c r="D270" i="3"/>
  <c r="C270" i="3"/>
  <c r="H270" i="3" s="1"/>
  <c r="B270" i="3"/>
  <c r="A270" i="3"/>
  <c r="G269" i="3"/>
  <c r="F269" i="3"/>
  <c r="E269" i="3"/>
  <c r="D269" i="3"/>
  <c r="C269" i="3"/>
  <c r="B269" i="3"/>
  <c r="A269" i="3"/>
  <c r="G268" i="3"/>
  <c r="F268" i="3"/>
  <c r="O268" i="3" s="1"/>
  <c r="E268" i="3"/>
  <c r="D268" i="3"/>
  <c r="C268" i="3"/>
  <c r="B268" i="3"/>
  <c r="A268" i="3"/>
  <c r="G267" i="3"/>
  <c r="F267" i="3"/>
  <c r="E267" i="3"/>
  <c r="D267" i="3"/>
  <c r="C267" i="3"/>
  <c r="I268" i="3" s="1"/>
  <c r="B267" i="3"/>
  <c r="A267" i="3"/>
  <c r="H266" i="3"/>
  <c r="J266" i="3" s="1"/>
  <c r="G266" i="3"/>
  <c r="F266" i="3"/>
  <c r="E266" i="3"/>
  <c r="D266" i="3"/>
  <c r="C266" i="3"/>
  <c r="I267" i="3" s="1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I262" i="3" s="1"/>
  <c r="B261" i="3"/>
  <c r="A261" i="3"/>
  <c r="G260" i="3"/>
  <c r="F260" i="3"/>
  <c r="E260" i="3"/>
  <c r="D260" i="3"/>
  <c r="C260" i="3"/>
  <c r="H260" i="3" s="1"/>
  <c r="B260" i="3"/>
  <c r="A260" i="3"/>
  <c r="I259" i="3"/>
  <c r="N259" i="3" s="1"/>
  <c r="G259" i="3"/>
  <c r="F259" i="3"/>
  <c r="E259" i="3"/>
  <c r="D259" i="3"/>
  <c r="C259" i="3"/>
  <c r="B259" i="3"/>
  <c r="A259" i="3"/>
  <c r="G258" i="3"/>
  <c r="F258" i="3"/>
  <c r="E258" i="3"/>
  <c r="D258" i="3"/>
  <c r="C258" i="3"/>
  <c r="H258" i="3" s="1"/>
  <c r="B258" i="3"/>
  <c r="A258" i="3"/>
  <c r="G257" i="3"/>
  <c r="F257" i="3"/>
  <c r="E257" i="3"/>
  <c r="D257" i="3"/>
  <c r="C257" i="3"/>
  <c r="H257" i="3" s="1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I256" i="3" s="1"/>
  <c r="B255" i="3"/>
  <c r="A255" i="3"/>
  <c r="G254" i="3"/>
  <c r="F254" i="3"/>
  <c r="E254" i="3"/>
  <c r="D254" i="3"/>
  <c r="C254" i="3"/>
  <c r="I255" i="3" s="1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H252" i="3" s="1"/>
  <c r="J252" i="3" s="1"/>
  <c r="B252" i="3"/>
  <c r="A252" i="3"/>
  <c r="G251" i="3"/>
  <c r="F251" i="3"/>
  <c r="E251" i="3"/>
  <c r="D251" i="3"/>
  <c r="C251" i="3"/>
  <c r="I252" i="3" s="1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H247" i="3" s="1"/>
  <c r="J247" i="3" s="1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I246" i="3" s="1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H240" i="3" s="1"/>
  <c r="K240" i="3" s="1"/>
  <c r="B240" i="3"/>
  <c r="A240" i="3"/>
  <c r="G239" i="3"/>
  <c r="F239" i="3"/>
  <c r="E239" i="3"/>
  <c r="D239" i="3"/>
  <c r="C239" i="3"/>
  <c r="I240" i="3" s="1"/>
  <c r="O240" i="3" s="1"/>
  <c r="B239" i="3"/>
  <c r="A239" i="3"/>
  <c r="G238" i="3"/>
  <c r="F238" i="3"/>
  <c r="E238" i="3"/>
  <c r="D238" i="3"/>
  <c r="C238" i="3"/>
  <c r="I239" i="3" s="1"/>
  <c r="Q239" i="3" s="1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H236" i="3" s="1"/>
  <c r="J236" i="3" s="1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I231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H230" i="3" s="1"/>
  <c r="L230" i="3" s="1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K227" i="3"/>
  <c r="G227" i="3"/>
  <c r="F227" i="3"/>
  <c r="E227" i="3"/>
  <c r="D227" i="3"/>
  <c r="C227" i="3"/>
  <c r="H227" i="3" s="1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I225" i="3" s="1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H222" i="3" s="1"/>
  <c r="B222" i="3"/>
  <c r="A222" i="3"/>
  <c r="I221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H220" i="3" s="1"/>
  <c r="B220" i="3"/>
  <c r="A220" i="3"/>
  <c r="G219" i="3"/>
  <c r="F219" i="3"/>
  <c r="E219" i="3"/>
  <c r="D219" i="3"/>
  <c r="C219" i="3"/>
  <c r="H219" i="3" s="1"/>
  <c r="B219" i="3"/>
  <c r="A219" i="3"/>
  <c r="G218" i="3"/>
  <c r="F218" i="3"/>
  <c r="E218" i="3"/>
  <c r="D218" i="3"/>
  <c r="C218" i="3"/>
  <c r="I219" i="3" s="1"/>
  <c r="Q219" i="3" s="1"/>
  <c r="B218" i="3"/>
  <c r="A218" i="3"/>
  <c r="I217" i="3"/>
  <c r="G217" i="3"/>
  <c r="F217" i="3"/>
  <c r="E217" i="3"/>
  <c r="D217" i="3"/>
  <c r="C217" i="3"/>
  <c r="H217" i="3" s="1"/>
  <c r="M217" i="3" s="1"/>
  <c r="B217" i="3"/>
  <c r="A217" i="3"/>
  <c r="G216" i="3"/>
  <c r="F216" i="3"/>
  <c r="E216" i="3"/>
  <c r="D216" i="3"/>
  <c r="C216" i="3"/>
  <c r="H216" i="3" s="1"/>
  <c r="B216" i="3"/>
  <c r="A216" i="3"/>
  <c r="G215" i="3"/>
  <c r="F215" i="3"/>
  <c r="E215" i="3"/>
  <c r="D215" i="3"/>
  <c r="C215" i="3"/>
  <c r="I216" i="3" s="1"/>
  <c r="B215" i="3"/>
  <c r="A215" i="3"/>
  <c r="G214" i="3"/>
  <c r="F214" i="3"/>
  <c r="E214" i="3"/>
  <c r="D214" i="3"/>
  <c r="C214" i="3"/>
  <c r="H214" i="3" s="1"/>
  <c r="J214" i="3" s="1"/>
  <c r="B214" i="3"/>
  <c r="A214" i="3"/>
  <c r="I213" i="3"/>
  <c r="G213" i="3"/>
  <c r="F213" i="3"/>
  <c r="E213" i="3"/>
  <c r="D213" i="3"/>
  <c r="C213" i="3"/>
  <c r="I214" i="3" s="1"/>
  <c r="B213" i="3"/>
  <c r="A213" i="3"/>
  <c r="G212" i="3"/>
  <c r="F212" i="3"/>
  <c r="E212" i="3"/>
  <c r="D212" i="3"/>
  <c r="C212" i="3"/>
  <c r="H212" i="3" s="1"/>
  <c r="B212" i="3"/>
  <c r="A212" i="3"/>
  <c r="G211" i="3"/>
  <c r="F211" i="3"/>
  <c r="E211" i="3"/>
  <c r="D211" i="3"/>
  <c r="C211" i="3"/>
  <c r="H211" i="3" s="1"/>
  <c r="M211" i="3" s="1"/>
  <c r="B211" i="3"/>
  <c r="A211" i="3"/>
  <c r="G210" i="3"/>
  <c r="F210" i="3"/>
  <c r="E210" i="3"/>
  <c r="D210" i="3"/>
  <c r="C210" i="3"/>
  <c r="H210" i="3" s="1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H207" i="3" s="1"/>
  <c r="B207" i="3"/>
  <c r="A207" i="3"/>
  <c r="G206" i="3"/>
  <c r="F206" i="3"/>
  <c r="E206" i="3"/>
  <c r="D206" i="3"/>
  <c r="C206" i="3"/>
  <c r="H206" i="3" s="1"/>
  <c r="B206" i="3"/>
  <c r="A206" i="3"/>
  <c r="H205" i="3"/>
  <c r="G205" i="3"/>
  <c r="F205" i="3"/>
  <c r="E205" i="3"/>
  <c r="D205" i="3"/>
  <c r="C205" i="3"/>
  <c r="I206" i="3" s="1"/>
  <c r="B205" i="3"/>
  <c r="A205" i="3"/>
  <c r="G204" i="3"/>
  <c r="F204" i="3"/>
  <c r="E204" i="3"/>
  <c r="D204" i="3"/>
  <c r="C204" i="3"/>
  <c r="H204" i="3" s="1"/>
  <c r="B204" i="3"/>
  <c r="A204" i="3"/>
  <c r="G203" i="3"/>
  <c r="F203" i="3"/>
  <c r="E203" i="3"/>
  <c r="D203" i="3"/>
  <c r="C203" i="3"/>
  <c r="H203" i="3" s="1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H201" i="3" s="1"/>
  <c r="B201" i="3"/>
  <c r="A201" i="3"/>
  <c r="G200" i="3"/>
  <c r="F200" i="3"/>
  <c r="E200" i="3"/>
  <c r="D200" i="3"/>
  <c r="C200" i="3"/>
  <c r="H200" i="3" s="1"/>
  <c r="B200" i="3"/>
  <c r="A200" i="3"/>
  <c r="G199" i="3"/>
  <c r="F199" i="3"/>
  <c r="E199" i="3"/>
  <c r="D199" i="3"/>
  <c r="C199" i="3"/>
  <c r="I200" i="3" s="1"/>
  <c r="O200" i="3" s="1"/>
  <c r="B199" i="3"/>
  <c r="A199" i="3"/>
  <c r="G198" i="3"/>
  <c r="F198" i="3"/>
  <c r="E198" i="3"/>
  <c r="D198" i="3"/>
  <c r="C198" i="3"/>
  <c r="H198" i="3" s="1"/>
  <c r="K198" i="3" s="1"/>
  <c r="B198" i="3"/>
  <c r="A198" i="3"/>
  <c r="G197" i="3"/>
  <c r="F197" i="3"/>
  <c r="E197" i="3"/>
  <c r="D197" i="3"/>
  <c r="C197" i="3"/>
  <c r="B197" i="3"/>
  <c r="A197" i="3"/>
  <c r="H196" i="3"/>
  <c r="M196" i="3" s="1"/>
  <c r="G196" i="3"/>
  <c r="F196" i="3"/>
  <c r="E196" i="3"/>
  <c r="D196" i="3"/>
  <c r="C196" i="3"/>
  <c r="I197" i="3" s="1"/>
  <c r="N197" i="3" s="1"/>
  <c r="B196" i="3"/>
  <c r="A196" i="3"/>
  <c r="G195" i="3"/>
  <c r="F195" i="3"/>
  <c r="E195" i="3"/>
  <c r="D195" i="3"/>
  <c r="C195" i="3"/>
  <c r="B195" i="3"/>
  <c r="A195" i="3"/>
  <c r="I194" i="3"/>
  <c r="Q194" i="3" s="1"/>
  <c r="G194" i="3"/>
  <c r="F194" i="3"/>
  <c r="E194" i="3"/>
  <c r="D194" i="3"/>
  <c r="C194" i="3"/>
  <c r="B194" i="3"/>
  <c r="A194" i="3"/>
  <c r="G193" i="3"/>
  <c r="F193" i="3"/>
  <c r="E193" i="3"/>
  <c r="D193" i="3"/>
  <c r="C193" i="3"/>
  <c r="H193" i="3" s="1"/>
  <c r="L193" i="3" s="1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I192" i="3" s="1"/>
  <c r="O192" i="3" s="1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H189" i="3" s="1"/>
  <c r="B189" i="3"/>
  <c r="A189" i="3"/>
  <c r="G188" i="3"/>
  <c r="F188" i="3"/>
  <c r="E188" i="3"/>
  <c r="D188" i="3"/>
  <c r="C188" i="3"/>
  <c r="I189" i="3" s="1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I187" i="3" s="1"/>
  <c r="B186" i="3"/>
  <c r="A186" i="3"/>
  <c r="G185" i="3"/>
  <c r="F185" i="3"/>
  <c r="E185" i="3"/>
  <c r="D185" i="3"/>
  <c r="C185" i="3"/>
  <c r="I186" i="3" s="1"/>
  <c r="B185" i="3"/>
  <c r="A185" i="3"/>
  <c r="G184" i="3"/>
  <c r="F184" i="3"/>
  <c r="E184" i="3"/>
  <c r="D184" i="3"/>
  <c r="C184" i="3"/>
  <c r="H184" i="3" s="1"/>
  <c r="L184" i="3" s="1"/>
  <c r="B184" i="3"/>
  <c r="A184" i="3"/>
  <c r="G183" i="3"/>
  <c r="F183" i="3"/>
  <c r="E183" i="3"/>
  <c r="D183" i="3"/>
  <c r="C183" i="3"/>
  <c r="H183" i="3" s="1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H178" i="3" s="1"/>
  <c r="B178" i="3"/>
  <c r="A178" i="3"/>
  <c r="G177" i="3"/>
  <c r="F177" i="3"/>
  <c r="E177" i="3"/>
  <c r="D177" i="3"/>
  <c r="C177" i="3"/>
  <c r="I178" i="3" s="1"/>
  <c r="Q178" i="3" s="1"/>
  <c r="B177" i="3"/>
  <c r="A177" i="3"/>
  <c r="G176" i="3"/>
  <c r="F176" i="3"/>
  <c r="E176" i="3"/>
  <c r="D176" i="3"/>
  <c r="C176" i="3"/>
  <c r="I177" i="3" s="1"/>
  <c r="Q177" i="3" s="1"/>
  <c r="B176" i="3"/>
  <c r="A176" i="3"/>
  <c r="G175" i="3"/>
  <c r="F175" i="3"/>
  <c r="E175" i="3"/>
  <c r="D175" i="3"/>
  <c r="C175" i="3"/>
  <c r="H175" i="3" s="1"/>
  <c r="J175" i="3" s="1"/>
  <c r="B175" i="3"/>
  <c r="A175" i="3"/>
  <c r="L174" i="3"/>
  <c r="J174" i="3"/>
  <c r="I174" i="3"/>
  <c r="G174" i="3"/>
  <c r="F174" i="3"/>
  <c r="E174" i="3"/>
  <c r="D174" i="3"/>
  <c r="C174" i="3"/>
  <c r="H174" i="3" s="1"/>
  <c r="B174" i="3"/>
  <c r="A174" i="3"/>
  <c r="G173" i="3"/>
  <c r="F173" i="3"/>
  <c r="E173" i="3"/>
  <c r="D173" i="3"/>
  <c r="C173" i="3"/>
  <c r="H173" i="3" s="1"/>
  <c r="B173" i="3"/>
  <c r="A173" i="3"/>
  <c r="G172" i="3"/>
  <c r="F172" i="3"/>
  <c r="E172" i="3"/>
  <c r="D172" i="3"/>
  <c r="C172" i="3"/>
  <c r="I173" i="3" s="1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H170" i="3" s="1"/>
  <c r="B170" i="3"/>
  <c r="A170" i="3"/>
  <c r="G169" i="3"/>
  <c r="F169" i="3"/>
  <c r="E169" i="3"/>
  <c r="D169" i="3"/>
  <c r="C169" i="3"/>
  <c r="H169" i="3" s="1"/>
  <c r="B169" i="3"/>
  <c r="A169" i="3"/>
  <c r="G168" i="3"/>
  <c r="F168" i="3"/>
  <c r="E168" i="3"/>
  <c r="D168" i="3"/>
  <c r="C168" i="3"/>
  <c r="H168" i="3" s="1"/>
  <c r="M168" i="3" s="1"/>
  <c r="B168" i="3"/>
  <c r="A168" i="3"/>
  <c r="G167" i="3"/>
  <c r="F167" i="3"/>
  <c r="E167" i="3"/>
  <c r="D167" i="3"/>
  <c r="C167" i="3"/>
  <c r="H167" i="3" s="1"/>
  <c r="B167" i="3"/>
  <c r="A167" i="3"/>
  <c r="G166" i="3"/>
  <c r="F166" i="3"/>
  <c r="E166" i="3"/>
  <c r="D166" i="3"/>
  <c r="C166" i="3"/>
  <c r="B166" i="3"/>
  <c r="A166" i="3"/>
  <c r="L165" i="3"/>
  <c r="K165" i="3"/>
  <c r="J165" i="3"/>
  <c r="G165" i="3"/>
  <c r="F165" i="3"/>
  <c r="E165" i="3"/>
  <c r="D165" i="3"/>
  <c r="C165" i="3"/>
  <c r="H165" i="3" s="1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H163" i="3" s="1"/>
  <c r="B163" i="3"/>
  <c r="A163" i="3"/>
  <c r="G162" i="3"/>
  <c r="F162" i="3"/>
  <c r="E162" i="3"/>
  <c r="D162" i="3"/>
  <c r="C162" i="3"/>
  <c r="H162" i="3" s="1"/>
  <c r="M162" i="3" s="1"/>
  <c r="B162" i="3"/>
  <c r="A162" i="3"/>
  <c r="G161" i="3"/>
  <c r="F161" i="3"/>
  <c r="E161" i="3"/>
  <c r="D161" i="3"/>
  <c r="C161" i="3"/>
  <c r="I162" i="3" s="1"/>
  <c r="Q162" i="3" s="1"/>
  <c r="B161" i="3"/>
  <c r="A161" i="3"/>
  <c r="G160" i="3"/>
  <c r="F160" i="3"/>
  <c r="E160" i="3"/>
  <c r="D160" i="3"/>
  <c r="C160" i="3"/>
  <c r="I161" i="3" s="1"/>
  <c r="O161" i="3" s="1"/>
  <c r="B160" i="3"/>
  <c r="A160" i="3"/>
  <c r="G159" i="3"/>
  <c r="F159" i="3"/>
  <c r="E159" i="3"/>
  <c r="D159" i="3"/>
  <c r="C159" i="3"/>
  <c r="H159" i="3" s="1"/>
  <c r="B159" i="3"/>
  <c r="A159" i="3"/>
  <c r="G158" i="3"/>
  <c r="F158" i="3"/>
  <c r="E158" i="3"/>
  <c r="D158" i="3"/>
  <c r="C158" i="3"/>
  <c r="H158" i="3" s="1"/>
  <c r="B158" i="3"/>
  <c r="A158" i="3"/>
  <c r="G157" i="3"/>
  <c r="F157" i="3"/>
  <c r="E157" i="3"/>
  <c r="D157" i="3"/>
  <c r="C157" i="3"/>
  <c r="H157" i="3" s="1"/>
  <c r="B157" i="3"/>
  <c r="A157" i="3"/>
  <c r="G156" i="3"/>
  <c r="F156" i="3"/>
  <c r="E156" i="3"/>
  <c r="D156" i="3"/>
  <c r="C156" i="3"/>
  <c r="H156" i="3" s="1"/>
  <c r="L156" i="3" s="1"/>
  <c r="B156" i="3"/>
  <c r="A156" i="3"/>
  <c r="G155" i="3"/>
  <c r="F155" i="3"/>
  <c r="E155" i="3"/>
  <c r="D155" i="3"/>
  <c r="C155" i="3"/>
  <c r="H155" i="3" s="1"/>
  <c r="M155" i="3" s="1"/>
  <c r="B155" i="3"/>
  <c r="A155" i="3"/>
  <c r="G154" i="3"/>
  <c r="F154" i="3"/>
  <c r="E154" i="3"/>
  <c r="D154" i="3"/>
  <c r="C154" i="3"/>
  <c r="I155" i="3" s="1"/>
  <c r="B154" i="3"/>
  <c r="A154" i="3"/>
  <c r="G153" i="3"/>
  <c r="F153" i="3"/>
  <c r="E153" i="3"/>
  <c r="D153" i="3"/>
  <c r="C153" i="3"/>
  <c r="H153" i="3" s="1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I152" i="3" s="1"/>
  <c r="B151" i="3"/>
  <c r="A151" i="3"/>
  <c r="G150" i="3"/>
  <c r="F150" i="3"/>
  <c r="E150" i="3"/>
  <c r="D150" i="3"/>
  <c r="C150" i="3"/>
  <c r="H150" i="3" s="1"/>
  <c r="K150" i="3" s="1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H148" i="3" s="1"/>
  <c r="M148" i="3" s="1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I143" i="3" s="1"/>
  <c r="N143" i="3" s="1"/>
  <c r="B142" i="3"/>
  <c r="A142" i="3"/>
  <c r="G141" i="3"/>
  <c r="F141" i="3"/>
  <c r="E141" i="3"/>
  <c r="D141" i="3"/>
  <c r="C141" i="3"/>
  <c r="I142" i="3" s="1"/>
  <c r="B141" i="3"/>
  <c r="A141" i="3"/>
  <c r="G140" i="3"/>
  <c r="F140" i="3"/>
  <c r="E140" i="3"/>
  <c r="D140" i="3"/>
  <c r="C140" i="3"/>
  <c r="I141" i="3" s="1"/>
  <c r="Q141" i="3" s="1"/>
  <c r="B140" i="3"/>
  <c r="A140" i="3"/>
  <c r="G139" i="3"/>
  <c r="F139" i="3"/>
  <c r="E139" i="3"/>
  <c r="D139" i="3"/>
  <c r="C139" i="3"/>
  <c r="H139" i="3" s="1"/>
  <c r="M139" i="3" s="1"/>
  <c r="B139" i="3"/>
  <c r="A139" i="3"/>
  <c r="G138" i="3"/>
  <c r="F138" i="3"/>
  <c r="E138" i="3"/>
  <c r="D138" i="3"/>
  <c r="C138" i="3"/>
  <c r="H138" i="3" s="1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I137" i="3" s="1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H133" i="3" s="1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H129" i="3" s="1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H127" i="3" s="1"/>
  <c r="B127" i="3"/>
  <c r="A127" i="3"/>
  <c r="I126" i="3"/>
  <c r="P126" i="3" s="1"/>
  <c r="G126" i="3"/>
  <c r="F126" i="3"/>
  <c r="E126" i="3"/>
  <c r="D126" i="3"/>
  <c r="C126" i="3"/>
  <c r="I127" i="3" s="1"/>
  <c r="B126" i="3"/>
  <c r="A126" i="3"/>
  <c r="G125" i="3"/>
  <c r="F125" i="3"/>
  <c r="E125" i="3"/>
  <c r="D125" i="3"/>
  <c r="C125" i="3"/>
  <c r="H125" i="3" s="1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H123" i="3" s="1"/>
  <c r="J123" i="3" s="1"/>
  <c r="B123" i="3"/>
  <c r="A123" i="3"/>
  <c r="H122" i="3"/>
  <c r="K122" i="3" s="1"/>
  <c r="G122" i="3"/>
  <c r="F122" i="3"/>
  <c r="E122" i="3"/>
  <c r="D122" i="3"/>
  <c r="C122" i="3"/>
  <c r="I123" i="3" s="1"/>
  <c r="B122" i="3"/>
  <c r="A122" i="3"/>
  <c r="G121" i="3"/>
  <c r="F121" i="3"/>
  <c r="E121" i="3"/>
  <c r="D121" i="3"/>
  <c r="C121" i="3"/>
  <c r="H121" i="3" s="1"/>
  <c r="K121" i="3" s="1"/>
  <c r="B121" i="3"/>
  <c r="A121" i="3"/>
  <c r="G120" i="3"/>
  <c r="Q120" i="3" s="1"/>
  <c r="F120" i="3"/>
  <c r="E120" i="3"/>
  <c r="D120" i="3"/>
  <c r="C120" i="3"/>
  <c r="H120" i="3" s="1"/>
  <c r="J120" i="3" s="1"/>
  <c r="B120" i="3"/>
  <c r="A120" i="3"/>
  <c r="G119" i="3"/>
  <c r="F119" i="3"/>
  <c r="E119" i="3"/>
  <c r="D119" i="3"/>
  <c r="C119" i="3"/>
  <c r="I120" i="3" s="1"/>
  <c r="P120" i="3" s="1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I115" i="3" s="1"/>
  <c r="P115" i="3" s="1"/>
  <c r="B114" i="3"/>
  <c r="A114" i="3"/>
  <c r="G113" i="3"/>
  <c r="F113" i="3"/>
  <c r="E113" i="3"/>
  <c r="D113" i="3"/>
  <c r="C113" i="3"/>
  <c r="I114" i="3" s="1"/>
  <c r="N114" i="3" s="1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I112" i="3" s="1"/>
  <c r="P112" i="3" s="1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I109" i="3" s="1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H104" i="3" s="1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H101" i="3" s="1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I100" i="3" s="1"/>
  <c r="Q100" i="3" s="1"/>
  <c r="B99" i="3"/>
  <c r="A99" i="3"/>
  <c r="G98" i="3"/>
  <c r="F98" i="3"/>
  <c r="E98" i="3"/>
  <c r="D98" i="3"/>
  <c r="C98" i="3"/>
  <c r="I99" i="3" s="1"/>
  <c r="B98" i="3"/>
  <c r="A98" i="3"/>
  <c r="G97" i="3"/>
  <c r="F97" i="3"/>
  <c r="E97" i="3"/>
  <c r="D97" i="3"/>
  <c r="C97" i="3"/>
  <c r="H97" i="3" s="1"/>
  <c r="B97" i="3"/>
  <c r="A97" i="3"/>
  <c r="G96" i="3"/>
  <c r="F96" i="3"/>
  <c r="E96" i="3"/>
  <c r="D96" i="3"/>
  <c r="C96" i="3"/>
  <c r="I97" i="3" s="1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I94" i="3" s="1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I91" i="3" s="1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I89" i="3" s="1"/>
  <c r="Q89" i="3" s="1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H84" i="3" s="1"/>
  <c r="B84" i="3"/>
  <c r="A84" i="3"/>
  <c r="H83" i="3"/>
  <c r="G83" i="3"/>
  <c r="F83" i="3"/>
  <c r="E83" i="3"/>
  <c r="D83" i="3"/>
  <c r="C83" i="3"/>
  <c r="I84" i="3" s="1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H80" i="3" s="1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I79" i="3" s="1"/>
  <c r="P79" i="3" s="1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H76" i="3" s="1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H72" i="3" s="1"/>
  <c r="B72" i="3"/>
  <c r="A72" i="3"/>
  <c r="G71" i="3"/>
  <c r="F71" i="3"/>
  <c r="E71" i="3"/>
  <c r="D71" i="3"/>
  <c r="C71" i="3"/>
  <c r="I72" i="3" s="1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H67" i="3" s="1"/>
  <c r="B67" i="3"/>
  <c r="A67" i="3"/>
  <c r="G66" i="3"/>
  <c r="F66" i="3"/>
  <c r="E66" i="3"/>
  <c r="D66" i="3"/>
  <c r="C66" i="3"/>
  <c r="B66" i="3"/>
  <c r="A66" i="3"/>
  <c r="I65" i="3"/>
  <c r="G65" i="3"/>
  <c r="F65" i="3"/>
  <c r="E65" i="3"/>
  <c r="D65" i="3"/>
  <c r="C65" i="3"/>
  <c r="B65" i="3"/>
  <c r="A65" i="3"/>
  <c r="G64" i="3"/>
  <c r="F64" i="3"/>
  <c r="E64" i="3"/>
  <c r="D64" i="3"/>
  <c r="C64" i="3"/>
  <c r="H64" i="3" s="1"/>
  <c r="B64" i="3"/>
  <c r="A64" i="3"/>
  <c r="G63" i="3"/>
  <c r="F63" i="3"/>
  <c r="E63" i="3"/>
  <c r="D63" i="3"/>
  <c r="C63" i="3"/>
  <c r="H63" i="3" s="1"/>
  <c r="M63" i="3" s="1"/>
  <c r="B63" i="3"/>
  <c r="A63" i="3"/>
  <c r="G62" i="3"/>
  <c r="F62" i="3"/>
  <c r="E62" i="3"/>
  <c r="D62" i="3"/>
  <c r="C62" i="3"/>
  <c r="I63" i="3" s="1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I59" i="3" s="1"/>
  <c r="Q59" i="3" s="1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I56" i="3" s="1"/>
  <c r="B55" i="3"/>
  <c r="A55" i="3"/>
  <c r="G54" i="3"/>
  <c r="F54" i="3"/>
  <c r="E54" i="3"/>
  <c r="D54" i="3"/>
  <c r="C54" i="3"/>
  <c r="I55" i="3" s="1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I53" i="3" s="1"/>
  <c r="B52" i="3"/>
  <c r="A52" i="3"/>
  <c r="G51" i="3"/>
  <c r="Q51" i="3" s="1"/>
  <c r="F51" i="3"/>
  <c r="E51" i="3"/>
  <c r="D51" i="3"/>
  <c r="C51" i="3"/>
  <c r="H51" i="3" s="1"/>
  <c r="M51" i="3" s="1"/>
  <c r="B51" i="3"/>
  <c r="A51" i="3"/>
  <c r="G50" i="3"/>
  <c r="F50" i="3"/>
  <c r="E50" i="3"/>
  <c r="D50" i="3"/>
  <c r="C50" i="3"/>
  <c r="I51" i="3" s="1"/>
  <c r="N51" i="3" s="1"/>
  <c r="B50" i="3"/>
  <c r="A50" i="3"/>
  <c r="G49" i="3"/>
  <c r="F49" i="3"/>
  <c r="E49" i="3"/>
  <c r="D49" i="3"/>
  <c r="C49" i="3"/>
  <c r="H49" i="3" s="1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I48" i="3" s="1"/>
  <c r="P48" i="3" s="1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H45" i="3" s="1"/>
  <c r="B45" i="3"/>
  <c r="A45" i="3"/>
  <c r="G44" i="3"/>
  <c r="F44" i="3"/>
  <c r="E44" i="3"/>
  <c r="D44" i="3"/>
  <c r="C44" i="3"/>
  <c r="H44" i="3" s="1"/>
  <c r="J44" i="3" s="1"/>
  <c r="B44" i="3"/>
  <c r="A44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I43" i="3" s="1"/>
  <c r="B42" i="3"/>
  <c r="A42" i="3"/>
  <c r="G41" i="3"/>
  <c r="F41" i="3"/>
  <c r="E41" i="3"/>
  <c r="D41" i="3"/>
  <c r="C41" i="3"/>
  <c r="H41" i="3" s="1"/>
  <c r="L41" i="3" s="1"/>
  <c r="B41" i="3"/>
  <c r="A41" i="3"/>
  <c r="M40" i="3"/>
  <c r="K40" i="3"/>
  <c r="G40" i="3"/>
  <c r="F40" i="3"/>
  <c r="E40" i="3"/>
  <c r="D40" i="3"/>
  <c r="C40" i="3"/>
  <c r="H40" i="3" s="1"/>
  <c r="B40" i="3"/>
  <c r="A40" i="3"/>
  <c r="G39" i="3"/>
  <c r="F39" i="3"/>
  <c r="E39" i="3"/>
  <c r="D39" i="3"/>
  <c r="C39" i="3"/>
  <c r="H39" i="3" s="1"/>
  <c r="B39" i="3"/>
  <c r="A39" i="3"/>
  <c r="G38" i="3"/>
  <c r="F38" i="3"/>
  <c r="E38" i="3"/>
  <c r="D38" i="3"/>
  <c r="C38" i="3"/>
  <c r="I39" i="3" s="1"/>
  <c r="B38" i="3"/>
  <c r="A38" i="3"/>
  <c r="G37" i="3"/>
  <c r="F37" i="3"/>
  <c r="E37" i="3"/>
  <c r="D37" i="3"/>
  <c r="C37" i="3"/>
  <c r="H37" i="3" s="1"/>
  <c r="B37" i="3"/>
  <c r="A37" i="3"/>
  <c r="G36" i="3"/>
  <c r="F36" i="3"/>
  <c r="E36" i="3"/>
  <c r="D36" i="3"/>
  <c r="C36" i="3"/>
  <c r="H36" i="3" s="1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I35" i="3" s="1"/>
  <c r="P35" i="3" s="1"/>
  <c r="B34" i="3"/>
  <c r="A34" i="3"/>
  <c r="H33" i="3"/>
  <c r="M33" i="3" s="1"/>
  <c r="G33" i="3"/>
  <c r="F33" i="3"/>
  <c r="E33" i="3"/>
  <c r="D33" i="3"/>
  <c r="C33" i="3"/>
  <c r="I34" i="3" s="1"/>
  <c r="P34" i="3" s="1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H30" i="3" s="1"/>
  <c r="B30" i="3"/>
  <c r="A30" i="3"/>
  <c r="G29" i="3"/>
  <c r="F29" i="3"/>
  <c r="E29" i="3"/>
  <c r="D29" i="3"/>
  <c r="C29" i="3"/>
  <c r="H29" i="3" s="1"/>
  <c r="B29" i="3"/>
  <c r="A29" i="3"/>
  <c r="I28" i="3"/>
  <c r="G28" i="3"/>
  <c r="F28" i="3"/>
  <c r="E28" i="3"/>
  <c r="D28" i="3"/>
  <c r="C28" i="3"/>
  <c r="I29" i="3" s="1"/>
  <c r="N29" i="3" s="1"/>
  <c r="B28" i="3"/>
  <c r="A28" i="3"/>
  <c r="G27" i="3"/>
  <c r="F27" i="3"/>
  <c r="E27" i="3"/>
  <c r="D27" i="3"/>
  <c r="C27" i="3"/>
  <c r="H27" i="3" s="1"/>
  <c r="M27" i="3" s="1"/>
  <c r="B27" i="3"/>
  <c r="A27" i="3"/>
  <c r="G26" i="3"/>
  <c r="F26" i="3"/>
  <c r="E26" i="3"/>
  <c r="D26" i="3"/>
  <c r="C26" i="3"/>
  <c r="H26" i="3" s="1"/>
  <c r="B26" i="3"/>
  <c r="A26" i="3"/>
  <c r="G25" i="3"/>
  <c r="F25" i="3"/>
  <c r="E25" i="3"/>
  <c r="D25" i="3"/>
  <c r="C25" i="3"/>
  <c r="I26" i="3" s="1"/>
  <c r="B25" i="3"/>
  <c r="A25" i="3"/>
  <c r="G24" i="3"/>
  <c r="F24" i="3"/>
  <c r="E24" i="3"/>
  <c r="D24" i="3"/>
  <c r="C24" i="3"/>
  <c r="H24" i="3" s="1"/>
  <c r="K24" i="3" s="1"/>
  <c r="B24" i="3"/>
  <c r="A24" i="3"/>
  <c r="G23" i="3"/>
  <c r="F23" i="3"/>
  <c r="E23" i="3"/>
  <c r="D23" i="3"/>
  <c r="C23" i="3"/>
  <c r="I24" i="3" s="1"/>
  <c r="B23" i="3"/>
  <c r="A23" i="3"/>
  <c r="N22" i="3"/>
  <c r="G22" i="3"/>
  <c r="F22" i="3"/>
  <c r="E22" i="3"/>
  <c r="D22" i="3"/>
  <c r="C22" i="3"/>
  <c r="I23" i="3" s="1"/>
  <c r="Q23" i="3" s="1"/>
  <c r="B22" i="3"/>
  <c r="A22" i="3"/>
  <c r="H21" i="3"/>
  <c r="K21" i="3" s="1"/>
  <c r="G21" i="3"/>
  <c r="F21" i="3"/>
  <c r="E21" i="3"/>
  <c r="D21" i="3"/>
  <c r="C21" i="3"/>
  <c r="I22" i="3" s="1"/>
  <c r="P22" i="3" s="1"/>
  <c r="B21" i="3"/>
  <c r="A21" i="3"/>
  <c r="G20" i="3"/>
  <c r="F20" i="3"/>
  <c r="E20" i="3"/>
  <c r="D20" i="3"/>
  <c r="C20" i="3"/>
  <c r="H20" i="3" s="1"/>
  <c r="B20" i="3"/>
  <c r="A20" i="3"/>
  <c r="G19" i="3"/>
  <c r="F19" i="3"/>
  <c r="E19" i="3"/>
  <c r="D19" i="3"/>
  <c r="C19" i="3"/>
  <c r="I20" i="3" s="1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I17" i="3" s="1"/>
  <c r="Q17" i="3" s="1"/>
  <c r="B16" i="3"/>
  <c r="A16" i="3"/>
  <c r="G15" i="3"/>
  <c r="F15" i="3"/>
  <c r="E15" i="3"/>
  <c r="D15" i="3"/>
  <c r="C15" i="3"/>
  <c r="H15" i="3" s="1"/>
  <c r="B15" i="3"/>
  <c r="A15" i="3"/>
  <c r="G14" i="3"/>
  <c r="F14" i="3"/>
  <c r="E14" i="3"/>
  <c r="D14" i="3"/>
  <c r="C14" i="3"/>
  <c r="H14" i="3" s="1"/>
  <c r="L14" i="3" s="1"/>
  <c r="B14" i="3"/>
  <c r="A14" i="3"/>
  <c r="G13" i="3"/>
  <c r="F13" i="3"/>
  <c r="E13" i="3"/>
  <c r="D13" i="3"/>
  <c r="C13" i="3"/>
  <c r="H13" i="3" s="1"/>
  <c r="B13" i="3"/>
  <c r="A13" i="3"/>
  <c r="G12" i="3"/>
  <c r="F12" i="3"/>
  <c r="E12" i="3"/>
  <c r="D12" i="3"/>
  <c r="C12" i="3"/>
  <c r="H12" i="3" s="1"/>
  <c r="B12" i="3"/>
  <c r="A12" i="3"/>
  <c r="G11" i="3"/>
  <c r="F11" i="3"/>
  <c r="E11" i="3"/>
  <c r="D11" i="3"/>
  <c r="C11" i="3"/>
  <c r="H11" i="3" s="1"/>
  <c r="K11" i="3" s="1"/>
  <c r="B11" i="3"/>
  <c r="A11" i="3"/>
  <c r="H10" i="3"/>
  <c r="G10" i="3"/>
  <c r="F10" i="3"/>
  <c r="E10" i="3"/>
  <c r="D10" i="3"/>
  <c r="C10" i="3"/>
  <c r="I11" i="3" s="1"/>
  <c r="B10" i="3"/>
  <c r="A10" i="3"/>
  <c r="G9" i="3"/>
  <c r="F9" i="3"/>
  <c r="E9" i="3"/>
  <c r="D9" i="3"/>
  <c r="C9" i="3"/>
  <c r="H9" i="3" s="1"/>
  <c r="B9" i="3"/>
  <c r="A9" i="3"/>
  <c r="G8" i="3"/>
  <c r="F8" i="3"/>
  <c r="E8" i="3"/>
  <c r="D8" i="3"/>
  <c r="C8" i="3"/>
  <c r="H8" i="3" s="1"/>
  <c r="L8" i="3" s="1"/>
  <c r="B8" i="3"/>
  <c r="A8" i="3"/>
  <c r="G7" i="3"/>
  <c r="F7" i="3"/>
  <c r="E7" i="3"/>
  <c r="D7" i="3"/>
  <c r="C7" i="3"/>
  <c r="H7" i="3" s="1"/>
  <c r="J7" i="3" s="1"/>
  <c r="B7" i="3"/>
  <c r="A7" i="3"/>
  <c r="G6" i="3"/>
  <c r="F6" i="3"/>
  <c r="E6" i="3"/>
  <c r="D6" i="3"/>
  <c r="C6" i="3"/>
  <c r="H6" i="3" s="1"/>
  <c r="K6" i="3" s="1"/>
  <c r="B6" i="3"/>
  <c r="A6" i="3"/>
  <c r="G5" i="3"/>
  <c r="F5" i="3"/>
  <c r="E5" i="3"/>
  <c r="D5" i="3"/>
  <c r="C5" i="3"/>
  <c r="H5" i="3" s="1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I4" i="3" s="1"/>
  <c r="P4" i="3" s="1"/>
  <c r="B3" i="3"/>
  <c r="A3" i="3"/>
  <c r="Q2" i="3"/>
  <c r="P2" i="3"/>
  <c r="O2" i="3"/>
  <c r="N2" i="3"/>
  <c r="G2" i="3"/>
  <c r="F2" i="3"/>
  <c r="E2" i="3"/>
  <c r="D2" i="3"/>
  <c r="C2" i="3"/>
  <c r="I3" i="3" s="1"/>
  <c r="B2" i="3"/>
  <c r="A2" i="3"/>
  <c r="H47" i="3" l="1"/>
  <c r="M47" i="3" s="1"/>
  <c r="J51" i="3"/>
  <c r="H96" i="3"/>
  <c r="H238" i="3"/>
  <c r="M238" i="3" s="1"/>
  <c r="H273" i="3"/>
  <c r="M273" i="3" s="1"/>
  <c r="K51" i="3"/>
  <c r="H98" i="3"/>
  <c r="M98" i="3" s="1"/>
  <c r="H151" i="3"/>
  <c r="M151" i="3" s="1"/>
  <c r="M169" i="3"/>
  <c r="M200" i="3"/>
  <c r="K204" i="3"/>
  <c r="Q246" i="3"/>
  <c r="H28" i="3"/>
  <c r="L28" i="3" s="1"/>
  <c r="H52" i="3"/>
  <c r="J52" i="3" s="1"/>
  <c r="I102" i="3"/>
  <c r="M138" i="3"/>
  <c r="I184" i="3"/>
  <c r="L196" i="3"/>
  <c r="L206" i="3"/>
  <c r="K37" i="3"/>
  <c r="L33" i="3"/>
  <c r="Q22" i="3"/>
  <c r="H140" i="3"/>
  <c r="L140" i="3" s="1"/>
  <c r="M156" i="3"/>
  <c r="M222" i="3"/>
  <c r="I37" i="3"/>
  <c r="O37" i="3" s="1"/>
  <c r="K84" i="3"/>
  <c r="K214" i="3"/>
  <c r="H245" i="3"/>
  <c r="H154" i="3"/>
  <c r="K154" i="3" s="1"/>
  <c r="L214" i="3"/>
  <c r="H111" i="3"/>
  <c r="K129" i="3"/>
  <c r="H185" i="3"/>
  <c r="L185" i="3" s="1"/>
  <c r="M247" i="3"/>
  <c r="N17" i="3"/>
  <c r="I52" i="3"/>
  <c r="P52" i="3" s="1"/>
  <c r="I15" i="3"/>
  <c r="Q15" i="3" s="1"/>
  <c r="I41" i="3"/>
  <c r="L51" i="3"/>
  <c r="H113" i="3"/>
  <c r="K113" i="3" s="1"/>
  <c r="H251" i="3"/>
  <c r="K251" i="3" s="1"/>
  <c r="I154" i="3"/>
  <c r="N154" i="3" s="1"/>
  <c r="O219" i="3"/>
  <c r="K44" i="3"/>
  <c r="I140" i="3"/>
  <c r="I151" i="3"/>
  <c r="O151" i="3" s="1"/>
  <c r="I122" i="3"/>
  <c r="N122" i="3" s="1"/>
  <c r="I10" i="3"/>
  <c r="Q10" i="3" s="1"/>
  <c r="J25" i="3"/>
  <c r="P94" i="3"/>
  <c r="J121" i="3"/>
  <c r="M184" i="3"/>
  <c r="I185" i="3"/>
  <c r="Q185" i="3" s="1"/>
  <c r="I205" i="3"/>
  <c r="Q28" i="3"/>
  <c r="I42" i="3"/>
  <c r="N42" i="3" s="1"/>
  <c r="L162" i="3"/>
  <c r="H176" i="3"/>
  <c r="O51" i="3"/>
  <c r="H58" i="3"/>
  <c r="M58" i="3" s="1"/>
  <c r="H126" i="3"/>
  <c r="J126" i="3" s="1"/>
  <c r="I139" i="3"/>
  <c r="N139" i="3" s="1"/>
  <c r="I176" i="3"/>
  <c r="O176" i="3" s="1"/>
  <c r="H191" i="3"/>
  <c r="L200" i="3"/>
  <c r="H213" i="3"/>
  <c r="J213" i="3" s="1"/>
  <c r="H218" i="3"/>
  <c r="K218" i="3" s="1"/>
  <c r="P231" i="3"/>
  <c r="H3" i="3"/>
  <c r="J3" i="3" s="1"/>
  <c r="H119" i="3"/>
  <c r="I218" i="3"/>
  <c r="Q231" i="3"/>
  <c r="P259" i="3"/>
  <c r="H25" i="3"/>
  <c r="H50" i="3"/>
  <c r="M50" i="3" s="1"/>
  <c r="I64" i="3"/>
  <c r="N64" i="3" s="1"/>
  <c r="H108" i="3"/>
  <c r="J108" i="3" s="1"/>
  <c r="J125" i="3"/>
  <c r="J184" i="3"/>
  <c r="I204" i="3"/>
  <c r="P204" i="3" s="1"/>
  <c r="J212" i="3"/>
  <c r="Q259" i="3"/>
  <c r="P51" i="3"/>
  <c r="H2" i="3"/>
  <c r="L2" i="3" s="1"/>
  <c r="I9" i="3"/>
  <c r="N9" i="3" s="1"/>
  <c r="H34" i="3"/>
  <c r="H93" i="3"/>
  <c r="M93" i="3" s="1"/>
  <c r="K170" i="3"/>
  <c r="K184" i="3"/>
  <c r="P217" i="3"/>
  <c r="N239" i="3"/>
  <c r="I248" i="3"/>
  <c r="N248" i="3" s="1"/>
  <c r="H261" i="3"/>
  <c r="K261" i="3" s="1"/>
  <c r="K139" i="3"/>
  <c r="H55" i="3"/>
  <c r="H78" i="3"/>
  <c r="M78" i="3" s="1"/>
  <c r="H136" i="3"/>
  <c r="H224" i="3"/>
  <c r="O239" i="3"/>
  <c r="M274" i="3"/>
  <c r="M44" i="3"/>
  <c r="H62" i="3"/>
  <c r="K62" i="3" s="1"/>
  <c r="O22" i="3"/>
  <c r="L40" i="3"/>
  <c r="H114" i="3"/>
  <c r="M114" i="3" s="1"/>
  <c r="O141" i="3"/>
  <c r="H161" i="3"/>
  <c r="J161" i="3" s="1"/>
  <c r="I168" i="3"/>
  <c r="O168" i="3" s="1"/>
  <c r="M174" i="3"/>
  <c r="I175" i="3"/>
  <c r="H199" i="3"/>
  <c r="J217" i="3"/>
  <c r="H254" i="3"/>
  <c r="H267" i="3"/>
  <c r="L267" i="3" s="1"/>
  <c r="J11" i="3"/>
  <c r="H38" i="3"/>
  <c r="M38" i="3" s="1"/>
  <c r="H88" i="3"/>
  <c r="M88" i="3" s="1"/>
  <c r="H99" i="3"/>
  <c r="L99" i="3" s="1"/>
  <c r="Q152" i="3"/>
  <c r="M165" i="3"/>
  <c r="K168" i="3"/>
  <c r="I199" i="3"/>
  <c r="N199" i="3" s="1"/>
  <c r="I208" i="3"/>
  <c r="L217" i="3"/>
  <c r="O273" i="3"/>
  <c r="M11" i="3"/>
  <c r="L21" i="3"/>
  <c r="L26" i="3"/>
  <c r="I38" i="3"/>
  <c r="P38" i="3" s="1"/>
  <c r="N28" i="3"/>
  <c r="N48" i="3"/>
  <c r="H53" i="3"/>
  <c r="K53" i="3" s="1"/>
  <c r="I54" i="3"/>
  <c r="O54" i="3" s="1"/>
  <c r="I138" i="3"/>
  <c r="Q138" i="3" s="1"/>
  <c r="H137" i="3"/>
  <c r="M137" i="3" s="1"/>
  <c r="M153" i="3"/>
  <c r="K153" i="3"/>
  <c r="J153" i="3"/>
  <c r="K245" i="3"/>
  <c r="M245" i="3"/>
  <c r="L245" i="3"/>
  <c r="J245" i="3"/>
  <c r="I254" i="3"/>
  <c r="H253" i="3"/>
  <c r="M253" i="3" s="1"/>
  <c r="O28" i="3"/>
  <c r="K167" i="3"/>
  <c r="J167" i="3"/>
  <c r="L272" i="3"/>
  <c r="M272" i="3"/>
  <c r="K272" i="3"/>
  <c r="J272" i="3"/>
  <c r="I7" i="3"/>
  <c r="P7" i="3" s="1"/>
  <c r="I25" i="3"/>
  <c r="O25" i="3" s="1"/>
  <c r="P28" i="3"/>
  <c r="I40" i="3"/>
  <c r="P40" i="3" s="1"/>
  <c r="I73" i="3"/>
  <c r="N73" i="3" s="1"/>
  <c r="H187" i="3"/>
  <c r="L187" i="3" s="1"/>
  <c r="I188" i="3"/>
  <c r="Q188" i="3" s="1"/>
  <c r="K220" i="3"/>
  <c r="M220" i="3"/>
  <c r="L220" i="3"/>
  <c r="J220" i="3"/>
  <c r="J238" i="3"/>
  <c r="I245" i="3"/>
  <c r="P245" i="3" s="1"/>
  <c r="H244" i="3"/>
  <c r="I261" i="3"/>
  <c r="P261" i="3" s="1"/>
  <c r="I272" i="3"/>
  <c r="N272" i="3" s="1"/>
  <c r="I50" i="3"/>
  <c r="H68" i="3"/>
  <c r="L68" i="3" s="1"/>
  <c r="I69" i="3"/>
  <c r="N69" i="3" s="1"/>
  <c r="I71" i="3"/>
  <c r="Q71" i="3" s="1"/>
  <c r="H70" i="3"/>
  <c r="M70" i="3" s="1"/>
  <c r="M101" i="3"/>
  <c r="I121" i="3"/>
  <c r="I129" i="3"/>
  <c r="N129" i="3" s="1"/>
  <c r="H128" i="3"/>
  <c r="K128" i="3" s="1"/>
  <c r="I150" i="3"/>
  <c r="Q150" i="3" s="1"/>
  <c r="H149" i="3"/>
  <c r="K149" i="3" s="1"/>
  <c r="I247" i="3"/>
  <c r="Q247" i="3" s="1"/>
  <c r="H246" i="3"/>
  <c r="K246" i="3" s="1"/>
  <c r="I258" i="3"/>
  <c r="P258" i="3" s="1"/>
  <c r="J271" i="3"/>
  <c r="M271" i="3"/>
  <c r="J90" i="3"/>
  <c r="M90" i="3"/>
  <c r="H94" i="3"/>
  <c r="L94" i="3" s="1"/>
  <c r="I95" i="3"/>
  <c r="N95" i="3" s="1"/>
  <c r="I133" i="3"/>
  <c r="Q133" i="3" s="1"/>
  <c r="H132" i="3"/>
  <c r="K132" i="3" s="1"/>
  <c r="L47" i="3"/>
  <c r="I58" i="3"/>
  <c r="P58" i="3" s="1"/>
  <c r="H57" i="3"/>
  <c r="J57" i="3" s="1"/>
  <c r="K90" i="3"/>
  <c r="I135" i="3"/>
  <c r="H134" i="3"/>
  <c r="K134" i="3" s="1"/>
  <c r="Q197" i="3"/>
  <c r="H228" i="3"/>
  <c r="I229" i="3"/>
  <c r="Q229" i="3" s="1"/>
  <c r="J257" i="3"/>
  <c r="Q274" i="3"/>
  <c r="I279" i="3"/>
  <c r="N279" i="3" s="1"/>
  <c r="H278" i="3"/>
  <c r="K278" i="3" s="1"/>
  <c r="N4" i="3"/>
  <c r="I14" i="3"/>
  <c r="N14" i="3" s="1"/>
  <c r="K36" i="3"/>
  <c r="J36" i="3"/>
  <c r="I81" i="3"/>
  <c r="Q81" i="3" s="1"/>
  <c r="L90" i="3"/>
  <c r="Q114" i="3"/>
  <c r="O126" i="3"/>
  <c r="J155" i="3"/>
  <c r="K201" i="3"/>
  <c r="J201" i="3"/>
  <c r="O4" i="3"/>
  <c r="J14" i="3"/>
  <c r="M80" i="3"/>
  <c r="L80" i="3"/>
  <c r="K155" i="3"/>
  <c r="P174" i="3"/>
  <c r="Q174" i="3"/>
  <c r="O174" i="3"/>
  <c r="N174" i="3"/>
  <c r="M203" i="3"/>
  <c r="L203" i="3"/>
  <c r="K203" i="3"/>
  <c r="J203" i="3"/>
  <c r="N274" i="3"/>
  <c r="K14" i="3"/>
  <c r="I21" i="3"/>
  <c r="P21" i="3" s="1"/>
  <c r="O114" i="3"/>
  <c r="J139" i="3"/>
  <c r="Q143" i="3"/>
  <c r="L155" i="3"/>
  <c r="N194" i="3"/>
  <c r="Q217" i="3"/>
  <c r="O217" i="3"/>
  <c r="N217" i="3"/>
  <c r="K3" i="3"/>
  <c r="M14" i="3"/>
  <c r="O26" i="3"/>
  <c r="N26" i="3"/>
  <c r="I70" i="3"/>
  <c r="O70" i="3" s="1"/>
  <c r="H69" i="3"/>
  <c r="L139" i="3"/>
  <c r="J154" i="3"/>
  <c r="N177" i="3"/>
  <c r="L216" i="3"/>
  <c r="K216" i="3"/>
  <c r="J216" i="3"/>
  <c r="H223" i="3"/>
  <c r="J223" i="3" s="1"/>
  <c r="I224" i="3"/>
  <c r="N224" i="3" s="1"/>
  <c r="I233" i="3"/>
  <c r="O233" i="3" s="1"/>
  <c r="H232" i="3"/>
  <c r="M232" i="3" s="1"/>
  <c r="I269" i="3"/>
  <c r="O269" i="3" s="1"/>
  <c r="H268" i="3"/>
  <c r="L268" i="3" s="1"/>
  <c r="L270" i="3"/>
  <c r="J270" i="3"/>
  <c r="I36" i="3"/>
  <c r="H35" i="3"/>
  <c r="M35" i="3" s="1"/>
  <c r="H112" i="3"/>
  <c r="K112" i="3" s="1"/>
  <c r="I113" i="3"/>
  <c r="P113" i="3" s="1"/>
  <c r="Q9" i="3"/>
  <c r="P9" i="3"/>
  <c r="O9" i="3"/>
  <c r="M72" i="3"/>
  <c r="K72" i="3"/>
  <c r="H107" i="3"/>
  <c r="M107" i="3" s="1"/>
  <c r="I108" i="3"/>
  <c r="N108" i="3" s="1"/>
  <c r="K169" i="3"/>
  <c r="J169" i="3"/>
  <c r="P175" i="3"/>
  <c r="O175" i="3"/>
  <c r="M257" i="3"/>
  <c r="L257" i="3"/>
  <c r="K257" i="3"/>
  <c r="M20" i="3"/>
  <c r="L20" i="3"/>
  <c r="M21" i="3"/>
  <c r="I83" i="3"/>
  <c r="Q83" i="3" s="1"/>
  <c r="H82" i="3"/>
  <c r="K82" i="3" s="1"/>
  <c r="M125" i="3"/>
  <c r="L125" i="3"/>
  <c r="K125" i="3"/>
  <c r="L169" i="3"/>
  <c r="H243" i="3"/>
  <c r="K243" i="3" s="1"/>
  <c r="I244" i="3"/>
  <c r="O244" i="3" s="1"/>
  <c r="L3" i="3"/>
  <c r="M5" i="3"/>
  <c r="L5" i="3"/>
  <c r="K5" i="3"/>
  <c r="J5" i="3"/>
  <c r="I31" i="3"/>
  <c r="Q31" i="3" s="1"/>
  <c r="I98" i="3"/>
  <c r="N98" i="3" s="1"/>
  <c r="I125" i="3"/>
  <c r="Q125" i="3" s="1"/>
  <c r="H124" i="3"/>
  <c r="K124" i="3" s="1"/>
  <c r="M129" i="3"/>
  <c r="L129" i="3"/>
  <c r="J129" i="3"/>
  <c r="L153" i="3"/>
  <c r="O177" i="3"/>
  <c r="M201" i="3"/>
  <c r="K230" i="3"/>
  <c r="I257" i="3"/>
  <c r="N257" i="3" s="1"/>
  <c r="H256" i="3"/>
  <c r="M3" i="3"/>
  <c r="H54" i="3"/>
  <c r="M54" i="3" s="1"/>
  <c r="K80" i="3"/>
  <c r="P177" i="3"/>
  <c r="M216" i="3"/>
  <c r="I230" i="3"/>
  <c r="N230" i="3" s="1"/>
  <c r="H229" i="3"/>
  <c r="L229" i="3" s="1"/>
  <c r="I266" i="3"/>
  <c r="O266" i="3" s="1"/>
  <c r="H265" i="3"/>
  <c r="O143" i="3"/>
  <c r="Q273" i="3"/>
  <c r="L72" i="3"/>
  <c r="I77" i="3"/>
  <c r="O77" i="3" s="1"/>
  <c r="I85" i="3"/>
  <c r="P85" i="3" s="1"/>
  <c r="P143" i="3"/>
  <c r="I158" i="3"/>
  <c r="I164" i="3"/>
  <c r="I190" i="3"/>
  <c r="O190" i="3" s="1"/>
  <c r="I237" i="3"/>
  <c r="O237" i="3" s="1"/>
  <c r="I241" i="3"/>
  <c r="O241" i="3" s="1"/>
  <c r="K270" i="3"/>
  <c r="I271" i="3"/>
  <c r="N271" i="3" s="1"/>
  <c r="J189" i="3"/>
  <c r="L201" i="3"/>
  <c r="I212" i="3"/>
  <c r="P212" i="3" s="1"/>
  <c r="I220" i="3"/>
  <c r="N220" i="3" s="1"/>
  <c r="O17" i="3"/>
  <c r="I30" i="3"/>
  <c r="P30" i="3" s="1"/>
  <c r="I46" i="3"/>
  <c r="O46" i="3" s="1"/>
  <c r="P173" i="3"/>
  <c r="I179" i="3"/>
  <c r="Q179" i="3" s="1"/>
  <c r="I202" i="3"/>
  <c r="I207" i="3"/>
  <c r="I223" i="3"/>
  <c r="I253" i="3"/>
  <c r="P253" i="3" s="1"/>
  <c r="P273" i="3"/>
  <c r="I12" i="3"/>
  <c r="P17" i="3"/>
  <c r="N100" i="3"/>
  <c r="I105" i="3"/>
  <c r="Q105" i="3" s="1"/>
  <c r="N120" i="3"/>
  <c r="I128" i="3"/>
  <c r="M214" i="3"/>
  <c r="I228" i="3"/>
  <c r="P228" i="3" s="1"/>
  <c r="N273" i="3"/>
  <c r="N35" i="3"/>
  <c r="Q79" i="3"/>
  <c r="O100" i="3"/>
  <c r="I124" i="3"/>
  <c r="P124" i="3" s="1"/>
  <c r="I134" i="3"/>
  <c r="P134" i="3" s="1"/>
  <c r="H142" i="3"/>
  <c r="I149" i="3"/>
  <c r="H160" i="3"/>
  <c r="I170" i="3"/>
  <c r="Q170" i="3" s="1"/>
  <c r="H215" i="3"/>
  <c r="L215" i="3" s="1"/>
  <c r="K236" i="3"/>
  <c r="M270" i="3"/>
  <c r="L11" i="3"/>
  <c r="H16" i="3"/>
  <c r="M16" i="3" s="1"/>
  <c r="H19" i="3"/>
  <c r="K19" i="3" s="1"/>
  <c r="H23" i="3"/>
  <c r="L23" i="3" s="1"/>
  <c r="O35" i="3"/>
  <c r="O48" i="3"/>
  <c r="J63" i="3"/>
  <c r="I68" i="3"/>
  <c r="N79" i="3"/>
  <c r="O94" i="3"/>
  <c r="P100" i="3"/>
  <c r="P141" i="3"/>
  <c r="I157" i="3"/>
  <c r="Q157" i="3" s="1"/>
  <c r="I163" i="3"/>
  <c r="N163" i="3" s="1"/>
  <c r="J170" i="3"/>
  <c r="H177" i="3"/>
  <c r="I201" i="3"/>
  <c r="P201" i="3" s="1"/>
  <c r="J206" i="3"/>
  <c r="I215" i="3"/>
  <c r="O215" i="3" s="1"/>
  <c r="N219" i="3"/>
  <c r="L227" i="3"/>
  <c r="L236" i="3"/>
  <c r="I16" i="3"/>
  <c r="Q34" i="3"/>
  <c r="I45" i="3"/>
  <c r="Q48" i="3"/>
  <c r="Q115" i="3"/>
  <c r="O140" i="3"/>
  <c r="H141" i="3"/>
  <c r="K141" i="3" s="1"/>
  <c r="I156" i="3"/>
  <c r="I169" i="3"/>
  <c r="N169" i="3" s="1"/>
  <c r="H188" i="3"/>
  <c r="K188" i="3" s="1"/>
  <c r="K206" i="3"/>
  <c r="L211" i="3"/>
  <c r="M236" i="3"/>
  <c r="P239" i="3"/>
  <c r="H255" i="3"/>
  <c r="J255" i="3" s="1"/>
  <c r="J21" i="3"/>
  <c r="M104" i="3"/>
  <c r="O154" i="3"/>
  <c r="H172" i="3"/>
  <c r="M172" i="3" s="1"/>
  <c r="N176" i="3"/>
  <c r="M206" i="3"/>
  <c r="P219" i="3"/>
  <c r="H239" i="3"/>
  <c r="M239" i="3" s="1"/>
  <c r="O259" i="3"/>
  <c r="I275" i="3"/>
  <c r="M39" i="3"/>
  <c r="J39" i="3"/>
  <c r="L39" i="3"/>
  <c r="K39" i="3"/>
  <c r="O123" i="3"/>
  <c r="N123" i="3"/>
  <c r="P123" i="3"/>
  <c r="Q123" i="3"/>
  <c r="L16" i="3"/>
  <c r="O20" i="3"/>
  <c r="Q20" i="3"/>
  <c r="P20" i="3"/>
  <c r="N20" i="3"/>
  <c r="O39" i="3"/>
  <c r="Q39" i="3"/>
  <c r="N39" i="3"/>
  <c r="Q68" i="3"/>
  <c r="P68" i="3"/>
  <c r="N68" i="3"/>
  <c r="O68" i="3"/>
  <c r="I86" i="3"/>
  <c r="H85" i="3"/>
  <c r="Q3" i="3"/>
  <c r="N3" i="3"/>
  <c r="P3" i="3"/>
  <c r="O3" i="3"/>
  <c r="M12" i="3"/>
  <c r="J12" i="3"/>
  <c r="K12" i="3"/>
  <c r="L12" i="3"/>
  <c r="O16" i="3"/>
  <c r="Q16" i="3"/>
  <c r="P16" i="3"/>
  <c r="N16" i="3"/>
  <c r="O21" i="3"/>
  <c r="Q21" i="3"/>
  <c r="M28" i="3"/>
  <c r="P39" i="3"/>
  <c r="I44" i="3"/>
  <c r="H43" i="3"/>
  <c r="H79" i="3"/>
  <c r="I80" i="3"/>
  <c r="M83" i="3"/>
  <c r="I251" i="3"/>
  <c r="H250" i="3"/>
  <c r="I5" i="3"/>
  <c r="H4" i="3"/>
  <c r="H31" i="3"/>
  <c r="I32" i="3"/>
  <c r="J54" i="3"/>
  <c r="L24" i="3"/>
  <c r="J24" i="3"/>
  <c r="O53" i="3"/>
  <c r="P53" i="3"/>
  <c r="Q53" i="3"/>
  <c r="I67" i="3"/>
  <c r="H66" i="3"/>
  <c r="H115" i="3"/>
  <c r="I116" i="3"/>
  <c r="L13" i="3"/>
  <c r="K13" i="3"/>
  <c r="M13" i="3"/>
  <c r="J13" i="3"/>
  <c r="Q63" i="3"/>
  <c r="P63" i="3"/>
  <c r="O63" i="3"/>
  <c r="N63" i="3"/>
  <c r="I74" i="3"/>
  <c r="H73" i="3"/>
  <c r="P91" i="3"/>
  <c r="N91" i="3"/>
  <c r="Q91" i="3"/>
  <c r="O91" i="3"/>
  <c r="M30" i="3"/>
  <c r="L30" i="3"/>
  <c r="J30" i="3"/>
  <c r="K30" i="3"/>
  <c r="Q55" i="3"/>
  <c r="N55" i="3"/>
  <c r="P55" i="3"/>
  <c r="O55" i="3"/>
  <c r="K26" i="3"/>
  <c r="J26" i="3"/>
  <c r="K67" i="3"/>
  <c r="J67" i="3"/>
  <c r="M67" i="3"/>
  <c r="L67" i="3"/>
  <c r="Q69" i="3"/>
  <c r="O69" i="3"/>
  <c r="P69" i="3"/>
  <c r="M127" i="3"/>
  <c r="L127" i="3"/>
  <c r="K127" i="3"/>
  <c r="J127" i="3"/>
  <c r="O11" i="3"/>
  <c r="N11" i="3"/>
  <c r="Q11" i="3"/>
  <c r="P11" i="3"/>
  <c r="N25" i="3"/>
  <c r="Q25" i="3"/>
  <c r="P25" i="3"/>
  <c r="M26" i="3"/>
  <c r="I57" i="3"/>
  <c r="H56" i="3"/>
  <c r="O109" i="3"/>
  <c r="N109" i="3"/>
  <c r="P109" i="3"/>
  <c r="Q109" i="3"/>
  <c r="N24" i="3"/>
  <c r="P24" i="3"/>
  <c r="O24" i="3"/>
  <c r="Q24" i="3"/>
  <c r="O31" i="3"/>
  <c r="N53" i="3"/>
  <c r="K57" i="3"/>
  <c r="H75" i="3"/>
  <c r="I76" i="3"/>
  <c r="M24" i="3"/>
  <c r="Q42" i="3"/>
  <c r="O42" i="3"/>
  <c r="P42" i="3"/>
  <c r="H61" i="3"/>
  <c r="I62" i="3"/>
  <c r="K7" i="3"/>
  <c r="L7" i="3"/>
  <c r="M7" i="3"/>
  <c r="M9" i="3"/>
  <c r="L9" i="3"/>
  <c r="K9" i="3"/>
  <c r="J9" i="3"/>
  <c r="M10" i="3"/>
  <c r="K15" i="3"/>
  <c r="M15" i="3"/>
  <c r="J15" i="3"/>
  <c r="L15" i="3"/>
  <c r="J34" i="3"/>
  <c r="L34" i="3"/>
  <c r="M34" i="3"/>
  <c r="K34" i="3"/>
  <c r="L42" i="3"/>
  <c r="M42" i="3"/>
  <c r="K42" i="3"/>
  <c r="J42" i="3"/>
  <c r="H77" i="3"/>
  <c r="I78" i="3"/>
  <c r="J6" i="3"/>
  <c r="L6" i="3"/>
  <c r="M45" i="3"/>
  <c r="L45" i="3"/>
  <c r="J45" i="3"/>
  <c r="I47" i="3"/>
  <c r="H46" i="3"/>
  <c r="L58" i="3"/>
  <c r="N72" i="3"/>
  <c r="O72" i="3"/>
  <c r="P102" i="3"/>
  <c r="O102" i="3"/>
  <c r="N102" i="3"/>
  <c r="Q102" i="3"/>
  <c r="H118" i="3"/>
  <c r="I119" i="3"/>
  <c r="J2" i="3"/>
  <c r="I18" i="3"/>
  <c r="H17" i="3"/>
  <c r="K29" i="3"/>
  <c r="J29" i="3"/>
  <c r="K58" i="3"/>
  <c r="Q84" i="3"/>
  <c r="P84" i="3"/>
  <c r="N84" i="3"/>
  <c r="O84" i="3"/>
  <c r="K2" i="3"/>
  <c r="K45" i="3"/>
  <c r="I66" i="3"/>
  <c r="H65" i="3"/>
  <c r="I13" i="3"/>
  <c r="K49" i="3"/>
  <c r="M49" i="3"/>
  <c r="O52" i="3"/>
  <c r="Q52" i="3"/>
  <c r="K114" i="3"/>
  <c r="M149" i="3"/>
  <c r="L149" i="3"/>
  <c r="P184" i="3"/>
  <c r="O184" i="3"/>
  <c r="Q184" i="3"/>
  <c r="N184" i="3"/>
  <c r="I6" i="3"/>
  <c r="I8" i="3"/>
  <c r="P15" i="3"/>
  <c r="N23" i="3"/>
  <c r="I27" i="3"/>
  <c r="N43" i="3"/>
  <c r="O43" i="3"/>
  <c r="Q43" i="3"/>
  <c r="J49" i="3"/>
  <c r="H71" i="3"/>
  <c r="M84" i="3"/>
  <c r="L84" i="3"/>
  <c r="J84" i="3"/>
  <c r="Q149" i="3"/>
  <c r="P149" i="3"/>
  <c r="O149" i="3"/>
  <c r="N149" i="3"/>
  <c r="O23" i="3"/>
  <c r="J27" i="3"/>
  <c r="L49" i="3"/>
  <c r="K76" i="3"/>
  <c r="J76" i="3"/>
  <c r="M76" i="3"/>
  <c r="J114" i="3"/>
  <c r="I146" i="3"/>
  <c r="H145" i="3"/>
  <c r="M6" i="3"/>
  <c r="K8" i="3"/>
  <c r="I19" i="3"/>
  <c r="H18" i="3"/>
  <c r="P23" i="3"/>
  <c r="K27" i="3"/>
  <c r="L29" i="3"/>
  <c r="M64" i="3"/>
  <c r="L64" i="3"/>
  <c r="K64" i="3"/>
  <c r="N65" i="3"/>
  <c r="Q65" i="3"/>
  <c r="P65" i="3"/>
  <c r="P72" i="3"/>
  <c r="L82" i="3"/>
  <c r="L83" i="3"/>
  <c r="M97" i="3"/>
  <c r="L97" i="3"/>
  <c r="Q99" i="3"/>
  <c r="P99" i="3"/>
  <c r="N99" i="3"/>
  <c r="O99" i="3"/>
  <c r="I107" i="3"/>
  <c r="H106" i="3"/>
  <c r="M163" i="3"/>
  <c r="K163" i="3"/>
  <c r="J163" i="3"/>
  <c r="I172" i="3"/>
  <c r="H171" i="3"/>
  <c r="O179" i="3"/>
  <c r="M8" i="3"/>
  <c r="J10" i="3"/>
  <c r="L27" i="3"/>
  <c r="M29" i="3"/>
  <c r="L36" i="3"/>
  <c r="M36" i="3"/>
  <c r="J41" i="3"/>
  <c r="M41" i="3"/>
  <c r="K41" i="3"/>
  <c r="Q72" i="3"/>
  <c r="L76" i="3"/>
  <c r="J82" i="3"/>
  <c r="I92" i="3"/>
  <c r="H91" i="3"/>
  <c r="H110" i="3"/>
  <c r="I111" i="3"/>
  <c r="I136" i="3"/>
  <c r="H135" i="3"/>
  <c r="L158" i="3"/>
  <c r="K158" i="3"/>
  <c r="J158" i="3"/>
  <c r="M158" i="3"/>
  <c r="K224" i="3"/>
  <c r="J224" i="3"/>
  <c r="L224" i="3"/>
  <c r="M267" i="3"/>
  <c r="K267" i="3"/>
  <c r="J267" i="3"/>
  <c r="I270" i="3"/>
  <c r="H269" i="3"/>
  <c r="K10" i="3"/>
  <c r="H22" i="3"/>
  <c r="O29" i="3"/>
  <c r="K35" i="3"/>
  <c r="L35" i="3"/>
  <c r="Q41" i="3"/>
  <c r="N41" i="3"/>
  <c r="P41" i="3"/>
  <c r="H48" i="3"/>
  <c r="I49" i="3"/>
  <c r="O56" i="3"/>
  <c r="N56" i="3"/>
  <c r="P59" i="3"/>
  <c r="O59" i="3"/>
  <c r="N59" i="3"/>
  <c r="J64" i="3"/>
  <c r="J97" i="3"/>
  <c r="I103" i="3"/>
  <c r="H102" i="3"/>
  <c r="L163" i="3"/>
  <c r="O206" i="3"/>
  <c r="N206" i="3"/>
  <c r="Q206" i="3"/>
  <c r="P206" i="3"/>
  <c r="L10" i="3"/>
  <c r="J20" i="3"/>
  <c r="P29" i="3"/>
  <c r="P43" i="3"/>
  <c r="J47" i="3"/>
  <c r="P56" i="3"/>
  <c r="I60" i="3"/>
  <c r="H59" i="3"/>
  <c r="O65" i="3"/>
  <c r="K97" i="3"/>
  <c r="M178" i="3"/>
  <c r="L178" i="3"/>
  <c r="J178" i="3"/>
  <c r="K178" i="3"/>
  <c r="K183" i="3"/>
  <c r="M183" i="3"/>
  <c r="L183" i="3"/>
  <c r="J183" i="3"/>
  <c r="M224" i="3"/>
  <c r="J8" i="3"/>
  <c r="N81" i="3"/>
  <c r="O81" i="3"/>
  <c r="K83" i="3"/>
  <c r="J83" i="3"/>
  <c r="L108" i="3"/>
  <c r="I132" i="3"/>
  <c r="H131" i="3"/>
  <c r="K20" i="3"/>
  <c r="P26" i="3"/>
  <c r="Q26" i="3"/>
  <c r="Q29" i="3"/>
  <c r="M37" i="3"/>
  <c r="L37" i="3"/>
  <c r="J37" i="3"/>
  <c r="O41" i="3"/>
  <c r="L44" i="3"/>
  <c r="K47" i="3"/>
  <c r="Q56" i="3"/>
  <c r="H192" i="3"/>
  <c r="I193" i="3"/>
  <c r="M215" i="3"/>
  <c r="J215" i="3"/>
  <c r="L120" i="3"/>
  <c r="K120" i="3"/>
  <c r="O125" i="3"/>
  <c r="M157" i="3"/>
  <c r="L157" i="3"/>
  <c r="K157" i="3"/>
  <c r="J157" i="3"/>
  <c r="I182" i="3"/>
  <c r="H181" i="3"/>
  <c r="K96" i="3"/>
  <c r="J96" i="3"/>
  <c r="M96" i="3"/>
  <c r="L96" i="3"/>
  <c r="Q97" i="3"/>
  <c r="P97" i="3"/>
  <c r="N97" i="3"/>
  <c r="O97" i="3"/>
  <c r="M120" i="3"/>
  <c r="Q155" i="3"/>
  <c r="N155" i="3"/>
  <c r="P155" i="3"/>
  <c r="P178" i="3"/>
  <c r="Q221" i="3"/>
  <c r="O221" i="3"/>
  <c r="N221" i="3"/>
  <c r="P221" i="3"/>
  <c r="O255" i="3"/>
  <c r="N255" i="3"/>
  <c r="Q255" i="3"/>
  <c r="P255" i="3"/>
  <c r="L142" i="3"/>
  <c r="K142" i="3"/>
  <c r="J142" i="3"/>
  <c r="M142" i="3"/>
  <c r="H147" i="3"/>
  <c r="I148" i="3"/>
  <c r="J159" i="3"/>
  <c r="L159" i="3"/>
  <c r="K159" i="3"/>
  <c r="M159" i="3"/>
  <c r="I167" i="3"/>
  <c r="H166" i="3"/>
  <c r="M173" i="3"/>
  <c r="L173" i="3"/>
  <c r="K173" i="3"/>
  <c r="J173" i="3"/>
  <c r="I203" i="3"/>
  <c r="H202" i="3"/>
  <c r="O220" i="3"/>
  <c r="Q220" i="3"/>
  <c r="I249" i="3"/>
  <c r="H248" i="3"/>
  <c r="L63" i="3"/>
  <c r="K63" i="3"/>
  <c r="K133" i="3"/>
  <c r="J133" i="3"/>
  <c r="M133" i="3"/>
  <c r="L133" i="3"/>
  <c r="O155" i="3"/>
  <c r="I160" i="3"/>
  <c r="H164" i="3"/>
  <c r="I165" i="3"/>
  <c r="N215" i="3"/>
  <c r="I61" i="3"/>
  <c r="H60" i="3"/>
  <c r="K78" i="3"/>
  <c r="J78" i="3"/>
  <c r="H81" i="3"/>
  <c r="I82" i="3"/>
  <c r="H92" i="3"/>
  <c r="I93" i="3"/>
  <c r="N94" i="3"/>
  <c r="Q94" i="3"/>
  <c r="P127" i="3"/>
  <c r="O127" i="3"/>
  <c r="N127" i="3"/>
  <c r="Q127" i="3"/>
  <c r="O120" i="3"/>
  <c r="I153" i="3"/>
  <c r="H152" i="3"/>
  <c r="N186" i="3"/>
  <c r="O186" i="3"/>
  <c r="P186" i="3"/>
  <c r="Q4" i="3"/>
  <c r="O34" i="3"/>
  <c r="N34" i="3"/>
  <c r="J40" i="3"/>
  <c r="L78" i="3"/>
  <c r="P83" i="3"/>
  <c r="K88" i="3"/>
  <c r="L134" i="3"/>
  <c r="Q142" i="3"/>
  <c r="P142" i="3"/>
  <c r="O142" i="3"/>
  <c r="N142" i="3"/>
  <c r="H143" i="3"/>
  <c r="I144" i="3"/>
  <c r="Q186" i="3"/>
  <c r="N253" i="3"/>
  <c r="Q253" i="3"/>
  <c r="H86" i="3"/>
  <c r="I87" i="3"/>
  <c r="L101" i="3"/>
  <c r="K101" i="3"/>
  <c r="J101" i="3"/>
  <c r="H105" i="3"/>
  <c r="I106" i="3"/>
  <c r="K119" i="3"/>
  <c r="J119" i="3"/>
  <c r="M119" i="3"/>
  <c r="L119" i="3"/>
  <c r="I147" i="3"/>
  <c r="H146" i="3"/>
  <c r="Q151" i="3"/>
  <c r="P151" i="3"/>
  <c r="L160" i="3"/>
  <c r="K160" i="3"/>
  <c r="J160" i="3"/>
  <c r="M160" i="3"/>
  <c r="K33" i="3"/>
  <c r="J33" i="3"/>
  <c r="Q35" i="3"/>
  <c r="O79" i="3"/>
  <c r="O89" i="3"/>
  <c r="N89" i="3"/>
  <c r="P89" i="3"/>
  <c r="M122" i="3"/>
  <c r="L122" i="3"/>
  <c r="J122" i="3"/>
  <c r="I131" i="3"/>
  <c r="H130" i="3"/>
  <c r="L170" i="3"/>
  <c r="M170" i="3"/>
  <c r="I196" i="3"/>
  <c r="H195" i="3"/>
  <c r="J72" i="3"/>
  <c r="J80" i="3"/>
  <c r="H100" i="3"/>
  <c r="I101" i="3"/>
  <c r="I110" i="3"/>
  <c r="H109" i="3"/>
  <c r="J113" i="3"/>
  <c r="I117" i="3"/>
  <c r="H116" i="3"/>
  <c r="Q122" i="3"/>
  <c r="M123" i="3"/>
  <c r="L123" i="3"/>
  <c r="K123" i="3"/>
  <c r="L138" i="3"/>
  <c r="K138" i="3"/>
  <c r="J138" i="3"/>
  <c r="O214" i="3"/>
  <c r="Q214" i="3"/>
  <c r="P214" i="3"/>
  <c r="N214" i="3"/>
  <c r="M219" i="3"/>
  <c r="L219" i="3"/>
  <c r="J219" i="3"/>
  <c r="K219" i="3"/>
  <c r="L107" i="3"/>
  <c r="Q112" i="3"/>
  <c r="O112" i="3"/>
  <c r="N112" i="3"/>
  <c r="O137" i="3"/>
  <c r="N137" i="3"/>
  <c r="Q137" i="3"/>
  <c r="P137" i="3"/>
  <c r="I235" i="3"/>
  <c r="H234" i="3"/>
  <c r="P267" i="3"/>
  <c r="O267" i="3"/>
  <c r="N267" i="3"/>
  <c r="Q267" i="3"/>
  <c r="I33" i="3"/>
  <c r="H32" i="3"/>
  <c r="P114" i="3"/>
  <c r="I130" i="3"/>
  <c r="L205" i="3"/>
  <c r="K205" i="3"/>
  <c r="M205" i="3"/>
  <c r="J205" i="3"/>
  <c r="I209" i="3"/>
  <c r="H208" i="3"/>
  <c r="N213" i="3"/>
  <c r="P213" i="3"/>
  <c r="O213" i="3"/>
  <c r="N262" i="3"/>
  <c r="Q262" i="3"/>
  <c r="O262" i="3"/>
  <c r="L111" i="3"/>
  <c r="K111" i="3"/>
  <c r="J111" i="3"/>
  <c r="N115" i="3"/>
  <c r="M136" i="3"/>
  <c r="L136" i="3"/>
  <c r="K136" i="3"/>
  <c r="J136" i="3"/>
  <c r="M150" i="3"/>
  <c r="L150" i="3"/>
  <c r="J150" i="3"/>
  <c r="L176" i="3"/>
  <c r="M176" i="3"/>
  <c r="K176" i="3"/>
  <c r="J176" i="3"/>
  <c r="Q189" i="3"/>
  <c r="P189" i="3"/>
  <c r="O189" i="3"/>
  <c r="Q205" i="3"/>
  <c r="P205" i="3"/>
  <c r="Q213" i="3"/>
  <c r="H87" i="3"/>
  <c r="I88" i="3"/>
  <c r="O115" i="3"/>
  <c r="K126" i="3"/>
  <c r="I145" i="3"/>
  <c r="H144" i="3"/>
  <c r="K162" i="3"/>
  <c r="J162" i="3"/>
  <c r="Q175" i="3"/>
  <c r="N175" i="3"/>
  <c r="N205" i="3"/>
  <c r="P262" i="3"/>
  <c r="J104" i="3"/>
  <c r="L104" i="3"/>
  <c r="K104" i="3"/>
  <c r="M111" i="3"/>
  <c r="Q126" i="3"/>
  <c r="N126" i="3"/>
  <c r="P152" i="3"/>
  <c r="O152" i="3"/>
  <c r="N152" i="3"/>
  <c r="N189" i="3"/>
  <c r="O205" i="3"/>
  <c r="O212" i="3"/>
  <c r="N212" i="3"/>
  <c r="Q212" i="3"/>
  <c r="O218" i="3"/>
  <c r="N218" i="3"/>
  <c r="Q218" i="3"/>
  <c r="P218" i="3"/>
  <c r="M189" i="3"/>
  <c r="L189" i="3"/>
  <c r="K189" i="3"/>
  <c r="J193" i="3"/>
  <c r="K193" i="3"/>
  <c r="M193" i="3"/>
  <c r="K207" i="3"/>
  <c r="J207" i="3"/>
  <c r="M207" i="3"/>
  <c r="L207" i="3"/>
  <c r="I75" i="3"/>
  <c r="H74" i="3"/>
  <c r="I90" i="3"/>
  <c r="H89" i="3"/>
  <c r="H95" i="3"/>
  <c r="I96" i="3"/>
  <c r="M121" i="3"/>
  <c r="L121" i="3"/>
  <c r="N141" i="3"/>
  <c r="K156" i="3"/>
  <c r="J156" i="3"/>
  <c r="J168" i="3"/>
  <c r="L168" i="3"/>
  <c r="H190" i="3"/>
  <c r="I191" i="3"/>
  <c r="P197" i="3"/>
  <c r="O197" i="3"/>
  <c r="L198" i="3"/>
  <c r="J198" i="3"/>
  <c r="M198" i="3"/>
  <c r="N200" i="3"/>
  <c r="Q200" i="3"/>
  <c r="P200" i="3"/>
  <c r="J222" i="3"/>
  <c r="L222" i="3"/>
  <c r="K222" i="3"/>
  <c r="I226" i="3"/>
  <c r="H225" i="3"/>
  <c r="H231" i="3"/>
  <c r="I232" i="3"/>
  <c r="I104" i="3"/>
  <c r="H103" i="3"/>
  <c r="Q140" i="3"/>
  <c r="L148" i="3"/>
  <c r="K148" i="3"/>
  <c r="J148" i="3"/>
  <c r="M154" i="3"/>
  <c r="L154" i="3"/>
  <c r="K174" i="3"/>
  <c r="H179" i="3"/>
  <c r="I180" i="3"/>
  <c r="P194" i="3"/>
  <c r="O194" i="3"/>
  <c r="O247" i="3"/>
  <c r="N247" i="3"/>
  <c r="O261" i="3"/>
  <c r="Q261" i="3"/>
  <c r="M268" i="3"/>
  <c r="K268" i="3"/>
  <c r="Q154" i="3"/>
  <c r="P154" i="3"/>
  <c r="I260" i="3"/>
  <c r="H259" i="3"/>
  <c r="I118" i="3"/>
  <c r="H117" i="3"/>
  <c r="Q161" i="3"/>
  <c r="N161" i="3"/>
  <c r="P161" i="3"/>
  <c r="N168" i="3"/>
  <c r="M199" i="3"/>
  <c r="L199" i="3"/>
  <c r="K199" i="3"/>
  <c r="J199" i="3"/>
  <c r="K200" i="3"/>
  <c r="J200" i="3"/>
  <c r="P162" i="3"/>
  <c r="O162" i="3"/>
  <c r="N162" i="3"/>
  <c r="M167" i="3"/>
  <c r="L167" i="3"/>
  <c r="O173" i="3"/>
  <c r="Q173" i="3"/>
  <c r="H182" i="3"/>
  <c r="I183" i="3"/>
  <c r="J204" i="3"/>
  <c r="M204" i="3"/>
  <c r="L204" i="3"/>
  <c r="H226" i="3"/>
  <c r="I227" i="3"/>
  <c r="Q228" i="3"/>
  <c r="I242" i="3"/>
  <c r="H241" i="3"/>
  <c r="N246" i="3"/>
  <c r="P246" i="3"/>
  <c r="O246" i="3"/>
  <c r="L247" i="3"/>
  <c r="L260" i="3"/>
  <c r="K260" i="3"/>
  <c r="J260" i="3"/>
  <c r="M260" i="3"/>
  <c r="J279" i="3"/>
  <c r="M279" i="3"/>
  <c r="L279" i="3"/>
  <c r="K279" i="3"/>
  <c r="N173" i="3"/>
  <c r="K211" i="3"/>
  <c r="J211" i="3"/>
  <c r="M212" i="3"/>
  <c r="L212" i="3"/>
  <c r="K212" i="3"/>
  <c r="H242" i="3"/>
  <c r="I243" i="3"/>
  <c r="L252" i="3"/>
  <c r="K252" i="3"/>
  <c r="M252" i="3"/>
  <c r="P256" i="3"/>
  <c r="O256" i="3"/>
  <c r="N256" i="3"/>
  <c r="Q256" i="3"/>
  <c r="N268" i="3"/>
  <c r="Q268" i="3"/>
  <c r="P268" i="3"/>
  <c r="Q216" i="3"/>
  <c r="P216" i="3"/>
  <c r="O216" i="3"/>
  <c r="N216" i="3"/>
  <c r="Q225" i="3"/>
  <c r="P225" i="3"/>
  <c r="O225" i="3"/>
  <c r="N225" i="3"/>
  <c r="P248" i="3"/>
  <c r="O248" i="3"/>
  <c r="Q248" i="3"/>
  <c r="K258" i="3"/>
  <c r="M258" i="3"/>
  <c r="L258" i="3"/>
  <c r="J258" i="3"/>
  <c r="M175" i="3"/>
  <c r="M185" i="3"/>
  <c r="K185" i="3"/>
  <c r="J185" i="3"/>
  <c r="O187" i="3"/>
  <c r="Q187" i="3"/>
  <c r="P187" i="3"/>
  <c r="O208" i="3"/>
  <c r="N208" i="3"/>
  <c r="P208" i="3"/>
  <c r="J210" i="3"/>
  <c r="K210" i="3"/>
  <c r="M210" i="3"/>
  <c r="L210" i="3"/>
  <c r="O252" i="3"/>
  <c r="N252" i="3"/>
  <c r="Q252" i="3"/>
  <c r="P252" i="3"/>
  <c r="L266" i="3"/>
  <c r="K266" i="3"/>
  <c r="M266" i="3"/>
  <c r="I166" i="3"/>
  <c r="I171" i="3"/>
  <c r="K175" i="3"/>
  <c r="N178" i="3"/>
  <c r="N187" i="3"/>
  <c r="I198" i="3"/>
  <c r="H197" i="3"/>
  <c r="I276" i="3"/>
  <c r="H275" i="3"/>
  <c r="I159" i="3"/>
  <c r="L175" i="3"/>
  <c r="O178" i="3"/>
  <c r="I195" i="3"/>
  <c r="H194" i="3"/>
  <c r="J196" i="3"/>
  <c r="K196" i="3"/>
  <c r="Q208" i="3"/>
  <c r="M240" i="3"/>
  <c r="L240" i="3"/>
  <c r="Q280" i="3"/>
  <c r="P280" i="3"/>
  <c r="O280" i="3"/>
  <c r="H186" i="3"/>
  <c r="Q192" i="3"/>
  <c r="P192" i="3"/>
  <c r="N192" i="3"/>
  <c r="I211" i="3"/>
  <c r="J230" i="3"/>
  <c r="M230" i="3"/>
  <c r="J240" i="3"/>
  <c r="Q257" i="3"/>
  <c r="P257" i="3"/>
  <c r="N280" i="3"/>
  <c r="N229" i="3"/>
  <c r="O229" i="3"/>
  <c r="H237" i="3"/>
  <c r="I238" i="3"/>
  <c r="I263" i="3"/>
  <c r="H262" i="3"/>
  <c r="J227" i="3"/>
  <c r="M227" i="3"/>
  <c r="J246" i="3"/>
  <c r="L246" i="3"/>
  <c r="M254" i="3"/>
  <c r="L254" i="3"/>
  <c r="K254" i="3"/>
  <c r="J254" i="3"/>
  <c r="I181" i="3"/>
  <c r="H180" i="3"/>
  <c r="K217" i="3"/>
  <c r="N231" i="3"/>
  <c r="O231" i="3"/>
  <c r="I234" i="3"/>
  <c r="H233" i="3"/>
  <c r="I250" i="3"/>
  <c r="H249" i="3"/>
  <c r="O254" i="3"/>
  <c r="K255" i="3"/>
  <c r="M255" i="3"/>
  <c r="L255" i="3"/>
  <c r="L238" i="3"/>
  <c r="K238" i="3"/>
  <c r="N240" i="3"/>
  <c r="P240" i="3"/>
  <c r="Q240" i="3"/>
  <c r="K247" i="3"/>
  <c r="I264" i="3"/>
  <c r="H263" i="3"/>
  <c r="I265" i="3"/>
  <c r="H264" i="3"/>
  <c r="P274" i="3"/>
  <c r="O274" i="3"/>
  <c r="P275" i="3"/>
  <c r="Q275" i="3"/>
  <c r="I210" i="3"/>
  <c r="H209" i="3"/>
  <c r="O224" i="3"/>
  <c r="Q279" i="3"/>
  <c r="P279" i="3"/>
  <c r="O279" i="3"/>
  <c r="M280" i="3"/>
  <c r="L280" i="3"/>
  <c r="K280" i="3"/>
  <c r="J280" i="3"/>
  <c r="J274" i="3"/>
  <c r="L274" i="3"/>
  <c r="L273" i="3"/>
  <c r="K273" i="3"/>
  <c r="L271" i="3"/>
  <c r="K271" i="3"/>
  <c r="I222" i="3"/>
  <c r="H221" i="3"/>
  <c r="Q271" i="3"/>
  <c r="P271" i="3"/>
  <c r="J273" i="3"/>
  <c r="I277" i="3"/>
  <c r="H276" i="3"/>
  <c r="I236" i="3"/>
  <c r="H235" i="3"/>
  <c r="I278" i="3"/>
  <c r="H277" i="3"/>
  <c r="L251" i="3" l="1"/>
  <c r="L172" i="3"/>
  <c r="L52" i="3"/>
  <c r="O257" i="3"/>
  <c r="M251" i="3"/>
  <c r="M82" i="3"/>
  <c r="K52" i="3"/>
  <c r="O10" i="3"/>
  <c r="N52" i="3"/>
  <c r="K151" i="3"/>
  <c r="J251" i="3"/>
  <c r="N261" i="3"/>
  <c r="J88" i="3"/>
  <c r="J137" i="3"/>
  <c r="P220" i="3"/>
  <c r="P81" i="3"/>
  <c r="J58" i="3"/>
  <c r="M52" i="3"/>
  <c r="L62" i="3"/>
  <c r="M113" i="3"/>
  <c r="Q199" i="3"/>
  <c r="L113" i="3"/>
  <c r="Q233" i="3"/>
  <c r="P10" i="3"/>
  <c r="L151" i="3"/>
  <c r="P247" i="3"/>
  <c r="O199" i="3"/>
  <c r="O95" i="3"/>
  <c r="K94" i="3"/>
  <c r="N37" i="3"/>
  <c r="P233" i="3"/>
  <c r="O139" i="3"/>
  <c r="Q95" i="3"/>
  <c r="M140" i="3"/>
  <c r="P199" i="3"/>
  <c r="Q139" i="3"/>
  <c r="J140" i="3"/>
  <c r="L98" i="3"/>
  <c r="J94" i="3"/>
  <c r="P37" i="3"/>
  <c r="O30" i="3"/>
  <c r="J28" i="3"/>
  <c r="O15" i="3"/>
  <c r="Q176" i="3"/>
  <c r="J98" i="3"/>
  <c r="J50" i="3"/>
  <c r="N38" i="3"/>
  <c r="K28" i="3"/>
  <c r="M187" i="3"/>
  <c r="J151" i="3"/>
  <c r="M246" i="3"/>
  <c r="P95" i="3"/>
  <c r="M94" i="3"/>
  <c r="K108" i="3"/>
  <c r="L50" i="3"/>
  <c r="J99" i="3"/>
  <c r="N15" i="3"/>
  <c r="L114" i="3"/>
  <c r="N10" i="3"/>
  <c r="J38" i="3"/>
  <c r="Q269" i="3"/>
  <c r="L261" i="3"/>
  <c r="K140" i="3"/>
  <c r="Q224" i="3"/>
  <c r="O228" i="3"/>
  <c r="K98" i="3"/>
  <c r="P224" i="3"/>
  <c r="K187" i="3"/>
  <c r="M124" i="3"/>
  <c r="Q37" i="3"/>
  <c r="P266" i="3"/>
  <c r="P168" i="3"/>
  <c r="L213" i="3"/>
  <c r="J107" i="3"/>
  <c r="L57" i="3"/>
  <c r="J23" i="3"/>
  <c r="M191" i="3"/>
  <c r="J191" i="3"/>
  <c r="Q168" i="3"/>
  <c r="M213" i="3"/>
  <c r="K107" i="3"/>
  <c r="N133" i="3"/>
  <c r="N125" i="3"/>
  <c r="M68" i="3"/>
  <c r="N233" i="3"/>
  <c r="M57" i="3"/>
  <c r="Q244" i="3"/>
  <c r="M229" i="3"/>
  <c r="L232" i="3"/>
  <c r="K213" i="3"/>
  <c r="P125" i="3"/>
  <c r="Q14" i="3"/>
  <c r="J53" i="3"/>
  <c r="L126" i="3"/>
  <c r="O157" i="3"/>
  <c r="K161" i="3"/>
  <c r="Q204" i="3"/>
  <c r="K25" i="3"/>
  <c r="M25" i="3"/>
  <c r="L25" i="3"/>
  <c r="N170" i="3"/>
  <c r="L218" i="3"/>
  <c r="M161" i="3"/>
  <c r="O122" i="3"/>
  <c r="N105" i="3"/>
  <c r="L141" i="3"/>
  <c r="L38" i="3"/>
  <c r="P64" i="3"/>
  <c r="L278" i="3"/>
  <c r="N204" i="3"/>
  <c r="J253" i="3"/>
  <c r="O170" i="3"/>
  <c r="M218" i="3"/>
  <c r="O98" i="3"/>
  <c r="P122" i="3"/>
  <c r="K223" i="3"/>
  <c r="O105" i="3"/>
  <c r="M141" i="3"/>
  <c r="O64" i="3"/>
  <c r="M278" i="3"/>
  <c r="Q58" i="3"/>
  <c r="J93" i="3"/>
  <c r="O85" i="3"/>
  <c r="O204" i="3"/>
  <c r="N140" i="3"/>
  <c r="P140" i="3"/>
  <c r="K55" i="3"/>
  <c r="L55" i="3"/>
  <c r="J55" i="3"/>
  <c r="N201" i="3"/>
  <c r="M126" i="3"/>
  <c r="N157" i="3"/>
  <c r="L161" i="3"/>
  <c r="J141" i="3"/>
  <c r="K50" i="3"/>
  <c r="K38" i="3"/>
  <c r="N258" i="3"/>
  <c r="K191" i="3"/>
  <c r="J261" i="3"/>
  <c r="K253" i="3"/>
  <c r="P170" i="3"/>
  <c r="J218" i="3"/>
  <c r="P98" i="3"/>
  <c r="L223" i="3"/>
  <c r="P105" i="3"/>
  <c r="L88" i="3"/>
  <c r="K215" i="3"/>
  <c r="M108" i="3"/>
  <c r="Q64" i="3"/>
  <c r="J278" i="3"/>
  <c r="N185" i="3"/>
  <c r="K93" i="3"/>
  <c r="N31" i="3"/>
  <c r="Q85" i="3"/>
  <c r="J229" i="3"/>
  <c r="M55" i="3"/>
  <c r="O258" i="3"/>
  <c r="K229" i="3"/>
  <c r="L191" i="3"/>
  <c r="M261" i="3"/>
  <c r="L253" i="3"/>
  <c r="Q98" i="3"/>
  <c r="M223" i="3"/>
  <c r="N151" i="3"/>
  <c r="N83" i="3"/>
  <c r="M62" i="3"/>
  <c r="O73" i="3"/>
  <c r="J62" i="3"/>
  <c r="K99" i="3"/>
  <c r="O38" i="3"/>
  <c r="J149" i="3"/>
  <c r="O185" i="3"/>
  <c r="L93" i="3"/>
  <c r="P31" i="3"/>
  <c r="N85" i="3"/>
  <c r="Q258" i="3"/>
  <c r="P139" i="3"/>
  <c r="O83" i="3"/>
  <c r="M99" i="3"/>
  <c r="N179" i="3"/>
  <c r="Q38" i="3"/>
  <c r="P185" i="3"/>
  <c r="K54" i="3"/>
  <c r="K16" i="3"/>
  <c r="P176" i="3"/>
  <c r="M2" i="3"/>
  <c r="P229" i="3"/>
  <c r="O253" i="3"/>
  <c r="Q215" i="3"/>
  <c r="O156" i="3"/>
  <c r="N156" i="3"/>
  <c r="Q156" i="3"/>
  <c r="Q223" i="3"/>
  <c r="O223" i="3"/>
  <c r="M265" i="3"/>
  <c r="L265" i="3"/>
  <c r="M228" i="3"/>
  <c r="K228" i="3"/>
  <c r="P169" i="3"/>
  <c r="P157" i="3"/>
  <c r="O133" i="3"/>
  <c r="P215" i="3"/>
  <c r="J70" i="3"/>
  <c r="K177" i="3"/>
  <c r="J177" i="3"/>
  <c r="M177" i="3"/>
  <c r="L177" i="3"/>
  <c r="Q207" i="3"/>
  <c r="O207" i="3"/>
  <c r="N207" i="3"/>
  <c r="Q241" i="3"/>
  <c r="P241" i="3"/>
  <c r="Q266" i="3"/>
  <c r="N266" i="3"/>
  <c r="Q36" i="3"/>
  <c r="O36" i="3"/>
  <c r="N36" i="3"/>
  <c r="Q121" i="3"/>
  <c r="P121" i="3"/>
  <c r="O121" i="3"/>
  <c r="N121" i="3"/>
  <c r="Q201" i="3"/>
  <c r="J268" i="3"/>
  <c r="Q169" i="3"/>
  <c r="N223" i="3"/>
  <c r="P133" i="3"/>
  <c r="O129" i="3"/>
  <c r="L19" i="3"/>
  <c r="M19" i="3"/>
  <c r="J19" i="3"/>
  <c r="P202" i="3"/>
  <c r="Q202" i="3"/>
  <c r="O202" i="3"/>
  <c r="N202" i="3"/>
  <c r="Q237" i="3"/>
  <c r="P237" i="3"/>
  <c r="N237" i="3"/>
  <c r="J243" i="3"/>
  <c r="M243" i="3"/>
  <c r="L243" i="3"/>
  <c r="N138" i="3"/>
  <c r="Q124" i="3"/>
  <c r="K70" i="3"/>
  <c r="Q129" i="3"/>
  <c r="N134" i="3"/>
  <c r="Q7" i="3"/>
  <c r="P190" i="3"/>
  <c r="Q190" i="3"/>
  <c r="N190" i="3"/>
  <c r="P71" i="3"/>
  <c r="N71" i="3"/>
  <c r="P230" i="3"/>
  <c r="O201" i="3"/>
  <c r="L137" i="3"/>
  <c r="Q73" i="3"/>
  <c r="O124" i="3"/>
  <c r="L132" i="3"/>
  <c r="P70" i="3"/>
  <c r="J112" i="3"/>
  <c r="N70" i="3"/>
  <c r="L70" i="3"/>
  <c r="O134" i="3"/>
  <c r="N30" i="3"/>
  <c r="K23" i="3"/>
  <c r="N7" i="3"/>
  <c r="P156" i="3"/>
  <c r="O164" i="3"/>
  <c r="Q164" i="3"/>
  <c r="P164" i="3"/>
  <c r="N164" i="3"/>
  <c r="K68" i="3"/>
  <c r="J68" i="3"/>
  <c r="P269" i="3"/>
  <c r="J239" i="3"/>
  <c r="Q113" i="3"/>
  <c r="P73" i="3"/>
  <c r="O163" i="3"/>
  <c r="L112" i="3"/>
  <c r="J132" i="3"/>
  <c r="M112" i="3"/>
  <c r="Q134" i="3"/>
  <c r="Q30" i="3"/>
  <c r="M23" i="3"/>
  <c r="P14" i="3"/>
  <c r="O14" i="3"/>
  <c r="Q50" i="3"/>
  <c r="P50" i="3"/>
  <c r="O50" i="3"/>
  <c r="N50" i="3"/>
  <c r="L53" i="3"/>
  <c r="M53" i="3"/>
  <c r="M188" i="3"/>
  <c r="L188" i="3"/>
  <c r="O169" i="3"/>
  <c r="P129" i="3"/>
  <c r="M69" i="3"/>
  <c r="L69" i="3"/>
  <c r="K69" i="3"/>
  <c r="J69" i="3"/>
  <c r="P188" i="3"/>
  <c r="O188" i="3"/>
  <c r="N188" i="3"/>
  <c r="K137" i="3"/>
  <c r="M132" i="3"/>
  <c r="Q45" i="3"/>
  <c r="N45" i="3"/>
  <c r="O45" i="3"/>
  <c r="N158" i="3"/>
  <c r="Q158" i="3"/>
  <c r="P158" i="3"/>
  <c r="O158" i="3"/>
  <c r="Q70" i="3"/>
  <c r="N269" i="3"/>
  <c r="K239" i="3"/>
  <c r="P163" i="3"/>
  <c r="J35" i="3"/>
  <c r="J124" i="3"/>
  <c r="O108" i="3"/>
  <c r="N46" i="3"/>
  <c r="N54" i="3"/>
  <c r="L54" i="3"/>
  <c r="Q272" i="3"/>
  <c r="P272" i="3"/>
  <c r="O272" i="3"/>
  <c r="Q40" i="3"/>
  <c r="O40" i="3"/>
  <c r="N40" i="3"/>
  <c r="Q230" i="3"/>
  <c r="L239" i="3"/>
  <c r="M134" i="3"/>
  <c r="O71" i="3"/>
  <c r="Q163" i="3"/>
  <c r="L124" i="3"/>
  <c r="P108" i="3"/>
  <c r="P46" i="3"/>
  <c r="P54" i="3"/>
  <c r="N77" i="3"/>
  <c r="Q77" i="3"/>
  <c r="P77" i="3"/>
  <c r="M256" i="3"/>
  <c r="L256" i="3"/>
  <c r="K256" i="3"/>
  <c r="J256" i="3"/>
  <c r="O230" i="3"/>
  <c r="P244" i="3"/>
  <c r="N58" i="3"/>
  <c r="O58" i="3"/>
  <c r="N254" i="3"/>
  <c r="Q254" i="3"/>
  <c r="P254" i="3"/>
  <c r="N150" i="3"/>
  <c r="O113" i="3"/>
  <c r="N113" i="3"/>
  <c r="J128" i="3"/>
  <c r="M128" i="3"/>
  <c r="L128" i="3"/>
  <c r="N124" i="3"/>
  <c r="K172" i="3"/>
  <c r="J172" i="3"/>
  <c r="P223" i="3"/>
  <c r="J188" i="3"/>
  <c r="O7" i="3"/>
  <c r="Q128" i="3"/>
  <c r="O128" i="3"/>
  <c r="N128" i="3"/>
  <c r="P128" i="3"/>
  <c r="O135" i="3"/>
  <c r="Q135" i="3"/>
  <c r="P135" i="3"/>
  <c r="N135" i="3"/>
  <c r="J265" i="3"/>
  <c r="L228" i="3"/>
  <c r="P207" i="3"/>
  <c r="J232" i="3"/>
  <c r="N228" i="3"/>
  <c r="J187" i="3"/>
  <c r="J134" i="3"/>
  <c r="O138" i="3"/>
  <c r="P150" i="3"/>
  <c r="P179" i="3"/>
  <c r="Q108" i="3"/>
  <c r="Q46" i="3"/>
  <c r="Q54" i="3"/>
  <c r="N21" i="3"/>
  <c r="J228" i="3"/>
  <c r="M244" i="3"/>
  <c r="L244" i="3"/>
  <c r="K244" i="3"/>
  <c r="J244" i="3"/>
  <c r="O271" i="3"/>
  <c r="K265" i="3"/>
  <c r="N244" i="3"/>
  <c r="N241" i="3"/>
  <c r="K232" i="3"/>
  <c r="P138" i="3"/>
  <c r="O150" i="3"/>
  <c r="P45" i="3"/>
  <c r="P36" i="3"/>
  <c r="J16" i="3"/>
  <c r="O275" i="3"/>
  <c r="N275" i="3"/>
  <c r="P12" i="3"/>
  <c r="Q12" i="3"/>
  <c r="O12" i="3"/>
  <c r="N12" i="3"/>
  <c r="Q245" i="3"/>
  <c r="O245" i="3"/>
  <c r="N245" i="3"/>
  <c r="M275" i="3"/>
  <c r="L275" i="3"/>
  <c r="K275" i="3"/>
  <c r="J275" i="3"/>
  <c r="P211" i="3"/>
  <c r="O211" i="3"/>
  <c r="Q211" i="3"/>
  <c r="N211" i="3"/>
  <c r="N116" i="3"/>
  <c r="P116" i="3"/>
  <c r="Q116" i="3"/>
  <c r="O116" i="3"/>
  <c r="N227" i="3"/>
  <c r="O227" i="3"/>
  <c r="P227" i="3"/>
  <c r="Q227" i="3"/>
  <c r="J233" i="3"/>
  <c r="M233" i="3"/>
  <c r="L233" i="3"/>
  <c r="K233" i="3"/>
  <c r="Q166" i="3"/>
  <c r="O166" i="3"/>
  <c r="N166" i="3"/>
  <c r="P166" i="3"/>
  <c r="Q104" i="3"/>
  <c r="N104" i="3"/>
  <c r="P104" i="3"/>
  <c r="O104" i="3"/>
  <c r="Q191" i="3"/>
  <c r="N191" i="3"/>
  <c r="O191" i="3"/>
  <c r="P191" i="3"/>
  <c r="J146" i="3"/>
  <c r="K146" i="3"/>
  <c r="M146" i="3"/>
  <c r="L146" i="3"/>
  <c r="P270" i="3"/>
  <c r="O270" i="3"/>
  <c r="Q270" i="3"/>
  <c r="N270" i="3"/>
  <c r="Q236" i="3"/>
  <c r="N236" i="3"/>
  <c r="P236" i="3"/>
  <c r="O236" i="3"/>
  <c r="J264" i="3"/>
  <c r="L264" i="3"/>
  <c r="K264" i="3"/>
  <c r="M264" i="3"/>
  <c r="N234" i="3"/>
  <c r="Q234" i="3"/>
  <c r="P234" i="3"/>
  <c r="O234" i="3"/>
  <c r="O276" i="3"/>
  <c r="N276" i="3"/>
  <c r="P276" i="3"/>
  <c r="Q276" i="3"/>
  <c r="M226" i="3"/>
  <c r="J226" i="3"/>
  <c r="L226" i="3"/>
  <c r="K226" i="3"/>
  <c r="Q180" i="3"/>
  <c r="P180" i="3"/>
  <c r="O180" i="3"/>
  <c r="N180" i="3"/>
  <c r="J190" i="3"/>
  <c r="M190" i="3"/>
  <c r="K190" i="3"/>
  <c r="L190" i="3"/>
  <c r="M89" i="3"/>
  <c r="J89" i="3"/>
  <c r="L89" i="3"/>
  <c r="K89" i="3"/>
  <c r="Q147" i="3"/>
  <c r="N147" i="3"/>
  <c r="P147" i="3"/>
  <c r="O147" i="3"/>
  <c r="Q153" i="3"/>
  <c r="P153" i="3"/>
  <c r="O153" i="3"/>
  <c r="N153" i="3"/>
  <c r="K164" i="3"/>
  <c r="J164" i="3"/>
  <c r="L164" i="3"/>
  <c r="M164" i="3"/>
  <c r="L248" i="3"/>
  <c r="M248" i="3"/>
  <c r="K248" i="3"/>
  <c r="J248" i="3"/>
  <c r="P49" i="3"/>
  <c r="Q49" i="3"/>
  <c r="O49" i="3"/>
  <c r="N49" i="3"/>
  <c r="J43" i="3"/>
  <c r="M43" i="3"/>
  <c r="L43" i="3"/>
  <c r="K43" i="3"/>
  <c r="O277" i="3"/>
  <c r="P277" i="3"/>
  <c r="N277" i="3"/>
  <c r="Q277" i="3"/>
  <c r="O263" i="3"/>
  <c r="Q263" i="3"/>
  <c r="N263" i="3"/>
  <c r="P263" i="3"/>
  <c r="Q260" i="3"/>
  <c r="P260" i="3"/>
  <c r="O260" i="3"/>
  <c r="N260" i="3"/>
  <c r="N75" i="3"/>
  <c r="P75" i="3"/>
  <c r="Q75" i="3"/>
  <c r="O75" i="3"/>
  <c r="M60" i="3"/>
  <c r="L60" i="3"/>
  <c r="K60" i="3"/>
  <c r="J60" i="3"/>
  <c r="J77" i="3"/>
  <c r="M77" i="3"/>
  <c r="L77" i="3"/>
  <c r="K77" i="3"/>
  <c r="Q265" i="3"/>
  <c r="O265" i="3"/>
  <c r="N265" i="3"/>
  <c r="P265" i="3"/>
  <c r="J262" i="3"/>
  <c r="M262" i="3"/>
  <c r="L262" i="3"/>
  <c r="K262" i="3"/>
  <c r="K259" i="3"/>
  <c r="J259" i="3"/>
  <c r="L259" i="3"/>
  <c r="M259" i="3"/>
  <c r="M145" i="3"/>
  <c r="J145" i="3"/>
  <c r="L145" i="3"/>
  <c r="K145" i="3"/>
  <c r="Q88" i="3"/>
  <c r="P88" i="3"/>
  <c r="N88" i="3"/>
  <c r="O88" i="3"/>
  <c r="M276" i="3"/>
  <c r="L276" i="3"/>
  <c r="K276" i="3"/>
  <c r="J276" i="3"/>
  <c r="M186" i="3"/>
  <c r="L186" i="3"/>
  <c r="K186" i="3"/>
  <c r="J186" i="3"/>
  <c r="K234" i="3"/>
  <c r="J234" i="3"/>
  <c r="M234" i="3"/>
  <c r="L234" i="3"/>
  <c r="J263" i="3"/>
  <c r="M263" i="3"/>
  <c r="L263" i="3"/>
  <c r="K263" i="3"/>
  <c r="K197" i="3"/>
  <c r="M197" i="3"/>
  <c r="L197" i="3"/>
  <c r="J197" i="3"/>
  <c r="L59" i="3"/>
  <c r="M59" i="3"/>
  <c r="K59" i="3"/>
  <c r="J59" i="3"/>
  <c r="O119" i="3"/>
  <c r="N119" i="3"/>
  <c r="P119" i="3"/>
  <c r="Q119" i="3"/>
  <c r="Q210" i="3"/>
  <c r="N210" i="3"/>
  <c r="P210" i="3"/>
  <c r="O210" i="3"/>
  <c r="K237" i="3"/>
  <c r="J237" i="3"/>
  <c r="L237" i="3"/>
  <c r="M237" i="3"/>
  <c r="P195" i="3"/>
  <c r="O195" i="3"/>
  <c r="Q195" i="3"/>
  <c r="N195" i="3"/>
  <c r="M144" i="3"/>
  <c r="L144" i="3"/>
  <c r="J144" i="3"/>
  <c r="K144" i="3"/>
  <c r="L130" i="3"/>
  <c r="K130" i="3"/>
  <c r="J130" i="3"/>
  <c r="M130" i="3"/>
  <c r="O82" i="3"/>
  <c r="Q82" i="3"/>
  <c r="N82" i="3"/>
  <c r="P82" i="3"/>
  <c r="M65" i="3"/>
  <c r="L65" i="3"/>
  <c r="K65" i="3"/>
  <c r="J65" i="3"/>
  <c r="M85" i="3"/>
  <c r="L85" i="3"/>
  <c r="K85" i="3"/>
  <c r="J85" i="3"/>
  <c r="L249" i="3"/>
  <c r="M249" i="3"/>
  <c r="K249" i="3"/>
  <c r="J249" i="3"/>
  <c r="N181" i="3"/>
  <c r="P181" i="3"/>
  <c r="Q181" i="3"/>
  <c r="O181" i="3"/>
  <c r="Q131" i="3"/>
  <c r="P131" i="3"/>
  <c r="O131" i="3"/>
  <c r="N131" i="3"/>
  <c r="K81" i="3"/>
  <c r="J81" i="3"/>
  <c r="M81" i="3"/>
  <c r="L81" i="3"/>
  <c r="J91" i="3"/>
  <c r="M91" i="3"/>
  <c r="L91" i="3"/>
  <c r="K91" i="3"/>
  <c r="M179" i="3"/>
  <c r="L179" i="3"/>
  <c r="K179" i="3"/>
  <c r="J179" i="3"/>
  <c r="M209" i="3"/>
  <c r="L209" i="3"/>
  <c r="K209" i="3"/>
  <c r="J209" i="3"/>
  <c r="O264" i="3"/>
  <c r="Q264" i="3"/>
  <c r="P264" i="3"/>
  <c r="N264" i="3"/>
  <c r="O238" i="3"/>
  <c r="N238" i="3"/>
  <c r="Q238" i="3"/>
  <c r="P238" i="3"/>
  <c r="P198" i="3"/>
  <c r="O198" i="3"/>
  <c r="Q198" i="3"/>
  <c r="N198" i="3"/>
  <c r="P130" i="3"/>
  <c r="O130" i="3"/>
  <c r="N130" i="3"/>
  <c r="Q130" i="3"/>
  <c r="Q148" i="3"/>
  <c r="O148" i="3"/>
  <c r="N148" i="3"/>
  <c r="P148" i="3"/>
  <c r="M221" i="3"/>
  <c r="L221" i="3"/>
  <c r="K221" i="3"/>
  <c r="J221" i="3"/>
  <c r="N183" i="3"/>
  <c r="Q183" i="3"/>
  <c r="P183" i="3"/>
  <c r="O183" i="3"/>
  <c r="Q226" i="3"/>
  <c r="P226" i="3"/>
  <c r="O226" i="3"/>
  <c r="N226" i="3"/>
  <c r="M208" i="3"/>
  <c r="L208" i="3"/>
  <c r="K208" i="3"/>
  <c r="J208" i="3"/>
  <c r="Q144" i="3"/>
  <c r="P144" i="3"/>
  <c r="O144" i="3"/>
  <c r="N144" i="3"/>
  <c r="O76" i="3"/>
  <c r="N76" i="3"/>
  <c r="P76" i="3"/>
  <c r="Q76" i="3"/>
  <c r="O5" i="3"/>
  <c r="Q5" i="3"/>
  <c r="N5" i="3"/>
  <c r="P5" i="3"/>
  <c r="J277" i="3"/>
  <c r="L277" i="3"/>
  <c r="K277" i="3"/>
  <c r="M277" i="3"/>
  <c r="Q222" i="3"/>
  <c r="O222" i="3"/>
  <c r="P222" i="3"/>
  <c r="N222" i="3"/>
  <c r="J182" i="3"/>
  <c r="K182" i="3"/>
  <c r="M182" i="3"/>
  <c r="L182" i="3"/>
  <c r="P96" i="3"/>
  <c r="O96" i="3"/>
  <c r="Q96" i="3"/>
  <c r="N96" i="3"/>
  <c r="Q209" i="3"/>
  <c r="O209" i="3"/>
  <c r="N209" i="3"/>
  <c r="P209" i="3"/>
  <c r="M116" i="3"/>
  <c r="L116" i="3"/>
  <c r="K116" i="3"/>
  <c r="J116" i="3"/>
  <c r="J143" i="3"/>
  <c r="L143" i="3"/>
  <c r="M143" i="3"/>
  <c r="K143" i="3"/>
  <c r="Q80" i="3"/>
  <c r="P80" i="3"/>
  <c r="N80" i="3"/>
  <c r="O80" i="3"/>
  <c r="M194" i="3"/>
  <c r="L194" i="3"/>
  <c r="K194" i="3"/>
  <c r="J194" i="3"/>
  <c r="J110" i="3"/>
  <c r="M110" i="3"/>
  <c r="L110" i="3"/>
  <c r="K110" i="3"/>
  <c r="P278" i="3"/>
  <c r="O278" i="3"/>
  <c r="N278" i="3"/>
  <c r="Q278" i="3"/>
  <c r="O159" i="3"/>
  <c r="P159" i="3"/>
  <c r="N159" i="3"/>
  <c r="Q159" i="3"/>
  <c r="Q171" i="3"/>
  <c r="P171" i="3"/>
  <c r="O171" i="3"/>
  <c r="N171" i="3"/>
  <c r="K117" i="3"/>
  <c r="L117" i="3"/>
  <c r="M117" i="3"/>
  <c r="J117" i="3"/>
  <c r="J103" i="3"/>
  <c r="M103" i="3"/>
  <c r="L103" i="3"/>
  <c r="K103" i="3"/>
  <c r="M95" i="3"/>
  <c r="K95" i="3"/>
  <c r="J95" i="3"/>
  <c r="L95" i="3"/>
  <c r="Q117" i="3"/>
  <c r="N117" i="3"/>
  <c r="P117" i="3"/>
  <c r="O117" i="3"/>
  <c r="Q62" i="3"/>
  <c r="P62" i="3"/>
  <c r="N62" i="3"/>
  <c r="O62" i="3"/>
  <c r="J269" i="3"/>
  <c r="L269" i="3"/>
  <c r="K269" i="3"/>
  <c r="M269" i="3"/>
  <c r="O8" i="3"/>
  <c r="Q8" i="3"/>
  <c r="P8" i="3"/>
  <c r="N8" i="3"/>
  <c r="L79" i="3"/>
  <c r="J79" i="3"/>
  <c r="M79" i="3"/>
  <c r="K79" i="3"/>
  <c r="L202" i="3"/>
  <c r="K202" i="3"/>
  <c r="J202" i="3"/>
  <c r="M202" i="3"/>
  <c r="Q60" i="3"/>
  <c r="P60" i="3"/>
  <c r="O60" i="3"/>
  <c r="N60" i="3"/>
  <c r="L102" i="3"/>
  <c r="M102" i="3"/>
  <c r="J102" i="3"/>
  <c r="K102" i="3"/>
  <c r="J48" i="3"/>
  <c r="M48" i="3"/>
  <c r="L48" i="3"/>
  <c r="K48" i="3"/>
  <c r="M135" i="3"/>
  <c r="L135" i="3"/>
  <c r="J135" i="3"/>
  <c r="K135" i="3"/>
  <c r="Q92" i="3"/>
  <c r="O92" i="3"/>
  <c r="N92" i="3"/>
  <c r="P92" i="3"/>
  <c r="Q146" i="3"/>
  <c r="N146" i="3"/>
  <c r="P146" i="3"/>
  <c r="O146" i="3"/>
  <c r="Q6" i="3"/>
  <c r="P6" i="3"/>
  <c r="O6" i="3"/>
  <c r="N6" i="3"/>
  <c r="J61" i="3"/>
  <c r="L61" i="3"/>
  <c r="M61" i="3"/>
  <c r="K61" i="3"/>
  <c r="O32" i="3"/>
  <c r="Q32" i="3"/>
  <c r="P32" i="3"/>
  <c r="N32" i="3"/>
  <c r="N86" i="3"/>
  <c r="P86" i="3"/>
  <c r="O86" i="3"/>
  <c r="Q86" i="3"/>
  <c r="Q165" i="3"/>
  <c r="P165" i="3"/>
  <c r="O165" i="3"/>
  <c r="N165" i="3"/>
  <c r="Q203" i="3"/>
  <c r="P203" i="3"/>
  <c r="O203" i="3"/>
  <c r="N203" i="3"/>
  <c r="N103" i="3"/>
  <c r="O103" i="3"/>
  <c r="Q103" i="3"/>
  <c r="P103" i="3"/>
  <c r="N136" i="3"/>
  <c r="O136" i="3"/>
  <c r="Q136" i="3"/>
  <c r="P136" i="3"/>
  <c r="L31" i="3"/>
  <c r="M31" i="3"/>
  <c r="K31" i="3"/>
  <c r="J31" i="3"/>
  <c r="Q90" i="3"/>
  <c r="P90" i="3"/>
  <c r="N90" i="3"/>
  <c r="O90" i="3"/>
  <c r="J87" i="3"/>
  <c r="K87" i="3"/>
  <c r="L87" i="3"/>
  <c r="M87" i="3"/>
  <c r="N235" i="3"/>
  <c r="Q235" i="3"/>
  <c r="P235" i="3"/>
  <c r="O235" i="3"/>
  <c r="Q87" i="3"/>
  <c r="P87" i="3"/>
  <c r="N87" i="3"/>
  <c r="O87" i="3"/>
  <c r="O93" i="3"/>
  <c r="N93" i="3"/>
  <c r="Q93" i="3"/>
  <c r="P93" i="3"/>
  <c r="N61" i="3"/>
  <c r="Q61" i="3"/>
  <c r="P61" i="3"/>
  <c r="O61" i="3"/>
  <c r="P160" i="3"/>
  <c r="Q160" i="3"/>
  <c r="O160" i="3"/>
  <c r="N160" i="3"/>
  <c r="P193" i="3"/>
  <c r="O193" i="3"/>
  <c r="Q193" i="3"/>
  <c r="N193" i="3"/>
  <c r="Q13" i="3"/>
  <c r="O13" i="3"/>
  <c r="P13" i="3"/>
  <c r="N13" i="3"/>
  <c r="O66" i="3"/>
  <c r="N66" i="3"/>
  <c r="Q66" i="3"/>
  <c r="P66" i="3"/>
  <c r="M17" i="3"/>
  <c r="L17" i="3"/>
  <c r="K17" i="3"/>
  <c r="J17" i="3"/>
  <c r="J118" i="3"/>
  <c r="M118" i="3"/>
  <c r="L118" i="3"/>
  <c r="K118" i="3"/>
  <c r="J75" i="3"/>
  <c r="M75" i="3"/>
  <c r="K75" i="3"/>
  <c r="L75" i="3"/>
  <c r="L56" i="3"/>
  <c r="M56" i="3"/>
  <c r="K56" i="3"/>
  <c r="J56" i="3"/>
  <c r="P44" i="3"/>
  <c r="Q44" i="3"/>
  <c r="O44" i="3"/>
  <c r="N44" i="3"/>
  <c r="M74" i="3"/>
  <c r="L74" i="3"/>
  <c r="K74" i="3"/>
  <c r="J74" i="3"/>
  <c r="J86" i="3"/>
  <c r="M86" i="3"/>
  <c r="L86" i="3"/>
  <c r="K86" i="3"/>
  <c r="K152" i="3"/>
  <c r="J152" i="3"/>
  <c r="L152" i="3"/>
  <c r="M152" i="3"/>
  <c r="K92" i="3"/>
  <c r="J92" i="3"/>
  <c r="M92" i="3"/>
  <c r="L92" i="3"/>
  <c r="J192" i="3"/>
  <c r="M192" i="3"/>
  <c r="L192" i="3"/>
  <c r="K192" i="3"/>
  <c r="P18" i="3"/>
  <c r="O18" i="3"/>
  <c r="N18" i="3"/>
  <c r="Q18" i="3"/>
  <c r="Q57" i="3"/>
  <c r="P57" i="3"/>
  <c r="O57" i="3"/>
  <c r="N57" i="3"/>
  <c r="M4" i="3"/>
  <c r="L4" i="3"/>
  <c r="K4" i="3"/>
  <c r="J4" i="3"/>
  <c r="K147" i="3"/>
  <c r="J147" i="3"/>
  <c r="M147" i="3"/>
  <c r="L147" i="3"/>
  <c r="M171" i="3"/>
  <c r="K171" i="3"/>
  <c r="J171" i="3"/>
  <c r="L171" i="3"/>
  <c r="L73" i="3"/>
  <c r="K73" i="3"/>
  <c r="J73" i="3"/>
  <c r="M73" i="3"/>
  <c r="J115" i="3"/>
  <c r="M115" i="3"/>
  <c r="L115" i="3"/>
  <c r="K115" i="3"/>
  <c r="J250" i="3"/>
  <c r="K250" i="3"/>
  <c r="L250" i="3"/>
  <c r="M250" i="3"/>
  <c r="N118" i="3"/>
  <c r="O118" i="3"/>
  <c r="Q118" i="3"/>
  <c r="P118" i="3"/>
  <c r="Q145" i="3"/>
  <c r="P145" i="3"/>
  <c r="O145" i="3"/>
  <c r="N145" i="3"/>
  <c r="L109" i="3"/>
  <c r="M109" i="3"/>
  <c r="K109" i="3"/>
  <c r="J109" i="3"/>
  <c r="M195" i="3"/>
  <c r="L195" i="3"/>
  <c r="J195" i="3"/>
  <c r="K195" i="3"/>
  <c r="Q249" i="3"/>
  <c r="P249" i="3"/>
  <c r="O249" i="3"/>
  <c r="N249" i="3"/>
  <c r="M181" i="3"/>
  <c r="J181" i="3"/>
  <c r="K181" i="3"/>
  <c r="L181" i="3"/>
  <c r="M131" i="3"/>
  <c r="J131" i="3"/>
  <c r="K131" i="3"/>
  <c r="L131" i="3"/>
  <c r="N172" i="3"/>
  <c r="O172" i="3"/>
  <c r="Q172" i="3"/>
  <c r="P172" i="3"/>
  <c r="L106" i="3"/>
  <c r="K106" i="3"/>
  <c r="J106" i="3"/>
  <c r="M106" i="3"/>
  <c r="J71" i="3"/>
  <c r="M71" i="3"/>
  <c r="L71" i="3"/>
  <c r="K71" i="3"/>
  <c r="Q74" i="3"/>
  <c r="O74" i="3"/>
  <c r="N74" i="3"/>
  <c r="P74" i="3"/>
  <c r="L66" i="3"/>
  <c r="K66" i="3"/>
  <c r="M66" i="3"/>
  <c r="J66" i="3"/>
  <c r="P251" i="3"/>
  <c r="O251" i="3"/>
  <c r="Q251" i="3"/>
  <c r="N251" i="3"/>
  <c r="J235" i="3"/>
  <c r="L235" i="3"/>
  <c r="K235" i="3"/>
  <c r="M235" i="3"/>
  <c r="K180" i="3"/>
  <c r="J180" i="3"/>
  <c r="L180" i="3"/>
  <c r="M180" i="3"/>
  <c r="Q243" i="3"/>
  <c r="P243" i="3"/>
  <c r="N243" i="3"/>
  <c r="O243" i="3"/>
  <c r="M241" i="3"/>
  <c r="K241" i="3"/>
  <c r="J241" i="3"/>
  <c r="L241" i="3"/>
  <c r="P232" i="3"/>
  <c r="O232" i="3"/>
  <c r="N232" i="3"/>
  <c r="Q232" i="3"/>
  <c r="L32" i="3"/>
  <c r="K32" i="3"/>
  <c r="J32" i="3"/>
  <c r="M32" i="3"/>
  <c r="P110" i="3"/>
  <c r="O110" i="3"/>
  <c r="N110" i="3"/>
  <c r="Q110" i="3"/>
  <c r="Q196" i="3"/>
  <c r="N196" i="3"/>
  <c r="P196" i="3"/>
  <c r="O196" i="3"/>
  <c r="O106" i="3"/>
  <c r="Q106" i="3"/>
  <c r="P106" i="3"/>
  <c r="N106" i="3"/>
  <c r="Q182" i="3"/>
  <c r="P182" i="3"/>
  <c r="N182" i="3"/>
  <c r="O182" i="3"/>
  <c r="N132" i="3"/>
  <c r="Q132" i="3"/>
  <c r="P132" i="3"/>
  <c r="O132" i="3"/>
  <c r="O107" i="3"/>
  <c r="Q107" i="3"/>
  <c r="P107" i="3"/>
  <c r="N107" i="3"/>
  <c r="L18" i="3"/>
  <c r="M18" i="3"/>
  <c r="K18" i="3"/>
  <c r="J18" i="3"/>
  <c r="Q27" i="3"/>
  <c r="O27" i="3"/>
  <c r="P27" i="3"/>
  <c r="N27" i="3"/>
  <c r="L46" i="3"/>
  <c r="J46" i="3"/>
  <c r="M46" i="3"/>
  <c r="K46" i="3"/>
  <c r="P67" i="3"/>
  <c r="O67" i="3"/>
  <c r="N67" i="3"/>
  <c r="Q67" i="3"/>
  <c r="M242" i="3"/>
  <c r="K242" i="3"/>
  <c r="L242" i="3"/>
  <c r="J242" i="3"/>
  <c r="P242" i="3"/>
  <c r="O242" i="3"/>
  <c r="Q242" i="3"/>
  <c r="N242" i="3"/>
  <c r="M231" i="3"/>
  <c r="L231" i="3"/>
  <c r="K231" i="3"/>
  <c r="J231" i="3"/>
  <c r="Q33" i="3"/>
  <c r="P33" i="3"/>
  <c r="N33" i="3"/>
  <c r="O33" i="3"/>
  <c r="Q101" i="3"/>
  <c r="P101" i="3"/>
  <c r="O101" i="3"/>
  <c r="N101" i="3"/>
  <c r="K105" i="3"/>
  <c r="J105" i="3"/>
  <c r="L105" i="3"/>
  <c r="M105" i="3"/>
  <c r="K166" i="3"/>
  <c r="J166" i="3"/>
  <c r="M166" i="3"/>
  <c r="L166" i="3"/>
  <c r="L22" i="3"/>
  <c r="J22" i="3"/>
  <c r="M22" i="3"/>
  <c r="K22" i="3"/>
  <c r="O19" i="3"/>
  <c r="Q19" i="3"/>
  <c r="P19" i="3"/>
  <c r="N19" i="3"/>
  <c r="P47" i="3"/>
  <c r="Q47" i="3"/>
  <c r="O47" i="3"/>
  <c r="N47" i="3"/>
  <c r="Q250" i="3"/>
  <c r="P250" i="3"/>
  <c r="O250" i="3"/>
  <c r="N250" i="3"/>
  <c r="L225" i="3"/>
  <c r="K225" i="3"/>
  <c r="J225" i="3"/>
  <c r="M225" i="3"/>
  <c r="K100" i="3"/>
  <c r="M100" i="3"/>
  <c r="L100" i="3"/>
  <c r="J100" i="3"/>
  <c r="N167" i="3"/>
  <c r="P167" i="3"/>
  <c r="O167" i="3"/>
  <c r="Q167" i="3"/>
  <c r="Q111" i="3"/>
  <c r="P111" i="3"/>
  <c r="O111" i="3"/>
  <c r="N111" i="3"/>
  <c r="Q78" i="3"/>
  <c r="P78" i="3"/>
  <c r="N78" i="3"/>
  <c r="O78" i="3"/>
  <c r="I280" i="2" l="1"/>
  <c r="Q280" i="2" s="1"/>
  <c r="H280" i="2"/>
  <c r="J280" i="2" s="1"/>
  <c r="H279" i="2"/>
  <c r="K279" i="2" s="1"/>
  <c r="G278" i="2"/>
  <c r="F278" i="2"/>
  <c r="E278" i="2"/>
  <c r="D278" i="2"/>
  <c r="C278" i="2"/>
  <c r="H278" i="2" s="1"/>
  <c r="B278" i="2"/>
  <c r="A278" i="2"/>
  <c r="G277" i="2"/>
  <c r="F277" i="2"/>
  <c r="E277" i="2"/>
  <c r="D277" i="2"/>
  <c r="C277" i="2"/>
  <c r="I278" i="2" s="1"/>
  <c r="O278" i="2" s="1"/>
  <c r="B277" i="2"/>
  <c r="A277" i="2"/>
  <c r="G276" i="2"/>
  <c r="F276" i="2"/>
  <c r="E276" i="2"/>
  <c r="D276" i="2"/>
  <c r="C276" i="2"/>
  <c r="H276" i="2" s="1"/>
  <c r="B276" i="2"/>
  <c r="A276" i="2"/>
  <c r="G275" i="2"/>
  <c r="F275" i="2"/>
  <c r="E275" i="2"/>
  <c r="D275" i="2"/>
  <c r="C275" i="2"/>
  <c r="I276" i="2" s="1"/>
  <c r="B275" i="2"/>
  <c r="A275" i="2"/>
  <c r="G274" i="2"/>
  <c r="F274" i="2"/>
  <c r="E274" i="2"/>
  <c r="D274" i="2"/>
  <c r="C274" i="2"/>
  <c r="H274" i="2" s="1"/>
  <c r="M274" i="2" s="1"/>
  <c r="B274" i="2"/>
  <c r="A274" i="2"/>
  <c r="G273" i="2"/>
  <c r="F273" i="2"/>
  <c r="E273" i="2"/>
  <c r="D273" i="2"/>
  <c r="C273" i="2"/>
  <c r="I274" i="2" s="1"/>
  <c r="B273" i="2"/>
  <c r="A273" i="2"/>
  <c r="G272" i="2"/>
  <c r="F272" i="2"/>
  <c r="E272" i="2"/>
  <c r="D272" i="2"/>
  <c r="C272" i="2"/>
  <c r="H272" i="2" s="1"/>
  <c r="K272" i="2" s="1"/>
  <c r="B272" i="2"/>
  <c r="A272" i="2"/>
  <c r="G271" i="2"/>
  <c r="F271" i="2"/>
  <c r="E271" i="2"/>
  <c r="D271" i="2"/>
  <c r="C271" i="2"/>
  <c r="H271" i="2" s="1"/>
  <c r="B271" i="2"/>
  <c r="A271" i="2"/>
  <c r="G270" i="2"/>
  <c r="F270" i="2"/>
  <c r="E270" i="2"/>
  <c r="D270" i="2"/>
  <c r="C270" i="2"/>
  <c r="I271" i="2" s="1"/>
  <c r="B270" i="2"/>
  <c r="A270" i="2"/>
  <c r="G269" i="2"/>
  <c r="F269" i="2"/>
  <c r="E269" i="2"/>
  <c r="D269" i="2"/>
  <c r="C269" i="2"/>
  <c r="I270" i="2" s="1"/>
  <c r="O270" i="2" s="1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H267" i="2" s="1"/>
  <c r="M267" i="2" s="1"/>
  <c r="B267" i="2"/>
  <c r="A267" i="2"/>
  <c r="G266" i="2"/>
  <c r="F266" i="2"/>
  <c r="E266" i="2"/>
  <c r="D266" i="2"/>
  <c r="C266" i="2"/>
  <c r="H266" i="2" s="1"/>
  <c r="M266" i="2" s="1"/>
  <c r="B266" i="2"/>
  <c r="A266" i="2"/>
  <c r="G265" i="2"/>
  <c r="F265" i="2"/>
  <c r="E265" i="2"/>
  <c r="D265" i="2"/>
  <c r="C265" i="2"/>
  <c r="I266" i="2" s="1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H263" i="2" s="1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H259" i="2" s="1"/>
  <c r="J259" i="2" s="1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H256" i="2" s="1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H254" i="2" s="1"/>
  <c r="L254" i="2" s="1"/>
  <c r="B254" i="2"/>
  <c r="A254" i="2"/>
  <c r="G253" i="2"/>
  <c r="F253" i="2"/>
  <c r="E253" i="2"/>
  <c r="D253" i="2"/>
  <c r="C253" i="2"/>
  <c r="H253" i="2" s="1"/>
  <c r="B253" i="2"/>
  <c r="A253" i="2"/>
  <c r="G252" i="2"/>
  <c r="F252" i="2"/>
  <c r="E252" i="2"/>
  <c r="D252" i="2"/>
  <c r="C252" i="2"/>
  <c r="H252" i="2" s="1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H249" i="2" s="1"/>
  <c r="M249" i="2" s="1"/>
  <c r="B249" i="2"/>
  <c r="A249" i="2"/>
  <c r="G248" i="2"/>
  <c r="F248" i="2"/>
  <c r="E248" i="2"/>
  <c r="D248" i="2"/>
  <c r="C248" i="2"/>
  <c r="I249" i="2" s="1"/>
  <c r="B248" i="2"/>
  <c r="A248" i="2"/>
  <c r="G247" i="2"/>
  <c r="F247" i="2"/>
  <c r="E247" i="2"/>
  <c r="D247" i="2"/>
  <c r="C247" i="2"/>
  <c r="I248" i="2" s="1"/>
  <c r="B247" i="2"/>
  <c r="A247" i="2"/>
  <c r="G246" i="2"/>
  <c r="F246" i="2"/>
  <c r="E246" i="2"/>
  <c r="D246" i="2"/>
  <c r="C246" i="2"/>
  <c r="I247" i="2" s="1"/>
  <c r="P247" i="2" s="1"/>
  <c r="B246" i="2"/>
  <c r="A246" i="2"/>
  <c r="G245" i="2"/>
  <c r="F245" i="2"/>
  <c r="E245" i="2"/>
  <c r="D245" i="2"/>
  <c r="C245" i="2"/>
  <c r="I246" i="2" s="1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I244" i="2" s="1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I242" i="2" s="1"/>
  <c r="O242" i="2" s="1"/>
  <c r="B241" i="2"/>
  <c r="A241" i="2"/>
  <c r="G240" i="2"/>
  <c r="F240" i="2"/>
  <c r="E240" i="2"/>
  <c r="D240" i="2"/>
  <c r="C240" i="2"/>
  <c r="H240" i="2" s="1"/>
  <c r="B240" i="2"/>
  <c r="A240" i="2"/>
  <c r="G239" i="2"/>
  <c r="F239" i="2"/>
  <c r="E239" i="2"/>
  <c r="D239" i="2"/>
  <c r="C239" i="2"/>
  <c r="H239" i="2" s="1"/>
  <c r="M239" i="2" s="1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H237" i="2" s="1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H234" i="2" s="1"/>
  <c r="L234" i="2" s="1"/>
  <c r="B234" i="2"/>
  <c r="A234" i="2"/>
  <c r="G233" i="2"/>
  <c r="F233" i="2"/>
  <c r="E233" i="2"/>
  <c r="D233" i="2"/>
  <c r="C233" i="2"/>
  <c r="H233" i="2" s="1"/>
  <c r="B233" i="2"/>
  <c r="A233" i="2"/>
  <c r="G232" i="2"/>
  <c r="F232" i="2"/>
  <c r="E232" i="2"/>
  <c r="D232" i="2"/>
  <c r="C232" i="2"/>
  <c r="I233" i="2" s="1"/>
  <c r="Q233" i="2" s="1"/>
  <c r="B232" i="2"/>
  <c r="A232" i="2"/>
  <c r="G231" i="2"/>
  <c r="F231" i="2"/>
  <c r="E231" i="2"/>
  <c r="D231" i="2"/>
  <c r="C231" i="2"/>
  <c r="H231" i="2" s="1"/>
  <c r="K231" i="2" s="1"/>
  <c r="B231" i="2"/>
  <c r="A231" i="2"/>
  <c r="G230" i="2"/>
  <c r="F230" i="2"/>
  <c r="E230" i="2"/>
  <c r="D230" i="2"/>
  <c r="C230" i="2"/>
  <c r="H230" i="2" s="1"/>
  <c r="J230" i="2" s="1"/>
  <c r="B230" i="2"/>
  <c r="A230" i="2"/>
  <c r="G229" i="2"/>
  <c r="F229" i="2"/>
  <c r="E229" i="2"/>
  <c r="D229" i="2"/>
  <c r="C229" i="2"/>
  <c r="I230" i="2" s="1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I228" i="2" s="1"/>
  <c r="B227" i="2"/>
  <c r="A227" i="2"/>
  <c r="G226" i="2"/>
  <c r="F226" i="2"/>
  <c r="E226" i="2"/>
  <c r="D226" i="2"/>
  <c r="C226" i="2"/>
  <c r="H226" i="2" s="1"/>
  <c r="B226" i="2"/>
  <c r="A226" i="2"/>
  <c r="G225" i="2"/>
  <c r="F225" i="2"/>
  <c r="E225" i="2"/>
  <c r="D225" i="2"/>
  <c r="C225" i="2"/>
  <c r="H225" i="2" s="1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I224" i="2" s="1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H220" i="2" s="1"/>
  <c r="B220" i="2"/>
  <c r="A220" i="2"/>
  <c r="G219" i="2"/>
  <c r="F219" i="2"/>
  <c r="E219" i="2"/>
  <c r="D219" i="2"/>
  <c r="C219" i="2"/>
  <c r="H219" i="2" s="1"/>
  <c r="M219" i="2" s="1"/>
  <c r="B219" i="2"/>
  <c r="A219" i="2"/>
  <c r="G218" i="2"/>
  <c r="F218" i="2"/>
  <c r="E218" i="2"/>
  <c r="D218" i="2"/>
  <c r="C218" i="2"/>
  <c r="I219" i="2" s="1"/>
  <c r="Q219" i="2" s="1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H216" i="2" s="1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I215" i="2" s="1"/>
  <c r="B214" i="2"/>
  <c r="A214" i="2"/>
  <c r="G213" i="2"/>
  <c r="F213" i="2"/>
  <c r="E213" i="2"/>
  <c r="D213" i="2"/>
  <c r="C213" i="2"/>
  <c r="H213" i="2" s="1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I212" i="2" s="1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I210" i="2" s="1"/>
  <c r="B209" i="2"/>
  <c r="A209" i="2"/>
  <c r="G208" i="2"/>
  <c r="F208" i="2"/>
  <c r="E208" i="2"/>
  <c r="D208" i="2"/>
  <c r="C208" i="2"/>
  <c r="H208" i="2" s="1"/>
  <c r="B208" i="2"/>
  <c r="A208" i="2"/>
  <c r="G207" i="2"/>
  <c r="F207" i="2"/>
  <c r="E207" i="2"/>
  <c r="D207" i="2"/>
  <c r="C207" i="2"/>
  <c r="I208" i="2" s="1"/>
  <c r="B207" i="2"/>
  <c r="A207" i="2"/>
  <c r="G206" i="2"/>
  <c r="F206" i="2"/>
  <c r="E206" i="2"/>
  <c r="D206" i="2"/>
  <c r="C206" i="2"/>
  <c r="I207" i="2" s="1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I205" i="2" s="1"/>
  <c r="B204" i="2"/>
  <c r="A204" i="2"/>
  <c r="G203" i="2"/>
  <c r="F203" i="2"/>
  <c r="E203" i="2"/>
  <c r="D203" i="2"/>
  <c r="C203" i="2"/>
  <c r="I204" i="2" s="1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I202" i="2" s="1"/>
  <c r="N202" i="2" s="1"/>
  <c r="B201" i="2"/>
  <c r="A201" i="2"/>
  <c r="G200" i="2"/>
  <c r="F200" i="2"/>
  <c r="E200" i="2"/>
  <c r="D200" i="2"/>
  <c r="C200" i="2"/>
  <c r="H200" i="2" s="1"/>
  <c r="L200" i="2" s="1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I199" i="2" s="1"/>
  <c r="N199" i="2" s="1"/>
  <c r="B198" i="2"/>
  <c r="A198" i="2"/>
  <c r="G197" i="2"/>
  <c r="F197" i="2"/>
  <c r="E197" i="2"/>
  <c r="D197" i="2"/>
  <c r="C197" i="2"/>
  <c r="H197" i="2" s="1"/>
  <c r="B197" i="2"/>
  <c r="A197" i="2"/>
  <c r="G196" i="2"/>
  <c r="F196" i="2"/>
  <c r="E196" i="2"/>
  <c r="D196" i="2"/>
  <c r="C196" i="2"/>
  <c r="H196" i="2" s="1"/>
  <c r="B196" i="2"/>
  <c r="A196" i="2"/>
  <c r="G195" i="2"/>
  <c r="F195" i="2"/>
  <c r="E195" i="2"/>
  <c r="D195" i="2"/>
  <c r="C195" i="2"/>
  <c r="I196" i="2" s="1"/>
  <c r="B195" i="2"/>
  <c r="A195" i="2"/>
  <c r="G194" i="2"/>
  <c r="F194" i="2"/>
  <c r="E194" i="2"/>
  <c r="D194" i="2"/>
  <c r="C194" i="2"/>
  <c r="H194" i="2" s="1"/>
  <c r="J194" i="2" s="1"/>
  <c r="B194" i="2"/>
  <c r="A194" i="2"/>
  <c r="G193" i="2"/>
  <c r="F193" i="2"/>
  <c r="E193" i="2"/>
  <c r="D193" i="2"/>
  <c r="C193" i="2"/>
  <c r="H193" i="2" s="1"/>
  <c r="B193" i="2"/>
  <c r="A193" i="2"/>
  <c r="G192" i="2"/>
  <c r="F192" i="2"/>
  <c r="E192" i="2"/>
  <c r="D192" i="2"/>
  <c r="C192" i="2"/>
  <c r="I193" i="2" s="1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I190" i="2" s="1"/>
  <c r="B189" i="2"/>
  <c r="A189" i="2"/>
  <c r="G188" i="2"/>
  <c r="F188" i="2"/>
  <c r="E188" i="2"/>
  <c r="D188" i="2"/>
  <c r="C188" i="2"/>
  <c r="H188" i="2" s="1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I183" i="2" s="1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I180" i="2" s="1"/>
  <c r="B179" i="2"/>
  <c r="A179" i="2"/>
  <c r="G178" i="2"/>
  <c r="F178" i="2"/>
  <c r="E178" i="2"/>
  <c r="D178" i="2"/>
  <c r="C178" i="2"/>
  <c r="H178" i="2" s="1"/>
  <c r="B178" i="2"/>
  <c r="A178" i="2"/>
  <c r="G177" i="2"/>
  <c r="F177" i="2"/>
  <c r="E177" i="2"/>
  <c r="D177" i="2"/>
  <c r="C177" i="2"/>
  <c r="H177" i="2" s="1"/>
  <c r="B177" i="2"/>
  <c r="A177" i="2"/>
  <c r="G176" i="2"/>
  <c r="F176" i="2"/>
  <c r="E176" i="2"/>
  <c r="D176" i="2"/>
  <c r="C176" i="2"/>
  <c r="H176" i="2" s="1"/>
  <c r="B176" i="2"/>
  <c r="A176" i="2"/>
  <c r="G175" i="2"/>
  <c r="F175" i="2"/>
  <c r="E175" i="2"/>
  <c r="D175" i="2"/>
  <c r="C175" i="2"/>
  <c r="I176" i="2" s="1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I174" i="2" s="1"/>
  <c r="B173" i="2"/>
  <c r="A173" i="2"/>
  <c r="G172" i="2"/>
  <c r="F172" i="2"/>
  <c r="E172" i="2"/>
  <c r="D172" i="2"/>
  <c r="C172" i="2"/>
  <c r="I173" i="2" s="1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I169" i="2" s="1"/>
  <c r="B168" i="2"/>
  <c r="A168" i="2"/>
  <c r="G167" i="2"/>
  <c r="F167" i="2"/>
  <c r="E167" i="2"/>
  <c r="D167" i="2"/>
  <c r="C167" i="2"/>
  <c r="I168" i="2" s="1"/>
  <c r="N168" i="2" s="1"/>
  <c r="B167" i="2"/>
  <c r="A167" i="2"/>
  <c r="G166" i="2"/>
  <c r="F166" i="2"/>
  <c r="E166" i="2"/>
  <c r="D166" i="2"/>
  <c r="C166" i="2"/>
  <c r="I167" i="2" s="1"/>
  <c r="B166" i="2"/>
  <c r="A166" i="2"/>
  <c r="G165" i="2"/>
  <c r="F165" i="2"/>
  <c r="E165" i="2"/>
  <c r="D165" i="2"/>
  <c r="C165" i="2"/>
  <c r="I166" i="2" s="1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H163" i="2" s="1"/>
  <c r="M163" i="2" s="1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H161" i="2" s="1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H159" i="2" s="1"/>
  <c r="M159" i="2" s="1"/>
  <c r="B159" i="2"/>
  <c r="A159" i="2"/>
  <c r="G158" i="2"/>
  <c r="F158" i="2"/>
  <c r="E158" i="2"/>
  <c r="D158" i="2"/>
  <c r="C158" i="2"/>
  <c r="H158" i="2" s="1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H156" i="2" s="1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H153" i="2" s="1"/>
  <c r="B153" i="2"/>
  <c r="A153" i="2"/>
  <c r="G152" i="2"/>
  <c r="F152" i="2"/>
  <c r="E152" i="2"/>
  <c r="D152" i="2"/>
  <c r="C152" i="2"/>
  <c r="I153" i="2" s="1"/>
  <c r="Q153" i="2" s="1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H150" i="2" s="1"/>
  <c r="M150" i="2" s="1"/>
  <c r="B150" i="2"/>
  <c r="A150" i="2"/>
  <c r="G149" i="2"/>
  <c r="F149" i="2"/>
  <c r="E149" i="2"/>
  <c r="D149" i="2"/>
  <c r="C149" i="2"/>
  <c r="I150" i="2" s="1"/>
  <c r="B149" i="2"/>
  <c r="A149" i="2"/>
  <c r="G148" i="2"/>
  <c r="F148" i="2"/>
  <c r="E148" i="2"/>
  <c r="D148" i="2"/>
  <c r="C148" i="2"/>
  <c r="H148" i="2" s="1"/>
  <c r="B148" i="2"/>
  <c r="A148" i="2"/>
  <c r="G147" i="2"/>
  <c r="F147" i="2"/>
  <c r="E147" i="2"/>
  <c r="D147" i="2"/>
  <c r="C147" i="2"/>
  <c r="I148" i="2" s="1"/>
  <c r="B147" i="2"/>
  <c r="A147" i="2"/>
  <c r="G146" i="2"/>
  <c r="F146" i="2"/>
  <c r="E146" i="2"/>
  <c r="D146" i="2"/>
  <c r="C146" i="2"/>
  <c r="H146" i="2" s="1"/>
  <c r="L146" i="2" s="1"/>
  <c r="B146" i="2"/>
  <c r="A146" i="2"/>
  <c r="G145" i="2"/>
  <c r="F145" i="2"/>
  <c r="E145" i="2"/>
  <c r="D145" i="2"/>
  <c r="C145" i="2"/>
  <c r="H145" i="2" s="1"/>
  <c r="M145" i="2" s="1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I144" i="2" s="1"/>
  <c r="N144" i="2" s="1"/>
  <c r="B143" i="2"/>
  <c r="A143" i="2"/>
  <c r="G142" i="2"/>
  <c r="F142" i="2"/>
  <c r="E142" i="2"/>
  <c r="D142" i="2"/>
  <c r="C142" i="2"/>
  <c r="I143" i="2" s="1"/>
  <c r="B142" i="2"/>
  <c r="A142" i="2"/>
  <c r="G141" i="2"/>
  <c r="F141" i="2"/>
  <c r="E141" i="2"/>
  <c r="D141" i="2"/>
  <c r="C141" i="2"/>
  <c r="I142" i="2" s="1"/>
  <c r="B141" i="2"/>
  <c r="A141" i="2"/>
  <c r="G140" i="2"/>
  <c r="F140" i="2"/>
  <c r="E140" i="2"/>
  <c r="D140" i="2"/>
  <c r="C140" i="2"/>
  <c r="I141" i="2" s="1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H137" i="2" s="1"/>
  <c r="B137" i="2"/>
  <c r="A137" i="2"/>
  <c r="G136" i="2"/>
  <c r="F136" i="2"/>
  <c r="E136" i="2"/>
  <c r="D136" i="2"/>
  <c r="C136" i="2"/>
  <c r="H136" i="2" s="1"/>
  <c r="B136" i="2"/>
  <c r="A136" i="2"/>
  <c r="G135" i="2"/>
  <c r="F135" i="2"/>
  <c r="E135" i="2"/>
  <c r="D135" i="2"/>
  <c r="C135" i="2"/>
  <c r="I136" i="2" s="1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I133" i="2" s="1"/>
  <c r="O133" i="2" s="1"/>
  <c r="B132" i="2"/>
  <c r="A132" i="2"/>
  <c r="G131" i="2"/>
  <c r="F131" i="2"/>
  <c r="E131" i="2"/>
  <c r="D131" i="2"/>
  <c r="C131" i="2"/>
  <c r="I132" i="2" s="1"/>
  <c r="B131" i="2"/>
  <c r="A131" i="2"/>
  <c r="G130" i="2"/>
  <c r="F130" i="2"/>
  <c r="E130" i="2"/>
  <c r="D130" i="2"/>
  <c r="C130" i="2"/>
  <c r="I131" i="2" s="1"/>
  <c r="B130" i="2"/>
  <c r="A130" i="2"/>
  <c r="G129" i="2"/>
  <c r="F129" i="2"/>
  <c r="E129" i="2"/>
  <c r="D129" i="2"/>
  <c r="C129" i="2"/>
  <c r="H129" i="2" s="1"/>
  <c r="B129" i="2"/>
  <c r="A129" i="2"/>
  <c r="G128" i="2"/>
  <c r="F128" i="2"/>
  <c r="E128" i="2"/>
  <c r="D128" i="2"/>
  <c r="C128" i="2"/>
  <c r="I129" i="2" s="1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I126" i="2" s="1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I124" i="2" s="1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I120" i="2" s="1"/>
  <c r="B119" i="2"/>
  <c r="A119" i="2"/>
  <c r="G118" i="2"/>
  <c r="F118" i="2"/>
  <c r="E118" i="2"/>
  <c r="D118" i="2"/>
  <c r="C118" i="2"/>
  <c r="I119" i="2" s="1"/>
  <c r="B118" i="2"/>
  <c r="A118" i="2"/>
  <c r="G117" i="2"/>
  <c r="F117" i="2"/>
  <c r="E117" i="2"/>
  <c r="D117" i="2"/>
  <c r="C117" i="2"/>
  <c r="I118" i="2" s="1"/>
  <c r="B117" i="2"/>
  <c r="A117" i="2"/>
  <c r="G116" i="2"/>
  <c r="F116" i="2"/>
  <c r="E116" i="2"/>
  <c r="D116" i="2"/>
  <c r="C116" i="2"/>
  <c r="H116" i="2" s="1"/>
  <c r="J116" i="2" s="1"/>
  <c r="B116" i="2"/>
  <c r="A116" i="2"/>
  <c r="G115" i="2"/>
  <c r="F115" i="2"/>
  <c r="E115" i="2"/>
  <c r="D115" i="2"/>
  <c r="C115" i="2"/>
  <c r="I116" i="2" s="1"/>
  <c r="B115" i="2"/>
  <c r="A115" i="2"/>
  <c r="G114" i="2"/>
  <c r="F114" i="2"/>
  <c r="E114" i="2"/>
  <c r="D114" i="2"/>
  <c r="C114" i="2"/>
  <c r="I115" i="2" s="1"/>
  <c r="B114" i="2"/>
  <c r="A114" i="2"/>
  <c r="G113" i="2"/>
  <c r="F113" i="2"/>
  <c r="E113" i="2"/>
  <c r="D113" i="2"/>
  <c r="C113" i="2"/>
  <c r="H113" i="2" s="1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I110" i="2" s="1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I108" i="2" s="1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H105" i="2" s="1"/>
  <c r="K105" i="2" s="1"/>
  <c r="B105" i="2"/>
  <c r="A105" i="2"/>
  <c r="G104" i="2"/>
  <c r="F104" i="2"/>
  <c r="E104" i="2"/>
  <c r="D104" i="2"/>
  <c r="C104" i="2"/>
  <c r="H104" i="2" s="1"/>
  <c r="J104" i="2" s="1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I103" i="2" s="1"/>
  <c r="B102" i="2"/>
  <c r="A102" i="2"/>
  <c r="G101" i="2"/>
  <c r="F101" i="2"/>
  <c r="E101" i="2"/>
  <c r="D101" i="2"/>
  <c r="C101" i="2"/>
  <c r="I102" i="2" s="1"/>
  <c r="B101" i="2"/>
  <c r="A101" i="2"/>
  <c r="G100" i="2"/>
  <c r="F100" i="2"/>
  <c r="E100" i="2"/>
  <c r="D100" i="2"/>
  <c r="C100" i="2"/>
  <c r="H100" i="2" s="1"/>
  <c r="B100" i="2"/>
  <c r="A100" i="2"/>
  <c r="G99" i="2"/>
  <c r="F99" i="2"/>
  <c r="E99" i="2"/>
  <c r="D99" i="2"/>
  <c r="C99" i="2"/>
  <c r="I100" i="2" s="1"/>
  <c r="Q100" i="2" s="1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H97" i="2" s="1"/>
  <c r="L97" i="2" s="1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I96" i="2" s="1"/>
  <c r="B95" i="2"/>
  <c r="A95" i="2"/>
  <c r="G94" i="2"/>
  <c r="F94" i="2"/>
  <c r="E94" i="2"/>
  <c r="D94" i="2"/>
  <c r="C94" i="2"/>
  <c r="I95" i="2" s="1"/>
  <c r="Q95" i="2" s="1"/>
  <c r="B94" i="2"/>
  <c r="A94" i="2"/>
  <c r="G93" i="2"/>
  <c r="F93" i="2"/>
  <c r="E93" i="2"/>
  <c r="D93" i="2"/>
  <c r="C93" i="2"/>
  <c r="H93" i="2" s="1"/>
  <c r="J93" i="2" s="1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H90" i="2" s="1"/>
  <c r="J90" i="2" s="1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I89" i="2" s="1"/>
  <c r="O89" i="2" s="1"/>
  <c r="B88" i="2"/>
  <c r="A88" i="2"/>
  <c r="G87" i="2"/>
  <c r="F87" i="2"/>
  <c r="E87" i="2"/>
  <c r="D87" i="2"/>
  <c r="C87" i="2"/>
  <c r="I88" i="2" s="1"/>
  <c r="Q88" i="2" s="1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I86" i="2" s="1"/>
  <c r="O86" i="2" s="1"/>
  <c r="B85" i="2"/>
  <c r="A85" i="2"/>
  <c r="G84" i="2"/>
  <c r="F84" i="2"/>
  <c r="E84" i="2"/>
  <c r="D84" i="2"/>
  <c r="C84" i="2"/>
  <c r="H84" i="2" s="1"/>
  <c r="J84" i="2" s="1"/>
  <c r="B84" i="2"/>
  <c r="A84" i="2"/>
  <c r="G83" i="2"/>
  <c r="F83" i="2"/>
  <c r="E83" i="2"/>
  <c r="D83" i="2"/>
  <c r="C83" i="2"/>
  <c r="H83" i="2" s="1"/>
  <c r="J83" i="2" s="1"/>
  <c r="B83" i="2"/>
  <c r="A83" i="2"/>
  <c r="G82" i="2"/>
  <c r="F82" i="2"/>
  <c r="E82" i="2"/>
  <c r="D82" i="2"/>
  <c r="C82" i="2"/>
  <c r="H82" i="2" s="1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H80" i="2" s="1"/>
  <c r="M80" i="2" s="1"/>
  <c r="B80" i="2"/>
  <c r="A80" i="2"/>
  <c r="G79" i="2"/>
  <c r="F79" i="2"/>
  <c r="E79" i="2"/>
  <c r="D79" i="2"/>
  <c r="C79" i="2"/>
  <c r="I80" i="2" s="1"/>
  <c r="B79" i="2"/>
  <c r="A79" i="2"/>
  <c r="G78" i="2"/>
  <c r="F78" i="2"/>
  <c r="E78" i="2"/>
  <c r="D78" i="2"/>
  <c r="C78" i="2"/>
  <c r="H78" i="2" s="1"/>
  <c r="B78" i="2"/>
  <c r="A78" i="2"/>
  <c r="G77" i="2"/>
  <c r="F77" i="2"/>
  <c r="E77" i="2"/>
  <c r="D77" i="2"/>
  <c r="C77" i="2"/>
  <c r="H77" i="2" s="1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H75" i="2" s="1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H72" i="2" s="1"/>
  <c r="M72" i="2" s="1"/>
  <c r="B72" i="2"/>
  <c r="A72" i="2"/>
  <c r="G71" i="2"/>
  <c r="F71" i="2"/>
  <c r="E71" i="2"/>
  <c r="D71" i="2"/>
  <c r="C71" i="2"/>
  <c r="H71" i="2" s="1"/>
  <c r="B71" i="2"/>
  <c r="A71" i="2"/>
  <c r="G70" i="2"/>
  <c r="F70" i="2"/>
  <c r="E70" i="2"/>
  <c r="D70" i="2"/>
  <c r="C70" i="2"/>
  <c r="I71" i="2" s="1"/>
  <c r="Q71" i="2" s="1"/>
  <c r="B70" i="2"/>
  <c r="A70" i="2"/>
  <c r="G69" i="2"/>
  <c r="F69" i="2"/>
  <c r="E69" i="2"/>
  <c r="D69" i="2"/>
  <c r="C69" i="2"/>
  <c r="H69" i="2" s="1"/>
  <c r="M69" i="2" s="1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I67" i="2" s="1"/>
  <c r="B66" i="2"/>
  <c r="A66" i="2"/>
  <c r="G65" i="2"/>
  <c r="F65" i="2"/>
  <c r="E65" i="2"/>
  <c r="D65" i="2"/>
  <c r="C65" i="2"/>
  <c r="H65" i="2" s="1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I64" i="2" s="1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H61" i="2" s="1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I60" i="2" s="1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H57" i="2" s="1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H55" i="2" s="1"/>
  <c r="B55" i="2"/>
  <c r="A55" i="2"/>
  <c r="G54" i="2"/>
  <c r="F54" i="2"/>
  <c r="E54" i="2"/>
  <c r="D54" i="2"/>
  <c r="C54" i="2"/>
  <c r="H54" i="2" s="1"/>
  <c r="B54" i="2"/>
  <c r="A54" i="2"/>
  <c r="G53" i="2"/>
  <c r="F53" i="2"/>
  <c r="E53" i="2"/>
  <c r="D53" i="2"/>
  <c r="C53" i="2"/>
  <c r="H53" i="2" s="1"/>
  <c r="B53" i="2"/>
  <c r="A53" i="2"/>
  <c r="G52" i="2"/>
  <c r="F52" i="2"/>
  <c r="E52" i="2"/>
  <c r="D52" i="2"/>
  <c r="C52" i="2"/>
  <c r="H52" i="2" s="1"/>
  <c r="B52" i="2"/>
  <c r="A52" i="2"/>
  <c r="G51" i="2"/>
  <c r="F51" i="2"/>
  <c r="E51" i="2"/>
  <c r="D51" i="2"/>
  <c r="C51" i="2"/>
  <c r="I52" i="2" s="1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I49" i="2" s="1"/>
  <c r="N49" i="2" s="1"/>
  <c r="B48" i="2"/>
  <c r="A48" i="2"/>
  <c r="G47" i="2"/>
  <c r="F47" i="2"/>
  <c r="E47" i="2"/>
  <c r="D47" i="2"/>
  <c r="C47" i="2"/>
  <c r="H47" i="2" s="1"/>
  <c r="K47" i="2" s="1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I44" i="2" s="1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H41" i="2" s="1"/>
  <c r="B41" i="2"/>
  <c r="A41" i="2"/>
  <c r="G40" i="2"/>
  <c r="F40" i="2"/>
  <c r="E40" i="2"/>
  <c r="D40" i="2"/>
  <c r="C40" i="2"/>
  <c r="H40" i="2" s="1"/>
  <c r="B40" i="2"/>
  <c r="A40" i="2"/>
  <c r="G39" i="2"/>
  <c r="F39" i="2"/>
  <c r="E39" i="2"/>
  <c r="D39" i="2"/>
  <c r="C39" i="2"/>
  <c r="H39" i="2" s="1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H37" i="2" s="1"/>
  <c r="B37" i="2"/>
  <c r="A37" i="2"/>
  <c r="G36" i="2"/>
  <c r="F36" i="2"/>
  <c r="E36" i="2"/>
  <c r="D36" i="2"/>
  <c r="C36" i="2"/>
  <c r="H36" i="2" s="1"/>
  <c r="B36" i="2"/>
  <c r="A36" i="2"/>
  <c r="G35" i="2"/>
  <c r="F35" i="2"/>
  <c r="E35" i="2"/>
  <c r="D35" i="2"/>
  <c r="C35" i="2"/>
  <c r="I36" i="2" s="1"/>
  <c r="B35" i="2"/>
  <c r="A35" i="2"/>
  <c r="G34" i="2"/>
  <c r="F34" i="2"/>
  <c r="E34" i="2"/>
  <c r="D34" i="2"/>
  <c r="C34" i="2"/>
  <c r="H34" i="2" s="1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I29" i="2" s="1"/>
  <c r="B28" i="2"/>
  <c r="A28" i="2"/>
  <c r="G27" i="2"/>
  <c r="F27" i="2"/>
  <c r="E27" i="2"/>
  <c r="D27" i="2"/>
  <c r="C27" i="2"/>
  <c r="H27" i="2" s="1"/>
  <c r="B27" i="2"/>
  <c r="A27" i="2"/>
  <c r="G26" i="2"/>
  <c r="F26" i="2"/>
  <c r="E26" i="2"/>
  <c r="D26" i="2"/>
  <c r="C26" i="2"/>
  <c r="I27" i="2" s="1"/>
  <c r="P27" i="2" s="1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H23" i="2" s="1"/>
  <c r="B23" i="2"/>
  <c r="A23" i="2"/>
  <c r="G22" i="2"/>
  <c r="F22" i="2"/>
  <c r="E22" i="2"/>
  <c r="D22" i="2"/>
  <c r="C22" i="2"/>
  <c r="H22" i="2" s="1"/>
  <c r="J22" i="2" s="1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I21" i="2" s="1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H18" i="2" s="1"/>
  <c r="L18" i="2" s="1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I14" i="2" s="1"/>
  <c r="B13" i="2"/>
  <c r="A13" i="2"/>
  <c r="G12" i="2"/>
  <c r="F12" i="2"/>
  <c r="E12" i="2"/>
  <c r="D12" i="2"/>
  <c r="C12" i="2"/>
  <c r="H12" i="2" s="1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H10" i="2" s="1"/>
  <c r="M10" i="2" s="1"/>
  <c r="B10" i="2"/>
  <c r="A10" i="2"/>
  <c r="G9" i="2"/>
  <c r="F9" i="2"/>
  <c r="E9" i="2"/>
  <c r="D9" i="2"/>
  <c r="C9" i="2"/>
  <c r="H9" i="2" s="1"/>
  <c r="B9" i="2"/>
  <c r="A9" i="2"/>
  <c r="G8" i="2"/>
  <c r="F8" i="2"/>
  <c r="E8" i="2"/>
  <c r="D8" i="2"/>
  <c r="C8" i="2"/>
  <c r="I9" i="2" s="1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I7" i="2" s="1"/>
  <c r="B6" i="2"/>
  <c r="A6" i="2"/>
  <c r="G5" i="2"/>
  <c r="F5" i="2"/>
  <c r="E5" i="2"/>
  <c r="D5" i="2"/>
  <c r="C5" i="2"/>
  <c r="H5" i="2" s="1"/>
  <c r="B5" i="2"/>
  <c r="A5" i="2"/>
  <c r="G4" i="2"/>
  <c r="F4" i="2"/>
  <c r="E4" i="2"/>
  <c r="D4" i="2"/>
  <c r="C4" i="2"/>
  <c r="H4" i="2" s="1"/>
  <c r="B4" i="2"/>
  <c r="A4" i="2"/>
  <c r="G3" i="2"/>
  <c r="F3" i="2"/>
  <c r="E3" i="2"/>
  <c r="D3" i="2"/>
  <c r="C3" i="2"/>
  <c r="H3" i="2" s="1"/>
  <c r="K3" i="2" s="1"/>
  <c r="B3" i="2"/>
  <c r="A3" i="2"/>
  <c r="Q2" i="2"/>
  <c r="Y2" i="2" s="1"/>
  <c r="P2" i="2"/>
  <c r="X2" i="2" s="1"/>
  <c r="O2" i="2"/>
  <c r="W2" i="2" s="1"/>
  <c r="N2" i="2"/>
  <c r="V2" i="2" s="1"/>
  <c r="G2" i="2"/>
  <c r="F2" i="2"/>
  <c r="E2" i="2"/>
  <c r="D2" i="2"/>
  <c r="C2" i="2"/>
  <c r="I3" i="2" s="1"/>
  <c r="B2" i="2"/>
  <c r="AB2" i="2" s="1"/>
  <c r="A2" i="2"/>
  <c r="K52" i="2" l="1"/>
  <c r="J158" i="2"/>
  <c r="I227" i="2"/>
  <c r="O131" i="2"/>
  <c r="Q169" i="2"/>
  <c r="H269" i="2"/>
  <c r="I260" i="2"/>
  <c r="N260" i="2" s="1"/>
  <c r="I101" i="2"/>
  <c r="O101" i="2" s="1"/>
  <c r="I35" i="2"/>
  <c r="P35" i="2" s="1"/>
  <c r="I83" i="2"/>
  <c r="Q83" i="2" s="1"/>
  <c r="N196" i="2"/>
  <c r="O204" i="2"/>
  <c r="H206" i="2"/>
  <c r="M206" i="2" s="1"/>
  <c r="H63" i="2"/>
  <c r="K63" i="2" s="1"/>
  <c r="H51" i="2"/>
  <c r="L51" i="2" s="1"/>
  <c r="H218" i="2"/>
  <c r="L218" i="2" s="1"/>
  <c r="M82" i="2"/>
  <c r="H141" i="2"/>
  <c r="M141" i="2" s="1"/>
  <c r="L145" i="2"/>
  <c r="H149" i="2"/>
  <c r="M149" i="2" s="1"/>
  <c r="I11" i="2"/>
  <c r="O11" i="2" s="1"/>
  <c r="M177" i="2"/>
  <c r="I157" i="2"/>
  <c r="N157" i="2" s="1"/>
  <c r="H130" i="2"/>
  <c r="J130" i="2" s="1"/>
  <c r="H195" i="2"/>
  <c r="M195" i="2" s="1"/>
  <c r="M276" i="2"/>
  <c r="H101" i="2"/>
  <c r="M101" i="2" s="1"/>
  <c r="Q183" i="2"/>
  <c r="H203" i="2"/>
  <c r="J203" i="2" s="1"/>
  <c r="Q230" i="2"/>
  <c r="H246" i="2"/>
  <c r="L246" i="2" s="1"/>
  <c r="H20" i="2"/>
  <c r="J20" i="2" s="1"/>
  <c r="M105" i="2"/>
  <c r="H107" i="2"/>
  <c r="K107" i="2" s="1"/>
  <c r="H227" i="2"/>
  <c r="L227" i="2" s="1"/>
  <c r="H109" i="2"/>
  <c r="K109" i="2" s="1"/>
  <c r="P148" i="2"/>
  <c r="H168" i="2"/>
  <c r="M168" i="2" s="1"/>
  <c r="P215" i="2"/>
  <c r="I78" i="2"/>
  <c r="Q78" i="2" s="1"/>
  <c r="H115" i="2"/>
  <c r="J115" i="2" s="1"/>
  <c r="J153" i="2"/>
  <c r="I194" i="2"/>
  <c r="Q194" i="2" s="1"/>
  <c r="H229" i="2"/>
  <c r="L229" i="2" s="1"/>
  <c r="M57" i="2"/>
  <c r="I241" i="2"/>
  <c r="P241" i="2" s="1"/>
  <c r="L84" i="2"/>
  <c r="L116" i="2"/>
  <c r="J178" i="2"/>
  <c r="M216" i="2"/>
  <c r="M256" i="2"/>
  <c r="AB3" i="2"/>
  <c r="AB4" i="2" s="1"/>
  <c r="AB5" i="2" s="1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B39" i="2" s="1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52" i="2" s="1"/>
  <c r="AB53" i="2" s="1"/>
  <c r="AB54" i="2" s="1"/>
  <c r="AB55" i="2" s="1"/>
  <c r="AB56" i="2" s="1"/>
  <c r="AB57" i="2" s="1"/>
  <c r="AB58" i="2" s="1"/>
  <c r="AB59" i="2" s="1"/>
  <c r="AB60" i="2" s="1"/>
  <c r="AB61" i="2" s="1"/>
  <c r="AB62" i="2" s="1"/>
  <c r="AB63" i="2" s="1"/>
  <c r="AB64" i="2" s="1"/>
  <c r="AB65" i="2" s="1"/>
  <c r="AB66" i="2" s="1"/>
  <c r="AB67" i="2" s="1"/>
  <c r="AB68" i="2" s="1"/>
  <c r="AB69" i="2" s="1"/>
  <c r="AB70" i="2" s="1"/>
  <c r="AB71" i="2" s="1"/>
  <c r="AB72" i="2" s="1"/>
  <c r="AB73" i="2" s="1"/>
  <c r="AB74" i="2" s="1"/>
  <c r="AB75" i="2" s="1"/>
  <c r="AB76" i="2" s="1"/>
  <c r="AB77" i="2" s="1"/>
  <c r="AB78" i="2" s="1"/>
  <c r="AB79" i="2" s="1"/>
  <c r="AB80" i="2" s="1"/>
  <c r="AB81" i="2" s="1"/>
  <c r="AB82" i="2" s="1"/>
  <c r="AB83" i="2" s="1"/>
  <c r="AB84" i="2" s="1"/>
  <c r="AB85" i="2" s="1"/>
  <c r="AB86" i="2" s="1"/>
  <c r="AB87" i="2" s="1"/>
  <c r="AB88" i="2" s="1"/>
  <c r="AB89" i="2" s="1"/>
  <c r="AB90" i="2" s="1"/>
  <c r="AB91" i="2" s="1"/>
  <c r="AB92" i="2" s="1"/>
  <c r="AB93" i="2" s="1"/>
  <c r="AB94" i="2" s="1"/>
  <c r="AB95" i="2" s="1"/>
  <c r="AB96" i="2" s="1"/>
  <c r="AB97" i="2" s="1"/>
  <c r="AB98" i="2" s="1"/>
  <c r="AB99" i="2" s="1"/>
  <c r="AB100" i="2" s="1"/>
  <c r="AB101" i="2" s="1"/>
  <c r="AB102" i="2" s="1"/>
  <c r="AB103" i="2" s="1"/>
  <c r="AB104" i="2" s="1"/>
  <c r="AB105" i="2" s="1"/>
  <c r="AB106" i="2" s="1"/>
  <c r="AB107" i="2" s="1"/>
  <c r="AB108" i="2" s="1"/>
  <c r="AB109" i="2" s="1"/>
  <c r="AB110" i="2" s="1"/>
  <c r="AB111" i="2" s="1"/>
  <c r="AB112" i="2" s="1"/>
  <c r="AB113" i="2" s="1"/>
  <c r="AB114" i="2" s="1"/>
  <c r="AB115" i="2" s="1"/>
  <c r="AB116" i="2" s="1"/>
  <c r="AB117" i="2" s="1"/>
  <c r="AB118" i="2" s="1"/>
  <c r="AB119" i="2" s="1"/>
  <c r="AB120" i="2" s="1"/>
  <c r="AB121" i="2" s="1"/>
  <c r="AB122" i="2" s="1"/>
  <c r="AB123" i="2" s="1"/>
  <c r="AB124" i="2" s="1"/>
  <c r="AB125" i="2" s="1"/>
  <c r="AB126" i="2" s="1"/>
  <c r="AB127" i="2" s="1"/>
  <c r="AB128" i="2" s="1"/>
  <c r="AB129" i="2" s="1"/>
  <c r="AB130" i="2" s="1"/>
  <c r="AB131" i="2" s="1"/>
  <c r="AB132" i="2" s="1"/>
  <c r="AB133" i="2" s="1"/>
  <c r="AB134" i="2" s="1"/>
  <c r="AB135" i="2" s="1"/>
  <c r="AB136" i="2" s="1"/>
  <c r="AB137" i="2" s="1"/>
  <c r="AB138" i="2" s="1"/>
  <c r="AB139" i="2" s="1"/>
  <c r="AB140" i="2" s="1"/>
  <c r="AB141" i="2" s="1"/>
  <c r="AB142" i="2" s="1"/>
  <c r="AB143" i="2" s="1"/>
  <c r="AB144" i="2" s="1"/>
  <c r="AB145" i="2" s="1"/>
  <c r="AB146" i="2" s="1"/>
  <c r="AB147" i="2" s="1"/>
  <c r="AB148" i="2" s="1"/>
  <c r="AB149" i="2" s="1"/>
  <c r="AB150" i="2" s="1"/>
  <c r="AB151" i="2" s="1"/>
  <c r="AB152" i="2" s="1"/>
  <c r="AB153" i="2" s="1"/>
  <c r="AB154" i="2" s="1"/>
  <c r="AB155" i="2" s="1"/>
  <c r="AB156" i="2" s="1"/>
  <c r="AB157" i="2" s="1"/>
  <c r="AB158" i="2" s="1"/>
  <c r="AB159" i="2" s="1"/>
  <c r="AB160" i="2" s="1"/>
  <c r="AB161" i="2" s="1"/>
  <c r="AB162" i="2" s="1"/>
  <c r="AB163" i="2" s="1"/>
  <c r="AB164" i="2" s="1"/>
  <c r="AB165" i="2" s="1"/>
  <c r="AB166" i="2" s="1"/>
  <c r="AB167" i="2" s="1"/>
  <c r="AB168" i="2" s="1"/>
  <c r="AB169" i="2" s="1"/>
  <c r="AB170" i="2" s="1"/>
  <c r="AB171" i="2" s="1"/>
  <c r="AB172" i="2" s="1"/>
  <c r="AB173" i="2" s="1"/>
  <c r="AB174" i="2" s="1"/>
  <c r="AB175" i="2" s="1"/>
  <c r="AB176" i="2" s="1"/>
  <c r="AB177" i="2" s="1"/>
  <c r="AB178" i="2" s="1"/>
  <c r="AB179" i="2" s="1"/>
  <c r="AB180" i="2" s="1"/>
  <c r="AB181" i="2" s="1"/>
  <c r="AB182" i="2" s="1"/>
  <c r="AB183" i="2" s="1"/>
  <c r="AB184" i="2" s="1"/>
  <c r="AB185" i="2" s="1"/>
  <c r="AB186" i="2" s="1"/>
  <c r="AB187" i="2" s="1"/>
  <c r="AB188" i="2" s="1"/>
  <c r="AB189" i="2" s="1"/>
  <c r="AB190" i="2" s="1"/>
  <c r="AB191" i="2" s="1"/>
  <c r="AB192" i="2" s="1"/>
  <c r="AB193" i="2" s="1"/>
  <c r="AB194" i="2" s="1"/>
  <c r="AB195" i="2" s="1"/>
  <c r="AB196" i="2" s="1"/>
  <c r="AB197" i="2" s="1"/>
  <c r="AB198" i="2" s="1"/>
  <c r="AB199" i="2" s="1"/>
  <c r="AB200" i="2" s="1"/>
  <c r="AB201" i="2" s="1"/>
  <c r="AB202" i="2" s="1"/>
  <c r="AB203" i="2" s="1"/>
  <c r="AB204" i="2" s="1"/>
  <c r="AB205" i="2" s="1"/>
  <c r="AB206" i="2" s="1"/>
  <c r="AB207" i="2" s="1"/>
  <c r="AB208" i="2" s="1"/>
  <c r="AB209" i="2" s="1"/>
  <c r="AB210" i="2" s="1"/>
  <c r="AB211" i="2" s="1"/>
  <c r="AB212" i="2" s="1"/>
  <c r="AB213" i="2" s="1"/>
  <c r="AB214" i="2" s="1"/>
  <c r="AB215" i="2" s="1"/>
  <c r="AB216" i="2" s="1"/>
  <c r="AB217" i="2" s="1"/>
  <c r="AB218" i="2" s="1"/>
  <c r="AB219" i="2" s="1"/>
  <c r="AB220" i="2" s="1"/>
  <c r="AB221" i="2" s="1"/>
  <c r="AB222" i="2" s="1"/>
  <c r="AB223" i="2" s="1"/>
  <c r="AB224" i="2" s="1"/>
  <c r="AB225" i="2" s="1"/>
  <c r="AB226" i="2" s="1"/>
  <c r="AB227" i="2" s="1"/>
  <c r="AB228" i="2" s="1"/>
  <c r="AB229" i="2" s="1"/>
  <c r="AB230" i="2" s="1"/>
  <c r="AB231" i="2" s="1"/>
  <c r="AB232" i="2" s="1"/>
  <c r="AB233" i="2" s="1"/>
  <c r="AB234" i="2" s="1"/>
  <c r="AB235" i="2" s="1"/>
  <c r="AB236" i="2" s="1"/>
  <c r="AB237" i="2" s="1"/>
  <c r="AB238" i="2" s="1"/>
  <c r="AB239" i="2" s="1"/>
  <c r="AB240" i="2" s="1"/>
  <c r="AB241" i="2" s="1"/>
  <c r="AB242" i="2" s="1"/>
  <c r="AB243" i="2" s="1"/>
  <c r="AB244" i="2" s="1"/>
  <c r="AB245" i="2" s="1"/>
  <c r="AB246" i="2" s="1"/>
  <c r="AB247" i="2" s="1"/>
  <c r="AB248" i="2" s="1"/>
  <c r="AB249" i="2" s="1"/>
  <c r="AB250" i="2" s="1"/>
  <c r="AB251" i="2" s="1"/>
  <c r="AB252" i="2" s="1"/>
  <c r="AB253" i="2" s="1"/>
  <c r="AB254" i="2" s="1"/>
  <c r="AB255" i="2" s="1"/>
  <c r="AB256" i="2" s="1"/>
  <c r="AB257" i="2" s="1"/>
  <c r="AB258" i="2" s="1"/>
  <c r="AB259" i="2" s="1"/>
  <c r="AB260" i="2" s="1"/>
  <c r="AB261" i="2" s="1"/>
  <c r="AB262" i="2" s="1"/>
  <c r="AB263" i="2" s="1"/>
  <c r="AB264" i="2" s="1"/>
  <c r="AB265" i="2" s="1"/>
  <c r="AB266" i="2" s="1"/>
  <c r="AB267" i="2" s="1"/>
  <c r="AB268" i="2" s="1"/>
  <c r="AB269" i="2" s="1"/>
  <c r="AB270" i="2" s="1"/>
  <c r="AB271" i="2" s="1"/>
  <c r="AB272" i="2" s="1"/>
  <c r="AB273" i="2" s="1"/>
  <c r="AB274" i="2" s="1"/>
  <c r="AB275" i="2" s="1"/>
  <c r="AB276" i="2" s="1"/>
  <c r="AB277" i="2" s="1"/>
  <c r="AB278" i="2" s="1"/>
  <c r="AB279" i="2" s="1"/>
  <c r="AB280" i="2" s="1"/>
  <c r="K140" i="2"/>
  <c r="I195" i="2"/>
  <c r="O195" i="2" s="1"/>
  <c r="L266" i="2"/>
  <c r="I79" i="2"/>
  <c r="P79" i="2" s="1"/>
  <c r="M100" i="2"/>
  <c r="Q143" i="2"/>
  <c r="H48" i="2"/>
  <c r="K48" i="2" s="1"/>
  <c r="H94" i="2"/>
  <c r="J94" i="2" s="1"/>
  <c r="H132" i="2"/>
  <c r="M132" i="2" s="1"/>
  <c r="H182" i="2"/>
  <c r="M182" i="2" s="1"/>
  <c r="K266" i="2"/>
  <c r="H140" i="2"/>
  <c r="J140" i="2" s="1"/>
  <c r="H2" i="2"/>
  <c r="K2" i="2" s="1"/>
  <c r="S2" i="2" s="1"/>
  <c r="S3" i="2" s="1"/>
  <c r="I85" i="2"/>
  <c r="P85" i="2" s="1"/>
  <c r="H117" i="2"/>
  <c r="L117" i="2" s="1"/>
  <c r="H243" i="2"/>
  <c r="M243" i="2" s="1"/>
  <c r="I23" i="2"/>
  <c r="Q23" i="2" s="1"/>
  <c r="I70" i="2"/>
  <c r="N70" i="2" s="1"/>
  <c r="H87" i="2"/>
  <c r="H119" i="2"/>
  <c r="J119" i="2" s="1"/>
  <c r="H142" i="2"/>
  <c r="L142" i="2" s="1"/>
  <c r="H207" i="2"/>
  <c r="M207" i="2" s="1"/>
  <c r="H245" i="2"/>
  <c r="M245" i="2" s="1"/>
  <c r="M84" i="2"/>
  <c r="M116" i="2"/>
  <c r="H123" i="2"/>
  <c r="M123" i="2" s="1"/>
  <c r="H173" i="2"/>
  <c r="J173" i="2" s="1"/>
  <c r="K230" i="2"/>
  <c r="J267" i="2"/>
  <c r="H43" i="2"/>
  <c r="M43" i="2" s="1"/>
  <c r="I91" i="2"/>
  <c r="O91" i="2" s="1"/>
  <c r="H125" i="2"/>
  <c r="M125" i="2" s="1"/>
  <c r="H175" i="2"/>
  <c r="L175" i="2" s="1"/>
  <c r="K200" i="2"/>
  <c r="H211" i="2"/>
  <c r="J211" i="2" s="1"/>
  <c r="L230" i="2"/>
  <c r="H247" i="2"/>
  <c r="M247" i="2" s="1"/>
  <c r="M271" i="2"/>
  <c r="I179" i="2"/>
  <c r="O179" i="2" s="1"/>
  <c r="M230" i="2"/>
  <c r="M36" i="2"/>
  <c r="K84" i="2"/>
  <c r="K116" i="2"/>
  <c r="H204" i="2"/>
  <c r="M204" i="2" s="1"/>
  <c r="M208" i="2"/>
  <c r="H223" i="2"/>
  <c r="L223" i="2" s="1"/>
  <c r="K263" i="2"/>
  <c r="M263" i="2"/>
  <c r="J176" i="2"/>
  <c r="K176" i="2"/>
  <c r="K136" i="2"/>
  <c r="I162" i="2"/>
  <c r="K254" i="2"/>
  <c r="H26" i="2"/>
  <c r="L26" i="2" s="1"/>
  <c r="I37" i="2"/>
  <c r="Q37" i="2" s="1"/>
  <c r="L109" i="2"/>
  <c r="P132" i="2"/>
  <c r="H143" i="2"/>
  <c r="M143" i="2" s="1"/>
  <c r="N166" i="2"/>
  <c r="O180" i="2"/>
  <c r="J34" i="2"/>
  <c r="M93" i="2"/>
  <c r="I94" i="2"/>
  <c r="O94" i="2" s="1"/>
  <c r="K129" i="2"/>
  <c r="I164" i="2"/>
  <c r="Q164" i="2" s="1"/>
  <c r="Q204" i="2"/>
  <c r="N204" i="2"/>
  <c r="I209" i="2"/>
  <c r="O209" i="2" s="1"/>
  <c r="I250" i="2"/>
  <c r="O250" i="2" s="1"/>
  <c r="K10" i="2"/>
  <c r="I13" i="2"/>
  <c r="O13" i="2" s="1"/>
  <c r="H28" i="2"/>
  <c r="J28" i="2" s="1"/>
  <c r="I56" i="2"/>
  <c r="Q56" i="2" s="1"/>
  <c r="L72" i="2"/>
  <c r="Q89" i="2"/>
  <c r="I98" i="2"/>
  <c r="N98" i="2" s="1"/>
  <c r="H147" i="2"/>
  <c r="M147" i="2" s="1"/>
  <c r="I154" i="2"/>
  <c r="O154" i="2" s="1"/>
  <c r="H192" i="2"/>
  <c r="L192" i="2" s="1"/>
  <c r="J234" i="2"/>
  <c r="L271" i="2"/>
  <c r="I28" i="2"/>
  <c r="N28" i="2" s="1"/>
  <c r="L163" i="2"/>
  <c r="L249" i="2"/>
  <c r="I264" i="2"/>
  <c r="P264" i="2" s="1"/>
  <c r="P271" i="2"/>
  <c r="N278" i="2"/>
  <c r="P278" i="2"/>
  <c r="I54" i="2"/>
  <c r="O54" i="2" s="1"/>
  <c r="I73" i="2"/>
  <c r="P73" i="2" s="1"/>
  <c r="N89" i="2"/>
  <c r="I177" i="2"/>
  <c r="O177" i="2" s="1"/>
  <c r="P88" i="2"/>
  <c r="Q278" i="2"/>
  <c r="J72" i="2"/>
  <c r="H6" i="2"/>
  <c r="J6" i="2" s="1"/>
  <c r="H88" i="2"/>
  <c r="M88" i="2" s="1"/>
  <c r="H102" i="2"/>
  <c r="L102" i="2" s="1"/>
  <c r="I149" i="2"/>
  <c r="Q149" i="2" s="1"/>
  <c r="K158" i="2"/>
  <c r="O215" i="2"/>
  <c r="H275" i="2"/>
  <c r="M275" i="2" s="1"/>
  <c r="N36" i="2"/>
  <c r="I53" i="2"/>
  <c r="P53" i="2" s="1"/>
  <c r="I72" i="2"/>
  <c r="N72" i="2" s="1"/>
  <c r="O115" i="2"/>
  <c r="O120" i="2"/>
  <c r="P133" i="2"/>
  <c r="L158" i="2"/>
  <c r="O183" i="2"/>
  <c r="Q215" i="2"/>
  <c r="P242" i="2"/>
  <c r="I275" i="2"/>
  <c r="P275" i="2" s="1"/>
  <c r="M279" i="2"/>
  <c r="M5" i="2"/>
  <c r="M71" i="2"/>
  <c r="H95" i="2"/>
  <c r="J95" i="2" s="1"/>
  <c r="M158" i="2"/>
  <c r="H167" i="2"/>
  <c r="J167" i="2" s="1"/>
  <c r="O233" i="2"/>
  <c r="M9" i="2"/>
  <c r="H85" i="2"/>
  <c r="L85" i="2" s="1"/>
  <c r="J97" i="2"/>
  <c r="M146" i="2"/>
  <c r="L150" i="2"/>
  <c r="I160" i="2"/>
  <c r="O160" i="2" s="1"/>
  <c r="H189" i="2"/>
  <c r="J189" i="2" s="1"/>
  <c r="H214" i="2"/>
  <c r="I221" i="2"/>
  <c r="N221" i="2" s="1"/>
  <c r="P233" i="2"/>
  <c r="L274" i="2"/>
  <c r="H277" i="2"/>
  <c r="M277" i="2" s="1"/>
  <c r="I97" i="2"/>
  <c r="Q97" i="2" s="1"/>
  <c r="H96" i="2"/>
  <c r="O148" i="2"/>
  <c r="Q148" i="2"/>
  <c r="N148" i="2"/>
  <c r="J196" i="2"/>
  <c r="M196" i="2"/>
  <c r="M12" i="2"/>
  <c r="L12" i="2"/>
  <c r="O132" i="2"/>
  <c r="Q132" i="2"/>
  <c r="H11" i="2"/>
  <c r="M11" i="2" s="1"/>
  <c r="I12" i="2"/>
  <c r="Q12" i="2" s="1"/>
  <c r="I43" i="2"/>
  <c r="H42" i="2"/>
  <c r="L42" i="2" s="1"/>
  <c r="I65" i="2"/>
  <c r="O65" i="2" s="1"/>
  <c r="H64" i="2"/>
  <c r="L64" i="2" s="1"/>
  <c r="Q120" i="2"/>
  <c r="P120" i="2"/>
  <c r="N120" i="2"/>
  <c r="N132" i="2"/>
  <c r="H154" i="2"/>
  <c r="I155" i="2"/>
  <c r="N155" i="2" s="1"/>
  <c r="H180" i="2"/>
  <c r="I181" i="2"/>
  <c r="O181" i="2" s="1"/>
  <c r="H24" i="2"/>
  <c r="J24" i="2" s="1"/>
  <c r="I25" i="2"/>
  <c r="N25" i="2" s="1"/>
  <c r="H152" i="2"/>
  <c r="M156" i="2"/>
  <c r="J156" i="2"/>
  <c r="Q27" i="2"/>
  <c r="K196" i="2"/>
  <c r="P246" i="2"/>
  <c r="Q246" i="2"/>
  <c r="O246" i="2"/>
  <c r="N246" i="2"/>
  <c r="I253" i="2"/>
  <c r="O253" i="2" s="1"/>
  <c r="H273" i="2"/>
  <c r="L273" i="2" s="1"/>
  <c r="I38" i="2"/>
  <c r="Q38" i="2" s="1"/>
  <c r="I122" i="2"/>
  <c r="H121" i="2"/>
  <c r="J121" i="2" s="1"/>
  <c r="H131" i="2"/>
  <c r="M131" i="2" s="1"/>
  <c r="N173" i="2"/>
  <c r="L196" i="2"/>
  <c r="Q208" i="2"/>
  <c r="P208" i="2"/>
  <c r="O208" i="2"/>
  <c r="N208" i="2"/>
  <c r="J61" i="2"/>
  <c r="M61" i="2"/>
  <c r="L61" i="2"/>
  <c r="K61" i="2"/>
  <c r="K113" i="2"/>
  <c r="J113" i="2"/>
  <c r="I191" i="2"/>
  <c r="N191" i="2" s="1"/>
  <c r="H190" i="2"/>
  <c r="M190" i="2" s="1"/>
  <c r="H202" i="2"/>
  <c r="I203" i="2"/>
  <c r="P203" i="2" s="1"/>
  <c r="L208" i="2"/>
  <c r="J252" i="2"/>
  <c r="K252" i="2"/>
  <c r="L252" i="2"/>
  <c r="P116" i="2"/>
  <c r="Q116" i="2"/>
  <c r="N116" i="2"/>
  <c r="H21" i="2"/>
  <c r="M21" i="2" s="1"/>
  <c r="I22" i="2"/>
  <c r="O22" i="2" s="1"/>
  <c r="O29" i="2"/>
  <c r="Q29" i="2"/>
  <c r="P29" i="2"/>
  <c r="K41" i="2"/>
  <c r="J41" i="2"/>
  <c r="M55" i="2"/>
  <c r="L65" i="2"/>
  <c r="K65" i="2"/>
  <c r="N126" i="2"/>
  <c r="Q126" i="2"/>
  <c r="P126" i="2"/>
  <c r="O126" i="2"/>
  <c r="L156" i="2"/>
  <c r="O168" i="2"/>
  <c r="H181" i="2"/>
  <c r="L181" i="2" s="1"/>
  <c r="I182" i="2"/>
  <c r="P182" i="2" s="1"/>
  <c r="I234" i="2"/>
  <c r="N234" i="2" s="1"/>
  <c r="P95" i="2"/>
  <c r="H128" i="2"/>
  <c r="L128" i="2" s="1"/>
  <c r="H160" i="2"/>
  <c r="M160" i="2" s="1"/>
  <c r="I161" i="2"/>
  <c r="Q161" i="2" s="1"/>
  <c r="H25" i="2"/>
  <c r="L25" i="2" s="1"/>
  <c r="I26" i="2"/>
  <c r="J276" i="2"/>
  <c r="L276" i="2"/>
  <c r="K276" i="2"/>
  <c r="H122" i="2"/>
  <c r="L122" i="2" s="1"/>
  <c r="I123" i="2"/>
  <c r="N123" i="2" s="1"/>
  <c r="Q174" i="2"/>
  <c r="O174" i="2"/>
  <c r="N174" i="2"/>
  <c r="K225" i="2"/>
  <c r="L225" i="2"/>
  <c r="J225" i="2"/>
  <c r="J237" i="2"/>
  <c r="M237" i="2"/>
  <c r="L237" i="2"/>
  <c r="J9" i="2"/>
  <c r="L9" i="2"/>
  <c r="K9" i="2"/>
  <c r="H49" i="2"/>
  <c r="L49" i="2" s="1"/>
  <c r="I50" i="2"/>
  <c r="Q50" i="2" s="1"/>
  <c r="N274" i="2"/>
  <c r="O274" i="2"/>
  <c r="Q274" i="2"/>
  <c r="P274" i="2"/>
  <c r="O116" i="2"/>
  <c r="I163" i="2"/>
  <c r="O163" i="2" s="1"/>
  <c r="H162" i="2"/>
  <c r="K162" i="2" s="1"/>
  <c r="P174" i="2"/>
  <c r="H179" i="2"/>
  <c r="I214" i="2"/>
  <c r="O214" i="2" s="1"/>
  <c r="M231" i="2"/>
  <c r="I5" i="2"/>
  <c r="I81" i="2"/>
  <c r="Q81" i="2" s="1"/>
  <c r="M152" i="2"/>
  <c r="P266" i="2"/>
  <c r="N27" i="2"/>
  <c r="I84" i="2"/>
  <c r="Q84" i="2" s="1"/>
  <c r="N88" i="2"/>
  <c r="H114" i="2"/>
  <c r="H135" i="2"/>
  <c r="L135" i="2" s="1"/>
  <c r="I138" i="2"/>
  <c r="P138" i="2" s="1"/>
  <c r="P204" i="2"/>
  <c r="I226" i="2"/>
  <c r="N233" i="2"/>
  <c r="M252" i="2"/>
  <c r="J263" i="2"/>
  <c r="I279" i="2"/>
  <c r="N279" i="2" s="1"/>
  <c r="O27" i="2"/>
  <c r="I62" i="2"/>
  <c r="I66" i="2"/>
  <c r="Q66" i="2" s="1"/>
  <c r="O88" i="2"/>
  <c r="I114" i="2"/>
  <c r="O114" i="2" s="1"/>
  <c r="Q199" i="2"/>
  <c r="I217" i="2"/>
  <c r="N217" i="2" s="1"/>
  <c r="M225" i="2"/>
  <c r="P260" i="2"/>
  <c r="L263" i="2"/>
  <c r="M278" i="2"/>
  <c r="N14" i="2"/>
  <c r="I42" i="2"/>
  <c r="Q42" i="2" s="1"/>
  <c r="H70" i="2"/>
  <c r="M70" i="2" s="1"/>
  <c r="K72" i="2"/>
  <c r="H166" i="2"/>
  <c r="H172" i="2"/>
  <c r="M172" i="2" s="1"/>
  <c r="O199" i="2"/>
  <c r="I220" i="2"/>
  <c r="O220" i="2" s="1"/>
  <c r="J231" i="2"/>
  <c r="I238" i="2"/>
  <c r="H241" i="2"/>
  <c r="L241" i="2" s="1"/>
  <c r="I257" i="2"/>
  <c r="O257" i="2" s="1"/>
  <c r="O260" i="2"/>
  <c r="H265" i="2"/>
  <c r="M265" i="2" s="1"/>
  <c r="I4" i="2"/>
  <c r="O4" i="2" s="1"/>
  <c r="I19" i="2"/>
  <c r="P19" i="2" s="1"/>
  <c r="O96" i="2"/>
  <c r="I137" i="2"/>
  <c r="N137" i="2" s="1"/>
  <c r="I151" i="2"/>
  <c r="P199" i="2"/>
  <c r="L231" i="2"/>
  <c r="I10" i="2"/>
  <c r="N10" i="2" s="1"/>
  <c r="K36" i="2"/>
  <c r="J52" i="2"/>
  <c r="I55" i="2"/>
  <c r="N55" i="2" s="1"/>
  <c r="K93" i="2"/>
  <c r="N100" i="2"/>
  <c r="H118" i="2"/>
  <c r="J118" i="2" s="1"/>
  <c r="I130" i="2"/>
  <c r="Q130" i="2" s="1"/>
  <c r="I147" i="2"/>
  <c r="O147" i="2" s="1"/>
  <c r="N150" i="2"/>
  <c r="I159" i="2"/>
  <c r="P159" i="2" s="1"/>
  <c r="H198" i="2"/>
  <c r="J198" i="2" s="1"/>
  <c r="P219" i="2"/>
  <c r="H232" i="2"/>
  <c r="L232" i="2" s="1"/>
  <c r="N241" i="2"/>
  <c r="J249" i="2"/>
  <c r="I254" i="2"/>
  <c r="Q254" i="2" s="1"/>
  <c r="I268" i="2"/>
  <c r="O268" i="2" s="1"/>
  <c r="I277" i="2"/>
  <c r="J278" i="2"/>
  <c r="K280" i="2"/>
  <c r="J10" i="2"/>
  <c r="O14" i="2"/>
  <c r="I41" i="2"/>
  <c r="Q41" i="2" s="1"/>
  <c r="J55" i="2"/>
  <c r="P89" i="2"/>
  <c r="L93" i="2"/>
  <c r="O100" i="2"/>
  <c r="J142" i="2"/>
  <c r="K159" i="2"/>
  <c r="I178" i="2"/>
  <c r="O178" i="2" s="1"/>
  <c r="I198" i="2"/>
  <c r="Q198" i="2" s="1"/>
  <c r="I232" i="2"/>
  <c r="N232" i="2" s="1"/>
  <c r="H248" i="2"/>
  <c r="K249" i="2"/>
  <c r="J254" i="2"/>
  <c r="I272" i="2"/>
  <c r="P272" i="2" s="1"/>
  <c r="K278" i="2"/>
  <c r="L280" i="2"/>
  <c r="I273" i="2"/>
  <c r="Q273" i="2" s="1"/>
  <c r="L10" i="2"/>
  <c r="P14" i="2"/>
  <c r="I24" i="2"/>
  <c r="Q24" i="2" s="1"/>
  <c r="K55" i="2"/>
  <c r="I105" i="2"/>
  <c r="P105" i="2" s="1"/>
  <c r="N143" i="2"/>
  <c r="I146" i="2"/>
  <c r="P146" i="2" s="1"/>
  <c r="I197" i="2"/>
  <c r="H201" i="2"/>
  <c r="L201" i="2" s="1"/>
  <c r="O219" i="2"/>
  <c r="M254" i="2"/>
  <c r="L278" i="2"/>
  <c r="M280" i="2"/>
  <c r="J3" i="2"/>
  <c r="H13" i="2"/>
  <c r="Q14" i="2"/>
  <c r="L55" i="2"/>
  <c r="H79" i="2"/>
  <c r="L79" i="2" s="1"/>
  <c r="H99" i="2"/>
  <c r="K99" i="2" s="1"/>
  <c r="J105" i="2"/>
  <c r="O143" i="2"/>
  <c r="J146" i="2"/>
  <c r="I201" i="2"/>
  <c r="P201" i="2" s="1"/>
  <c r="I231" i="2"/>
  <c r="P231" i="2" s="1"/>
  <c r="I267" i="2"/>
  <c r="P267" i="2" s="1"/>
  <c r="O280" i="2"/>
  <c r="P143" i="2"/>
  <c r="K156" i="2"/>
  <c r="H165" i="2"/>
  <c r="K165" i="2" s="1"/>
  <c r="H209" i="2"/>
  <c r="J209" i="2" s="1"/>
  <c r="N215" i="2"/>
  <c r="I240" i="2"/>
  <c r="Q240" i="2" s="1"/>
  <c r="H270" i="2"/>
  <c r="P9" i="2"/>
  <c r="O9" i="2"/>
  <c r="N9" i="2"/>
  <c r="H32" i="2"/>
  <c r="I33" i="2"/>
  <c r="J39" i="2"/>
  <c r="M39" i="2"/>
  <c r="L39" i="2"/>
  <c r="K39" i="2"/>
  <c r="H110" i="2"/>
  <c r="I111" i="2"/>
  <c r="L5" i="2"/>
  <c r="K5" i="2"/>
  <c r="J5" i="2"/>
  <c r="I20" i="2"/>
  <c r="H19" i="2"/>
  <c r="L75" i="2"/>
  <c r="K75" i="2"/>
  <c r="J75" i="2"/>
  <c r="M75" i="2"/>
  <c r="H184" i="2"/>
  <c r="I185" i="2"/>
  <c r="N190" i="2"/>
  <c r="P190" i="2"/>
  <c r="O190" i="2"/>
  <c r="Q190" i="2"/>
  <c r="I31" i="2"/>
  <c r="H30" i="2"/>
  <c r="I45" i="2"/>
  <c r="H44" i="2"/>
  <c r="L80" i="2"/>
  <c r="K80" i="2"/>
  <c r="J80" i="2"/>
  <c r="H89" i="2"/>
  <c r="I90" i="2"/>
  <c r="N103" i="2"/>
  <c r="Q103" i="2"/>
  <c r="P103" i="2"/>
  <c r="O103" i="2"/>
  <c r="H112" i="2"/>
  <c r="I113" i="2"/>
  <c r="H170" i="2"/>
  <c r="I171" i="2"/>
  <c r="H7" i="2"/>
  <c r="I8" i="2"/>
  <c r="H38" i="2"/>
  <c r="I39" i="2"/>
  <c r="J57" i="2"/>
  <c r="L57" i="2"/>
  <c r="K57" i="2"/>
  <c r="I58" i="2"/>
  <c r="Q49" i="2"/>
  <c r="P49" i="2"/>
  <c r="O49" i="2"/>
  <c r="I61" i="2"/>
  <c r="H60" i="2"/>
  <c r="P3" i="2"/>
  <c r="X3" i="2" s="1"/>
  <c r="O3" i="2"/>
  <c r="W3" i="2" s="1"/>
  <c r="N3" i="2"/>
  <c r="V3" i="2" s="1"/>
  <c r="Q3" i="2"/>
  <c r="Y3" i="2" s="1"/>
  <c r="H8" i="2"/>
  <c r="N21" i="2"/>
  <c r="O21" i="2"/>
  <c r="P21" i="2"/>
  <c r="M22" i="2"/>
  <c r="L22" i="2"/>
  <c r="O67" i="2"/>
  <c r="N67" i="2"/>
  <c r="Q21" i="2"/>
  <c r="H108" i="2"/>
  <c r="I109" i="2"/>
  <c r="H127" i="2"/>
  <c r="I128" i="2"/>
  <c r="M47" i="2"/>
  <c r="L47" i="2"/>
  <c r="P102" i="2"/>
  <c r="Q102" i="2"/>
  <c r="O102" i="2"/>
  <c r="N102" i="2"/>
  <c r="K18" i="2"/>
  <c r="J18" i="2"/>
  <c r="M18" i="2"/>
  <c r="L40" i="2"/>
  <c r="K40" i="2"/>
  <c r="J40" i="2"/>
  <c r="M40" i="2"/>
  <c r="L43" i="2"/>
  <c r="Q67" i="2"/>
  <c r="K137" i="2"/>
  <c r="J137" i="2"/>
  <c r="M137" i="2"/>
  <c r="L137" i="2"/>
  <c r="N7" i="2"/>
  <c r="Q7" i="2"/>
  <c r="P7" i="2"/>
  <c r="Q9" i="2"/>
  <c r="K22" i="2"/>
  <c r="K27" i="2"/>
  <c r="J27" i="2"/>
  <c r="M27" i="2"/>
  <c r="L27" i="2"/>
  <c r="P67" i="2"/>
  <c r="I6" i="2"/>
  <c r="M37" i="2"/>
  <c r="L37" i="2"/>
  <c r="I48" i="2"/>
  <c r="M53" i="2"/>
  <c r="L53" i="2"/>
  <c r="J53" i="2"/>
  <c r="H66" i="2"/>
  <c r="I77" i="2"/>
  <c r="H76" i="2"/>
  <c r="L161" i="2"/>
  <c r="J161" i="2"/>
  <c r="K161" i="2"/>
  <c r="M161" i="2"/>
  <c r="J37" i="2"/>
  <c r="K53" i="2"/>
  <c r="H58" i="2"/>
  <c r="I59" i="2"/>
  <c r="H68" i="2"/>
  <c r="I69" i="2"/>
  <c r="H103" i="2"/>
  <c r="I104" i="2"/>
  <c r="N176" i="2"/>
  <c r="O176" i="2"/>
  <c r="Q176" i="2"/>
  <c r="P176" i="2"/>
  <c r="I15" i="2"/>
  <c r="H14" i="2"/>
  <c r="I16" i="2"/>
  <c r="H15" i="2"/>
  <c r="I18" i="2"/>
  <c r="H17" i="2"/>
  <c r="O7" i="2"/>
  <c r="N53" i="2"/>
  <c r="I165" i="2"/>
  <c r="H164" i="2"/>
  <c r="I188" i="2"/>
  <c r="H187" i="2"/>
  <c r="K23" i="2"/>
  <c r="J23" i="2"/>
  <c r="M23" i="2"/>
  <c r="L23" i="2"/>
  <c r="K37" i="2"/>
  <c r="J47" i="2"/>
  <c r="Q129" i="2"/>
  <c r="N129" i="2"/>
  <c r="P129" i="2"/>
  <c r="O129" i="2"/>
  <c r="Q136" i="2"/>
  <c r="P136" i="2"/>
  <c r="O136" i="2"/>
  <c r="N136" i="2"/>
  <c r="I34" i="2"/>
  <c r="H33" i="2"/>
  <c r="L71" i="2"/>
  <c r="K71" i="2"/>
  <c r="J71" i="2"/>
  <c r="M129" i="2"/>
  <c r="L129" i="2"/>
  <c r="J129" i="2"/>
  <c r="Q144" i="2"/>
  <c r="P144" i="2"/>
  <c r="O144" i="2"/>
  <c r="J177" i="2"/>
  <c r="L177" i="2"/>
  <c r="K177" i="2"/>
  <c r="P71" i="2"/>
  <c r="O71" i="2"/>
  <c r="N71" i="2"/>
  <c r="I74" i="2"/>
  <c r="H73" i="2"/>
  <c r="P86" i="2"/>
  <c r="Q86" i="2"/>
  <c r="N86" i="2"/>
  <c r="H86" i="2"/>
  <c r="I87" i="2"/>
  <c r="I112" i="2"/>
  <c r="H111" i="2"/>
  <c r="Q60" i="2"/>
  <c r="P60" i="2"/>
  <c r="O60" i="2"/>
  <c r="N60" i="2"/>
  <c r="O64" i="2"/>
  <c r="N64" i="2"/>
  <c r="Q64" i="2"/>
  <c r="P64" i="2"/>
  <c r="M65" i="2"/>
  <c r="J65" i="2"/>
  <c r="H67" i="2"/>
  <c r="I68" i="2"/>
  <c r="K82" i="2"/>
  <c r="J82" i="2"/>
  <c r="L82" i="2"/>
  <c r="Q96" i="2"/>
  <c r="N96" i="2"/>
  <c r="O110" i="2"/>
  <c r="Q110" i="2"/>
  <c r="N110" i="2"/>
  <c r="J136" i="2"/>
  <c r="M136" i="2"/>
  <c r="I175" i="2"/>
  <c r="H174" i="2"/>
  <c r="H235" i="2"/>
  <c r="I236" i="2"/>
  <c r="I263" i="2"/>
  <c r="H262" i="2"/>
  <c r="Q36" i="2"/>
  <c r="P36" i="2"/>
  <c r="O36" i="2"/>
  <c r="L78" i="2"/>
  <c r="J78" i="2"/>
  <c r="M78" i="2"/>
  <c r="K78" i="2"/>
  <c r="I92" i="2"/>
  <c r="H91" i="2"/>
  <c r="I93" i="2"/>
  <c r="H92" i="2"/>
  <c r="N118" i="2"/>
  <c r="Q118" i="2"/>
  <c r="P118" i="2"/>
  <c r="L136" i="2"/>
  <c r="O141" i="2"/>
  <c r="Q141" i="2"/>
  <c r="P141" i="2"/>
  <c r="N141" i="2"/>
  <c r="I156" i="2"/>
  <c r="H155" i="2"/>
  <c r="I158" i="2"/>
  <c r="H157" i="2"/>
  <c r="P207" i="2"/>
  <c r="Q207" i="2"/>
  <c r="O207" i="2"/>
  <c r="N207" i="2"/>
  <c r="M4" i="2"/>
  <c r="L4" i="2"/>
  <c r="K4" i="2"/>
  <c r="H45" i="2"/>
  <c r="I46" i="2"/>
  <c r="L54" i="2"/>
  <c r="K54" i="2"/>
  <c r="J54" i="2"/>
  <c r="H59" i="2"/>
  <c r="P96" i="2"/>
  <c r="Q108" i="2"/>
  <c r="O108" i="2"/>
  <c r="P108" i="2"/>
  <c r="O118" i="2"/>
  <c r="Q124" i="2"/>
  <c r="P124" i="2"/>
  <c r="O124" i="2"/>
  <c r="L36" i="2"/>
  <c r="J36" i="2"/>
  <c r="H50" i="2"/>
  <c r="I51" i="2"/>
  <c r="H62" i="2"/>
  <c r="I63" i="2"/>
  <c r="H81" i="2"/>
  <c r="I82" i="2"/>
  <c r="H98" i="2"/>
  <c r="I99" i="2"/>
  <c r="L100" i="2"/>
  <c r="K100" i="2"/>
  <c r="J100" i="2"/>
  <c r="Q131" i="2"/>
  <c r="P131" i="2"/>
  <c r="N131" i="2"/>
  <c r="K188" i="2"/>
  <c r="M188" i="2"/>
  <c r="L188" i="2"/>
  <c r="J188" i="2"/>
  <c r="J4" i="2"/>
  <c r="I17" i="2"/>
  <c r="H16" i="2"/>
  <c r="I40" i="2"/>
  <c r="Q43" i="2"/>
  <c r="P43" i="2"/>
  <c r="P44" i="2"/>
  <c r="O44" i="2"/>
  <c r="N44" i="2"/>
  <c r="Q44" i="2"/>
  <c r="M54" i="2"/>
  <c r="I76" i="2"/>
  <c r="K77" i="2"/>
  <c r="L77" i="2"/>
  <c r="N108" i="2"/>
  <c r="N124" i="2"/>
  <c r="Q133" i="2"/>
  <c r="N133" i="2"/>
  <c r="H139" i="2"/>
  <c r="I140" i="2"/>
  <c r="N153" i="2"/>
  <c r="P153" i="2"/>
  <c r="N29" i="2"/>
  <c r="I32" i="2"/>
  <c r="H31" i="2"/>
  <c r="H35" i="2"/>
  <c r="N52" i="2"/>
  <c r="O52" i="2"/>
  <c r="Q52" i="2"/>
  <c r="P52" i="2"/>
  <c r="M52" i="2"/>
  <c r="L52" i="2"/>
  <c r="J77" i="2"/>
  <c r="L90" i="2"/>
  <c r="M90" i="2"/>
  <c r="K90" i="2"/>
  <c r="M97" i="2"/>
  <c r="K97" i="2"/>
  <c r="P110" i="2"/>
  <c r="K150" i="2"/>
  <c r="J150" i="2"/>
  <c r="I189" i="2"/>
  <c r="M3" i="2"/>
  <c r="L3" i="2"/>
  <c r="K12" i="2"/>
  <c r="J12" i="2"/>
  <c r="M41" i="2"/>
  <c r="L41" i="2"/>
  <c r="M77" i="2"/>
  <c r="M104" i="2"/>
  <c r="L104" i="2"/>
  <c r="K104" i="2"/>
  <c r="I107" i="2"/>
  <c r="H106" i="2"/>
  <c r="O153" i="2"/>
  <c r="M142" i="2"/>
  <c r="I213" i="2"/>
  <c r="H212" i="2"/>
  <c r="P230" i="2"/>
  <c r="O230" i="2"/>
  <c r="N230" i="2"/>
  <c r="H56" i="2"/>
  <c r="I57" i="2"/>
  <c r="M83" i="2"/>
  <c r="L83" i="2"/>
  <c r="K83" i="2"/>
  <c r="K101" i="2"/>
  <c r="J101" i="2"/>
  <c r="P119" i="2"/>
  <c r="O119" i="2"/>
  <c r="N119" i="2"/>
  <c r="Q119" i="2"/>
  <c r="H124" i="2"/>
  <c r="I125" i="2"/>
  <c r="P142" i="2"/>
  <c r="Q142" i="2"/>
  <c r="O142" i="2"/>
  <c r="N142" i="2"/>
  <c r="P169" i="2"/>
  <c r="O169" i="2"/>
  <c r="N169" i="2"/>
  <c r="H169" i="2"/>
  <c r="I170" i="2"/>
  <c r="H191" i="2"/>
  <c r="I192" i="2"/>
  <c r="M232" i="2"/>
  <c r="H257" i="2"/>
  <c r="I258" i="2"/>
  <c r="H268" i="2"/>
  <c r="I269" i="2"/>
  <c r="Q266" i="2"/>
  <c r="N266" i="2"/>
  <c r="O266" i="2"/>
  <c r="M34" i="2"/>
  <c r="L34" i="2"/>
  <c r="K34" i="2"/>
  <c r="I47" i="2"/>
  <c r="H46" i="2"/>
  <c r="L113" i="2"/>
  <c r="M113" i="2"/>
  <c r="H138" i="2"/>
  <c r="I139" i="2"/>
  <c r="M148" i="2"/>
  <c r="J148" i="2"/>
  <c r="L148" i="2"/>
  <c r="K148" i="2"/>
  <c r="H183" i="2"/>
  <c r="I184" i="2"/>
  <c r="Q202" i="2"/>
  <c r="P202" i="2"/>
  <c r="O202" i="2"/>
  <c r="I222" i="2"/>
  <c r="H221" i="2"/>
  <c r="N80" i="2"/>
  <c r="O80" i="2"/>
  <c r="Q80" i="2"/>
  <c r="P80" i="2"/>
  <c r="N95" i="2"/>
  <c r="O95" i="2"/>
  <c r="M178" i="2"/>
  <c r="L178" i="2"/>
  <c r="K178" i="2"/>
  <c r="M194" i="2"/>
  <c r="K194" i="2"/>
  <c r="L194" i="2"/>
  <c r="Q210" i="2"/>
  <c r="P210" i="2"/>
  <c r="O210" i="2"/>
  <c r="N210" i="2"/>
  <c r="H238" i="2"/>
  <c r="I239" i="2"/>
  <c r="Q196" i="2"/>
  <c r="P196" i="2"/>
  <c r="O196" i="2"/>
  <c r="N224" i="2"/>
  <c r="Q224" i="2"/>
  <c r="O224" i="2"/>
  <c r="P224" i="2"/>
  <c r="N228" i="2"/>
  <c r="Q228" i="2"/>
  <c r="P228" i="2"/>
  <c r="O228" i="2"/>
  <c r="Q264" i="2"/>
  <c r="I206" i="2"/>
  <c r="H205" i="2"/>
  <c r="H242" i="2"/>
  <c r="I243" i="2"/>
  <c r="I259" i="2"/>
  <c r="H258" i="2"/>
  <c r="Q115" i="2"/>
  <c r="P115" i="2"/>
  <c r="H126" i="2"/>
  <c r="I127" i="2"/>
  <c r="I135" i="2"/>
  <c r="H134" i="2"/>
  <c r="K153" i="2"/>
  <c r="M153" i="2"/>
  <c r="L153" i="2"/>
  <c r="Q167" i="2"/>
  <c r="N167" i="2"/>
  <c r="P167" i="2"/>
  <c r="O167" i="2"/>
  <c r="Q173" i="2"/>
  <c r="P173" i="2"/>
  <c r="O173" i="2"/>
  <c r="P193" i="2"/>
  <c r="N193" i="2"/>
  <c r="Q193" i="2"/>
  <c r="O193" i="2"/>
  <c r="I30" i="2"/>
  <c r="H29" i="2"/>
  <c r="L69" i="2"/>
  <c r="K69" i="2"/>
  <c r="J69" i="2"/>
  <c r="H144" i="2"/>
  <c r="I145" i="2"/>
  <c r="H261" i="2"/>
  <c r="I262" i="2"/>
  <c r="Q166" i="2"/>
  <c r="P166" i="2"/>
  <c r="O166" i="2"/>
  <c r="K239" i="2"/>
  <c r="L239" i="2"/>
  <c r="J239" i="2"/>
  <c r="H255" i="2"/>
  <c r="I256" i="2"/>
  <c r="I75" i="2"/>
  <c r="H74" i="2"/>
  <c r="N115" i="2"/>
  <c r="Q180" i="2"/>
  <c r="P180" i="2"/>
  <c r="N180" i="2"/>
  <c r="N183" i="2"/>
  <c r="P183" i="2"/>
  <c r="L240" i="2"/>
  <c r="M240" i="2"/>
  <c r="J240" i="2"/>
  <c r="K240" i="2"/>
  <c r="L247" i="2"/>
  <c r="K247" i="2"/>
  <c r="N248" i="2"/>
  <c r="P248" i="2"/>
  <c r="Q248" i="2"/>
  <c r="O248" i="2"/>
  <c r="J159" i="2"/>
  <c r="L159" i="2"/>
  <c r="K193" i="2"/>
  <c r="M193" i="2"/>
  <c r="L193" i="2"/>
  <c r="J193" i="2"/>
  <c r="N205" i="2"/>
  <c r="Q205" i="2"/>
  <c r="P205" i="2"/>
  <c r="O205" i="2"/>
  <c r="I237" i="2"/>
  <c r="H236" i="2"/>
  <c r="P244" i="2"/>
  <c r="Q244" i="2"/>
  <c r="O244" i="2"/>
  <c r="N244" i="2"/>
  <c r="K253" i="2"/>
  <c r="J253" i="2"/>
  <c r="M253" i="2"/>
  <c r="L253" i="2"/>
  <c r="H215" i="2"/>
  <c r="I216" i="2"/>
  <c r="K234" i="2"/>
  <c r="M234" i="2"/>
  <c r="I251" i="2"/>
  <c r="H250" i="2"/>
  <c r="P100" i="2"/>
  <c r="L105" i="2"/>
  <c r="I106" i="2"/>
  <c r="I117" i="2"/>
  <c r="K146" i="2"/>
  <c r="O150" i="2"/>
  <c r="Q150" i="2"/>
  <c r="P150" i="2"/>
  <c r="K163" i="2"/>
  <c r="J163" i="2"/>
  <c r="K219" i="2"/>
  <c r="L219" i="2"/>
  <c r="J219" i="2"/>
  <c r="I235" i="2"/>
  <c r="K259" i="2"/>
  <c r="L259" i="2"/>
  <c r="M259" i="2"/>
  <c r="N276" i="2"/>
  <c r="O276" i="2"/>
  <c r="Q276" i="2"/>
  <c r="P276" i="2"/>
  <c r="I152" i="2"/>
  <c r="H151" i="2"/>
  <c r="O212" i="2"/>
  <c r="Q212" i="2"/>
  <c r="P212" i="2"/>
  <c r="N212" i="2"/>
  <c r="L233" i="2"/>
  <c r="J233" i="2"/>
  <c r="K233" i="2"/>
  <c r="M233" i="2"/>
  <c r="M269" i="2"/>
  <c r="L269" i="2"/>
  <c r="J269" i="2"/>
  <c r="K269" i="2"/>
  <c r="N270" i="2"/>
  <c r="P270" i="2"/>
  <c r="Q270" i="2"/>
  <c r="H133" i="2"/>
  <c r="I134" i="2"/>
  <c r="L197" i="2"/>
  <c r="K197" i="2"/>
  <c r="J197" i="2"/>
  <c r="M197" i="2"/>
  <c r="J220" i="2"/>
  <c r="L220" i="2"/>
  <c r="M220" i="2"/>
  <c r="K220" i="2"/>
  <c r="H228" i="2"/>
  <c r="I229" i="2"/>
  <c r="J145" i="2"/>
  <c r="K145" i="2"/>
  <c r="Q168" i="2"/>
  <c r="P168" i="2"/>
  <c r="M176" i="2"/>
  <c r="L176" i="2"/>
  <c r="I187" i="2"/>
  <c r="H186" i="2"/>
  <c r="N227" i="2"/>
  <c r="Q227" i="2"/>
  <c r="P227" i="2"/>
  <c r="O227" i="2"/>
  <c r="H251" i="2"/>
  <c r="I252" i="2"/>
  <c r="K208" i="2"/>
  <c r="J208" i="2"/>
  <c r="I218" i="2"/>
  <c r="H217" i="2"/>
  <c r="O271" i="2"/>
  <c r="Q271" i="2"/>
  <c r="N271" i="2"/>
  <c r="I172" i="2"/>
  <c r="H171" i="2"/>
  <c r="L216" i="2"/>
  <c r="J216" i="2"/>
  <c r="N242" i="2"/>
  <c r="Q242" i="2"/>
  <c r="P249" i="2"/>
  <c r="Q249" i="2"/>
  <c r="N249" i="2"/>
  <c r="I121" i="2"/>
  <c r="H120" i="2"/>
  <c r="M200" i="2"/>
  <c r="J200" i="2"/>
  <c r="M213" i="2"/>
  <c r="L213" i="2"/>
  <c r="K213" i="2"/>
  <c r="J213" i="2"/>
  <c r="H224" i="2"/>
  <c r="I225" i="2"/>
  <c r="O249" i="2"/>
  <c r="J256" i="2"/>
  <c r="L256" i="2"/>
  <c r="L279" i="2"/>
  <c r="J279" i="2"/>
  <c r="K216" i="2"/>
  <c r="K237" i="2"/>
  <c r="K256" i="2"/>
  <c r="K271" i="2"/>
  <c r="J271" i="2"/>
  <c r="J272" i="2"/>
  <c r="L272" i="2"/>
  <c r="M272" i="2"/>
  <c r="I186" i="2"/>
  <c r="H185" i="2"/>
  <c r="H210" i="2"/>
  <c r="I211" i="2"/>
  <c r="O247" i="2"/>
  <c r="Q247" i="2"/>
  <c r="N247" i="2"/>
  <c r="I200" i="2"/>
  <c r="H199" i="2"/>
  <c r="L226" i="2"/>
  <c r="J226" i="2"/>
  <c r="K226" i="2"/>
  <c r="M226" i="2"/>
  <c r="J274" i="2"/>
  <c r="K274" i="2"/>
  <c r="K267" i="2"/>
  <c r="L267" i="2"/>
  <c r="I223" i="2"/>
  <c r="H222" i="2"/>
  <c r="I245" i="2"/>
  <c r="H244" i="2"/>
  <c r="N219" i="2"/>
  <c r="H260" i="2"/>
  <c r="I261" i="2"/>
  <c r="I265" i="2"/>
  <c r="H264" i="2"/>
  <c r="I255" i="2"/>
  <c r="N280" i="2"/>
  <c r="P280" i="2"/>
  <c r="J266" i="2"/>
  <c r="Q35" i="2" l="1"/>
  <c r="N35" i="2"/>
  <c r="P101" i="2"/>
  <c r="N101" i="2"/>
  <c r="O35" i="2"/>
  <c r="K168" i="2"/>
  <c r="K130" i="2"/>
  <c r="Q101" i="2"/>
  <c r="J25" i="2"/>
  <c r="L130" i="2"/>
  <c r="M130" i="2"/>
  <c r="J247" i="2"/>
  <c r="Q4" i="2"/>
  <c r="Y4" i="2" s="1"/>
  <c r="J63" i="2"/>
  <c r="K132" i="2"/>
  <c r="L206" i="2"/>
  <c r="P253" i="2"/>
  <c r="L63" i="2"/>
  <c r="M192" i="2"/>
  <c r="J123" i="2"/>
  <c r="J49" i="2"/>
  <c r="Q260" i="2"/>
  <c r="K51" i="2"/>
  <c r="L203" i="2"/>
  <c r="Q157" i="2"/>
  <c r="J241" i="2"/>
  <c r="O83" i="2"/>
  <c r="J109" i="2"/>
  <c r="O19" i="2"/>
  <c r="M122" i="2"/>
  <c r="N42" i="2"/>
  <c r="P154" i="2"/>
  <c r="P42" i="2"/>
  <c r="M63" i="2"/>
  <c r="M140" i="2"/>
  <c r="P194" i="2"/>
  <c r="Q154" i="2"/>
  <c r="L2" i="2"/>
  <c r="T2" i="2" s="1"/>
  <c r="T3" i="2" s="1"/>
  <c r="T4" i="2" s="1"/>
  <c r="T5" i="2" s="1"/>
  <c r="P83" i="2"/>
  <c r="K218" i="2"/>
  <c r="N214" i="2"/>
  <c r="K142" i="2"/>
  <c r="J51" i="2"/>
  <c r="Q232" i="2"/>
  <c r="Q11" i="2"/>
  <c r="M28" i="2"/>
  <c r="M218" i="2"/>
  <c r="N194" i="2"/>
  <c r="P232" i="2"/>
  <c r="L275" i="2"/>
  <c r="P11" i="2"/>
  <c r="O10" i="2"/>
  <c r="N267" i="2"/>
  <c r="O232" i="2"/>
  <c r="P91" i="2"/>
  <c r="P28" i="2"/>
  <c r="J218" i="2"/>
  <c r="K211" i="2"/>
  <c r="O155" i="2"/>
  <c r="P13" i="2"/>
  <c r="K149" i="2"/>
  <c r="K28" i="2"/>
  <c r="L28" i="2"/>
  <c r="K206" i="2"/>
  <c r="Q241" i="2"/>
  <c r="Q221" i="2"/>
  <c r="J149" i="2"/>
  <c r="J107" i="2"/>
  <c r="L149" i="2"/>
  <c r="N83" i="2"/>
  <c r="L107" i="2"/>
  <c r="K115" i="2"/>
  <c r="N179" i="2"/>
  <c r="J275" i="2"/>
  <c r="P23" i="2"/>
  <c r="K246" i="2"/>
  <c r="O273" i="2"/>
  <c r="K275" i="2"/>
  <c r="N79" i="2"/>
  <c r="L211" i="2"/>
  <c r="Q155" i="2"/>
  <c r="K207" i="2"/>
  <c r="O241" i="2"/>
  <c r="L140" i="2"/>
  <c r="M203" i="2"/>
  <c r="L168" i="2"/>
  <c r="L132" i="2"/>
  <c r="M107" i="2"/>
  <c r="L182" i="2"/>
  <c r="Q13" i="2"/>
  <c r="L245" i="2"/>
  <c r="K198" i="2"/>
  <c r="J132" i="2"/>
  <c r="K43" i="2"/>
  <c r="M246" i="2"/>
  <c r="J206" i="2"/>
  <c r="L198" i="2"/>
  <c r="M227" i="2"/>
  <c r="M198" i="2"/>
  <c r="K122" i="2"/>
  <c r="K141" i="2"/>
  <c r="N11" i="2"/>
  <c r="M51" i="2"/>
  <c r="O161" i="2"/>
  <c r="Q28" i="2"/>
  <c r="L243" i="2"/>
  <c r="J122" i="2"/>
  <c r="O279" i="2"/>
  <c r="J141" i="2"/>
  <c r="K20" i="2"/>
  <c r="K123" i="2"/>
  <c r="O28" i="2"/>
  <c r="N56" i="2"/>
  <c r="L141" i="2"/>
  <c r="K88" i="2"/>
  <c r="Q279" i="2"/>
  <c r="K243" i="2"/>
  <c r="Q234" i="2"/>
  <c r="L20" i="2"/>
  <c r="M25" i="2"/>
  <c r="P279" i="2"/>
  <c r="N130" i="2"/>
  <c r="J243" i="2"/>
  <c r="Q65" i="2"/>
  <c r="P123" i="2"/>
  <c r="J85" i="2"/>
  <c r="J245" i="2"/>
  <c r="J265" i="2"/>
  <c r="Q179" i="2"/>
  <c r="K241" i="2"/>
  <c r="M241" i="2"/>
  <c r="J165" i="2"/>
  <c r="J195" i="2"/>
  <c r="N13" i="2"/>
  <c r="K192" i="2"/>
  <c r="L265" i="2"/>
  <c r="P179" i="2"/>
  <c r="K203" i="2"/>
  <c r="J201" i="2"/>
  <c r="O194" i="2"/>
  <c r="K195" i="2"/>
  <c r="M102" i="2"/>
  <c r="O50" i="2"/>
  <c r="M20" i="2"/>
  <c r="O254" i="2"/>
  <c r="M229" i="2"/>
  <c r="Q53" i="2"/>
  <c r="K277" i="2"/>
  <c r="J229" i="2"/>
  <c r="N268" i="2"/>
  <c r="O201" i="2"/>
  <c r="J168" i="2"/>
  <c r="O53" i="2"/>
  <c r="P50" i="2"/>
  <c r="Q98" i="2"/>
  <c r="K229" i="2"/>
  <c r="Q85" i="2"/>
  <c r="P220" i="2"/>
  <c r="J246" i="2"/>
  <c r="P10" i="2"/>
  <c r="L101" i="2"/>
  <c r="N85" i="2"/>
  <c r="K102" i="2"/>
  <c r="O123" i="2"/>
  <c r="M115" i="2"/>
  <c r="N195" i="2"/>
  <c r="L115" i="2"/>
  <c r="Q10" i="2"/>
  <c r="O85" i="2"/>
  <c r="O78" i="2"/>
  <c r="N78" i="2"/>
  <c r="O221" i="2"/>
  <c r="Q272" i="2"/>
  <c r="O203" i="2"/>
  <c r="M95" i="2"/>
  <c r="J182" i="2"/>
  <c r="J102" i="2"/>
  <c r="J227" i="2"/>
  <c r="Q70" i="2"/>
  <c r="P70" i="2"/>
  <c r="P78" i="2"/>
  <c r="Q195" i="2"/>
  <c r="N91" i="2"/>
  <c r="L95" i="2"/>
  <c r="K147" i="2"/>
  <c r="Q123" i="2"/>
  <c r="K227" i="2"/>
  <c r="P195" i="2"/>
  <c r="Q91" i="2"/>
  <c r="P221" i="2"/>
  <c r="N272" i="2"/>
  <c r="Q203" i="2"/>
  <c r="K95" i="2"/>
  <c r="K182" i="2"/>
  <c r="O234" i="2"/>
  <c r="N19" i="2"/>
  <c r="Q79" i="2"/>
  <c r="O272" i="2"/>
  <c r="K190" i="2"/>
  <c r="P72" i="2"/>
  <c r="N154" i="2"/>
  <c r="P234" i="2"/>
  <c r="Q19" i="2"/>
  <c r="J190" i="2"/>
  <c r="L195" i="2"/>
  <c r="L123" i="2"/>
  <c r="Q72" i="2"/>
  <c r="O79" i="2"/>
  <c r="M167" i="2"/>
  <c r="L277" i="2"/>
  <c r="P56" i="2"/>
  <c r="O157" i="2"/>
  <c r="M109" i="2"/>
  <c r="M211" i="2"/>
  <c r="P157" i="2"/>
  <c r="P209" i="2"/>
  <c r="K175" i="2"/>
  <c r="K79" i="2"/>
  <c r="L125" i="2"/>
  <c r="M223" i="2"/>
  <c r="N209" i="2"/>
  <c r="L172" i="2"/>
  <c r="P149" i="2"/>
  <c r="N253" i="2"/>
  <c r="L48" i="2"/>
  <c r="J192" i="2"/>
  <c r="M79" i="2"/>
  <c r="O70" i="2"/>
  <c r="L87" i="2"/>
  <c r="J87" i="2"/>
  <c r="J223" i="2"/>
  <c r="Q147" i="2"/>
  <c r="M48" i="2"/>
  <c r="W4" i="2"/>
  <c r="L147" i="2"/>
  <c r="P147" i="2"/>
  <c r="J88" i="2"/>
  <c r="J48" i="2"/>
  <c r="N161" i="2"/>
  <c r="K125" i="2"/>
  <c r="M175" i="2"/>
  <c r="Q146" i="2"/>
  <c r="J175" i="2"/>
  <c r="N146" i="2"/>
  <c r="M2" i="2"/>
  <c r="U2" i="2" s="1"/>
  <c r="U3" i="2" s="1"/>
  <c r="U4" i="2" s="1"/>
  <c r="U5" i="2" s="1"/>
  <c r="K119" i="2"/>
  <c r="K42" i="2"/>
  <c r="K223" i="2"/>
  <c r="P177" i="2"/>
  <c r="K189" i="2"/>
  <c r="O146" i="2"/>
  <c r="L119" i="2"/>
  <c r="L94" i="2"/>
  <c r="K204" i="2"/>
  <c r="K25" i="2"/>
  <c r="K87" i="2"/>
  <c r="Q177" i="2"/>
  <c r="M189" i="2"/>
  <c r="M201" i="2"/>
  <c r="L173" i="2"/>
  <c r="M117" i="2"/>
  <c r="M119" i="2"/>
  <c r="M94" i="2"/>
  <c r="L204" i="2"/>
  <c r="J43" i="2"/>
  <c r="P22" i="2"/>
  <c r="J79" i="2"/>
  <c r="N177" i="2"/>
  <c r="Q209" i="2"/>
  <c r="L189" i="2"/>
  <c r="M173" i="2"/>
  <c r="Q54" i="2"/>
  <c r="J117" i="2"/>
  <c r="K135" i="2"/>
  <c r="K94" i="2"/>
  <c r="J204" i="2"/>
  <c r="Q22" i="2"/>
  <c r="M87" i="2"/>
  <c r="N23" i="2"/>
  <c r="K173" i="2"/>
  <c r="J2" i="2"/>
  <c r="R2" i="2" s="1"/>
  <c r="R3" i="2" s="1"/>
  <c r="R4" i="2" s="1"/>
  <c r="R5" i="2" s="1"/>
  <c r="R6" i="2" s="1"/>
  <c r="P54" i="2"/>
  <c r="K117" i="2"/>
  <c r="M135" i="2"/>
  <c r="N22" i="2"/>
  <c r="N164" i="2"/>
  <c r="K245" i="2"/>
  <c r="J207" i="2"/>
  <c r="L207" i="2"/>
  <c r="O23" i="2"/>
  <c r="J147" i="2"/>
  <c r="K232" i="2"/>
  <c r="L131" i="2"/>
  <c r="O164" i="2"/>
  <c r="J125" i="2"/>
  <c r="N275" i="2"/>
  <c r="Q201" i="2"/>
  <c r="K201" i="2"/>
  <c r="L190" i="2"/>
  <c r="P254" i="2"/>
  <c r="K167" i="2"/>
  <c r="P164" i="2"/>
  <c r="O98" i="2"/>
  <c r="N160" i="2"/>
  <c r="P250" i="2"/>
  <c r="N220" i="2"/>
  <c r="P160" i="2"/>
  <c r="Q275" i="2"/>
  <c r="N201" i="2"/>
  <c r="Q137" i="2"/>
  <c r="L167" i="2"/>
  <c r="P98" i="2"/>
  <c r="J143" i="2"/>
  <c r="Q250" i="2"/>
  <c r="O275" i="2"/>
  <c r="L24" i="2"/>
  <c r="K143" i="2"/>
  <c r="Q160" i="2"/>
  <c r="N273" i="2"/>
  <c r="P66" i="2"/>
  <c r="M24" i="2"/>
  <c r="O149" i="2"/>
  <c r="K26" i="2"/>
  <c r="J26" i="2"/>
  <c r="L88" i="2"/>
  <c r="J11" i="2"/>
  <c r="L143" i="2"/>
  <c r="P273" i="2"/>
  <c r="N66" i="2"/>
  <c r="N149" i="2"/>
  <c r="L165" i="2"/>
  <c r="P4" i="2"/>
  <c r="X4" i="2" s="1"/>
  <c r="J135" i="2"/>
  <c r="O42" i="2"/>
  <c r="K11" i="2"/>
  <c r="O73" i="2"/>
  <c r="O55" i="2"/>
  <c r="M165" i="2"/>
  <c r="P94" i="2"/>
  <c r="K21" i="2"/>
  <c r="N73" i="2"/>
  <c r="N162" i="2"/>
  <c r="Q162" i="2"/>
  <c r="O162" i="2"/>
  <c r="O267" i="2"/>
  <c r="J160" i="2"/>
  <c r="Q114" i="2"/>
  <c r="P55" i="2"/>
  <c r="Q94" i="2"/>
  <c r="K6" i="2"/>
  <c r="M128" i="2"/>
  <c r="L21" i="2"/>
  <c r="J277" i="2"/>
  <c r="M26" i="2"/>
  <c r="J21" i="2"/>
  <c r="Q267" i="2"/>
  <c r="L160" i="2"/>
  <c r="N264" i="2"/>
  <c r="P114" i="2"/>
  <c r="Q55" i="2"/>
  <c r="N4" i="2"/>
  <c r="V4" i="2" s="1"/>
  <c r="K121" i="2"/>
  <c r="L162" i="2"/>
  <c r="N94" i="2"/>
  <c r="M181" i="2"/>
  <c r="P37" i="2"/>
  <c r="L6" i="2"/>
  <c r="K85" i="2"/>
  <c r="O182" i="2"/>
  <c r="O56" i="2"/>
  <c r="O264" i="2"/>
  <c r="N250" i="2"/>
  <c r="N54" i="2"/>
  <c r="N138" i="2"/>
  <c r="L121" i="2"/>
  <c r="J162" i="2"/>
  <c r="J181" i="2"/>
  <c r="N37" i="2"/>
  <c r="O72" i="2"/>
  <c r="M6" i="2"/>
  <c r="M85" i="2"/>
  <c r="N182" i="2"/>
  <c r="N97" i="2"/>
  <c r="L214" i="2"/>
  <c r="M214" i="2"/>
  <c r="K214" i="2"/>
  <c r="J214" i="2"/>
  <c r="Q73" i="2"/>
  <c r="Q214" i="2"/>
  <c r="P155" i="2"/>
  <c r="O138" i="2"/>
  <c r="M121" i="2"/>
  <c r="M162" i="2"/>
  <c r="O37" i="2"/>
  <c r="Q182" i="2"/>
  <c r="P162" i="2"/>
  <c r="N122" i="2"/>
  <c r="Q122" i="2"/>
  <c r="P122" i="2"/>
  <c r="O41" i="2"/>
  <c r="N38" i="2"/>
  <c r="M13" i="2"/>
  <c r="L13" i="2"/>
  <c r="K13" i="2"/>
  <c r="J13" i="2"/>
  <c r="O217" i="2"/>
  <c r="Q217" i="2"/>
  <c r="Q26" i="2"/>
  <c r="O26" i="2"/>
  <c r="P26" i="2"/>
  <c r="N26" i="2"/>
  <c r="M273" i="2"/>
  <c r="K273" i="2"/>
  <c r="J273" i="2"/>
  <c r="P217" i="2"/>
  <c r="P198" i="2"/>
  <c r="N114" i="2"/>
  <c r="K24" i="2"/>
  <c r="O105" i="2"/>
  <c r="Q138" i="2"/>
  <c r="P41" i="2"/>
  <c r="P137" i="2"/>
  <c r="N50" i="2"/>
  <c r="M270" i="2"/>
  <c r="L270" i="2"/>
  <c r="K270" i="2"/>
  <c r="J270" i="2"/>
  <c r="P81" i="2"/>
  <c r="N81" i="2"/>
  <c r="M42" i="2"/>
  <c r="J42" i="2"/>
  <c r="O38" i="2"/>
  <c r="N41" i="2"/>
  <c r="O137" i="2"/>
  <c r="P151" i="2"/>
  <c r="Q151" i="2"/>
  <c r="O151" i="2"/>
  <c r="N151" i="2"/>
  <c r="Q226" i="2"/>
  <c r="P226" i="2"/>
  <c r="O226" i="2"/>
  <c r="P5" i="2"/>
  <c r="Q5" i="2"/>
  <c r="N5" i="2"/>
  <c r="O5" i="2"/>
  <c r="J152" i="2"/>
  <c r="L152" i="2"/>
  <c r="O43" i="2"/>
  <c r="N43" i="2"/>
  <c r="M166" i="2"/>
  <c r="L166" i="2"/>
  <c r="K166" i="2"/>
  <c r="J166" i="2"/>
  <c r="P38" i="2"/>
  <c r="P161" i="2"/>
  <c r="O25" i="2"/>
  <c r="N24" i="2"/>
  <c r="K152" i="2"/>
  <c r="P130" i="2"/>
  <c r="N198" i="2"/>
  <c r="K160" i="2"/>
  <c r="P25" i="2"/>
  <c r="L118" i="2"/>
  <c r="L11" i="2"/>
  <c r="O24" i="2"/>
  <c r="J128" i="2"/>
  <c r="Q268" i="2"/>
  <c r="P268" i="2"/>
  <c r="M179" i="2"/>
  <c r="L179" i="2"/>
  <c r="K179" i="2"/>
  <c r="J179" i="2"/>
  <c r="O198" i="2"/>
  <c r="K209" i="2"/>
  <c r="J232" i="2"/>
  <c r="N84" i="2"/>
  <c r="Q159" i="2"/>
  <c r="S4" i="2"/>
  <c r="S5" i="2" s="1"/>
  <c r="O84" i="2"/>
  <c r="Q25" i="2"/>
  <c r="M118" i="2"/>
  <c r="O12" i="2"/>
  <c r="P24" i="2"/>
  <c r="K128" i="2"/>
  <c r="K70" i="2"/>
  <c r="J70" i="2"/>
  <c r="O122" i="2"/>
  <c r="K49" i="2"/>
  <c r="M49" i="2"/>
  <c r="M180" i="2"/>
  <c r="L180" i="2"/>
  <c r="K180" i="2"/>
  <c r="J180" i="2"/>
  <c r="L96" i="2"/>
  <c r="K96" i="2"/>
  <c r="J96" i="2"/>
  <c r="M96" i="2"/>
  <c r="Q257" i="2"/>
  <c r="L209" i="2"/>
  <c r="N147" i="2"/>
  <c r="N159" i="2"/>
  <c r="Q253" i="2"/>
  <c r="P84" i="2"/>
  <c r="N254" i="2"/>
  <c r="N12" i="2"/>
  <c r="K118" i="2"/>
  <c r="P12" i="2"/>
  <c r="O62" i="2"/>
  <c r="Q62" i="2"/>
  <c r="P62" i="2"/>
  <c r="N62" i="2"/>
  <c r="J114" i="2"/>
  <c r="L114" i="2"/>
  <c r="M114" i="2"/>
  <c r="K114" i="2"/>
  <c r="N226" i="2"/>
  <c r="K202" i="2"/>
  <c r="M202" i="2"/>
  <c r="L202" i="2"/>
  <c r="J202" i="2"/>
  <c r="O97" i="2"/>
  <c r="P97" i="2"/>
  <c r="Q181" i="2"/>
  <c r="P181" i="2"/>
  <c r="N181" i="2"/>
  <c r="M209" i="2"/>
  <c r="O240" i="2"/>
  <c r="L70" i="2"/>
  <c r="O159" i="2"/>
  <c r="P178" i="2"/>
  <c r="O197" i="2"/>
  <c r="N197" i="2"/>
  <c r="Q197" i="2"/>
  <c r="P197" i="2"/>
  <c r="N163" i="2"/>
  <c r="Q163" i="2"/>
  <c r="P163" i="2"/>
  <c r="M154" i="2"/>
  <c r="K154" i="2"/>
  <c r="J154" i="2"/>
  <c r="L154" i="2"/>
  <c r="K248" i="2"/>
  <c r="J248" i="2"/>
  <c r="M248" i="2"/>
  <c r="L248" i="2"/>
  <c r="K64" i="2"/>
  <c r="J64" i="2"/>
  <c r="O130" i="2"/>
  <c r="Q277" i="2"/>
  <c r="N277" i="2"/>
  <c r="P277" i="2"/>
  <c r="O277" i="2"/>
  <c r="O231" i="2"/>
  <c r="N240" i="2"/>
  <c r="Q178" i="2"/>
  <c r="J99" i="2"/>
  <c r="L99" i="2"/>
  <c r="M99" i="2"/>
  <c r="P257" i="2"/>
  <c r="N257" i="2"/>
  <c r="P191" i="2"/>
  <c r="Q191" i="2"/>
  <c r="O191" i="2"/>
  <c r="N231" i="2"/>
  <c r="N203" i="2"/>
  <c r="O81" i="2"/>
  <c r="P214" i="2"/>
  <c r="J172" i="2"/>
  <c r="P240" i="2"/>
  <c r="N65" i="2"/>
  <c r="Q105" i="2"/>
  <c r="K181" i="2"/>
  <c r="Q220" i="2"/>
  <c r="N178" i="2"/>
  <c r="J131" i="2"/>
  <c r="K131" i="2"/>
  <c r="Q231" i="2"/>
  <c r="K172" i="2"/>
  <c r="O66" i="2"/>
  <c r="P65" i="2"/>
  <c r="N105" i="2"/>
  <c r="M64" i="2"/>
  <c r="O238" i="2"/>
  <c r="Q238" i="2"/>
  <c r="P238" i="2"/>
  <c r="N238" i="2"/>
  <c r="K265" i="2"/>
  <c r="O192" i="2"/>
  <c r="N192" i="2"/>
  <c r="Q192" i="2"/>
  <c r="P192" i="2"/>
  <c r="J91" i="2"/>
  <c r="M91" i="2"/>
  <c r="L91" i="2"/>
  <c r="K91" i="2"/>
  <c r="Q152" i="2"/>
  <c r="P152" i="2"/>
  <c r="N152" i="2"/>
  <c r="O152" i="2"/>
  <c r="O243" i="2"/>
  <c r="Q243" i="2"/>
  <c r="P243" i="2"/>
  <c r="N243" i="2"/>
  <c r="P184" i="2"/>
  <c r="O184" i="2"/>
  <c r="N184" i="2"/>
  <c r="Q184" i="2"/>
  <c r="M191" i="2"/>
  <c r="L191" i="2"/>
  <c r="K191" i="2"/>
  <c r="J191" i="2"/>
  <c r="N140" i="2"/>
  <c r="O140" i="2"/>
  <c r="P140" i="2"/>
  <c r="Q140" i="2"/>
  <c r="O92" i="2"/>
  <c r="N92" i="2"/>
  <c r="P92" i="2"/>
  <c r="Q92" i="2"/>
  <c r="K32" i="2"/>
  <c r="J32" i="2"/>
  <c r="L32" i="2"/>
  <c r="M32" i="2"/>
  <c r="J264" i="2"/>
  <c r="M264" i="2"/>
  <c r="K264" i="2"/>
  <c r="L264" i="2"/>
  <c r="J199" i="2"/>
  <c r="L199" i="2"/>
  <c r="K199" i="2"/>
  <c r="M199" i="2"/>
  <c r="M183" i="2"/>
  <c r="K183" i="2"/>
  <c r="L183" i="2"/>
  <c r="J183" i="2"/>
  <c r="M139" i="2"/>
  <c r="K139" i="2"/>
  <c r="J139" i="2"/>
  <c r="L139" i="2"/>
  <c r="N265" i="2"/>
  <c r="Q265" i="2"/>
  <c r="P265" i="2"/>
  <c r="O265" i="2"/>
  <c r="Q200" i="2"/>
  <c r="P200" i="2"/>
  <c r="O200" i="2"/>
  <c r="N200" i="2"/>
  <c r="L186" i="2"/>
  <c r="K186" i="2"/>
  <c r="M186" i="2"/>
  <c r="J186" i="2"/>
  <c r="N263" i="2"/>
  <c r="Q263" i="2"/>
  <c r="P263" i="2"/>
  <c r="O263" i="2"/>
  <c r="Q69" i="2"/>
  <c r="P69" i="2"/>
  <c r="N69" i="2"/>
  <c r="O69" i="2"/>
  <c r="N90" i="2"/>
  <c r="Q90" i="2"/>
  <c r="P90" i="2"/>
  <c r="O90" i="2"/>
  <c r="N261" i="2"/>
  <c r="Q261" i="2"/>
  <c r="P261" i="2"/>
  <c r="O261" i="2"/>
  <c r="L120" i="2"/>
  <c r="J120" i="2"/>
  <c r="K120" i="2"/>
  <c r="M120" i="2"/>
  <c r="P187" i="2"/>
  <c r="O187" i="2"/>
  <c r="N187" i="2"/>
  <c r="Q187" i="2"/>
  <c r="M74" i="2"/>
  <c r="L74" i="2"/>
  <c r="K74" i="2"/>
  <c r="J74" i="2"/>
  <c r="Q262" i="2"/>
  <c r="O262" i="2"/>
  <c r="N262" i="2"/>
  <c r="P262" i="2"/>
  <c r="L89" i="2"/>
  <c r="K89" i="2"/>
  <c r="J89" i="2"/>
  <c r="M89" i="2"/>
  <c r="J260" i="2"/>
  <c r="L260" i="2"/>
  <c r="K260" i="2"/>
  <c r="M260" i="2"/>
  <c r="N225" i="2"/>
  <c r="Q225" i="2"/>
  <c r="O225" i="2"/>
  <c r="P225" i="2"/>
  <c r="Q121" i="2"/>
  <c r="P121" i="2"/>
  <c r="O121" i="2"/>
  <c r="N121" i="2"/>
  <c r="M228" i="2"/>
  <c r="J228" i="2"/>
  <c r="K228" i="2"/>
  <c r="L228" i="2"/>
  <c r="N75" i="2"/>
  <c r="Q75" i="2"/>
  <c r="P75" i="2"/>
  <c r="O75" i="2"/>
  <c r="J261" i="2"/>
  <c r="M261" i="2"/>
  <c r="L261" i="2"/>
  <c r="K261" i="2"/>
  <c r="K134" i="2"/>
  <c r="J134" i="2"/>
  <c r="M134" i="2"/>
  <c r="L134" i="2"/>
  <c r="L212" i="2"/>
  <c r="M212" i="2"/>
  <c r="J212" i="2"/>
  <c r="K212" i="2"/>
  <c r="P82" i="2"/>
  <c r="O82" i="2"/>
  <c r="Q82" i="2"/>
  <c r="N82" i="2"/>
  <c r="O236" i="2"/>
  <c r="Q236" i="2"/>
  <c r="N236" i="2"/>
  <c r="P236" i="2"/>
  <c r="Q87" i="2"/>
  <c r="O87" i="2"/>
  <c r="P87" i="2"/>
  <c r="N87" i="2"/>
  <c r="N59" i="2"/>
  <c r="Q59" i="2"/>
  <c r="O59" i="2"/>
  <c r="P59" i="2"/>
  <c r="Q58" i="2"/>
  <c r="P58" i="2"/>
  <c r="N58" i="2"/>
  <c r="O58" i="2"/>
  <c r="Q252" i="2"/>
  <c r="P252" i="2"/>
  <c r="N252" i="2"/>
  <c r="O252" i="2"/>
  <c r="K133" i="2"/>
  <c r="L133" i="2"/>
  <c r="J133" i="2"/>
  <c r="M133" i="2"/>
  <c r="J126" i="2"/>
  <c r="K126" i="2"/>
  <c r="M126" i="2"/>
  <c r="L126" i="2"/>
  <c r="P63" i="2"/>
  <c r="O63" i="2"/>
  <c r="Q63" i="2"/>
  <c r="N63" i="2"/>
  <c r="M205" i="2"/>
  <c r="J205" i="2"/>
  <c r="L205" i="2"/>
  <c r="K205" i="2"/>
  <c r="P213" i="2"/>
  <c r="Q213" i="2"/>
  <c r="O213" i="2"/>
  <c r="N213" i="2"/>
  <c r="Q189" i="2"/>
  <c r="P189" i="2"/>
  <c r="N189" i="2"/>
  <c r="O189" i="2"/>
  <c r="O206" i="2"/>
  <c r="P206" i="2"/>
  <c r="Q206" i="2"/>
  <c r="N206" i="2"/>
  <c r="Q32" i="2"/>
  <c r="P32" i="2"/>
  <c r="O32" i="2"/>
  <c r="N32" i="2"/>
  <c r="P109" i="2"/>
  <c r="O109" i="2"/>
  <c r="N109" i="2"/>
  <c r="Q109" i="2"/>
  <c r="M251" i="2"/>
  <c r="L251" i="2"/>
  <c r="K251" i="2"/>
  <c r="J251" i="2"/>
  <c r="L138" i="2"/>
  <c r="M138" i="2"/>
  <c r="J138" i="2"/>
  <c r="K138" i="2"/>
  <c r="J62" i="2"/>
  <c r="M62" i="2"/>
  <c r="L62" i="2"/>
  <c r="K62" i="2"/>
  <c r="J187" i="2"/>
  <c r="K187" i="2"/>
  <c r="M187" i="2"/>
  <c r="L187" i="2"/>
  <c r="Q18" i="2"/>
  <c r="P18" i="2"/>
  <c r="O18" i="2"/>
  <c r="N18" i="2"/>
  <c r="O39" i="2"/>
  <c r="P39" i="2"/>
  <c r="N39" i="2"/>
  <c r="Q39" i="2"/>
  <c r="L58" i="2"/>
  <c r="K58" i="2"/>
  <c r="J58" i="2"/>
  <c r="M58" i="2"/>
  <c r="O211" i="2"/>
  <c r="N211" i="2"/>
  <c r="Q211" i="2"/>
  <c r="P211" i="2"/>
  <c r="K250" i="2"/>
  <c r="M250" i="2"/>
  <c r="J250" i="2"/>
  <c r="L250" i="2"/>
  <c r="Q46" i="2"/>
  <c r="P46" i="2"/>
  <c r="O46" i="2"/>
  <c r="N46" i="2"/>
  <c r="O188" i="2"/>
  <c r="N188" i="2"/>
  <c r="Q188" i="2"/>
  <c r="P188" i="2"/>
  <c r="J15" i="2"/>
  <c r="M15" i="2"/>
  <c r="L15" i="2"/>
  <c r="K15" i="2"/>
  <c r="O104" i="2"/>
  <c r="N104" i="2"/>
  <c r="P104" i="2"/>
  <c r="Q104" i="2"/>
  <c r="M38" i="2"/>
  <c r="L38" i="2"/>
  <c r="J38" i="2"/>
  <c r="K38" i="2"/>
  <c r="O113" i="2"/>
  <c r="Q113" i="2"/>
  <c r="P113" i="2"/>
  <c r="N113" i="2"/>
  <c r="J210" i="2"/>
  <c r="M210" i="2"/>
  <c r="L210" i="2"/>
  <c r="K210" i="2"/>
  <c r="N251" i="2"/>
  <c r="Q251" i="2"/>
  <c r="P251" i="2"/>
  <c r="O251" i="2"/>
  <c r="Q57" i="2"/>
  <c r="P57" i="2"/>
  <c r="O57" i="2"/>
  <c r="N57" i="2"/>
  <c r="Q76" i="2"/>
  <c r="P76" i="2"/>
  <c r="O76" i="2"/>
  <c r="N76" i="2"/>
  <c r="J45" i="2"/>
  <c r="M45" i="2"/>
  <c r="L45" i="2"/>
  <c r="K45" i="2"/>
  <c r="P16" i="2"/>
  <c r="O16" i="2"/>
  <c r="Q16" i="2"/>
  <c r="N16" i="2"/>
  <c r="J60" i="2"/>
  <c r="M60" i="2"/>
  <c r="L60" i="2"/>
  <c r="K60" i="2"/>
  <c r="N135" i="2"/>
  <c r="O135" i="2"/>
  <c r="P135" i="2"/>
  <c r="Q135" i="2"/>
  <c r="J31" i="2"/>
  <c r="K31" i="2"/>
  <c r="L31" i="2"/>
  <c r="M31" i="2"/>
  <c r="K235" i="2"/>
  <c r="M235" i="2"/>
  <c r="L235" i="2"/>
  <c r="J235" i="2"/>
  <c r="J127" i="2"/>
  <c r="M127" i="2"/>
  <c r="L127" i="2"/>
  <c r="K127" i="2"/>
  <c r="Q245" i="2"/>
  <c r="N245" i="2"/>
  <c r="P245" i="2"/>
  <c r="O245" i="2"/>
  <c r="J185" i="2"/>
  <c r="K185" i="2"/>
  <c r="L185" i="2"/>
  <c r="M185" i="2"/>
  <c r="K56" i="2"/>
  <c r="J56" i="2"/>
  <c r="M56" i="2"/>
  <c r="L56" i="2"/>
  <c r="O17" i="2"/>
  <c r="N17" i="2"/>
  <c r="Q17" i="2"/>
  <c r="P17" i="2"/>
  <c r="K174" i="2"/>
  <c r="J174" i="2"/>
  <c r="M174" i="2"/>
  <c r="L174" i="2"/>
  <c r="K14" i="2"/>
  <c r="J14" i="2"/>
  <c r="M14" i="2"/>
  <c r="L14" i="2"/>
  <c r="Q61" i="2"/>
  <c r="P61" i="2"/>
  <c r="O61" i="2"/>
  <c r="N61" i="2"/>
  <c r="P269" i="2"/>
  <c r="N269" i="2"/>
  <c r="O269" i="2"/>
  <c r="Q269" i="2"/>
  <c r="N134" i="2"/>
  <c r="P134" i="2"/>
  <c r="O134" i="2"/>
  <c r="Q134" i="2"/>
  <c r="O127" i="2"/>
  <c r="P127" i="2"/>
  <c r="Q127" i="2"/>
  <c r="N127" i="2"/>
  <c r="L268" i="2"/>
  <c r="M268" i="2"/>
  <c r="J268" i="2"/>
  <c r="K268" i="2"/>
  <c r="M222" i="2"/>
  <c r="L222" i="2"/>
  <c r="K222" i="2"/>
  <c r="J222" i="2"/>
  <c r="P186" i="2"/>
  <c r="O186" i="2"/>
  <c r="N186" i="2"/>
  <c r="Q186" i="2"/>
  <c r="P235" i="2"/>
  <c r="N235" i="2"/>
  <c r="Q235" i="2"/>
  <c r="O235" i="2"/>
  <c r="N255" i="2"/>
  <c r="Q255" i="2"/>
  <c r="P255" i="2"/>
  <c r="O255" i="2"/>
  <c r="P223" i="2"/>
  <c r="N223" i="2"/>
  <c r="O223" i="2"/>
  <c r="Q223" i="2"/>
  <c r="O229" i="2"/>
  <c r="N229" i="2"/>
  <c r="Q229" i="2"/>
  <c r="P229" i="2"/>
  <c r="M151" i="2"/>
  <c r="L151" i="2"/>
  <c r="K151" i="2"/>
  <c r="J151" i="2"/>
  <c r="L242" i="2"/>
  <c r="K242" i="2"/>
  <c r="M242" i="2"/>
  <c r="J242" i="2"/>
  <c r="M35" i="2"/>
  <c r="L35" i="2"/>
  <c r="K35" i="2"/>
  <c r="J35" i="2"/>
  <c r="J16" i="2"/>
  <c r="K16" i="2"/>
  <c r="M16" i="2"/>
  <c r="L16" i="2"/>
  <c r="L81" i="2"/>
  <c r="J81" i="2"/>
  <c r="M81" i="2"/>
  <c r="K81" i="2"/>
  <c r="L262" i="2"/>
  <c r="K262" i="2"/>
  <c r="J262" i="2"/>
  <c r="M262" i="2"/>
  <c r="O175" i="2"/>
  <c r="N175" i="2"/>
  <c r="Q175" i="2"/>
  <c r="P175" i="2"/>
  <c r="J17" i="2"/>
  <c r="M17" i="2"/>
  <c r="L17" i="2"/>
  <c r="K17" i="2"/>
  <c r="J68" i="2"/>
  <c r="M68" i="2"/>
  <c r="L68" i="2"/>
  <c r="K68" i="2"/>
  <c r="J108" i="2"/>
  <c r="M108" i="2"/>
  <c r="L108" i="2"/>
  <c r="K108" i="2"/>
  <c r="P68" i="2"/>
  <c r="N68" i="2"/>
  <c r="Q68" i="2"/>
  <c r="O68" i="2"/>
  <c r="L86" i="2"/>
  <c r="K86" i="2"/>
  <c r="J86" i="2"/>
  <c r="M86" i="2"/>
  <c r="P15" i="2"/>
  <c r="O15" i="2"/>
  <c r="N15" i="2"/>
  <c r="Q15" i="2"/>
  <c r="J103" i="2"/>
  <c r="L103" i="2"/>
  <c r="M103" i="2"/>
  <c r="K103" i="2"/>
  <c r="J76" i="2"/>
  <c r="L76" i="2"/>
  <c r="K76" i="2"/>
  <c r="M76" i="2"/>
  <c r="L112" i="2"/>
  <c r="K112" i="2"/>
  <c r="J112" i="2"/>
  <c r="M112" i="2"/>
  <c r="O99" i="2"/>
  <c r="N99" i="2"/>
  <c r="Q99" i="2"/>
  <c r="P99" i="2"/>
  <c r="L67" i="2"/>
  <c r="M67" i="2"/>
  <c r="K67" i="2"/>
  <c r="J67" i="2"/>
  <c r="L33" i="2"/>
  <c r="K33" i="2"/>
  <c r="J33" i="2"/>
  <c r="M33" i="2"/>
  <c r="Q77" i="2"/>
  <c r="P77" i="2"/>
  <c r="O77" i="2"/>
  <c r="N77" i="2"/>
  <c r="O8" i="2"/>
  <c r="N8" i="2"/>
  <c r="Q8" i="2"/>
  <c r="P8" i="2"/>
  <c r="J224" i="2"/>
  <c r="M224" i="2"/>
  <c r="K224" i="2"/>
  <c r="L224" i="2"/>
  <c r="K221" i="2"/>
  <c r="J221" i="2"/>
  <c r="M221" i="2"/>
  <c r="L221" i="2"/>
  <c r="P258" i="2"/>
  <c r="Q258" i="2"/>
  <c r="O258" i="2"/>
  <c r="N258" i="2"/>
  <c r="Q125" i="2"/>
  <c r="P125" i="2"/>
  <c r="O125" i="2"/>
  <c r="N125" i="2"/>
  <c r="M98" i="2"/>
  <c r="L98" i="2"/>
  <c r="K98" i="2"/>
  <c r="J98" i="2"/>
  <c r="M111" i="2"/>
  <c r="K111" i="2"/>
  <c r="L111" i="2"/>
  <c r="J111" i="2"/>
  <c r="P34" i="2"/>
  <c r="O34" i="2"/>
  <c r="N34" i="2"/>
  <c r="Q34" i="2"/>
  <c r="J66" i="2"/>
  <c r="M66" i="2"/>
  <c r="K66" i="2"/>
  <c r="L66" i="2"/>
  <c r="M8" i="2"/>
  <c r="L8" i="2"/>
  <c r="J8" i="2"/>
  <c r="K8" i="2"/>
  <c r="M7" i="2"/>
  <c r="L7" i="2"/>
  <c r="K7" i="2"/>
  <c r="J7" i="2"/>
  <c r="N111" i="2"/>
  <c r="Q111" i="2"/>
  <c r="P111" i="2"/>
  <c r="O111" i="2"/>
  <c r="M171" i="2"/>
  <c r="L171" i="2"/>
  <c r="K171" i="2"/>
  <c r="J171" i="2"/>
  <c r="N117" i="2"/>
  <c r="Q117" i="2"/>
  <c r="P117" i="2"/>
  <c r="O117" i="2"/>
  <c r="Q216" i="2"/>
  <c r="N216" i="2"/>
  <c r="P216" i="2"/>
  <c r="O216" i="2"/>
  <c r="K236" i="2"/>
  <c r="M236" i="2"/>
  <c r="L236" i="2"/>
  <c r="J236" i="2"/>
  <c r="P145" i="2"/>
  <c r="Q145" i="2"/>
  <c r="O145" i="2"/>
  <c r="N145" i="2"/>
  <c r="M29" i="2"/>
  <c r="L29" i="2"/>
  <c r="K29" i="2"/>
  <c r="J29" i="2"/>
  <c r="L258" i="2"/>
  <c r="J258" i="2"/>
  <c r="K258" i="2"/>
  <c r="M258" i="2"/>
  <c r="O222" i="2"/>
  <c r="Q222" i="2"/>
  <c r="P222" i="2"/>
  <c r="N222" i="2"/>
  <c r="M257" i="2"/>
  <c r="L257" i="2"/>
  <c r="J257" i="2"/>
  <c r="K257" i="2"/>
  <c r="L124" i="2"/>
  <c r="K124" i="2"/>
  <c r="M124" i="2"/>
  <c r="J124" i="2"/>
  <c r="M157" i="2"/>
  <c r="L157" i="2"/>
  <c r="K157" i="2"/>
  <c r="J157" i="2"/>
  <c r="N112" i="2"/>
  <c r="Q112" i="2"/>
  <c r="P112" i="2"/>
  <c r="O112" i="2"/>
  <c r="L164" i="2"/>
  <c r="K164" i="2"/>
  <c r="M164" i="2"/>
  <c r="J164" i="2"/>
  <c r="K44" i="2"/>
  <c r="J44" i="2"/>
  <c r="L44" i="2"/>
  <c r="M44" i="2"/>
  <c r="Q185" i="2"/>
  <c r="P185" i="2"/>
  <c r="O185" i="2"/>
  <c r="N185" i="2"/>
  <c r="L110" i="2"/>
  <c r="J110" i="2"/>
  <c r="M110" i="2"/>
  <c r="K110" i="2"/>
  <c r="P172" i="2"/>
  <c r="O172" i="2"/>
  <c r="Q172" i="2"/>
  <c r="N172" i="2"/>
  <c r="Q106" i="2"/>
  <c r="O106" i="2"/>
  <c r="N106" i="2"/>
  <c r="P106" i="2"/>
  <c r="L215" i="2"/>
  <c r="K215" i="2"/>
  <c r="J215" i="2"/>
  <c r="M215" i="2"/>
  <c r="P237" i="2"/>
  <c r="Q237" i="2"/>
  <c r="O237" i="2"/>
  <c r="N237" i="2"/>
  <c r="N256" i="2"/>
  <c r="O256" i="2"/>
  <c r="Q256" i="2"/>
  <c r="P256" i="2"/>
  <c r="L144" i="2"/>
  <c r="K144" i="2"/>
  <c r="M144" i="2"/>
  <c r="J144" i="2"/>
  <c r="P30" i="2"/>
  <c r="N30" i="2"/>
  <c r="Q30" i="2"/>
  <c r="O30" i="2"/>
  <c r="Q259" i="2"/>
  <c r="P259" i="2"/>
  <c r="N259" i="2"/>
  <c r="O259" i="2"/>
  <c r="N239" i="2"/>
  <c r="O239" i="2"/>
  <c r="P239" i="2"/>
  <c r="Q239" i="2"/>
  <c r="K46" i="2"/>
  <c r="J46" i="2"/>
  <c r="M46" i="2"/>
  <c r="L46" i="2"/>
  <c r="O170" i="2"/>
  <c r="N170" i="2"/>
  <c r="P170" i="2"/>
  <c r="Q170" i="2"/>
  <c r="P40" i="2"/>
  <c r="N40" i="2"/>
  <c r="Q40" i="2"/>
  <c r="O40" i="2"/>
  <c r="Q158" i="2"/>
  <c r="P158" i="2"/>
  <c r="O158" i="2"/>
  <c r="N158" i="2"/>
  <c r="J73" i="2"/>
  <c r="K73" i="2"/>
  <c r="L73" i="2"/>
  <c r="M73" i="2"/>
  <c r="P165" i="2"/>
  <c r="N165" i="2"/>
  <c r="Q165" i="2"/>
  <c r="O165" i="2"/>
  <c r="Q171" i="2"/>
  <c r="O171" i="2"/>
  <c r="N171" i="2"/>
  <c r="P171" i="2"/>
  <c r="O45" i="2"/>
  <c r="N45" i="2"/>
  <c r="P45" i="2"/>
  <c r="Q45" i="2"/>
  <c r="M184" i="2"/>
  <c r="L184" i="2"/>
  <c r="K184" i="2"/>
  <c r="J184" i="2"/>
  <c r="J217" i="2"/>
  <c r="L217" i="2"/>
  <c r="K217" i="2"/>
  <c r="M217" i="2"/>
  <c r="M255" i="2"/>
  <c r="K255" i="2"/>
  <c r="L255" i="2"/>
  <c r="J255" i="2"/>
  <c r="J238" i="2"/>
  <c r="K238" i="2"/>
  <c r="M238" i="2"/>
  <c r="L238" i="2"/>
  <c r="N47" i="2"/>
  <c r="Q47" i="2"/>
  <c r="O47" i="2"/>
  <c r="P47" i="2"/>
  <c r="J169" i="2"/>
  <c r="M169" i="2"/>
  <c r="L169" i="2"/>
  <c r="K169" i="2"/>
  <c r="M106" i="2"/>
  <c r="K106" i="2"/>
  <c r="L106" i="2"/>
  <c r="J106" i="2"/>
  <c r="P51" i="2"/>
  <c r="O51" i="2"/>
  <c r="Q51" i="2"/>
  <c r="N51" i="2"/>
  <c r="M59" i="2"/>
  <c r="L59" i="2"/>
  <c r="K59" i="2"/>
  <c r="J59" i="2"/>
  <c r="L155" i="2"/>
  <c r="M155" i="2"/>
  <c r="J155" i="2"/>
  <c r="K155" i="2"/>
  <c r="K92" i="2"/>
  <c r="J92" i="2"/>
  <c r="M92" i="2"/>
  <c r="L92" i="2"/>
  <c r="Q74" i="2"/>
  <c r="P74" i="2"/>
  <c r="N74" i="2"/>
  <c r="O74" i="2"/>
  <c r="Q6" i="2"/>
  <c r="P6" i="2"/>
  <c r="O6" i="2"/>
  <c r="N6" i="2"/>
  <c r="J170" i="2"/>
  <c r="M170" i="2"/>
  <c r="L170" i="2"/>
  <c r="K170" i="2"/>
  <c r="L30" i="2"/>
  <c r="K30" i="2"/>
  <c r="J30" i="2"/>
  <c r="M30" i="2"/>
  <c r="L19" i="2"/>
  <c r="K19" i="2"/>
  <c r="J19" i="2"/>
  <c r="M19" i="2"/>
  <c r="L244" i="2"/>
  <c r="J244" i="2"/>
  <c r="M244" i="2"/>
  <c r="K244" i="2"/>
  <c r="Q218" i="2"/>
  <c r="O218" i="2"/>
  <c r="N218" i="2"/>
  <c r="P218" i="2"/>
  <c r="Q139" i="2"/>
  <c r="P139" i="2"/>
  <c r="O139" i="2"/>
  <c r="N139" i="2"/>
  <c r="P107" i="2"/>
  <c r="N107" i="2"/>
  <c r="O107" i="2"/>
  <c r="Q107" i="2"/>
  <c r="L50" i="2"/>
  <c r="M50" i="2"/>
  <c r="K50" i="2"/>
  <c r="J50" i="2"/>
  <c r="Q156" i="2"/>
  <c r="N156" i="2"/>
  <c r="P156" i="2"/>
  <c r="O156" i="2"/>
  <c r="Q93" i="2"/>
  <c r="P93" i="2"/>
  <c r="O93" i="2"/>
  <c r="N93" i="2"/>
  <c r="Q48" i="2"/>
  <c r="P48" i="2"/>
  <c r="O48" i="2"/>
  <c r="N48" i="2"/>
  <c r="P128" i="2"/>
  <c r="O128" i="2"/>
  <c r="N128" i="2"/>
  <c r="Q128" i="2"/>
  <c r="Q31" i="2"/>
  <c r="O31" i="2"/>
  <c r="P31" i="2"/>
  <c r="N31" i="2"/>
  <c r="N20" i="2"/>
  <c r="Q20" i="2"/>
  <c r="P20" i="2"/>
  <c r="O20" i="2"/>
  <c r="Q33" i="2"/>
  <c r="P33" i="2"/>
  <c r="O33" i="2"/>
  <c r="N33" i="2"/>
  <c r="W5" i="2" l="1"/>
  <c r="T6" i="2"/>
  <c r="AA2" i="2"/>
  <c r="AA3" i="2" s="1"/>
  <c r="U6" i="2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V5" i="2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X5" i="2"/>
  <c r="AA4" i="2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AA142" i="2" s="1"/>
  <c r="AA143" i="2" s="1"/>
  <c r="AA144" i="2" s="1"/>
  <c r="AA145" i="2" s="1"/>
  <c r="AA146" i="2" s="1"/>
  <c r="AA147" i="2" s="1"/>
  <c r="AA148" i="2" s="1"/>
  <c r="AA149" i="2" s="1"/>
  <c r="AA150" i="2" s="1"/>
  <c r="AA151" i="2" s="1"/>
  <c r="AA152" i="2" s="1"/>
  <c r="AA153" i="2" s="1"/>
  <c r="AA154" i="2" s="1"/>
  <c r="AA155" i="2" s="1"/>
  <c r="AA156" i="2" s="1"/>
  <c r="AA157" i="2" s="1"/>
  <c r="AA158" i="2" s="1"/>
  <c r="AA159" i="2" s="1"/>
  <c r="AA160" i="2" s="1"/>
  <c r="AA161" i="2" s="1"/>
  <c r="AA162" i="2" s="1"/>
  <c r="AA163" i="2" s="1"/>
  <c r="AA164" i="2" s="1"/>
  <c r="AA165" i="2" s="1"/>
  <c r="AA166" i="2" s="1"/>
  <c r="AA167" i="2" s="1"/>
  <c r="AA168" i="2" s="1"/>
  <c r="AA169" i="2" s="1"/>
  <c r="AA170" i="2" s="1"/>
  <c r="AA171" i="2" s="1"/>
  <c r="AA172" i="2" s="1"/>
  <c r="AA173" i="2" s="1"/>
  <c r="AA174" i="2" s="1"/>
  <c r="AA175" i="2" s="1"/>
  <c r="AA176" i="2" s="1"/>
  <c r="AA177" i="2" s="1"/>
  <c r="AA178" i="2" s="1"/>
  <c r="AA179" i="2" s="1"/>
  <c r="AA180" i="2" s="1"/>
  <c r="AA181" i="2" s="1"/>
  <c r="AA182" i="2" s="1"/>
  <c r="AA183" i="2" s="1"/>
  <c r="AA184" i="2" s="1"/>
  <c r="AA185" i="2" s="1"/>
  <c r="AA186" i="2" s="1"/>
  <c r="AA187" i="2" s="1"/>
  <c r="AA188" i="2" s="1"/>
  <c r="AA189" i="2" s="1"/>
  <c r="AA190" i="2" s="1"/>
  <c r="AA191" i="2" s="1"/>
  <c r="AA192" i="2" s="1"/>
  <c r="AA193" i="2" s="1"/>
  <c r="AA194" i="2" s="1"/>
  <c r="AA195" i="2" s="1"/>
  <c r="AA196" i="2" s="1"/>
  <c r="AA197" i="2" s="1"/>
  <c r="AA198" i="2" s="1"/>
  <c r="AA199" i="2" s="1"/>
  <c r="AA200" i="2" s="1"/>
  <c r="AA201" i="2" s="1"/>
  <c r="AA202" i="2" s="1"/>
  <c r="AA203" i="2" s="1"/>
  <c r="AA204" i="2" s="1"/>
  <c r="AA205" i="2" s="1"/>
  <c r="AA206" i="2" s="1"/>
  <c r="AA207" i="2" s="1"/>
  <c r="AA208" i="2" s="1"/>
  <c r="AA209" i="2" s="1"/>
  <c r="AA210" i="2" s="1"/>
  <c r="AA211" i="2" s="1"/>
  <c r="AA212" i="2" s="1"/>
  <c r="AA213" i="2" s="1"/>
  <c r="AA214" i="2" s="1"/>
  <c r="AA215" i="2" s="1"/>
  <c r="AA216" i="2" s="1"/>
  <c r="AA217" i="2" s="1"/>
  <c r="AA218" i="2" s="1"/>
  <c r="AA219" i="2" s="1"/>
  <c r="AA220" i="2" s="1"/>
  <c r="AA221" i="2" s="1"/>
  <c r="AA222" i="2" s="1"/>
  <c r="AA223" i="2" s="1"/>
  <c r="AA224" i="2" s="1"/>
  <c r="AA225" i="2" s="1"/>
  <c r="AA226" i="2" s="1"/>
  <c r="AA227" i="2" s="1"/>
  <c r="AA228" i="2" s="1"/>
  <c r="AA229" i="2" s="1"/>
  <c r="AA230" i="2" s="1"/>
  <c r="AA231" i="2" s="1"/>
  <c r="AA232" i="2" s="1"/>
  <c r="AA233" i="2" s="1"/>
  <c r="AA234" i="2" s="1"/>
  <c r="AA235" i="2" s="1"/>
  <c r="AA236" i="2" s="1"/>
  <c r="AA237" i="2" s="1"/>
  <c r="AA238" i="2" s="1"/>
  <c r="AA239" i="2" s="1"/>
  <c r="AA240" i="2" s="1"/>
  <c r="AA241" i="2" s="1"/>
  <c r="AA242" i="2" s="1"/>
  <c r="AA243" i="2" s="1"/>
  <c r="AA244" i="2" s="1"/>
  <c r="AA245" i="2" s="1"/>
  <c r="AA246" i="2" s="1"/>
  <c r="AA247" i="2" s="1"/>
  <c r="AA248" i="2" s="1"/>
  <c r="AA249" i="2" s="1"/>
  <c r="AA250" i="2" s="1"/>
  <c r="AA251" i="2" s="1"/>
  <c r="AA252" i="2" s="1"/>
  <c r="AA253" i="2" s="1"/>
  <c r="AA254" i="2" s="1"/>
  <c r="AA255" i="2" s="1"/>
  <c r="AA256" i="2" s="1"/>
  <c r="AA257" i="2" s="1"/>
  <c r="AA258" i="2" s="1"/>
  <c r="AA259" i="2" s="1"/>
  <c r="AA260" i="2" s="1"/>
  <c r="AA261" i="2" s="1"/>
  <c r="AA262" i="2" s="1"/>
  <c r="AA263" i="2" s="1"/>
  <c r="AA264" i="2" s="1"/>
  <c r="AA265" i="2" s="1"/>
  <c r="AA266" i="2" s="1"/>
  <c r="AA267" i="2" s="1"/>
  <c r="AA268" i="2" s="1"/>
  <c r="AA269" i="2" s="1"/>
  <c r="AA270" i="2" s="1"/>
  <c r="AA271" i="2" s="1"/>
  <c r="AA272" i="2" s="1"/>
  <c r="AA273" i="2" s="1"/>
  <c r="AA274" i="2" s="1"/>
  <c r="AA275" i="2" s="1"/>
  <c r="AA276" i="2" s="1"/>
  <c r="AA277" i="2" s="1"/>
  <c r="AA278" i="2" s="1"/>
  <c r="AA279" i="2" s="1"/>
  <c r="AA280" i="2" s="1"/>
  <c r="S6" i="2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X6" i="2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2" i="2" s="1"/>
  <c r="X273" i="2" s="1"/>
  <c r="X274" i="2" s="1"/>
  <c r="X275" i="2" s="1"/>
  <c r="X276" i="2" s="1"/>
  <c r="X277" i="2" s="1"/>
  <c r="X278" i="2" s="1"/>
  <c r="X279" i="2" s="1"/>
  <c r="X280" i="2" s="1"/>
  <c r="W6" i="2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Y5" i="2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R7" i="2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R138" i="2" s="1"/>
  <c r="R139" i="2" s="1"/>
  <c r="R140" i="2" s="1"/>
  <c r="R141" i="2" s="1"/>
  <c r="R142" i="2" s="1"/>
  <c r="R143" i="2" s="1"/>
  <c r="R144" i="2" s="1"/>
  <c r="R145" i="2" s="1"/>
  <c r="R146" i="2" s="1"/>
  <c r="R147" i="2" s="1"/>
  <c r="R148" i="2" s="1"/>
  <c r="R149" i="2" s="1"/>
  <c r="R150" i="2" s="1"/>
  <c r="R151" i="2" s="1"/>
  <c r="R152" i="2" s="1"/>
  <c r="R153" i="2" s="1"/>
  <c r="R154" i="2" s="1"/>
  <c r="R155" i="2" s="1"/>
  <c r="R156" i="2" s="1"/>
  <c r="R157" i="2" s="1"/>
  <c r="R158" i="2" s="1"/>
  <c r="R159" i="2" s="1"/>
  <c r="R160" i="2" s="1"/>
  <c r="R161" i="2" s="1"/>
  <c r="R162" i="2" s="1"/>
  <c r="R163" i="2" s="1"/>
  <c r="R164" i="2" s="1"/>
  <c r="R165" i="2" s="1"/>
  <c r="R166" i="2" s="1"/>
  <c r="R167" i="2" s="1"/>
  <c r="R168" i="2" s="1"/>
  <c r="R169" i="2" s="1"/>
  <c r="R170" i="2" s="1"/>
  <c r="R171" i="2" s="1"/>
  <c r="R172" i="2" s="1"/>
  <c r="R173" i="2" s="1"/>
  <c r="R174" i="2" s="1"/>
  <c r="R175" i="2" s="1"/>
  <c r="R176" i="2" s="1"/>
  <c r="R177" i="2" s="1"/>
  <c r="R178" i="2" s="1"/>
  <c r="R179" i="2" s="1"/>
  <c r="R180" i="2" s="1"/>
  <c r="R181" i="2" s="1"/>
  <c r="R182" i="2" s="1"/>
  <c r="R183" i="2" s="1"/>
  <c r="R184" i="2" s="1"/>
  <c r="R185" i="2" s="1"/>
  <c r="R186" i="2" s="1"/>
  <c r="R187" i="2" s="1"/>
  <c r="R188" i="2" s="1"/>
  <c r="R189" i="2" s="1"/>
  <c r="R190" i="2" s="1"/>
  <c r="R191" i="2" s="1"/>
  <c r="R192" i="2" s="1"/>
  <c r="R193" i="2" s="1"/>
  <c r="R194" i="2" s="1"/>
  <c r="R195" i="2" s="1"/>
  <c r="R196" i="2" s="1"/>
  <c r="R197" i="2" s="1"/>
  <c r="R198" i="2" s="1"/>
  <c r="R199" i="2" s="1"/>
  <c r="R200" i="2" s="1"/>
  <c r="R201" i="2" s="1"/>
  <c r="R202" i="2" s="1"/>
  <c r="R203" i="2" s="1"/>
  <c r="R204" i="2" s="1"/>
  <c r="R205" i="2" s="1"/>
  <c r="R206" i="2" s="1"/>
  <c r="R207" i="2" s="1"/>
  <c r="R208" i="2" s="1"/>
  <c r="R209" i="2" s="1"/>
  <c r="R210" i="2" s="1"/>
  <c r="R211" i="2" s="1"/>
  <c r="R212" i="2" s="1"/>
  <c r="R213" i="2" s="1"/>
  <c r="R214" i="2" s="1"/>
  <c r="R215" i="2" s="1"/>
  <c r="R216" i="2" s="1"/>
  <c r="R217" i="2" s="1"/>
  <c r="R218" i="2" s="1"/>
  <c r="R219" i="2" s="1"/>
  <c r="R220" i="2" s="1"/>
  <c r="R221" i="2" s="1"/>
  <c r="R222" i="2" s="1"/>
  <c r="R223" i="2" s="1"/>
  <c r="R224" i="2" s="1"/>
  <c r="R225" i="2" s="1"/>
  <c r="R226" i="2" s="1"/>
  <c r="R227" i="2" s="1"/>
  <c r="R228" i="2" s="1"/>
  <c r="R229" i="2" s="1"/>
  <c r="R230" i="2" s="1"/>
  <c r="R231" i="2" s="1"/>
  <c r="R232" i="2" s="1"/>
  <c r="R233" i="2" s="1"/>
  <c r="R234" i="2" s="1"/>
  <c r="R235" i="2" s="1"/>
  <c r="R236" i="2" s="1"/>
  <c r="R237" i="2" s="1"/>
  <c r="R238" i="2" s="1"/>
  <c r="R239" i="2" s="1"/>
  <c r="R240" i="2" s="1"/>
  <c r="R241" i="2" s="1"/>
  <c r="R242" i="2" s="1"/>
  <c r="R243" i="2" s="1"/>
  <c r="R244" i="2" s="1"/>
  <c r="R245" i="2" s="1"/>
  <c r="R246" i="2" s="1"/>
  <c r="R247" i="2" s="1"/>
  <c r="R248" i="2" s="1"/>
  <c r="R249" i="2" s="1"/>
  <c r="R250" i="2" s="1"/>
  <c r="R251" i="2" s="1"/>
  <c r="R252" i="2" s="1"/>
  <c r="R253" i="2" s="1"/>
  <c r="R254" i="2" s="1"/>
  <c r="R255" i="2" s="1"/>
  <c r="R256" i="2" s="1"/>
  <c r="R257" i="2" s="1"/>
  <c r="R258" i="2" s="1"/>
  <c r="R259" i="2" s="1"/>
  <c r="R260" i="2" s="1"/>
  <c r="R261" i="2" s="1"/>
  <c r="R262" i="2" s="1"/>
  <c r="R263" i="2" s="1"/>
  <c r="R264" i="2" s="1"/>
  <c r="R265" i="2" s="1"/>
  <c r="R266" i="2" s="1"/>
  <c r="R267" i="2" s="1"/>
  <c r="R268" i="2" s="1"/>
  <c r="R269" i="2" s="1"/>
  <c r="R270" i="2" s="1"/>
  <c r="R271" i="2" s="1"/>
  <c r="R272" i="2" s="1"/>
  <c r="R273" i="2" s="1"/>
  <c r="R274" i="2" s="1"/>
  <c r="R275" i="2" s="1"/>
  <c r="R276" i="2" s="1"/>
  <c r="R277" i="2" s="1"/>
  <c r="R278" i="2" s="1"/>
  <c r="R279" i="2" s="1"/>
  <c r="R280" i="2" s="1"/>
  <c r="T7" i="2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T142" i="2" s="1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T178" i="2" s="1"/>
  <c r="T179" i="2" s="1"/>
  <c r="T180" i="2" s="1"/>
  <c r="T181" i="2" s="1"/>
  <c r="T182" i="2" s="1"/>
  <c r="T183" i="2" s="1"/>
  <c r="T184" i="2" s="1"/>
  <c r="T185" i="2" s="1"/>
  <c r="T186" i="2" s="1"/>
  <c r="T187" i="2" s="1"/>
  <c r="T188" i="2" s="1"/>
  <c r="T189" i="2" s="1"/>
  <c r="T190" i="2" s="1"/>
  <c r="T191" i="2" s="1"/>
  <c r="T192" i="2" s="1"/>
  <c r="T193" i="2" s="1"/>
  <c r="T194" i="2" s="1"/>
  <c r="T195" i="2" s="1"/>
  <c r="T196" i="2" s="1"/>
  <c r="T197" i="2" s="1"/>
  <c r="T198" i="2" s="1"/>
  <c r="T199" i="2" s="1"/>
  <c r="T200" i="2" s="1"/>
  <c r="T201" i="2" s="1"/>
  <c r="T202" i="2" s="1"/>
  <c r="T203" i="2" s="1"/>
  <c r="T204" i="2" s="1"/>
  <c r="T205" i="2" s="1"/>
  <c r="T206" i="2" s="1"/>
  <c r="T207" i="2" s="1"/>
  <c r="T208" i="2" s="1"/>
  <c r="T209" i="2" s="1"/>
  <c r="T210" i="2" s="1"/>
  <c r="T211" i="2" s="1"/>
  <c r="T212" i="2" s="1"/>
  <c r="T213" i="2" s="1"/>
  <c r="T214" i="2" s="1"/>
  <c r="T215" i="2" s="1"/>
  <c r="T216" i="2" s="1"/>
  <c r="T217" i="2" s="1"/>
  <c r="T218" i="2" s="1"/>
  <c r="T219" i="2" s="1"/>
  <c r="T220" i="2" s="1"/>
  <c r="T221" i="2" s="1"/>
  <c r="T222" i="2" s="1"/>
  <c r="T223" i="2" s="1"/>
  <c r="T224" i="2" s="1"/>
  <c r="T225" i="2" s="1"/>
  <c r="T226" i="2" s="1"/>
  <c r="T227" i="2" s="1"/>
  <c r="T228" i="2" s="1"/>
  <c r="T229" i="2" s="1"/>
  <c r="T230" i="2" s="1"/>
  <c r="T231" i="2" s="1"/>
  <c r="T232" i="2" s="1"/>
  <c r="T233" i="2" s="1"/>
  <c r="T234" i="2" s="1"/>
  <c r="T235" i="2" s="1"/>
  <c r="T236" i="2" s="1"/>
  <c r="T237" i="2" s="1"/>
  <c r="T238" i="2" s="1"/>
  <c r="T239" i="2" s="1"/>
  <c r="T240" i="2" s="1"/>
  <c r="T241" i="2" s="1"/>
  <c r="T242" i="2" s="1"/>
  <c r="T243" i="2" s="1"/>
  <c r="T244" i="2" s="1"/>
  <c r="T245" i="2" s="1"/>
  <c r="T246" i="2" s="1"/>
  <c r="T247" i="2" s="1"/>
  <c r="T248" i="2" s="1"/>
  <c r="T249" i="2" s="1"/>
  <c r="T250" i="2" s="1"/>
  <c r="T251" i="2" s="1"/>
  <c r="T252" i="2" s="1"/>
  <c r="T253" i="2" s="1"/>
  <c r="T254" i="2" s="1"/>
  <c r="T255" i="2" s="1"/>
  <c r="T256" i="2" s="1"/>
  <c r="T257" i="2" s="1"/>
  <c r="T258" i="2" s="1"/>
  <c r="T259" i="2" s="1"/>
  <c r="T260" i="2" s="1"/>
  <c r="T261" i="2" s="1"/>
  <c r="T262" i="2" s="1"/>
  <c r="T263" i="2" s="1"/>
  <c r="T264" i="2" s="1"/>
  <c r="T265" i="2" s="1"/>
  <c r="T266" i="2" s="1"/>
  <c r="T267" i="2" s="1"/>
  <c r="T268" i="2" s="1"/>
  <c r="T269" i="2" s="1"/>
  <c r="T270" i="2" s="1"/>
  <c r="T271" i="2" s="1"/>
  <c r="T272" i="2" s="1"/>
  <c r="T273" i="2" s="1"/>
  <c r="T274" i="2" s="1"/>
  <c r="T275" i="2" s="1"/>
  <c r="T276" i="2" s="1"/>
  <c r="T277" i="2" s="1"/>
  <c r="T278" i="2" s="1"/>
  <c r="T279" i="2" s="1"/>
  <c r="T280" i="2" s="1"/>
</calcChain>
</file>

<file path=xl/sharedStrings.xml><?xml version="1.0" encoding="utf-8"?>
<sst xmlns="http://schemas.openxmlformats.org/spreadsheetml/2006/main" count="68" uniqueCount="26">
  <si>
    <t>ym</t>
  </si>
  <si>
    <t>SPY_ret</t>
  </si>
  <si>
    <t>SPY_TLT_som</t>
  </si>
  <si>
    <t>SPY_ret_eom</t>
  </si>
  <si>
    <t>TLT_ret_eom</t>
  </si>
  <si>
    <t>SPY_ret_nsm</t>
  </si>
  <si>
    <t>TLT_ret_nsm</t>
  </si>
  <si>
    <t>signal_eom</t>
  </si>
  <si>
    <t>signal_som</t>
  </si>
  <si>
    <t>End_of_Month_SPY_Long_SPY</t>
  </si>
  <si>
    <t>End_of_Month_SPY_Short_SPY</t>
  </si>
  <si>
    <t>End_of_Month_TLT_Short_TLT</t>
  </si>
  <si>
    <t>End_of_Month_TLT_Long_TLT</t>
  </si>
  <si>
    <t>Start_of_Month_SPY_Long_SPY</t>
  </si>
  <si>
    <t>Start_of_Month_SPY_Short_SPY</t>
  </si>
  <si>
    <t>Start_of_Month_TLT_Short_TLT</t>
  </si>
  <si>
    <t>Start_of_Month_TLT_Long_TLT</t>
  </si>
  <si>
    <t>cpl_End_of_Month_SPY_Long_SPY</t>
  </si>
  <si>
    <t>cpl_End_of_Month_SPY_Short_SPY</t>
  </si>
  <si>
    <t>cpl_End_of_Month_TLT_Short_TLT</t>
  </si>
  <si>
    <t>cpl_End_of_Month_TLT_Long_TLT</t>
  </si>
  <si>
    <t>cpl_Start_of_Month_SPY_Long_SPY</t>
  </si>
  <si>
    <t>cpl_Start_of_Month_SPY_Short_SPY</t>
  </si>
  <si>
    <t>cpl_Start_of_Month_TLT_Short_TLT</t>
  </si>
  <si>
    <t>cpl_Start_of_Month_TLT_Long_TLT</t>
  </si>
  <si>
    <t>Total_PL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</si>
</sst>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%;[Red]\-0.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164" fontId="0" fillId="0" borderId="0" xfId="0" applyNumberFormat="1"/>
    <xf numFmtId="0" fontId="3" fillId="0" borderId="2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5" fontId="0" fillId="0" borderId="7" xfId="0" quotePrefix="1" applyNumberFormat="1" applyBorder="1" applyAlignment="1">
      <alignment horizontal="center" vertical="center"/>
    </xf>
    <xf numFmtId="10" fontId="0" fillId="0" borderId="0" xfId="1" quotePrefix="1" applyNumberFormat="1" applyFont="1" applyAlignment="1">
      <alignment horizontal="center" vertical="center"/>
    </xf>
    <xf numFmtId="165" fontId="0" fillId="0" borderId="8" xfId="0" quotePrefix="1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5" fillId="0" borderId="0" xfId="1" applyNumberFormat="1" applyFont="1" applyFill="1" applyAlignment="1">
      <alignment horizontal="center" vertical="center"/>
    </xf>
    <xf numFmtId="165" fontId="5" fillId="0" borderId="7" xfId="0" quotePrefix="1" applyNumberFormat="1" applyFont="1" applyBorder="1" applyAlignment="1">
      <alignment horizontal="center" vertical="center"/>
    </xf>
    <xf numFmtId="10" fontId="5" fillId="0" borderId="0" xfId="1" quotePrefix="1" applyNumberFormat="1" applyFont="1" applyFill="1" applyAlignment="1">
      <alignment horizontal="center" vertical="center"/>
    </xf>
    <xf numFmtId="165" fontId="5" fillId="0" borderId="8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25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0.00%;[Red]\-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border outline="0">
        <top style="thin">
          <color auto="1"/>
        </top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bc00a0f969ad489/Programmazione/github/FromZeroToQuant/FromZeroToQuant-/09_papers/01_The%20Unintended%20Consequences%20of%20Rebalancing/251103_SPY_TLT_backtest_.xlsx" TargetMode="External"/><Relationship Id="rId1" Type="http://schemas.openxmlformats.org/officeDocument/2006/relationships/externalLinkPath" Target="251103_SPY_TLT_backtest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RawData"/>
      <sheetName val="Backtest"/>
      <sheetName val="bt_py_names"/>
      <sheetName val="bt_full"/>
      <sheetName val="bt_full_no_EoM_short_TLT"/>
      <sheetName val="Data"/>
      <sheetName val="Python Script for getting data"/>
    </sheetNames>
    <sheetDataSet>
      <sheetData sheetId="0"/>
      <sheetData sheetId="1"/>
      <sheetData sheetId="2"/>
      <sheetData sheetId="3"/>
      <sheetData sheetId="4"/>
      <sheetData sheetId="5">
        <row r="5">
          <cell r="A5">
            <v>37469</v>
          </cell>
          <cell r="B5">
            <v>6.7786154352028833E-3</v>
          </cell>
          <cell r="C5">
            <v>1.0151052696173293E-2</v>
          </cell>
          <cell r="F5">
            <v>-4.2345772443368498E-2</v>
          </cell>
          <cell r="G5">
            <v>1.469165253014592E-2</v>
          </cell>
          <cell r="H5">
            <v>-3.414351278145604E-2</v>
          </cell>
          <cell r="I5">
            <v>1.4075972845321685E-2</v>
          </cell>
        </row>
        <row r="6">
          <cell r="A6">
            <v>37500</v>
          </cell>
          <cell r="B6">
            <v>-0.11076677231132262</v>
          </cell>
          <cell r="C6">
            <v>-0.12654670885184757</v>
          </cell>
          <cell r="F6">
            <v>-2.2605263607593816E-2</v>
          </cell>
          <cell r="G6">
            <v>3.3248630832344141E-3</v>
          </cell>
          <cell r="H6">
            <v>-1.2278930521347042E-2</v>
          </cell>
          <cell r="I6">
            <v>7.1598070258672257E-3</v>
          </cell>
        </row>
        <row r="7">
          <cell r="A7">
            <v>37530</v>
          </cell>
          <cell r="B7">
            <v>7.9072556471592031E-2</v>
          </cell>
          <cell r="C7">
            <v>0.16075988880458544</v>
          </cell>
          <cell r="F7">
            <v>-1.8468757302789001E-2</v>
          </cell>
          <cell r="G7">
            <v>2.5574892630438432E-2</v>
          </cell>
          <cell r="H7">
            <v>-3.3063528520603847E-2</v>
          </cell>
          <cell r="I7">
            <v>-4.4185292609520352E-3</v>
          </cell>
        </row>
        <row r="8">
          <cell r="A8">
            <v>37561</v>
          </cell>
          <cell r="B8">
            <v>5.9854092957559765E-2</v>
          </cell>
          <cell r="C8">
            <v>6.3586580985996705E-2</v>
          </cell>
          <cell r="F8">
            <v>-1.1693546525228817E-3</v>
          </cell>
          <cell r="G8">
            <v>-6.6405285442990448E-3</v>
          </cell>
          <cell r="H8">
            <v>2.4990820097527615E-2</v>
          </cell>
          <cell r="I8">
            <v>1.5959440241275595E-2</v>
          </cell>
        </row>
        <row r="9">
          <cell r="A9">
            <v>37591</v>
          </cell>
          <cell r="B9">
            <v>-5.823252946503793E-2</v>
          </cell>
          <cell r="C9">
            <v>-6.4204942347053789E-2</v>
          </cell>
          <cell r="F9">
            <v>-1.975141288916684E-2</v>
          </cell>
          <cell r="G9">
            <v>1.8537161373992306E-2</v>
          </cell>
          <cell r="H9">
            <v>-2.0967368053873555E-2</v>
          </cell>
          <cell r="I9">
            <v>1.1778490418373625E-2</v>
          </cell>
        </row>
        <row r="10">
          <cell r="A10">
            <v>37622</v>
          </cell>
          <cell r="B10">
            <v>-2.4902965529687425E-2</v>
          </cell>
          <cell r="C10">
            <v>1.8151719234693674E-2</v>
          </cell>
          <cell r="F10">
            <v>-3.0328305801601459E-2</v>
          </cell>
          <cell r="G10">
            <v>6.9506100607132654E-3</v>
          </cell>
          <cell r="H10">
            <v>3.5188717539179765E-2</v>
          </cell>
          <cell r="I10">
            <v>-1.8000451301945945E-2</v>
          </cell>
        </row>
        <row r="11">
          <cell r="A11">
            <v>37653</v>
          </cell>
          <cell r="B11">
            <v>-1.3570614197984544E-2</v>
          </cell>
          <cell r="C11">
            <v>-3.7582425932882781E-2</v>
          </cell>
          <cell r="F11">
            <v>1.3040803122683371E-2</v>
          </cell>
          <cell r="G11">
            <v>1.9532753075675407E-2</v>
          </cell>
          <cell r="H11">
            <v>-3.1156082648895776E-2</v>
          </cell>
          <cell r="I11">
            <v>7.5842026835619726E-3</v>
          </cell>
        </row>
        <row r="12">
          <cell r="A12">
            <v>37681</v>
          </cell>
          <cell r="B12">
            <v>2.1372549105130832E-3</v>
          </cell>
          <cell r="C12">
            <v>0.10501108443958183</v>
          </cell>
          <cell r="F12">
            <v>-5.6549706399883812E-2</v>
          </cell>
          <cell r="G12">
            <v>3.2583379175479654E-2</v>
          </cell>
          <cell r="H12">
            <v>-1.8785634688455129E-2</v>
          </cell>
          <cell r="I12">
            <v>4.7606175207964068E-3</v>
          </cell>
        </row>
        <row r="13">
          <cell r="A13">
            <v>37712</v>
          </cell>
          <cell r="B13">
            <v>8.1223226482743216E-2</v>
          </cell>
          <cell r="C13">
            <v>8.3760679445333275E-2</v>
          </cell>
          <cell r="F13">
            <v>6.2214800188667239E-3</v>
          </cell>
          <cell r="G13">
            <v>1.9188037405920927E-2</v>
          </cell>
          <cell r="H13">
            <v>3.831759761064675E-2</v>
          </cell>
          <cell r="I13">
            <v>-1.9068062442549067E-2</v>
          </cell>
        </row>
        <row r="14">
          <cell r="A14">
            <v>37742</v>
          </cell>
          <cell r="B14">
            <v>5.3384245512395956E-2</v>
          </cell>
          <cell r="C14">
            <v>-5.5054602565912339E-2</v>
          </cell>
          <cell r="F14">
            <v>4.5364642152558296E-2</v>
          </cell>
          <cell r="G14">
            <v>-1.7950653737101154E-3</v>
          </cell>
          <cell r="H14">
            <v>1.597342757041828E-2</v>
          </cell>
          <cell r="I14">
            <v>1.442703785556722E-2</v>
          </cell>
        </row>
        <row r="15">
          <cell r="A15">
            <v>37773</v>
          </cell>
          <cell r="B15">
            <v>1.0596063862264466E-2</v>
          </cell>
          <cell r="C15">
            <v>3.3775056393808359E-2</v>
          </cell>
          <cell r="F15">
            <v>-1.8369472849866106E-2</v>
          </cell>
          <cell r="G15">
            <v>-1.3423260708564914E-2</v>
          </cell>
          <cell r="H15">
            <v>2.3548221525163844E-2</v>
          </cell>
          <cell r="I15">
            <v>-6.5859764806690951E-4</v>
          </cell>
        </row>
        <row r="16">
          <cell r="A16">
            <v>37803</v>
          </cell>
          <cell r="B16">
            <v>1.7866740475004139E-2</v>
          </cell>
          <cell r="C16">
            <v>8.1669580238746195E-2</v>
          </cell>
          <cell r="F16">
            <v>2.216397670015548E-3</v>
          </cell>
          <cell r="G16">
            <v>-3.9127789601589372E-2</v>
          </cell>
          <cell r="H16">
            <v>3.5419742157082566E-2</v>
          </cell>
          <cell r="I16">
            <v>-2.2465039596315295E-2</v>
          </cell>
        </row>
        <row r="17">
          <cell r="A17">
            <v>37834</v>
          </cell>
          <cell r="B17">
            <v>2.0415823630765294E-2</v>
          </cell>
          <cell r="C17">
            <v>8.6189233696981997E-3</v>
          </cell>
          <cell r="F17">
            <v>6.6266254038208159E-3</v>
          </cell>
          <cell r="G17">
            <v>7.8013612977776373E-3</v>
          </cell>
          <cell r="H17">
            <v>-1.4084041863477519E-2</v>
          </cell>
          <cell r="I17">
            <v>1.7146179916123636E-2</v>
          </cell>
        </row>
        <row r="18">
          <cell r="A18">
            <v>37865</v>
          </cell>
          <cell r="B18">
            <v>-1.0966089333232471E-2</v>
          </cell>
          <cell r="C18">
            <v>-5.1631716224384014E-3</v>
          </cell>
          <cell r="F18">
            <v>-2.5680352408644094E-2</v>
          </cell>
          <cell r="G18">
            <v>3.7771205546862821E-2</v>
          </cell>
          <cell r="H18">
            <v>2.1841664622560132E-2</v>
          </cell>
          <cell r="I18">
            <v>-9.3762190842890634E-4</v>
          </cell>
        </row>
        <row r="19">
          <cell r="A19">
            <v>37895</v>
          </cell>
          <cell r="B19">
            <v>5.2144139912676593E-2</v>
          </cell>
          <cell r="C19">
            <v>9.1258810603082163E-2</v>
          </cell>
          <cell r="F19">
            <v>4.187473498823085E-3</v>
          </cell>
          <cell r="G19">
            <v>1.2520683132503714E-2</v>
          </cell>
          <cell r="H19">
            <v>4.221811855834802E-2</v>
          </cell>
          <cell r="I19">
            <v>-3.6904121899701381E-2</v>
          </cell>
        </row>
        <row r="20">
          <cell r="A20">
            <v>37926</v>
          </cell>
          <cell r="B20">
            <v>1.0861449368547426E-2</v>
          </cell>
          <cell r="C20">
            <v>-2.9759385248789294E-2</v>
          </cell>
          <cell r="F20">
            <v>2.1266989697093914E-2</v>
          </cell>
          <cell r="G20">
            <v>-1.5965120188949303E-2</v>
          </cell>
          <cell r="H20">
            <v>2.9385173054028513E-3</v>
          </cell>
          <cell r="I20">
            <v>-1.594344880559977E-2</v>
          </cell>
        </row>
        <row r="21">
          <cell r="A21">
            <v>37956</v>
          </cell>
          <cell r="B21">
            <v>4.9087898099312438E-2</v>
          </cell>
          <cell r="C21">
            <v>1.3271875247031131E-5</v>
          </cell>
          <cell r="F21">
            <v>2.1619299732725618E-2</v>
          </cell>
          <cell r="G21">
            <v>-1.411171926405454E-2</v>
          </cell>
          <cell r="H21">
            <v>3.7503646150602258E-3</v>
          </cell>
          <cell r="I21">
            <v>1.2761996920309574E-2</v>
          </cell>
        </row>
        <row r="22">
          <cell r="A22">
            <v>37987</v>
          </cell>
          <cell r="B22">
            <v>1.9577025972393632E-2</v>
          </cell>
          <cell r="C22">
            <v>5.5776224237058785E-3</v>
          </cell>
          <cell r="F22">
            <v>-8.3370962572605293E-3</v>
          </cell>
          <cell r="G22">
            <v>-3.8998462570735415E-3</v>
          </cell>
          <cell r="H22">
            <v>1.8695655003773966E-2</v>
          </cell>
          <cell r="I22">
            <v>1.1744042368061811E-4</v>
          </cell>
        </row>
        <row r="23">
          <cell r="A23">
            <v>38018</v>
          </cell>
          <cell r="B23">
            <v>1.3479708802168621E-2</v>
          </cell>
          <cell r="C23">
            <v>-3.9915077704742391E-3</v>
          </cell>
          <cell r="F23">
            <v>3.7455402371840744E-3</v>
          </cell>
          <cell r="G23">
            <v>8.837824589380738E-3</v>
          </cell>
          <cell r="H23">
            <v>8.5113765150951239E-3</v>
          </cell>
          <cell r="I23">
            <v>8.021269081473081E-3</v>
          </cell>
        </row>
        <row r="24">
          <cell r="A24">
            <v>38047</v>
          </cell>
          <cell r="B24">
            <v>-1.3334294966489475E-2</v>
          </cell>
          <cell r="C24">
            <v>-5.5326873150173414E-2</v>
          </cell>
          <cell r="F24">
            <v>1.8201990800118098E-2</v>
          </cell>
          <cell r="G24">
            <v>-9.7793502857180283E-3</v>
          </cell>
          <cell r="H24">
            <v>1.1754441496936219E-2</v>
          </cell>
          <cell r="I24">
            <v>1.5015637139404094E-2</v>
          </cell>
        </row>
        <row r="25">
          <cell r="A25">
            <v>38078</v>
          </cell>
          <cell r="B25">
            <v>-1.9102805722503481E-2</v>
          </cell>
          <cell r="C25">
            <v>6.4031392450913854E-2</v>
          </cell>
          <cell r="F25">
            <v>-2.9219346069354106E-2</v>
          </cell>
          <cell r="G25">
            <v>-1.0466084980112988E-2</v>
          </cell>
          <cell r="H25">
            <v>1.3437141486775382E-2</v>
          </cell>
          <cell r="I25">
            <v>-3.3073193219356839E-2</v>
          </cell>
        </row>
        <row r="26">
          <cell r="A26">
            <v>38108</v>
          </cell>
          <cell r="B26">
            <v>1.6979050250249192E-2</v>
          </cell>
          <cell r="C26">
            <v>8.6682691255538097E-3</v>
          </cell>
          <cell r="F26">
            <v>2.7396704422756032E-2</v>
          </cell>
          <cell r="G26">
            <v>1.6501478291470945E-2</v>
          </cell>
          <cell r="H26">
            <v>-9.0526502395397168E-3</v>
          </cell>
          <cell r="I26">
            <v>-2.4236662573878066E-2</v>
          </cell>
        </row>
        <row r="27">
          <cell r="A27">
            <v>38139</v>
          </cell>
          <cell r="B27">
            <v>1.8331885030361789E-2</v>
          </cell>
          <cell r="C27">
            <v>1.6372054357472281E-2</v>
          </cell>
          <cell r="F27">
            <v>6.6580648753345774E-3</v>
          </cell>
          <cell r="G27">
            <v>1.5177840048565337E-2</v>
          </cell>
          <cell r="H27">
            <v>1.617131804322568E-2</v>
          </cell>
          <cell r="I27">
            <v>-1.5313748195601428E-2</v>
          </cell>
        </row>
        <row r="28">
          <cell r="A28">
            <v>38169</v>
          </cell>
          <cell r="B28">
            <v>-3.2749449777161849E-2</v>
          </cell>
          <cell r="C28">
            <v>-5.7592268858129694E-2</v>
          </cell>
          <cell r="F28">
            <v>8.6987554498197672E-3</v>
          </cell>
          <cell r="G28">
            <v>-9.4552811160753848E-4</v>
          </cell>
          <cell r="H28">
            <v>-2.7350142406960161E-2</v>
          </cell>
          <cell r="I28">
            <v>1.1646994998757954E-2</v>
          </cell>
        </row>
        <row r="29">
          <cell r="A29">
            <v>38200</v>
          </cell>
          <cell r="B29">
            <v>2.4332456643171877E-3</v>
          </cell>
          <cell r="C29">
            <v>-2.9952560431180792E-2</v>
          </cell>
          <cell r="F29">
            <v>5.6859571158404927E-3</v>
          </cell>
          <cell r="G29">
            <v>1.4113410125157998E-2</v>
          </cell>
          <cell r="H29">
            <v>-3.6661442255212291E-2</v>
          </cell>
          <cell r="I29">
            <v>2.5311785646998028E-2</v>
          </cell>
        </row>
        <row r="30">
          <cell r="A30">
            <v>38231</v>
          </cell>
          <cell r="B30">
            <v>9.9866287756100423E-3</v>
          </cell>
          <cell r="C30">
            <v>-1.7417315802490854E-2</v>
          </cell>
          <cell r="F30">
            <v>1.8801533055461802E-3</v>
          </cell>
          <cell r="G30">
            <v>-1.6073671783751298E-2</v>
          </cell>
          <cell r="H30">
            <v>1.314340904362583E-2</v>
          </cell>
          <cell r="I30">
            <v>-1.3740926279097662E-3</v>
          </cell>
        </row>
        <row r="31">
          <cell r="A31">
            <v>38261</v>
          </cell>
          <cell r="B31">
            <v>1.2802230986665466E-2</v>
          </cell>
          <cell r="C31">
            <v>-2.4055554186821974E-2</v>
          </cell>
          <cell r="F31">
            <v>1.7465748553655909E-2</v>
          </cell>
          <cell r="G31">
            <v>-1.8990809668799555E-3</v>
          </cell>
          <cell r="H31">
            <v>1.5008879658332905E-2</v>
          </cell>
          <cell r="I31">
            <v>-1.2468756187064008E-2</v>
          </cell>
        </row>
        <row r="32">
          <cell r="A32">
            <v>38292</v>
          </cell>
          <cell r="B32">
            <v>4.355541838229525E-2</v>
          </cell>
          <cell r="C32">
            <v>4.874141950004432E-2</v>
          </cell>
          <cell r="F32">
            <v>3.9945171430488188E-3</v>
          </cell>
          <cell r="G32">
            <v>-1.5068680556364556E-2</v>
          </cell>
          <cell r="H32">
            <v>3.5408743949253405E-2</v>
          </cell>
          <cell r="I32">
            <v>-1.429184381447136E-2</v>
          </cell>
        </row>
        <row r="33">
          <cell r="A33">
            <v>38322</v>
          </cell>
          <cell r="B33">
            <v>2.9676404633139329E-2</v>
          </cell>
          <cell r="C33">
            <v>-3.8337068155050351E-3</v>
          </cell>
          <cell r="F33">
            <v>3.9793821301403586E-3</v>
          </cell>
          <cell r="G33">
            <v>-3.2904806428732851E-3</v>
          </cell>
          <cell r="H33">
            <v>1.7799677396180876E-3</v>
          </cell>
          <cell r="I33">
            <v>1.4504216616743846E-2</v>
          </cell>
        </row>
        <row r="34">
          <cell r="A34">
            <v>38353</v>
          </cell>
          <cell r="B34">
            <v>-2.2676157800578019E-2</v>
          </cell>
          <cell r="C34">
            <v>-6.807434997875153E-2</v>
          </cell>
          <cell r="F34">
            <v>1.371934186058742E-2</v>
          </cell>
          <cell r="G34">
            <v>3.3852755500740927E-3</v>
          </cell>
          <cell r="H34">
            <v>-2.0308677511837452E-2</v>
          </cell>
          <cell r="I34">
            <v>-1.1279635504883459E-4</v>
          </cell>
        </row>
        <row r="35">
          <cell r="A35">
            <v>38384</v>
          </cell>
          <cell r="B35">
            <v>2.0688724278982062E-2</v>
          </cell>
          <cell r="C35">
            <v>1.3671822992324192E-2</v>
          </cell>
          <cell r="F35">
            <v>1.6971610815911909E-2</v>
          </cell>
          <cell r="G35">
            <v>-4.8764277817778066E-3</v>
          </cell>
          <cell r="H35">
            <v>1.6035526165009389E-2</v>
          </cell>
          <cell r="I35">
            <v>2.1386087064852059E-2</v>
          </cell>
        </row>
        <row r="36">
          <cell r="A36">
            <v>38412</v>
          </cell>
          <cell r="B36">
            <v>-1.8462502172189858E-2</v>
          </cell>
          <cell r="C36">
            <v>-2.4812336581095905E-3</v>
          </cell>
          <cell r="F36">
            <v>-1.1862885700992623E-3</v>
          </cell>
          <cell r="G36">
            <v>1.0237580699193637E-2</v>
          </cell>
          <cell r="H36">
            <v>1.7747835247511494E-2</v>
          </cell>
          <cell r="I36">
            <v>1.2535334232020304E-2</v>
          </cell>
        </row>
        <row r="37">
          <cell r="A37">
            <v>38443</v>
          </cell>
          <cell r="B37">
            <v>-1.8912752545091678E-2</v>
          </cell>
          <cell r="C37">
            <v>-3.5700334724594038E-2</v>
          </cell>
          <cell r="F37">
            <v>-2.2443399410768516E-3</v>
          </cell>
          <cell r="G37">
            <v>1.8892977603744671E-2</v>
          </cell>
          <cell r="H37">
            <v>1.0792942654148012E-2</v>
          </cell>
          <cell r="I37">
            <v>-4.05231105981758E-3</v>
          </cell>
        </row>
        <row r="38">
          <cell r="A38">
            <v>38473</v>
          </cell>
          <cell r="B38">
            <v>3.1716339268027298E-2</v>
          </cell>
          <cell r="C38">
            <v>1.4363283865139239E-2</v>
          </cell>
          <cell r="F38">
            <v>3.0175309021802576E-3</v>
          </cell>
          <cell r="G38">
            <v>1.6557043536769383E-2</v>
          </cell>
          <cell r="H38">
            <v>1.1510013127153601E-2</v>
          </cell>
          <cell r="I38">
            <v>-1.1465711361094623E-2</v>
          </cell>
        </row>
        <row r="39">
          <cell r="A39">
            <v>38504</v>
          </cell>
          <cell r="B39">
            <v>1.5138288098725198E-3</v>
          </cell>
          <cell r="C39">
            <v>1.8341199277175608E-2</v>
          </cell>
          <cell r="F39">
            <v>-1.903262277125322E-2</v>
          </cell>
          <cell r="G39">
            <v>1.9212293525328328E-2</v>
          </cell>
          <cell r="H39">
            <v>5.4255543732965568E-3</v>
          </cell>
          <cell r="I39">
            <v>1.9450649407346574E-2</v>
          </cell>
        </row>
        <row r="40">
          <cell r="A40">
            <v>38534</v>
          </cell>
          <cell r="B40">
            <v>3.7547313345992178E-2</v>
          </cell>
          <cell r="C40">
            <v>6.5608487152724493E-2</v>
          </cell>
          <cell r="F40">
            <v>1.6172994952600986E-3</v>
          </cell>
          <cell r="G40">
            <v>-4.7140262993998422E-3</v>
          </cell>
          <cell r="H40">
            <v>1.7796759743278781E-2</v>
          </cell>
          <cell r="I40">
            <v>-1.8200037770397685E-2</v>
          </cell>
        </row>
        <row r="41">
          <cell r="A41">
            <v>38565</v>
          </cell>
          <cell r="B41">
            <v>-9.418476936731526E-3</v>
          </cell>
          <cell r="C41">
            <v>-2.1198097897498016E-2</v>
          </cell>
          <cell r="F41">
            <v>8.9795341574789266E-4</v>
          </cell>
          <cell r="G41">
            <v>2.3292312410693683E-2</v>
          </cell>
          <cell r="H41">
            <v>-6.9743585278697583E-3</v>
          </cell>
          <cell r="I41">
            <v>-1.1983082904433289E-2</v>
          </cell>
        </row>
        <row r="42">
          <cell r="A42">
            <v>38596</v>
          </cell>
          <cell r="B42">
            <v>7.9934270357336478E-3</v>
          </cell>
          <cell r="C42">
            <v>1.8911431047654345E-2</v>
          </cell>
          <cell r="F42">
            <v>1.3912732976948568E-2</v>
          </cell>
          <cell r="G42">
            <v>-1.1967080644273737E-2</v>
          </cell>
          <cell r="H42">
            <v>7.4776549560379903E-3</v>
          </cell>
          <cell r="I42">
            <v>-2.0659862099850244E-2</v>
          </cell>
        </row>
        <row r="43">
          <cell r="A43">
            <v>38626</v>
          </cell>
          <cell r="B43">
            <v>-2.3934787789252124E-2</v>
          </cell>
          <cell r="C43">
            <v>-3.6271312273709486E-2</v>
          </cell>
          <cell r="F43">
            <v>1.6789064588612849E-2</v>
          </cell>
          <cell r="G43">
            <v>-1.821199276076765E-2</v>
          </cell>
          <cell r="H43">
            <v>-2.827313780995298E-2</v>
          </cell>
          <cell r="I43">
            <v>2.16158148162943E-5</v>
          </cell>
        </row>
        <row r="44">
          <cell r="A44">
            <v>38657</v>
          </cell>
          <cell r="B44">
            <v>4.3013436578415935E-2</v>
          </cell>
          <cell r="C44">
            <v>3.4375949860764178E-2</v>
          </cell>
          <cell r="F44">
            <v>-2.7872972755486726E-3</v>
          </cell>
          <cell r="G44">
            <v>-4.5449255439016867E-3</v>
          </cell>
          <cell r="H44">
            <v>1.7329848146017911E-2</v>
          </cell>
          <cell r="I44">
            <v>-1.0831471697630192E-2</v>
          </cell>
        </row>
        <row r="45">
          <cell r="A45">
            <v>38687</v>
          </cell>
          <cell r="B45">
            <v>-1.9150356828486481E-3</v>
          </cell>
          <cell r="C45">
            <v>1.154915431735965E-4</v>
          </cell>
          <cell r="F45">
            <v>-1.2133900500669722E-2</v>
          </cell>
          <cell r="G45">
            <v>1.9277092901276577E-2</v>
          </cell>
          <cell r="H45">
            <v>5.328284129773749E-3</v>
          </cell>
          <cell r="I45">
            <v>6.700281508490169E-4</v>
          </cell>
        </row>
        <row r="46">
          <cell r="A46">
            <v>38718</v>
          </cell>
          <cell r="B46">
            <v>2.3730081677992197E-2</v>
          </cell>
          <cell r="C46">
            <v>1.6251487221031174E-2</v>
          </cell>
          <cell r="F46">
            <v>7.4785944569611563E-3</v>
          </cell>
          <cell r="G46">
            <v>-1.3473956204481519E-2</v>
          </cell>
          <cell r="H46">
            <v>3.3642066642074649E-2</v>
          </cell>
          <cell r="I46">
            <v>-1.3060746137903189E-3</v>
          </cell>
        </row>
        <row r="47">
          <cell r="A47">
            <v>38749</v>
          </cell>
          <cell r="B47">
            <v>5.7093160942483807E-3</v>
          </cell>
          <cell r="C47">
            <v>2.0033188771710177E-3</v>
          </cell>
          <cell r="F47">
            <v>-8.0778583310231692E-3</v>
          </cell>
          <cell r="G47">
            <v>-7.6611107314804392E-4</v>
          </cell>
          <cell r="H47">
            <v>-1.5969757563471531E-2</v>
          </cell>
          <cell r="I47">
            <v>2.7739393737873496E-3</v>
          </cell>
        </row>
        <row r="48">
          <cell r="A48">
            <v>38777</v>
          </cell>
          <cell r="B48">
            <v>1.6369067309703361E-2</v>
          </cell>
          <cell r="C48">
            <v>4.2366414650334187E-2</v>
          </cell>
          <cell r="F48">
            <v>1.8502043911465646E-3</v>
          </cell>
          <cell r="G48">
            <v>-1.8928268737331545E-2</v>
          </cell>
          <cell r="H48">
            <v>-2.0299161938544833E-3</v>
          </cell>
          <cell r="I48">
            <v>-2.6944239787582629E-2</v>
          </cell>
        </row>
        <row r="49">
          <cell r="A49">
            <v>38808</v>
          </cell>
          <cell r="B49">
            <v>1.2552708122264644E-2</v>
          </cell>
          <cell r="C49">
            <v>2.4616946540269472E-2</v>
          </cell>
          <cell r="F49">
            <v>4.2684736334779446E-3</v>
          </cell>
          <cell r="G49">
            <v>-1.1576703193824237E-2</v>
          </cell>
          <cell r="H49">
            <v>-2.2362709254265378E-3</v>
          </cell>
          <cell r="I49">
            <v>-1.6802783585886997E-2</v>
          </cell>
        </row>
        <row r="50">
          <cell r="A50">
            <v>38838</v>
          </cell>
          <cell r="B50">
            <v>-3.058337062707895E-2</v>
          </cell>
          <cell r="C50">
            <v>-4.0936156477608232E-2</v>
          </cell>
          <cell r="F50">
            <v>3.2211743209751634E-3</v>
          </cell>
          <cell r="G50">
            <v>-9.0424605799544061E-3</v>
          </cell>
          <cell r="H50">
            <v>7.9553629311967123E-3</v>
          </cell>
          <cell r="I50">
            <v>-2.7481612293821433E-3</v>
          </cell>
        </row>
        <row r="51">
          <cell r="A51">
            <v>38869</v>
          </cell>
          <cell r="B51">
            <v>2.6046786010255167E-3</v>
          </cell>
          <cell r="C51">
            <v>-2.4136279285289729E-2</v>
          </cell>
          <cell r="F51">
            <v>1.7996187837285297E-2</v>
          </cell>
          <cell r="G51">
            <v>2.969314792692611E-3</v>
          </cell>
          <cell r="H51">
            <v>-1.3024734076348625E-2</v>
          </cell>
          <cell r="I51">
            <v>2.0921812409311978E-2</v>
          </cell>
        </row>
        <row r="52">
          <cell r="A52">
            <v>38899</v>
          </cell>
          <cell r="B52">
            <v>4.468008958796967E-3</v>
          </cell>
          <cell r="C52">
            <v>-2.3649271526161874E-2</v>
          </cell>
          <cell r="F52">
            <v>1.2910411835419359E-2</v>
          </cell>
          <cell r="G52">
            <v>6.195492477974341E-3</v>
          </cell>
          <cell r="H52">
            <v>-3.3842370024011574E-3</v>
          </cell>
          <cell r="I52">
            <v>4.4785110205172026E-3</v>
          </cell>
        </row>
        <row r="53">
          <cell r="A53">
            <v>38930</v>
          </cell>
          <cell r="B53">
            <v>2.1587907719146763E-2</v>
          </cell>
          <cell r="C53">
            <v>-1.0089722427011503E-3</v>
          </cell>
          <cell r="F53">
            <v>3.9113592680134514E-3</v>
          </cell>
          <cell r="G53">
            <v>1.1418121631058528E-2</v>
          </cell>
          <cell r="H53">
            <v>3.9115179361156726E-4</v>
          </cell>
          <cell r="I53">
            <v>1.0498166980180697E-2</v>
          </cell>
        </row>
        <row r="54">
          <cell r="A54">
            <v>38961</v>
          </cell>
          <cell r="B54">
            <v>2.6643527518460088E-2</v>
          </cell>
          <cell r="C54">
            <v>-1.1261635978117291E-2</v>
          </cell>
          <cell r="F54">
            <v>1.592179277364051E-2</v>
          </cell>
          <cell r="G54">
            <v>-3.0152215371729183E-3</v>
          </cell>
          <cell r="H54">
            <v>-2.7593213246328015E-3</v>
          </cell>
          <cell r="I54">
            <v>-4.570561007088669E-3</v>
          </cell>
        </row>
        <row r="55">
          <cell r="A55">
            <v>38991</v>
          </cell>
          <cell r="B55">
            <v>3.1030163088766955E-2</v>
          </cell>
          <cell r="C55">
            <v>4.1168317493083292E-2</v>
          </cell>
          <cell r="F55">
            <v>6.918260549522319E-3</v>
          </cell>
          <cell r="G55">
            <v>2.548778546364891E-2</v>
          </cell>
          <cell r="H55">
            <v>1.0648340267244209E-2</v>
          </cell>
          <cell r="I55">
            <v>-8.8649682893671145E-3</v>
          </cell>
        </row>
        <row r="56">
          <cell r="A56">
            <v>39022</v>
          </cell>
          <cell r="B56">
            <v>1.9690075438344244E-2</v>
          </cell>
          <cell r="C56">
            <v>1.1072758939932151E-2</v>
          </cell>
          <cell r="F56">
            <v>-7.8262594549686451E-4</v>
          </cell>
          <cell r="G56">
            <v>1.3419337735648712E-2</v>
          </cell>
          <cell r="H56">
            <v>5.9328951483249934E-3</v>
          </cell>
          <cell r="I56">
            <v>-2.9666651849128926E-3</v>
          </cell>
        </row>
        <row r="57">
          <cell r="A57">
            <v>39052</v>
          </cell>
          <cell r="B57">
            <v>1.3282696711612991E-2</v>
          </cell>
          <cell r="C57">
            <v>2.5508959424920759E-2</v>
          </cell>
          <cell r="F57">
            <v>-1.7694179454963432E-16</v>
          </cell>
          <cell r="G57">
            <v>-1.510077938741145E-2</v>
          </cell>
          <cell r="H57">
            <v>4.4733305016389814E-3</v>
          </cell>
          <cell r="I57">
            <v>-3.1642057175023061E-3</v>
          </cell>
        </row>
        <row r="58">
          <cell r="A58">
            <v>39083</v>
          </cell>
          <cell r="B58">
            <v>1.4928488844230672E-2</v>
          </cell>
          <cell r="C58">
            <v>2.5634941222122259E-2</v>
          </cell>
          <cell r="F58">
            <v>-1.3903654065319159E-3</v>
          </cell>
          <cell r="G58">
            <v>-6.8607160114793689E-4</v>
          </cell>
          <cell r="H58">
            <v>-3.8910623244477879E-3</v>
          </cell>
          <cell r="I58">
            <v>1.0573022287509958E-2</v>
          </cell>
        </row>
        <row r="59">
          <cell r="A59">
            <v>39114</v>
          </cell>
          <cell r="B59">
            <v>-1.9812716514843898E-2</v>
          </cell>
          <cell r="C59">
            <v>3.0659186013294124E-3</v>
          </cell>
          <cell r="F59">
            <v>-3.445253757602991E-2</v>
          </cell>
          <cell r="G59">
            <v>2.1754926771803795E-2</v>
          </cell>
          <cell r="H59">
            <v>1.0104817526538145E-2</v>
          </cell>
          <cell r="I59">
            <v>9.8723633273717394E-3</v>
          </cell>
        </row>
        <row r="60">
          <cell r="A60">
            <v>39142</v>
          </cell>
          <cell r="B60">
            <v>1.1522851077644499E-2</v>
          </cell>
          <cell r="C60">
            <v>2.1201145163857352E-2</v>
          </cell>
          <cell r="F60">
            <v>-9.0430043580398967E-3</v>
          </cell>
          <cell r="G60">
            <v>-1.6514017261077919E-2</v>
          </cell>
          <cell r="H60">
            <v>-9.7683223735969844E-3</v>
          </cell>
          <cell r="I60">
            <v>6.9130557163929254E-3</v>
          </cell>
        </row>
        <row r="61">
          <cell r="A61">
            <v>39173</v>
          </cell>
          <cell r="B61">
            <v>4.3342227295940484E-2</v>
          </cell>
          <cell r="C61">
            <v>3.5941124397633951E-2</v>
          </cell>
          <cell r="F61">
            <v>1.551807768923278E-3</v>
          </cell>
          <cell r="G61">
            <v>3.1591196779816285E-3</v>
          </cell>
          <cell r="H61">
            <v>1.7036627436698187E-2</v>
          </cell>
          <cell r="I61">
            <v>-8.9536555089582623E-3</v>
          </cell>
        </row>
        <row r="62">
          <cell r="A62">
            <v>39203</v>
          </cell>
          <cell r="B62">
            <v>3.3357697017391309E-2</v>
          </cell>
          <cell r="C62">
            <v>4.2332386488612969E-2</v>
          </cell>
          <cell r="F62">
            <v>5.1009769890597006E-3</v>
          </cell>
          <cell r="G62">
            <v>-9.3337323194785105E-3</v>
          </cell>
          <cell r="H62">
            <v>1.7778846546448492E-2</v>
          </cell>
          <cell r="I62">
            <v>4.6719227697911373E-3</v>
          </cell>
        </row>
        <row r="63">
          <cell r="A63">
            <v>39234</v>
          </cell>
          <cell r="B63">
            <v>-1.4729290126719493E-2</v>
          </cell>
          <cell r="C63">
            <v>2.8869478110362581E-2</v>
          </cell>
          <cell r="F63">
            <v>-1.0251694244875603E-2</v>
          </cell>
          <cell r="G63">
            <v>2.3161209195956461E-2</v>
          </cell>
          <cell r="H63">
            <v>-2.7910441280711164E-2</v>
          </cell>
          <cell r="I63">
            <v>-2.5566861285420323E-2</v>
          </cell>
        </row>
        <row r="64">
          <cell r="A64">
            <v>39264</v>
          </cell>
          <cell r="B64">
            <v>-3.1810472206891816E-2</v>
          </cell>
          <cell r="C64">
            <v>1.1822252926382917E-2</v>
          </cell>
          <cell r="F64">
            <v>-5.5070868179035531E-2</v>
          </cell>
          <cell r="G64">
            <v>2.1212947571695843E-2</v>
          </cell>
          <cell r="H64">
            <v>1.7594133247710406E-2</v>
          </cell>
          <cell r="I64">
            <v>-1.2620057206138119E-2</v>
          </cell>
        </row>
        <row r="65">
          <cell r="A65">
            <v>39295</v>
          </cell>
          <cell r="B65">
            <v>1.2751780789011489E-2</v>
          </cell>
          <cell r="C65">
            <v>-4.7597881591381836E-3</v>
          </cell>
          <cell r="F65">
            <v>1.8187597839126296E-2</v>
          </cell>
          <cell r="G65">
            <v>1.8395138144748135E-2</v>
          </cell>
          <cell r="H65">
            <v>1.3970246636689356E-2</v>
          </cell>
          <cell r="I65">
            <v>-1.134035193226488E-3</v>
          </cell>
        </row>
        <row r="66">
          <cell r="A66">
            <v>39326</v>
          </cell>
          <cell r="B66">
            <v>3.7983341542592759E-2</v>
          </cell>
          <cell r="C66">
            <v>3.6412706546078213E-2</v>
          </cell>
          <cell r="F66">
            <v>5.8500372931473447E-3</v>
          </cell>
          <cell r="G66">
            <v>6.5590289954891544E-3</v>
          </cell>
          <cell r="H66">
            <v>-1.2271275016065175E-2</v>
          </cell>
          <cell r="I66">
            <v>2.7653821555618539E-2</v>
          </cell>
        </row>
        <row r="67">
          <cell r="A67">
            <v>39356</v>
          </cell>
          <cell r="B67">
            <v>1.3475387113586527E-2</v>
          </cell>
          <cell r="C67">
            <v>-4.2575200815451401E-2</v>
          </cell>
          <cell r="F67">
            <v>3.2731933153520125E-2</v>
          </cell>
          <cell r="G67">
            <v>-5.3200496574762907E-3</v>
          </cell>
          <cell r="H67">
            <v>2.1204747316324019E-2</v>
          </cell>
          <cell r="I67">
            <v>-1.0757589157916643E-3</v>
          </cell>
        </row>
        <row r="68">
          <cell r="A68">
            <v>39387</v>
          </cell>
          <cell r="B68">
            <v>-3.9503124324463262E-2</v>
          </cell>
          <cell r="C68">
            <v>-0.12982080217176881</v>
          </cell>
          <cell r="F68">
            <v>4.8090248698228664E-2</v>
          </cell>
          <cell r="G68">
            <v>9.9023938313787772E-3</v>
          </cell>
          <cell r="H68">
            <v>-4.4560724455551218E-2</v>
          </cell>
          <cell r="I68">
            <v>1.2578626784887359E-2</v>
          </cell>
        </row>
        <row r="69">
          <cell r="A69">
            <v>39417</v>
          </cell>
          <cell r="B69">
            <v>-1.1324158619732719E-2</v>
          </cell>
          <cell r="C69">
            <v>2.6863865089404471E-2</v>
          </cell>
          <cell r="F69">
            <v>-1.3046219688631715E-2</v>
          </cell>
          <cell r="G69">
            <v>1.8845038864491397E-2</v>
          </cell>
          <cell r="H69">
            <v>1.5021888411573397E-2</v>
          </cell>
          <cell r="I69">
            <v>-2.4270087329901366E-2</v>
          </cell>
        </row>
        <row r="70">
          <cell r="A70">
            <v>39448</v>
          </cell>
          <cell r="B70">
            <v>-6.2365995504664359E-2</v>
          </cell>
          <cell r="C70">
            <v>-0.12258340301776818</v>
          </cell>
          <cell r="F70">
            <v>2.5883299944655578E-2</v>
          </cell>
          <cell r="G70">
            <v>-1.3592269705264792E-2</v>
          </cell>
          <cell r="H70">
            <v>-5.1217686338903806E-2</v>
          </cell>
          <cell r="I70">
            <v>1.6310164955915724E-2</v>
          </cell>
        </row>
        <row r="71">
          <cell r="A71">
            <v>39479</v>
          </cell>
          <cell r="B71">
            <v>-2.6182343269458896E-2</v>
          </cell>
          <cell r="C71">
            <v>1.5475285837679532E-2</v>
          </cell>
          <cell r="F71">
            <v>-1.3360992604450964E-2</v>
          </cell>
          <cell r="G71">
            <v>2.3732619931614615E-2</v>
          </cell>
          <cell r="H71">
            <v>-2.5360782468309414E-2</v>
          </cell>
          <cell r="I71">
            <v>-2.1581226637696842E-2</v>
          </cell>
        </row>
        <row r="72">
          <cell r="A72">
            <v>39508</v>
          </cell>
          <cell r="B72">
            <v>-8.982463454304028E-3</v>
          </cell>
          <cell r="C72">
            <v>-3.3501588531891918E-3</v>
          </cell>
          <cell r="F72">
            <v>-2.0623916972411824E-2</v>
          </cell>
          <cell r="G72">
            <v>6.1725656370662622E-3</v>
          </cell>
          <cell r="H72">
            <v>-3.1194416202091686E-2</v>
          </cell>
          <cell r="I72">
            <v>-1.7752867451748675E-2</v>
          </cell>
        </row>
        <row r="73">
          <cell r="A73">
            <v>39539</v>
          </cell>
          <cell r="B73">
            <v>4.6561022288474016E-2</v>
          </cell>
          <cell r="C73">
            <v>7.3511936997365329E-2</v>
          </cell>
          <cell r="F73">
            <v>-2.0953301015842283E-3</v>
          </cell>
          <cell r="G73">
            <v>-3.2288246608653745E-4</v>
          </cell>
          <cell r="H73">
            <v>3.7114346151723543E-2</v>
          </cell>
          <cell r="I73">
            <v>-8.2450445561075072E-3</v>
          </cell>
        </row>
        <row r="74">
          <cell r="A74">
            <v>39569</v>
          </cell>
          <cell r="B74">
            <v>1.5003711755008559E-2</v>
          </cell>
          <cell r="C74">
            <v>1.2247545635428347E-2</v>
          </cell>
          <cell r="F74">
            <v>6.1464440310737348E-3</v>
          </cell>
          <cell r="G74">
            <v>-2.3859812651107898E-2</v>
          </cell>
          <cell r="H74">
            <v>9.0723271434295545E-3</v>
          </cell>
          <cell r="I74">
            <v>-1.5577079066678637E-2</v>
          </cell>
        </row>
        <row r="75">
          <cell r="A75">
            <v>39600</v>
          </cell>
          <cell r="B75">
            <v>-8.7275760081046691E-2</v>
          </cell>
          <cell r="C75">
            <v>-5.7943533327620284E-2</v>
          </cell>
          <cell r="F75">
            <v>-2.774087241653813E-2</v>
          </cell>
          <cell r="G75">
            <v>2.778135210967049E-2</v>
          </cell>
          <cell r="H75">
            <v>-2.9354430812414938E-2</v>
          </cell>
          <cell r="I75">
            <v>8.9322170775613212E-3</v>
          </cell>
        </row>
        <row r="76">
          <cell r="A76">
            <v>39630</v>
          </cell>
          <cell r="B76">
            <v>-9.0265962793679762E-3</v>
          </cell>
          <cell r="C76">
            <v>1.4269385985783891E-2</v>
          </cell>
          <cell r="F76">
            <v>-5.1116427214111925E-3</v>
          </cell>
          <cell r="G76">
            <v>1.4504345505090999E-2</v>
          </cell>
          <cell r="H76">
            <v>-5.7993387194488731E-3</v>
          </cell>
          <cell r="I76">
            <v>1.1691531132829544E-2</v>
          </cell>
        </row>
        <row r="77">
          <cell r="A77">
            <v>39661</v>
          </cell>
          <cell r="B77">
            <v>1.5335311854992307E-2</v>
          </cell>
          <cell r="C77">
            <v>-1.1917921483408683E-2</v>
          </cell>
          <cell r="F77">
            <v>7.716392942728769E-3</v>
          </cell>
          <cell r="G77">
            <v>7.4875066438296074E-3</v>
          </cell>
          <cell r="H77">
            <v>1.4180227433267766E-3</v>
          </cell>
          <cell r="I77">
            <v>4.5010293523597318E-3</v>
          </cell>
        </row>
        <row r="78">
          <cell r="A78">
            <v>39692</v>
          </cell>
          <cell r="B78">
            <v>-9.890755281492844E-2</v>
          </cell>
          <cell r="C78">
            <v>-5.8969739441932872E-2</v>
          </cell>
          <cell r="F78">
            <v>-4.4845344924539204E-2</v>
          </cell>
          <cell r="G78">
            <v>9.7439888345378749E-3</v>
          </cell>
          <cell r="H78">
            <v>-1.4075041619453138E-2</v>
          </cell>
          <cell r="I78">
            <v>2.5136179560376823E-2</v>
          </cell>
        </row>
        <row r="79">
          <cell r="A79">
            <v>39722</v>
          </cell>
          <cell r="B79">
            <v>-0.18054711096471043</v>
          </cell>
          <cell r="C79">
            <v>-0.19620275757356803</v>
          </cell>
          <cell r="F79">
            <v>1.0068129945736335E-2</v>
          </cell>
          <cell r="G79">
            <v>-2.4369465220447126E-2</v>
          </cell>
          <cell r="H79">
            <v>-0.14803368672747119</v>
          </cell>
          <cell r="I79">
            <v>4.4253709808859856E-2</v>
          </cell>
        </row>
        <row r="80">
          <cell r="A80">
            <v>39753</v>
          </cell>
          <cell r="B80">
            <v>-7.2147486555183452E-2</v>
          </cell>
          <cell r="C80">
            <v>-0.30412362735782883</v>
          </cell>
          <cell r="F80">
            <v>0.12480061733340533</v>
          </cell>
          <cell r="G80">
            <v>2.6842809415822497E-2</v>
          </cell>
          <cell r="H80">
            <v>-3.11523790794331E-2</v>
          </cell>
          <cell r="I80">
            <v>1.9281268616307877E-2</v>
          </cell>
        </row>
        <row r="81">
          <cell r="A81">
            <v>39783</v>
          </cell>
          <cell r="B81">
            <v>9.7482817931282707E-3</v>
          </cell>
          <cell r="C81">
            <v>-0.1619503820234223</v>
          </cell>
          <cell r="F81">
            <v>2.297884092475954E-2</v>
          </cell>
          <cell r="G81">
            <v>-2.0746129755802568E-2</v>
          </cell>
          <cell r="H81">
            <v>-2.4268353581620418E-2</v>
          </cell>
          <cell r="I81">
            <v>4.7403740448031056E-2</v>
          </cell>
        </row>
        <row r="82">
          <cell r="A82">
            <v>39814</v>
          </cell>
          <cell r="B82">
            <v>-8.5682300123382751E-2</v>
          </cell>
          <cell r="C82">
            <v>2.0495995468137723E-2</v>
          </cell>
          <cell r="F82">
            <v>-3.3749252063286078E-3</v>
          </cell>
          <cell r="G82">
            <v>-3.7272034079666887E-2</v>
          </cell>
          <cell r="H82">
            <v>8.8264838307612926E-3</v>
          </cell>
          <cell r="I82">
            <v>-5.8573695954333246E-2</v>
          </cell>
        </row>
        <row r="83">
          <cell r="A83">
            <v>39845</v>
          </cell>
          <cell r="B83">
            <v>-0.1136715402197348</v>
          </cell>
          <cell r="C83">
            <v>-0.11756308018695301</v>
          </cell>
          <cell r="F83">
            <v>-9.6916675981411626E-3</v>
          </cell>
          <cell r="G83">
            <v>-2.9021138768274671E-2</v>
          </cell>
          <cell r="H83">
            <v>4.8887995871712525E-2</v>
          </cell>
          <cell r="I83">
            <v>-1.1421455800217998E-2</v>
          </cell>
        </row>
        <row r="84">
          <cell r="A84">
            <v>39873</v>
          </cell>
          <cell r="B84">
            <v>8.002180958571993E-2</v>
          </cell>
          <cell r="C84">
            <v>2.1447876437045502E-2</v>
          </cell>
          <cell r="F84">
            <v>3.5976669272090499E-2</v>
          </cell>
          <cell r="G84">
            <v>1.7077905766788592E-2</v>
          </cell>
          <cell r="H84">
            <v>-7.0172294294610374E-2</v>
          </cell>
          <cell r="I84">
            <v>2.5864066943576604E-2</v>
          </cell>
        </row>
        <row r="85">
          <cell r="A85">
            <v>39904</v>
          </cell>
          <cell r="B85">
            <v>9.4715707038457247E-2</v>
          </cell>
          <cell r="C85">
            <v>9.801054784327469E-2</v>
          </cell>
          <cell r="F85">
            <v>3.3500061768666572E-2</v>
          </cell>
          <cell r="G85">
            <v>-3.5259229711041645E-2</v>
          </cell>
          <cell r="H85">
            <v>2.6433555277714221E-2</v>
          </cell>
          <cell r="I85">
            <v>-2.5636747867464199E-2</v>
          </cell>
        </row>
        <row r="86">
          <cell r="A86">
            <v>39934</v>
          </cell>
          <cell r="B86">
            <v>5.6808595314450996E-2</v>
          </cell>
          <cell r="C86">
            <v>5.3575320842129799E-2</v>
          </cell>
          <cell r="F86">
            <v>3.653985077891922E-2</v>
          </cell>
          <cell r="G86">
            <v>-4.3436024232404169E-3</v>
          </cell>
          <cell r="H86">
            <v>3.8595962824860552E-2</v>
          </cell>
          <cell r="I86">
            <v>-3.1931842833874777E-2</v>
          </cell>
        </row>
        <row r="87">
          <cell r="A87">
            <v>39965</v>
          </cell>
          <cell r="B87">
            <v>-6.5515346036946337E-4</v>
          </cell>
          <cell r="C87">
            <v>2.3766718566967129E-2</v>
          </cell>
          <cell r="F87">
            <v>-9.7813048108637973E-4</v>
          </cell>
          <cell r="G87">
            <v>3.0926709557410309E-2</v>
          </cell>
          <cell r="H87">
            <v>2.1595681978511538E-2</v>
          </cell>
          <cell r="I87">
            <v>-4.3826907261720928E-2</v>
          </cell>
        </row>
        <row r="88">
          <cell r="A88">
            <v>39995</v>
          </cell>
          <cell r="B88">
            <v>7.1953975697299832E-2</v>
          </cell>
          <cell r="C88">
            <v>5.5059796275394278E-2</v>
          </cell>
          <cell r="F88">
            <v>3.3548635272751461E-2</v>
          </cell>
          <cell r="G88">
            <v>2.239829747071214E-2</v>
          </cell>
          <cell r="H88">
            <v>-4.3908050801202997E-2</v>
          </cell>
          <cell r="I88">
            <v>2.3411687946837036E-2</v>
          </cell>
        </row>
        <row r="89">
          <cell r="A89">
            <v>40026</v>
          </cell>
          <cell r="B89">
            <v>3.6273804212503244E-2</v>
          </cell>
          <cell r="C89">
            <v>4.8909073110767309E-2</v>
          </cell>
          <cell r="F89">
            <v>-4.9651334214506999E-3</v>
          </cell>
          <cell r="G89">
            <v>2.9733299099166034E-2</v>
          </cell>
          <cell r="H89">
            <v>2.390030444295372E-2</v>
          </cell>
          <cell r="I89">
            <v>-4.327580822953906E-2</v>
          </cell>
        </row>
        <row r="90">
          <cell r="A90">
            <v>40057</v>
          </cell>
          <cell r="B90">
            <v>3.4842797854699271E-2</v>
          </cell>
          <cell r="C90">
            <v>4.9936506861409422E-2</v>
          </cell>
          <cell r="F90">
            <v>-1.3919254700457517E-2</v>
          </cell>
          <cell r="G90">
            <v>2.5459274108480295E-2</v>
          </cell>
          <cell r="H90">
            <v>4.6736664666109477E-3</v>
          </cell>
          <cell r="I90">
            <v>-1.8372162761097995E-2</v>
          </cell>
        </row>
        <row r="91">
          <cell r="A91">
            <v>40087</v>
          </cell>
          <cell r="B91">
            <v>-1.9411782913633595E-2</v>
          </cell>
          <cell r="C91">
            <v>4.7453294846567455E-2</v>
          </cell>
          <cell r="F91">
            <v>-4.4106576876944373E-2</v>
          </cell>
          <cell r="G91">
            <v>-3.7503702916482813E-3</v>
          </cell>
          <cell r="H91">
            <v>1.9868053007839003E-3</v>
          </cell>
          <cell r="I91">
            <v>8.4731731355965813E-3</v>
          </cell>
        </row>
        <row r="92">
          <cell r="A92">
            <v>40118</v>
          </cell>
          <cell r="B92">
            <v>5.9782943383755421E-2</v>
          </cell>
          <cell r="C92">
            <v>5.8826983518770241E-2</v>
          </cell>
          <cell r="F92">
            <v>4.6498215260903477E-3</v>
          </cell>
          <cell r="G92">
            <v>1.5749377171585151E-2</v>
          </cell>
          <cell r="H92">
            <v>3.3891316938851543E-2</v>
          </cell>
          <cell r="I92">
            <v>-2.2692270289249587E-2</v>
          </cell>
        </row>
        <row r="93">
          <cell r="A93">
            <v>40148</v>
          </cell>
          <cell r="B93">
            <v>1.8920949771908339E-2</v>
          </cell>
          <cell r="C93">
            <v>7.3242798882717841E-2</v>
          </cell>
          <cell r="F93">
            <v>9.8771482780942062E-4</v>
          </cell>
          <cell r="G93">
            <v>-1.0249812146695618E-2</v>
          </cell>
          <cell r="H93">
            <v>8.1530246985003253E-3</v>
          </cell>
          <cell r="I93">
            <v>-3.0173918317881927E-2</v>
          </cell>
        </row>
        <row r="94">
          <cell r="A94">
            <v>40179</v>
          </cell>
          <cell r="B94">
            <v>-3.7019149344959271E-2</v>
          </cell>
          <cell r="C94">
            <v>-3.3725192630316064E-2</v>
          </cell>
          <cell r="F94">
            <v>-2.1920220191200289E-2</v>
          </cell>
          <cell r="G94">
            <v>7.9396683716295279E-3</v>
          </cell>
          <cell r="H94">
            <v>2.7699643178202574E-2</v>
          </cell>
          <cell r="I94">
            <v>-6.6965270499072345E-3</v>
          </cell>
        </row>
        <row r="95">
          <cell r="A95">
            <v>40210</v>
          </cell>
          <cell r="B95">
            <v>3.0718048149783808E-2</v>
          </cell>
          <cell r="C95">
            <v>6.6594822994535133E-2</v>
          </cell>
          <cell r="F95">
            <v>-3.7855505150790692E-3</v>
          </cell>
          <cell r="G95">
            <v>2.8660594151537433E-2</v>
          </cell>
          <cell r="H95">
            <v>-6.8211104954099752E-3</v>
          </cell>
          <cell r="I95">
            <v>-5.5146272291639598E-5</v>
          </cell>
        </row>
        <row r="96">
          <cell r="A96">
            <v>40238</v>
          </cell>
          <cell r="B96">
            <v>5.909822548618765E-2</v>
          </cell>
          <cell r="C96">
            <v>5.1570035638853699E-2</v>
          </cell>
          <cell r="F96">
            <v>8.842323624737046E-3</v>
          </cell>
          <cell r="G96">
            <v>-1.94739712481884E-2</v>
          </cell>
          <cell r="H96">
            <v>3.1203610946212136E-2</v>
          </cell>
          <cell r="I96">
            <v>-1.2221374596437497E-2</v>
          </cell>
        </row>
        <row r="97">
          <cell r="A97">
            <v>40269</v>
          </cell>
          <cell r="B97">
            <v>1.5351467843928393E-2</v>
          </cell>
          <cell r="C97">
            <v>1.9728627815878648E-2</v>
          </cell>
          <cell r="F97">
            <v>-1.8430637828679652E-2</v>
          </cell>
          <cell r="G97">
            <v>1.8625766436423614E-2</v>
          </cell>
          <cell r="H97">
            <v>1.5014859619956678E-2</v>
          </cell>
          <cell r="I97">
            <v>-4.4740134800659711E-3</v>
          </cell>
        </row>
        <row r="98">
          <cell r="A98">
            <v>40299</v>
          </cell>
          <cell r="B98">
            <v>-8.2788827756031969E-2</v>
          </cell>
          <cell r="C98">
            <v>-0.15479273333131618</v>
          </cell>
          <cell r="F98">
            <v>2.3801980914239778E-3</v>
          </cell>
          <cell r="G98">
            <v>-1.9803080916954784E-2</v>
          </cell>
          <cell r="H98">
            <v>-6.5655644081729692E-2</v>
          </cell>
          <cell r="I98">
            <v>4.0241350490839059E-2</v>
          </cell>
        </row>
        <row r="99">
          <cell r="A99">
            <v>40330</v>
          </cell>
          <cell r="B99">
            <v>-5.3127346754694202E-2</v>
          </cell>
          <cell r="C99">
            <v>1.0455843488229056E-2</v>
          </cell>
          <cell r="F99">
            <v>-7.6353994440147149E-2</v>
          </cell>
          <cell r="G99">
            <v>4.3588862174197593E-2</v>
          </cell>
          <cell r="H99">
            <v>-3.6120480229898555E-2</v>
          </cell>
          <cell r="I99">
            <v>2.4303732224755216E-2</v>
          </cell>
        </row>
        <row r="100">
          <cell r="A100">
            <v>40360</v>
          </cell>
          <cell r="B100">
            <v>6.6069227994284135E-2</v>
          </cell>
          <cell r="C100">
            <v>6.4528953593492214E-2</v>
          </cell>
          <cell r="F100">
            <v>7.3731516911021699E-3</v>
          </cell>
          <cell r="G100">
            <v>-3.6757305634966091E-3</v>
          </cell>
          <cell r="H100">
            <v>3.7460486685886106E-2</v>
          </cell>
          <cell r="I100">
            <v>-1.6398782841599815E-2</v>
          </cell>
        </row>
        <row r="101">
          <cell r="A101">
            <v>40391</v>
          </cell>
          <cell r="B101">
            <v>-4.602343801877113E-2</v>
          </cell>
          <cell r="C101">
            <v>-8.2249279696153935E-2</v>
          </cell>
          <cell r="F101">
            <v>-2.0861276025051084E-2</v>
          </cell>
          <cell r="G101">
            <v>2.3487258857520472E-2</v>
          </cell>
          <cell r="H101">
            <v>1.9043057457593913E-2</v>
          </cell>
          <cell r="I101">
            <v>-5.5898549810119887E-4</v>
          </cell>
        </row>
        <row r="102">
          <cell r="A102">
            <v>40422</v>
          </cell>
          <cell r="B102">
            <v>8.5769125249920253E-2</v>
          </cell>
          <cell r="C102">
            <v>0.11362177955830798</v>
          </cell>
          <cell r="F102">
            <v>6.240736642519955E-3</v>
          </cell>
          <cell r="G102">
            <v>8.5666762399880525E-3</v>
          </cell>
          <cell r="H102">
            <v>4.7292186893843326E-2</v>
          </cell>
          <cell r="I102">
            <v>-3.1706809809755807E-2</v>
          </cell>
        </row>
        <row r="103">
          <cell r="A103">
            <v>40452</v>
          </cell>
          <cell r="B103">
            <v>3.7490064254904455E-2</v>
          </cell>
          <cell r="C103">
            <v>7.7385044365241976E-2</v>
          </cell>
          <cell r="F103">
            <v>3.0426703911319722E-3</v>
          </cell>
          <cell r="G103">
            <v>-2.7849417185137771E-3</v>
          </cell>
          <cell r="H103">
            <v>1.5303284473528573E-2</v>
          </cell>
          <cell r="I103">
            <v>-4.1756817289685371E-3</v>
          </cell>
        </row>
        <row r="104">
          <cell r="A104">
            <v>40483</v>
          </cell>
          <cell r="B104">
            <v>6.5052130349130266E-17</v>
          </cell>
          <cell r="C104">
            <v>5.0781011356552067E-2</v>
          </cell>
          <cell r="F104">
            <v>-1.5077008879145756E-2</v>
          </cell>
          <cell r="G104">
            <v>1.8666783578866121E-2</v>
          </cell>
          <cell r="H104">
            <v>3.5076620434392254E-2</v>
          </cell>
          <cell r="I104">
            <v>-2.1416579957927919E-2</v>
          </cell>
        </row>
        <row r="105">
          <cell r="A105">
            <v>40513</v>
          </cell>
          <cell r="B105">
            <v>6.4712799042164357E-2</v>
          </cell>
          <cell r="C105">
            <v>0.10646943777769211</v>
          </cell>
          <cell r="F105">
            <v>2.8669971944770634E-3</v>
          </cell>
          <cell r="G105">
            <v>6.9315945518318755E-3</v>
          </cell>
          <cell r="H105">
            <v>3.5972658271478268E-2</v>
          </cell>
          <cell r="I105">
            <v>-4.0579746542867293E-2</v>
          </cell>
        </row>
        <row r="106">
          <cell r="A106">
            <v>40544</v>
          </cell>
          <cell r="B106">
            <v>2.3032483431824631E-2</v>
          </cell>
          <cell r="C106">
            <v>5.3867286825819503E-2</v>
          </cell>
          <cell r="F106">
            <v>-3.2589175746798212E-3</v>
          </cell>
          <cell r="G106">
            <v>-3.7201022767263097E-3</v>
          </cell>
          <cell r="H106">
            <v>1.0992931250250252E-2</v>
          </cell>
          <cell r="I106">
            <v>-1.8984611662390113E-2</v>
          </cell>
        </row>
        <row r="107">
          <cell r="A107">
            <v>40575</v>
          </cell>
          <cell r="B107">
            <v>3.4147896129455652E-2</v>
          </cell>
          <cell r="C107">
            <v>2.4955819672714742E-2</v>
          </cell>
          <cell r="F107">
            <v>9.9631628237515472E-3</v>
          </cell>
          <cell r="G107">
            <v>1.713858103672319E-2</v>
          </cell>
          <cell r="H107">
            <v>2.5246273405220673E-2</v>
          </cell>
          <cell r="I107">
            <v>-1.8094982092443285E-2</v>
          </cell>
        </row>
        <row r="108">
          <cell r="A108">
            <v>40603</v>
          </cell>
          <cell r="B108">
            <v>1.2004505130044354E-4</v>
          </cell>
          <cell r="C108">
            <v>-3.0332399673355659E-2</v>
          </cell>
          <cell r="F108">
            <v>2.1729271074726723E-2</v>
          </cell>
          <cell r="G108">
            <v>-8.4305377911230092E-3</v>
          </cell>
          <cell r="H108">
            <v>-1.3002218478200513E-2</v>
          </cell>
          <cell r="I108">
            <v>-2.0545886200125804E-2</v>
          </cell>
        </row>
        <row r="109">
          <cell r="A109">
            <v>40634</v>
          </cell>
          <cell r="B109">
            <v>2.8550198825919967E-2</v>
          </cell>
          <cell r="C109">
            <v>-3.5155922672446601E-4</v>
          </cell>
          <cell r="F109">
            <v>1.9615172371777657E-2</v>
          </cell>
          <cell r="G109">
            <v>1.3834555326560119E-2</v>
          </cell>
          <cell r="H109">
            <v>5.4909260099414974E-3</v>
          </cell>
          <cell r="I109">
            <v>-1.5200546732369025E-2</v>
          </cell>
        </row>
        <row r="110">
          <cell r="A110">
            <v>40664</v>
          </cell>
          <cell r="B110">
            <v>-1.1277764128790937E-2</v>
          </cell>
          <cell r="C110">
            <v>-4.0272204820622513E-2</v>
          </cell>
          <cell r="F110">
            <v>9.6088047945949943E-3</v>
          </cell>
          <cell r="G110">
            <v>1.4270795268562422E-2</v>
          </cell>
          <cell r="H110">
            <v>-1.6480593819797634E-2</v>
          </cell>
          <cell r="I110">
            <v>1.6759048487742442E-2</v>
          </cell>
        </row>
        <row r="111">
          <cell r="A111">
            <v>40695</v>
          </cell>
          <cell r="B111">
            <v>-1.7013925060328533E-2</v>
          </cell>
          <cell r="C111">
            <v>-3.890533164843319E-2</v>
          </cell>
          <cell r="F111">
            <v>1.927997340252488E-2</v>
          </cell>
          <cell r="G111">
            <v>-2.6116251818565899E-2</v>
          </cell>
          <cell r="H111">
            <v>-4.5031748679545007E-2</v>
          </cell>
          <cell r="I111">
            <v>-3.0986630731380639E-3</v>
          </cell>
        </row>
        <row r="112">
          <cell r="A112">
            <v>40725</v>
          </cell>
          <cell r="B112">
            <v>-2.0207538717317289E-2</v>
          </cell>
          <cell r="C112">
            <v>-4.3330813625459073E-3</v>
          </cell>
          <cell r="F112">
            <v>-3.979188427792512E-2</v>
          </cell>
          <cell r="G112">
            <v>1.9281706382704929E-2</v>
          </cell>
          <cell r="H112">
            <v>1.8245685977121447E-2</v>
          </cell>
          <cell r="I112">
            <v>1.6811771954745092E-2</v>
          </cell>
        </row>
        <row r="113">
          <cell r="A113">
            <v>40756</v>
          </cell>
          <cell r="B113">
            <v>-5.6544384857879895E-2</v>
          </cell>
          <cell r="C113">
            <v>-0.26867430397222858</v>
          </cell>
          <cell r="F113">
            <v>8.162601999394177E-2</v>
          </cell>
          <cell r="G113">
            <v>-3.8221473300384987E-2</v>
          </cell>
          <cell r="H113">
            <v>-7.4208900453684459E-2</v>
          </cell>
          <cell r="I113">
            <v>4.7278273792321988E-2</v>
          </cell>
        </row>
        <row r="114">
          <cell r="A114">
            <v>40787</v>
          </cell>
          <cell r="B114">
            <v>-7.1948067164102666E-2</v>
          </cell>
          <cell r="C114">
            <v>-0.21757850379320046</v>
          </cell>
          <cell r="F114">
            <v>2.5666604860091757E-3</v>
          </cell>
          <cell r="G114">
            <v>-1.9024245740489446E-2</v>
          </cell>
          <cell r="H114">
            <v>-2.6363096536001364E-2</v>
          </cell>
          <cell r="I114">
            <v>5.2946010994901239E-2</v>
          </cell>
        </row>
        <row r="115">
          <cell r="A115">
            <v>40817</v>
          </cell>
          <cell r="B115">
            <v>0.10359142321300968</v>
          </cell>
          <cell r="C115">
            <v>0.15438671107540722</v>
          </cell>
          <cell r="F115">
            <v>1.2266253356363208E-2</v>
          </cell>
          <cell r="G115">
            <v>2.4017114349233752E-2</v>
          </cell>
          <cell r="H115">
            <v>2.2372794256617923E-2</v>
          </cell>
          <cell r="I115">
            <v>-1.8882671401672109E-2</v>
          </cell>
        </row>
        <row r="116">
          <cell r="A116">
            <v>40848</v>
          </cell>
          <cell r="B116">
            <v>-4.072108220249622E-3</v>
          </cell>
          <cell r="C116">
            <v>-8.558827985879304E-2</v>
          </cell>
          <cell r="F116">
            <v>4.3579189455223197E-2</v>
          </cell>
          <cell r="G116">
            <v>-1.8241588904745618E-2</v>
          </cell>
          <cell r="H116">
            <v>6.0374496991784897E-3</v>
          </cell>
          <cell r="I116">
            <v>1.4081265123699026E-2</v>
          </cell>
        </row>
        <row r="117">
          <cell r="A117">
            <v>40878</v>
          </cell>
          <cell r="B117">
            <v>1.0394239366066014E-2</v>
          </cell>
          <cell r="C117">
            <v>-1.3019924017450286E-2</v>
          </cell>
          <cell r="F117">
            <v>1.0654518659416193E-2</v>
          </cell>
          <cell r="G117">
            <v>2.1109373590297395E-2</v>
          </cell>
          <cell r="H117">
            <v>1.3825319904160062E-2</v>
          </cell>
          <cell r="I117">
            <v>8.5004242264216006E-4</v>
          </cell>
        </row>
        <row r="118">
          <cell r="A118">
            <v>40909</v>
          </cell>
          <cell r="B118">
            <v>4.5331251108184228E-2</v>
          </cell>
          <cell r="C118">
            <v>8.6789695614172074E-2</v>
          </cell>
          <cell r="F118">
            <v>-1.065421663953015E-3</v>
          </cell>
          <cell r="G118">
            <v>3.7088764635217292E-2</v>
          </cell>
          <cell r="H118">
            <v>1.9880556128924105E-2</v>
          </cell>
          <cell r="I118">
            <v>-2.2772392072328458E-2</v>
          </cell>
        </row>
        <row r="119">
          <cell r="A119">
            <v>40940</v>
          </cell>
          <cell r="B119">
            <v>4.2489821219877516E-2</v>
          </cell>
          <cell r="C119">
            <v>6.7445147980817521E-2</v>
          </cell>
          <cell r="F119">
            <v>7.2514587926275475E-3</v>
          </cell>
          <cell r="G119">
            <v>5.89311887905738E-3</v>
          </cell>
          <cell r="H119">
            <v>2.6080853381627578E-2</v>
          </cell>
          <cell r="I119">
            <v>-3.6241142283388358E-2</v>
          </cell>
        </row>
        <row r="120">
          <cell r="A120">
            <v>40969</v>
          </cell>
          <cell r="B120">
            <v>3.1657201195968959E-2</v>
          </cell>
          <cell r="C120">
            <v>7.4331433200827773E-2</v>
          </cell>
          <cell r="F120">
            <v>4.2696125022608136E-3</v>
          </cell>
          <cell r="G120">
            <v>3.661080840336825E-3</v>
          </cell>
          <cell r="H120">
            <v>-9.7543535179439658E-3</v>
          </cell>
          <cell r="I120">
            <v>-2.1616281091293649E-3</v>
          </cell>
        </row>
        <row r="121">
          <cell r="A121">
            <v>41000</v>
          </cell>
          <cell r="B121">
            <v>-6.6975610043536115E-3</v>
          </cell>
          <cell r="C121">
            <v>-8.1276005959366626E-2</v>
          </cell>
          <cell r="F121">
            <v>2.2266788322080872E-2</v>
          </cell>
          <cell r="G121">
            <v>-5.1017262227358012E-3</v>
          </cell>
          <cell r="H121">
            <v>-1.856489592984403E-2</v>
          </cell>
          <cell r="I121">
            <v>3.2008037126986931E-2</v>
          </cell>
        </row>
        <row r="122">
          <cell r="A122">
            <v>41030</v>
          </cell>
          <cell r="B122">
            <v>-6.1934980313862131E-2</v>
          </cell>
          <cell r="C122">
            <v>-0.11544675407236324</v>
          </cell>
          <cell r="F122">
            <v>-3.7958725346883613E-3</v>
          </cell>
          <cell r="G122">
            <v>2.9102305244142909E-2</v>
          </cell>
          <cell r="H122">
            <v>-2.0003078795206145E-2</v>
          </cell>
          <cell r="I122">
            <v>9.5497825615567713E-3</v>
          </cell>
        </row>
        <row r="123">
          <cell r="A123">
            <v>41061</v>
          </cell>
          <cell r="B123">
            <v>3.9779032348415816E-2</v>
          </cell>
          <cell r="C123">
            <v>1.7454644709188637E-2</v>
          </cell>
          <cell r="F123">
            <v>2.7260132793923905E-2</v>
          </cell>
          <cell r="G123">
            <v>-1.1988335207081851E-2</v>
          </cell>
          <cell r="H123">
            <v>4.4016722021644897E-3</v>
          </cell>
          <cell r="I123">
            <v>-1.6604999560539613E-2</v>
          </cell>
        </row>
        <row r="124">
          <cell r="A124">
            <v>41091</v>
          </cell>
          <cell r="B124">
            <v>1.1760430159140101E-2</v>
          </cell>
          <cell r="C124">
            <v>-5.3279894770597469E-2</v>
          </cell>
          <cell r="F124">
            <v>1.9209046741155276E-2</v>
          </cell>
          <cell r="G124">
            <v>-8.3687163696615566E-3</v>
          </cell>
          <cell r="H124">
            <v>-5.7472773109411967E-3</v>
          </cell>
          <cell r="I124">
            <v>2.5673379215753946E-2</v>
          </cell>
        </row>
        <row r="125">
          <cell r="A125">
            <v>41122</v>
          </cell>
          <cell r="B125">
            <v>2.4743700121654916E-2</v>
          </cell>
          <cell r="C125">
            <v>8.4889605268528373E-2</v>
          </cell>
          <cell r="F125">
            <v>-4.2413178444685486E-3</v>
          </cell>
          <cell r="G125">
            <v>4.2627540726792826E-2</v>
          </cell>
          <cell r="H125">
            <v>1.8775498094816039E-2</v>
          </cell>
          <cell r="I125">
            <v>-2.81850807339276E-2</v>
          </cell>
        </row>
        <row r="126">
          <cell r="A126">
            <v>41153</v>
          </cell>
          <cell r="B126">
            <v>2.5035320071267811E-2</v>
          </cell>
          <cell r="C126">
            <v>7.6233389647209854E-2</v>
          </cell>
          <cell r="F126">
            <v>-1.1601137605010026E-2</v>
          </cell>
          <cell r="G126">
            <v>1.3942539917190222E-2</v>
          </cell>
          <cell r="H126">
            <v>1.6510877464287747E-2</v>
          </cell>
          <cell r="I126">
            <v>-2.4768830726444532E-2</v>
          </cell>
        </row>
        <row r="127">
          <cell r="A127">
            <v>41183</v>
          </cell>
          <cell r="B127">
            <v>-1.8366171419647966E-2</v>
          </cell>
          <cell r="C127">
            <v>1.4033698405142916E-2</v>
          </cell>
          <cell r="F127">
            <v>-1.4329111832685686E-2</v>
          </cell>
          <cell r="G127">
            <v>1.32200099464526E-2</v>
          </cell>
          <cell r="H127">
            <v>1.4959708941337522E-2</v>
          </cell>
          <cell r="I127">
            <v>-2.2929085591977691E-2</v>
          </cell>
        </row>
        <row r="128">
          <cell r="A128">
            <v>41214</v>
          </cell>
          <cell r="B128">
            <v>5.6436240375966973E-3</v>
          </cell>
          <cell r="C128">
            <v>-2.1364392975294761E-2</v>
          </cell>
          <cell r="F128">
            <v>1.9176554052706411E-2</v>
          </cell>
          <cell r="G128">
            <v>3.6933538055764388E-3</v>
          </cell>
          <cell r="H128">
            <v>-1.1598737326005268E-2</v>
          </cell>
          <cell r="I128">
            <v>5.1734979782019058E-3</v>
          </cell>
        </row>
        <row r="129">
          <cell r="A129">
            <v>41244</v>
          </cell>
          <cell r="B129">
            <v>8.8949475774528775E-3</v>
          </cell>
          <cell r="C129">
            <v>3.0158788094618787E-2</v>
          </cell>
          <cell r="F129">
            <v>-2.6645609742020418E-3</v>
          </cell>
          <cell r="G129">
            <v>-6.5922084497466657E-3</v>
          </cell>
          <cell r="H129">
            <v>1.827475613518047E-3</v>
          </cell>
          <cell r="I129">
            <v>-9.2406043706672741E-4</v>
          </cell>
        </row>
        <row r="130">
          <cell r="A130">
            <v>41275</v>
          </cell>
          <cell r="B130">
            <v>4.9922956647863635E-2</v>
          </cell>
          <cell r="C130">
            <v>5.6752336255235368E-2</v>
          </cell>
          <cell r="F130">
            <v>2.2065633821715322E-3</v>
          </cell>
          <cell r="G130">
            <v>-2.3336161633466711E-2</v>
          </cell>
          <cell r="H130">
            <v>2.1809195648912344E-2</v>
          </cell>
          <cell r="I130">
            <v>-1.6223186609208844E-2</v>
          </cell>
        </row>
        <row r="131">
          <cell r="A131">
            <v>41306</v>
          </cell>
          <cell r="B131">
            <v>1.2678190377662671E-2</v>
          </cell>
          <cell r="C131">
            <v>1.4779559686182501E-2</v>
          </cell>
          <cell r="F131">
            <v>-1.8452529120968008E-3</v>
          </cell>
          <cell r="G131">
            <v>1.2567078769891262E-2</v>
          </cell>
          <cell r="H131">
            <v>8.3821187481050424E-3</v>
          </cell>
          <cell r="I131">
            <v>-3.3375634364996307E-3</v>
          </cell>
        </row>
        <row r="132">
          <cell r="A132">
            <v>41334</v>
          </cell>
          <cell r="B132">
            <v>3.7267814819473839E-2</v>
          </cell>
          <cell r="C132">
            <v>3.1043190208220332E-2</v>
          </cell>
          <cell r="F132">
            <v>1.4853967495249289E-2</v>
          </cell>
          <cell r="G132">
            <v>4.4263857643941909E-3</v>
          </cell>
          <cell r="H132">
            <v>2.0693186775401946E-2</v>
          </cell>
          <cell r="I132">
            <v>-1.9606992574929406E-2</v>
          </cell>
        </row>
        <row r="133">
          <cell r="A133">
            <v>41365</v>
          </cell>
          <cell r="B133">
            <v>1.9030244935242618E-2</v>
          </cell>
          <cell r="C133">
            <v>-5.194430551878669E-2</v>
          </cell>
          <cell r="F133">
            <v>2.6654525547146174E-2</v>
          </cell>
          <cell r="G133">
            <v>1.4646363612147695E-3</v>
          </cell>
          <cell r="H133">
            <v>-9.6847429248380166E-3</v>
          </cell>
          <cell r="I133">
            <v>4.4238386904684776E-2</v>
          </cell>
        </row>
        <row r="134">
          <cell r="A134">
            <v>41395</v>
          </cell>
          <cell r="B134">
            <v>2.3335496472425946E-2</v>
          </cell>
          <cell r="C134">
            <v>8.6654437978827673E-2</v>
          </cell>
          <cell r="F134">
            <v>-2.2504156813585439E-2</v>
          </cell>
          <cell r="G134">
            <v>-2.9188843619167491E-2</v>
          </cell>
          <cell r="H134">
            <v>1.8121498020384631E-2</v>
          </cell>
          <cell r="I134">
            <v>-2.1317605440437412E-2</v>
          </cell>
        </row>
        <row r="135">
          <cell r="A135">
            <v>41426</v>
          </cell>
          <cell r="B135">
            <v>-1.3434459342048375E-2</v>
          </cell>
          <cell r="C135">
            <v>3.0018815692336921E-2</v>
          </cell>
          <cell r="F135">
            <v>8.4509075095197637E-3</v>
          </cell>
          <cell r="G135">
            <v>1.864379831240106E-2</v>
          </cell>
          <cell r="H135">
            <v>8.2257846729030561E-3</v>
          </cell>
          <cell r="I135">
            <v>-8.9288896184721283E-3</v>
          </cell>
        </row>
        <row r="136">
          <cell r="A136">
            <v>41456</v>
          </cell>
          <cell r="B136">
            <v>5.0386066825862129E-2</v>
          </cell>
          <cell r="C136">
            <v>6.2600037934992706E-2</v>
          </cell>
          <cell r="F136">
            <v>-4.6718772956767327E-3</v>
          </cell>
          <cell r="G136">
            <v>-1.5295859344960876E-2</v>
          </cell>
          <cell r="H136">
            <v>2.1766430283560859E-2</v>
          </cell>
          <cell r="I136">
            <v>-2.6652367865186946E-2</v>
          </cell>
        </row>
        <row r="137">
          <cell r="A137">
            <v>41487</v>
          </cell>
          <cell r="B137">
            <v>-3.0451293131387565E-2</v>
          </cell>
          <cell r="C137">
            <v>2.5687274559438564E-2</v>
          </cell>
          <cell r="F137">
            <v>-5.5454360670213719E-3</v>
          </cell>
          <cell r="G137">
            <v>3.7098944833011585E-2</v>
          </cell>
          <cell r="H137">
            <v>2.7818948816240403E-3</v>
          </cell>
          <cell r="I137">
            <v>-5.8814672931020691E-3</v>
          </cell>
        </row>
        <row r="138">
          <cell r="A138">
            <v>41518</v>
          </cell>
          <cell r="B138">
            <v>3.1156271217842636E-2</v>
          </cell>
          <cell r="C138">
            <v>4.271853352354326E-2</v>
          </cell>
          <cell r="F138">
            <v>-1.1362589132228687E-2</v>
          </cell>
          <cell r="G138">
            <v>6.695969945125127E-3</v>
          </cell>
          <cell r="H138">
            <v>2.4029239055914524E-2</v>
          </cell>
          <cell r="I138">
            <v>-2.5010337846288627E-2</v>
          </cell>
        </row>
        <row r="139">
          <cell r="A139">
            <v>41548</v>
          </cell>
          <cell r="B139">
            <v>4.5265907890214986E-2</v>
          </cell>
          <cell r="C139">
            <v>3.1895853535162097E-2</v>
          </cell>
          <cell r="F139">
            <v>7.9384439573847148E-3</v>
          </cell>
          <cell r="G139">
            <v>8.7705908782456151E-3</v>
          </cell>
          <cell r="H139">
            <v>-3.4585024641157359E-3</v>
          </cell>
          <cell r="I139">
            <v>1.6917837140625804E-4</v>
          </cell>
        </row>
        <row r="140">
          <cell r="A140">
            <v>41579</v>
          </cell>
          <cell r="B140">
            <v>2.920710217632325E-2</v>
          </cell>
          <cell r="C140">
            <v>6.5036453962394089E-2</v>
          </cell>
          <cell r="F140">
            <v>6.0399916583899569E-3</v>
          </cell>
          <cell r="G140">
            <v>1.4464837081395749E-2</v>
          </cell>
          <cell r="H140">
            <v>-4.9038568950418963E-3</v>
          </cell>
          <cell r="I140">
            <v>-1.3050836595594313E-2</v>
          </cell>
        </row>
        <row r="141">
          <cell r="A141">
            <v>41609</v>
          </cell>
          <cell r="B141">
            <v>2.5596487779456702E-2</v>
          </cell>
          <cell r="C141">
            <v>7.4478869860950016E-3</v>
          </cell>
          <cell r="F141">
            <v>1.7092852679268359E-2</v>
          </cell>
          <cell r="G141">
            <v>-1.9929216336758784E-2</v>
          </cell>
          <cell r="H141">
            <v>-3.3168428079503876E-4</v>
          </cell>
          <cell r="I141">
            <v>-1.1783673687023415E-2</v>
          </cell>
        </row>
        <row r="142">
          <cell r="A142">
            <v>41640</v>
          </cell>
          <cell r="B142">
            <v>-3.5884832374277587E-2</v>
          </cell>
          <cell r="C142">
            <v>-5.7606663173614812E-2</v>
          </cell>
          <cell r="F142">
            <v>-2.5543672746040948E-2</v>
          </cell>
          <cell r="G142">
            <v>1.3855692819023779E-2</v>
          </cell>
          <cell r="H142">
            <v>-6.3551146934423533E-3</v>
          </cell>
          <cell r="I142">
            <v>7.0442276873245637E-3</v>
          </cell>
        </row>
        <row r="143">
          <cell r="A143">
            <v>41671</v>
          </cell>
          <cell r="B143">
            <v>4.4510681913880017E-2</v>
          </cell>
          <cell r="C143">
            <v>5.2038071955602172E-2</v>
          </cell>
          <cell r="F143">
            <v>7.43543068712804E-3</v>
          </cell>
          <cell r="G143">
            <v>2.0189452425049874E-2</v>
          </cell>
          <cell r="H143">
            <v>8.3832583804043254E-3</v>
          </cell>
          <cell r="I143">
            <v>-1.1303611344157445E-2</v>
          </cell>
        </row>
        <row r="144">
          <cell r="A144">
            <v>41699</v>
          </cell>
          <cell r="B144">
            <v>8.261260744244877E-3</v>
          </cell>
          <cell r="C144">
            <v>4.6308562504127123E-3</v>
          </cell>
          <cell r="F144">
            <v>4.3409963714916332E-3</v>
          </cell>
          <cell r="G144">
            <v>8.0059352866194301E-3</v>
          </cell>
          <cell r="H144">
            <v>1.0519160187812208E-2</v>
          </cell>
          <cell r="I144">
            <v>-2.2569149314126617E-2</v>
          </cell>
        </row>
        <row r="145">
          <cell r="A145">
            <v>41730</v>
          </cell>
          <cell r="B145">
            <v>6.9271787675743383E-3</v>
          </cell>
          <cell r="C145">
            <v>-9.0872182205124809E-3</v>
          </cell>
          <cell r="F145">
            <v>2.2328598019322244E-3</v>
          </cell>
          <cell r="G145">
            <v>6.95412991192133E-3</v>
          </cell>
          <cell r="H145">
            <v>-1.438041450549481E-2</v>
          </cell>
          <cell r="I145">
            <v>2.6613784614609092E-3</v>
          </cell>
        </row>
        <row r="146">
          <cell r="A146">
            <v>41760</v>
          </cell>
          <cell r="B146">
            <v>2.2940834571251054E-2</v>
          </cell>
          <cell r="C146">
            <v>-8.4663293622192735E-3</v>
          </cell>
          <cell r="F146">
            <v>1.8595814523711462E-2</v>
          </cell>
          <cell r="G146">
            <v>1.6257243407320737E-2</v>
          </cell>
          <cell r="H146">
            <v>-2.2860627922248302E-3</v>
          </cell>
          <cell r="I146">
            <v>1.1206014391874592E-2</v>
          </cell>
        </row>
        <row r="147">
          <cell r="A147">
            <v>41791</v>
          </cell>
          <cell r="B147">
            <v>2.043521183378955E-2</v>
          </cell>
          <cell r="C147">
            <v>3.9341876036557089E-2</v>
          </cell>
          <cell r="F147">
            <v>-1.1232785605316427E-3</v>
          </cell>
          <cell r="G147">
            <v>1.5267166968324891E-2</v>
          </cell>
          <cell r="H147">
            <v>1.3916117027030609E-2</v>
          </cell>
          <cell r="I147">
            <v>-1.9664099111772634E-2</v>
          </cell>
        </row>
        <row r="148">
          <cell r="A148">
            <v>41821</v>
          </cell>
          <cell r="B148">
            <v>-1.3528792451361432E-2</v>
          </cell>
          <cell r="C148">
            <v>-5.8028469728762938E-3</v>
          </cell>
          <cell r="F148">
            <v>-2.6120281980454192E-2</v>
          </cell>
          <cell r="G148">
            <v>-1.1774896057303023E-2</v>
          </cell>
          <cell r="H148">
            <v>2.6530085799202916E-3</v>
          </cell>
          <cell r="I148">
            <v>-4.3185877921053002E-3</v>
          </cell>
        </row>
        <row r="149">
          <cell r="A149">
            <v>41852</v>
          </cell>
          <cell r="B149">
            <v>3.8704364068411844E-2</v>
          </cell>
          <cell r="C149">
            <v>6.9526367160309653E-3</v>
          </cell>
          <cell r="F149">
            <v>6.0468037390451366E-3</v>
          </cell>
          <cell r="G149">
            <v>2.0451193254643462E-2</v>
          </cell>
          <cell r="H149">
            <v>-1.0726187139792566E-2</v>
          </cell>
          <cell r="I149">
            <v>1.8217794169746691E-2</v>
          </cell>
        </row>
        <row r="150">
          <cell r="A150">
            <v>41883</v>
          </cell>
          <cell r="B150">
            <v>-1.3891926239782942E-2</v>
          </cell>
          <cell r="C150">
            <v>3.1456303691018588E-2</v>
          </cell>
          <cell r="F150">
            <v>-1.0752948847443551E-2</v>
          </cell>
          <cell r="G150">
            <v>1.3245867480256876E-2</v>
          </cell>
          <cell r="H150">
            <v>-5.9782044308948935E-4</v>
          </cell>
          <cell r="I150">
            <v>-2.5572545522358669E-2</v>
          </cell>
        </row>
        <row r="151">
          <cell r="A151">
            <v>41913</v>
          </cell>
          <cell r="B151">
            <v>2.3277772503548649E-2</v>
          </cell>
          <cell r="C151">
            <v>-5.3641503951176707E-2</v>
          </cell>
          <cell r="F151">
            <v>3.8364168342994921E-2</v>
          </cell>
          <cell r="G151">
            <v>-1.0759754881652915E-2</v>
          </cell>
          <cell r="H151">
            <v>-1.9269004824749494E-2</v>
          </cell>
          <cell r="I151">
            <v>2.8717355282347038E-2</v>
          </cell>
        </row>
        <row r="152">
          <cell r="A152">
            <v>41944</v>
          </cell>
          <cell r="B152">
            <v>2.7101695451126152E-2</v>
          </cell>
          <cell r="C152">
            <v>1.5051388749237574E-2</v>
          </cell>
          <cell r="F152">
            <v>2.5129710988590682E-3</v>
          </cell>
          <cell r="G152">
            <v>1.9705352742763683E-2</v>
          </cell>
          <cell r="H152">
            <v>8.2962181322684646E-3</v>
          </cell>
          <cell r="I152">
            <v>6.6192653478077254E-3</v>
          </cell>
        </row>
        <row r="153">
          <cell r="A153">
            <v>41974</v>
          </cell>
          <cell r="B153">
            <v>-2.5400820762295131E-3</v>
          </cell>
          <cell r="C153">
            <v>-2.7266995987417945E-2</v>
          </cell>
          <cell r="F153">
            <v>-4.7567984747656725E-3</v>
          </cell>
          <cell r="G153">
            <v>2.5119777857141711E-3</v>
          </cell>
          <cell r="H153">
            <v>3.8531815807434262E-3</v>
          </cell>
          <cell r="I153">
            <v>-9.2316654151431577E-3</v>
          </cell>
        </row>
        <row r="154">
          <cell r="A154">
            <v>42005</v>
          </cell>
          <cell r="B154">
            <v>-3.0077138355879652E-2</v>
          </cell>
          <cell r="C154">
            <v>-7.0699789050467129E-2</v>
          </cell>
          <cell r="F154">
            <v>-2.7300373913802391E-2</v>
          </cell>
          <cell r="G154">
            <v>2.5711127852013214E-2</v>
          </cell>
          <cell r="H154">
            <v>1.7496835100417746E-3</v>
          </cell>
          <cell r="I154">
            <v>2.9191989193135804E-2</v>
          </cell>
        </row>
        <row r="155">
          <cell r="A155">
            <v>42036</v>
          </cell>
          <cell r="B155">
            <v>5.4682108409737744E-2</v>
          </cell>
          <cell r="C155">
            <v>0.13259843447997532</v>
          </cell>
          <cell r="F155">
            <v>-2.6072343328967431E-3</v>
          </cell>
          <cell r="G155">
            <v>1.1961143697534623E-2</v>
          </cell>
          <cell r="H155">
            <v>3.012602647126322E-2</v>
          </cell>
          <cell r="I155">
            <v>-5.2368750151624968E-2</v>
          </cell>
        </row>
        <row r="156">
          <cell r="A156">
            <v>42064</v>
          </cell>
          <cell r="B156">
            <v>-1.5830436461085864E-2</v>
          </cell>
          <cell r="C156">
            <v>-1.3851110603715921E-2</v>
          </cell>
          <cell r="F156">
            <v>-1.9096523008057423E-2</v>
          </cell>
          <cell r="G156">
            <v>-6.2547408141788701E-3</v>
          </cell>
          <cell r="H156">
            <v>-1.5114157304979031E-2</v>
          </cell>
          <cell r="I156">
            <v>-4.5724602445418344E-2</v>
          </cell>
        </row>
        <row r="157">
          <cell r="A157">
            <v>42095</v>
          </cell>
          <cell r="B157">
            <v>9.7858249923448888E-3</v>
          </cell>
          <cell r="C157">
            <v>4.1038420983999575E-2</v>
          </cell>
          <cell r="F157">
            <v>-1.0355893863015015E-2</v>
          </cell>
          <cell r="G157">
            <v>-1.3955240408851044E-2</v>
          </cell>
          <cell r="H157">
            <v>7.4805965369962634E-3</v>
          </cell>
          <cell r="I157">
            <v>5.4520331312920417E-3</v>
          </cell>
        </row>
        <row r="158">
          <cell r="A158">
            <v>42125</v>
          </cell>
          <cell r="B158">
            <v>1.2774392163248202E-2</v>
          </cell>
          <cell r="C158">
            <v>6.7319854623018691E-2</v>
          </cell>
          <cell r="F158">
            <v>-1.111529005607859E-2</v>
          </cell>
          <cell r="G158">
            <v>1.9420032067166186E-2</v>
          </cell>
          <cell r="H158">
            <v>1.9650585500238949E-3</v>
          </cell>
          <cell r="I158">
            <v>-2.8339030536422463E-2</v>
          </cell>
        </row>
        <row r="159">
          <cell r="A159">
            <v>42156</v>
          </cell>
          <cell r="B159">
            <v>-2.0521157444240472E-2</v>
          </cell>
          <cell r="C159">
            <v>3.1163276315692066E-2</v>
          </cell>
          <cell r="F159">
            <v>-2.3809079336050955E-2</v>
          </cell>
          <cell r="G159">
            <v>-1.3697034469442378E-2</v>
          </cell>
          <cell r="H159">
            <v>-6.5098595877133691E-3</v>
          </cell>
          <cell r="I159">
            <v>-4.0381752071421091E-2</v>
          </cell>
        </row>
        <row r="160">
          <cell r="A160">
            <v>42186</v>
          </cell>
          <cell r="B160">
            <v>2.2337821735104964E-2</v>
          </cell>
          <cell r="C160">
            <v>6.2088838354534184E-3</v>
          </cell>
          <cell r="F160">
            <v>-4.1244751796122416E-3</v>
          </cell>
          <cell r="G160">
            <v>2.4203098919391156E-2</v>
          </cell>
          <cell r="H160">
            <v>-6.4332078092742412E-3</v>
          </cell>
          <cell r="I160">
            <v>2.6005983252300129E-2</v>
          </cell>
        </row>
        <row r="161">
          <cell r="A161">
            <v>42217</v>
          </cell>
          <cell r="B161">
            <v>-6.2887021100616863E-2</v>
          </cell>
          <cell r="C161">
            <v>-9.5354494814687524E-2</v>
          </cell>
          <cell r="F161">
            <v>-8.0953972423731917E-4</v>
          </cell>
          <cell r="G161">
            <v>-4.0195584245480739E-2</v>
          </cell>
          <cell r="H161">
            <v>-1.218806252468007E-2</v>
          </cell>
          <cell r="I161">
            <v>1.6845244317525061E-2</v>
          </cell>
        </row>
        <row r="162">
          <cell r="A162">
            <v>42248</v>
          </cell>
          <cell r="B162">
            <v>-2.5846755755736188E-2</v>
          </cell>
          <cell r="C162">
            <v>-1.9148062031934934E-2</v>
          </cell>
          <cell r="F162">
            <v>-1.1827538096814309E-2</v>
          </cell>
          <cell r="G162">
            <v>1.4348772094628426E-2</v>
          </cell>
          <cell r="H162">
            <v>-1.2148979169161432E-3</v>
          </cell>
          <cell r="I162">
            <v>-2.3722182186536999E-3</v>
          </cell>
        </row>
        <row r="163">
          <cell r="A163">
            <v>42278</v>
          </cell>
          <cell r="B163">
            <v>8.1634835094434213E-2</v>
          </cell>
          <cell r="C163">
            <v>4.5764314759900657E-2</v>
          </cell>
          <cell r="F163">
            <v>2.9676485496842271E-2</v>
          </cell>
          <cell r="G163">
            <v>-1.0290644709048386E-2</v>
          </cell>
          <cell r="H163">
            <v>3.9796415105877808E-2</v>
          </cell>
          <cell r="I163">
            <v>-2.3874349834909535E-3</v>
          </cell>
        </row>
        <row r="164">
          <cell r="A164">
            <v>42309</v>
          </cell>
          <cell r="B164">
            <v>3.648361957249417E-3</v>
          </cell>
          <cell r="C164">
            <v>2.3597157568039928E-2</v>
          </cell>
          <cell r="F164">
            <v>-2.9665905124825896E-3</v>
          </cell>
          <cell r="G164">
            <v>8.267848881129353E-3</v>
          </cell>
          <cell r="H164">
            <v>1.0096481605360821E-2</v>
          </cell>
          <cell r="I164">
            <v>-2.9093910193103013E-2</v>
          </cell>
        </row>
        <row r="165">
          <cell r="A165">
            <v>42339</v>
          </cell>
          <cell r="B165">
            <v>-1.743370093820662E-2</v>
          </cell>
          <cell r="C165">
            <v>-4.4707882553118451E-2</v>
          </cell>
          <cell r="F165">
            <v>1.0849372007947153E-2</v>
          </cell>
          <cell r="G165">
            <v>-1.9401296744545181E-2</v>
          </cell>
          <cell r="H165">
            <v>-1.630539501814232E-3</v>
          </cell>
          <cell r="I165">
            <v>4.5852252758560568E-3</v>
          </cell>
        </row>
        <row r="166">
          <cell r="A166">
            <v>42370</v>
          </cell>
          <cell r="B166">
            <v>-5.1068365604597682E-2</v>
          </cell>
          <cell r="C166">
            <v>-0.12708483565857864</v>
          </cell>
          <cell r="F166">
            <v>3.188894838207746E-2</v>
          </cell>
          <cell r="G166">
            <v>1.0105922903692464E-2</v>
          </cell>
          <cell r="H166">
            <v>-6.0403551011066689E-2</v>
          </cell>
          <cell r="I166">
            <v>2.2793802983429749E-2</v>
          </cell>
        </row>
        <row r="167">
          <cell r="A167">
            <v>42401</v>
          </cell>
          <cell r="B167">
            <v>-8.265477497735995E-4</v>
          </cell>
          <cell r="C167">
            <v>-2.4630094461810949E-2</v>
          </cell>
          <cell r="F167">
            <v>-6.2834807253695224E-3</v>
          </cell>
          <cell r="G167">
            <v>3.0568033501985562E-4</v>
          </cell>
          <cell r="H167">
            <v>-3.0237971810202546E-2</v>
          </cell>
          <cell r="I167">
            <v>1.2987459620864941E-2</v>
          </cell>
        </row>
        <row r="168">
          <cell r="A168">
            <v>42430</v>
          </cell>
          <cell r="B168">
            <v>6.5100358621374935E-2</v>
          </cell>
          <cell r="C168">
            <v>8.1528112627579211E-2</v>
          </cell>
          <cell r="F168">
            <v>4.1443983419311662E-3</v>
          </cell>
          <cell r="G168">
            <v>1.9638438478543303E-2</v>
          </cell>
          <cell r="H168">
            <v>3.5675768355258639E-2</v>
          </cell>
          <cell r="I168">
            <v>-1.6753935858302635E-2</v>
          </cell>
        </row>
        <row r="169">
          <cell r="A169">
            <v>42461</v>
          </cell>
          <cell r="B169">
            <v>3.9337100574622988E-3</v>
          </cell>
          <cell r="C169">
            <v>2.9387086846344723E-2</v>
          </cell>
          <cell r="F169">
            <v>-1.2713565067709653E-2</v>
          </cell>
          <cell r="G169">
            <v>5.3476681887368515E-3</v>
          </cell>
          <cell r="H169">
            <v>-7.6686592498916486E-3</v>
          </cell>
          <cell r="I169">
            <v>1.9074627177344435E-2</v>
          </cell>
        </row>
        <row r="170">
          <cell r="A170">
            <v>42491</v>
          </cell>
          <cell r="B170">
            <v>1.6868509998657973E-2</v>
          </cell>
          <cell r="C170">
            <v>-1.2024554832864567E-2</v>
          </cell>
          <cell r="F170">
            <v>2.0948069375832098E-2</v>
          </cell>
          <cell r="G170">
            <v>7.6827314718135899E-5</v>
          </cell>
          <cell r="H170">
            <v>-2.9612319408264189E-3</v>
          </cell>
          <cell r="I170">
            <v>1.0247475125201449E-2</v>
          </cell>
        </row>
        <row r="171">
          <cell r="A171">
            <v>42522</v>
          </cell>
          <cell r="B171">
            <v>3.4697405015064482E-3</v>
          </cell>
          <cell r="C171">
            <v>-2.9197546727335398E-2</v>
          </cell>
          <cell r="F171">
            <v>4.976979285724251E-3</v>
          </cell>
          <cell r="G171">
            <v>3.9352526260214987E-2</v>
          </cell>
          <cell r="H171">
            <v>8.7301279673830338E-3</v>
          </cell>
          <cell r="I171">
            <v>2.0324502796659233E-2</v>
          </cell>
        </row>
        <row r="172">
          <cell r="A172">
            <v>42552</v>
          </cell>
          <cell r="B172">
            <v>3.5821892100057956E-2</v>
          </cell>
          <cell r="C172">
            <v>3.5256291593103631E-2</v>
          </cell>
          <cell r="F172">
            <v>-5.5268728358230418E-4</v>
          </cell>
          <cell r="G172">
            <v>1.9689017932577588E-2</v>
          </cell>
          <cell r="H172">
            <v>1.5018996527943824E-2</v>
          </cell>
          <cell r="I172">
            <v>3.5115431920828666E-2</v>
          </cell>
        </row>
        <row r="173">
          <cell r="A173">
            <v>42583</v>
          </cell>
          <cell r="B173">
            <v>1.1966006816287217E-3</v>
          </cell>
          <cell r="C173">
            <v>2.5032391343864535E-2</v>
          </cell>
          <cell r="F173">
            <v>-5.3220209762647325E-3</v>
          </cell>
          <cell r="G173">
            <v>8.3282518549924311E-3</v>
          </cell>
          <cell r="H173">
            <v>4.8704118484129422E-3</v>
          </cell>
          <cell r="I173">
            <v>-2.3645232989533856E-2</v>
          </cell>
        </row>
        <row r="174">
          <cell r="A174">
            <v>42614</v>
          </cell>
          <cell r="B174">
            <v>5.8191036300418372E-5</v>
          </cell>
          <cell r="C174">
            <v>2.3398742123623018E-2</v>
          </cell>
          <cell r="F174">
            <v>-4.0601919171954588E-3</v>
          </cell>
          <cell r="G174">
            <v>4.0808867090001873E-3</v>
          </cell>
          <cell r="H174">
            <v>5.1849225185599795E-3</v>
          </cell>
          <cell r="I174">
            <v>-1.316546767368266E-2</v>
          </cell>
        </row>
        <row r="175">
          <cell r="A175">
            <v>42644</v>
          </cell>
          <cell r="B175">
            <v>-1.7489130032062299E-2</v>
          </cell>
          <cell r="C175">
            <v>1.843763743408789E-2</v>
          </cell>
          <cell r="F175">
            <v>-6.7053655742064381E-3</v>
          </cell>
          <cell r="G175">
            <v>-1.5573498428369751E-2</v>
          </cell>
          <cell r="H175">
            <v>-5.8423243318304618E-3</v>
          </cell>
          <cell r="I175">
            <v>-2.4656305720586889E-2</v>
          </cell>
        </row>
        <row r="176">
          <cell r="A176">
            <v>42675</v>
          </cell>
          <cell r="B176">
            <v>3.6175994356268053E-2</v>
          </cell>
          <cell r="C176">
            <v>0.11329938214783186</v>
          </cell>
          <cell r="F176">
            <v>1.0441599245473053E-3</v>
          </cell>
          <cell r="G176">
            <v>-7.5402400104568456E-3</v>
          </cell>
          <cell r="H176">
            <v>2.8189828397028917E-3</v>
          </cell>
          <cell r="I176">
            <v>-2.9048933488651837E-3</v>
          </cell>
        </row>
        <row r="177">
          <cell r="A177">
            <v>42705</v>
          </cell>
          <cell r="B177">
            <v>2.0069241756526267E-2</v>
          </cell>
          <cell r="C177">
            <v>4.4029438272317506E-2</v>
          </cell>
          <cell r="F177">
            <v>-9.971155425087027E-3</v>
          </cell>
          <cell r="G177">
            <v>9.3525906063315466E-3</v>
          </cell>
          <cell r="H177">
            <v>1.8967827059699439E-2</v>
          </cell>
          <cell r="I177">
            <v>3.3527236108205506E-3</v>
          </cell>
        </row>
        <row r="178">
          <cell r="A178">
            <v>42736</v>
          </cell>
          <cell r="B178">
            <v>1.7736630525470413E-2</v>
          </cell>
          <cell r="C178">
            <v>8.1874755330735641E-3</v>
          </cell>
          <cell r="F178">
            <v>-3.0726771553304309E-4</v>
          </cell>
          <cell r="G178">
            <v>-1.7469124949815538E-3</v>
          </cell>
          <cell r="H178">
            <v>1.3022385186892627E-2</v>
          </cell>
          <cell r="I178">
            <v>2.2411345145951694E-2</v>
          </cell>
        </row>
        <row r="179">
          <cell r="A179">
            <v>42767</v>
          </cell>
          <cell r="B179">
            <v>3.8538919433910968E-2</v>
          </cell>
          <cell r="C179">
            <v>3.3829412028939944E-2</v>
          </cell>
          <cell r="F179">
            <v>8.0374333251261249E-4</v>
          </cell>
          <cell r="G179">
            <v>1.1815673385502639E-2</v>
          </cell>
          <cell r="H179">
            <v>6.177626594760793E-3</v>
          </cell>
          <cell r="I179">
            <v>6.313412803153901E-3</v>
          </cell>
        </row>
        <row r="180">
          <cell r="A180">
            <v>42795</v>
          </cell>
          <cell r="B180">
            <v>1.2491492693997353E-3</v>
          </cell>
          <cell r="C180">
            <v>3.9922140618984803E-3</v>
          </cell>
          <cell r="F180">
            <v>8.5629368577621219E-3</v>
          </cell>
          <cell r="G180">
            <v>4.7337774498800505E-3</v>
          </cell>
          <cell r="H180">
            <v>2.2389316731830419E-3</v>
          </cell>
          <cell r="I180">
            <v>-2.5725897024647941E-2</v>
          </cell>
        </row>
        <row r="181">
          <cell r="A181">
            <v>42826</v>
          </cell>
          <cell r="B181">
            <v>9.8773929442588729E-3</v>
          </cell>
          <cell r="C181">
            <v>-1.4290845438842705E-2</v>
          </cell>
          <cell r="F181">
            <v>3.8296605534574131E-3</v>
          </cell>
          <cell r="G181">
            <v>-4.7292438397868088E-3</v>
          </cell>
          <cell r="H181">
            <v>-2.2934516881969926E-3</v>
          </cell>
          <cell r="I181">
            <v>2.1143068773714904E-3</v>
          </cell>
        </row>
        <row r="182">
          <cell r="A182">
            <v>42856</v>
          </cell>
          <cell r="B182">
            <v>1.4014317538461586E-2</v>
          </cell>
          <cell r="C182">
            <v>-1.2174791707059551E-2</v>
          </cell>
          <cell r="F182">
            <v>1.3048463036209022E-2</v>
          </cell>
          <cell r="G182">
            <v>5.5622347575965247E-3</v>
          </cell>
          <cell r="H182">
            <v>6.7812919234909548E-3</v>
          </cell>
          <cell r="I182">
            <v>-6.6150014584280652E-3</v>
          </cell>
        </row>
        <row r="183">
          <cell r="A183">
            <v>42887</v>
          </cell>
          <cell r="B183">
            <v>6.3545861267207517E-3</v>
          </cell>
          <cell r="C183">
            <v>-1.6101415999681234E-2</v>
          </cell>
          <cell r="F183">
            <v>-4.7446716389456332E-3</v>
          </cell>
          <cell r="G183">
            <v>-1.931330464486547E-2</v>
          </cell>
          <cell r="H183">
            <v>9.1528318163321392E-3</v>
          </cell>
          <cell r="I183">
            <v>6.2874723135301919E-3</v>
          </cell>
        </row>
        <row r="184">
          <cell r="A184">
            <v>42917</v>
          </cell>
          <cell r="B184">
            <v>2.0345845083848145E-2</v>
          </cell>
          <cell r="C184">
            <v>1.7845544606009206E-2</v>
          </cell>
          <cell r="F184">
            <v>-2.027021590706975E-4</v>
          </cell>
          <cell r="G184">
            <v>-9.3082848650070573E-3</v>
          </cell>
          <cell r="H184">
            <v>2.3545168863634497E-3</v>
          </cell>
          <cell r="I184">
            <v>-1.5838213840254231E-2</v>
          </cell>
        </row>
        <row r="185">
          <cell r="A185">
            <v>42948</v>
          </cell>
          <cell r="B185">
            <v>2.9134528973781262E-3</v>
          </cell>
          <cell r="C185">
            <v>-4.1009972453845592E-2</v>
          </cell>
          <cell r="F185">
            <v>1.8720414788120646E-2</v>
          </cell>
          <cell r="G185">
            <v>8.3160340593675108E-3</v>
          </cell>
          <cell r="H185">
            <v>4.4476018160733407E-3</v>
          </cell>
          <cell r="I185">
            <v>1.0440815111997317E-2</v>
          </cell>
        </row>
        <row r="186">
          <cell r="A186">
            <v>42979</v>
          </cell>
          <cell r="B186">
            <v>1.9949065315565978E-2</v>
          </cell>
          <cell r="C186">
            <v>2.4825683207458794E-2</v>
          </cell>
          <cell r="F186">
            <v>7.1503780901424818E-3</v>
          </cell>
          <cell r="G186">
            <v>-1.1476065359011158E-2</v>
          </cell>
          <cell r="H186">
            <v>-3.6838284491937236E-3</v>
          </cell>
          <cell r="I186">
            <v>9.9175769496123098E-3</v>
          </cell>
        </row>
        <row r="187">
          <cell r="A187">
            <v>43009</v>
          </cell>
          <cell r="B187">
            <v>2.3290794499632155E-2</v>
          </cell>
          <cell r="C187">
            <v>2.7384725407794141E-2</v>
          </cell>
          <cell r="F187">
            <v>1.5569506471131917E-4</v>
          </cell>
          <cell r="G187">
            <v>3.8642134794598494E-3</v>
          </cell>
          <cell r="H187">
            <v>1.2421072327983434E-2</v>
          </cell>
          <cell r="I187">
            <v>-7.4003364513960937E-3</v>
          </cell>
        </row>
        <row r="188">
          <cell r="A188">
            <v>43040</v>
          </cell>
          <cell r="B188">
            <v>3.0108033419569857E-2</v>
          </cell>
          <cell r="C188">
            <v>-9.2851896473847284E-3</v>
          </cell>
          <cell r="F188">
            <v>1.9124491699953942E-2</v>
          </cell>
          <cell r="G188">
            <v>-1.2864800095172853E-2</v>
          </cell>
          <cell r="H188">
            <v>5.8935784243084929E-3</v>
          </cell>
          <cell r="I188">
            <v>1.9478850220005867E-2</v>
          </cell>
        </row>
        <row r="189">
          <cell r="A189">
            <v>43070</v>
          </cell>
          <cell r="B189">
            <v>1.2054926300833912E-2</v>
          </cell>
          <cell r="C189">
            <v>1.4761218569910816E-2</v>
          </cell>
          <cell r="F189">
            <v>-2.6943650722405415E-3</v>
          </cell>
          <cell r="G189">
            <v>1.797561517747976E-2</v>
          </cell>
          <cell r="H189">
            <v>-3.5535092876116834E-3</v>
          </cell>
          <cell r="I189">
            <v>1.4431380571680936E-2</v>
          </cell>
        </row>
        <row r="190">
          <cell r="A190">
            <v>43101</v>
          </cell>
          <cell r="B190">
            <v>5.4828271854461215E-2</v>
          </cell>
          <cell r="C190">
            <v>8.489099216019512E-2</v>
          </cell>
          <cell r="F190">
            <v>-4.9188412320792449E-3</v>
          </cell>
          <cell r="G190">
            <v>-7.953068046105842E-3</v>
          </cell>
          <cell r="H190">
            <v>2.611185060363698E-2</v>
          </cell>
          <cell r="I190">
            <v>-9.7429498527237257E-3</v>
          </cell>
        </row>
        <row r="191">
          <cell r="A191">
            <v>43132</v>
          </cell>
          <cell r="B191">
            <v>-3.7037849864770427E-2</v>
          </cell>
          <cell r="C191">
            <v>3.3142235625002285E-3</v>
          </cell>
          <cell r="F191">
            <v>4.612206093618048E-3</v>
          </cell>
          <cell r="G191">
            <v>1.4077719218767796E-2</v>
          </cell>
          <cell r="H191">
            <v>-5.1797452432327633E-2</v>
          </cell>
          <cell r="I191">
            <v>-3.0297480730135874E-2</v>
          </cell>
        </row>
        <row r="192">
          <cell r="A192">
            <v>43160</v>
          </cell>
          <cell r="B192">
            <v>-2.7793433573292677E-2</v>
          </cell>
          <cell r="C192">
            <v>-5.2935112321216594E-3</v>
          </cell>
          <cell r="F192">
            <v>-2.7289331721891623E-2</v>
          </cell>
          <cell r="G192">
            <v>2.3406021679418101E-2</v>
          </cell>
          <cell r="H192">
            <v>4.1509370241881328E-3</v>
          </cell>
          <cell r="I192">
            <v>-4.2362346869143676E-3</v>
          </cell>
        </row>
        <row r="193">
          <cell r="A193">
            <v>43191</v>
          </cell>
          <cell r="B193">
            <v>5.155135816983761E-3</v>
          </cell>
          <cell r="C193">
            <v>3.9553379733160809E-2</v>
          </cell>
          <cell r="F193">
            <v>-7.907851804735291E-3</v>
          </cell>
          <cell r="G193">
            <v>5.3875995769281076E-3</v>
          </cell>
          <cell r="H193">
            <v>-1.3120120457373973E-2</v>
          </cell>
          <cell r="I193">
            <v>-4.4493660091164625E-3</v>
          </cell>
        </row>
        <row r="194">
          <cell r="A194">
            <v>43221</v>
          </cell>
          <cell r="B194">
            <v>2.4018339830640102E-2</v>
          </cell>
          <cell r="C194">
            <v>4.622878211369133E-2</v>
          </cell>
          <cell r="F194">
            <v>-8.9288138674606353E-3</v>
          </cell>
          <cell r="G194">
            <v>3.3127622359462053E-2</v>
          </cell>
          <cell r="H194">
            <v>9.0696994359868478E-3</v>
          </cell>
          <cell r="I194">
            <v>-3.1973625113052581E-4</v>
          </cell>
        </row>
        <row r="195">
          <cell r="A195">
            <v>43252</v>
          </cell>
          <cell r="B195">
            <v>5.7342135862078081E-3</v>
          </cell>
          <cell r="C195">
            <v>1.9890913306014949E-2</v>
          </cell>
          <cell r="F195">
            <v>-1.0852293153218664E-2</v>
          </cell>
          <cell r="G195">
            <v>9.7416301856381483E-3</v>
          </cell>
          <cell r="H195">
            <v>2.3455087543905965E-2</v>
          </cell>
          <cell r="I195">
            <v>-8.7115890843291292E-3</v>
          </cell>
        </row>
        <row r="196">
          <cell r="A196">
            <v>43282</v>
          </cell>
          <cell r="B196">
            <v>3.6376741452448347E-2</v>
          </cell>
          <cell r="C196">
            <v>5.0424260444974993E-2</v>
          </cell>
          <cell r="F196">
            <v>4.0243726201898361E-3</v>
          </cell>
          <cell r="G196">
            <v>3.5988725289574108E-3</v>
          </cell>
          <cell r="H196">
            <v>2.4109842838069995E-2</v>
          </cell>
          <cell r="I196">
            <v>4.2316357374993256E-3</v>
          </cell>
        </row>
        <row r="197">
          <cell r="A197">
            <v>43313</v>
          </cell>
          <cell r="B197">
            <v>3.1421186958409397E-2</v>
          </cell>
          <cell r="C197">
            <v>1.4811586670283932E-3</v>
          </cell>
          <cell r="F197">
            <v>1.3769505626484929E-2</v>
          </cell>
          <cell r="G197">
            <v>-3.1356211291794739E-3</v>
          </cell>
          <cell r="H197">
            <v>1.499390366819545E-2</v>
          </cell>
          <cell r="I197">
            <v>-6.4092701862888662E-3</v>
          </cell>
        </row>
        <row r="198">
          <cell r="A198">
            <v>43344</v>
          </cell>
          <cell r="B198">
            <v>5.927802348534324E-3</v>
          </cell>
          <cell r="C198">
            <v>4.003650712396669E-2</v>
          </cell>
          <cell r="F198">
            <v>-1.0316341066677899E-3</v>
          </cell>
          <cell r="G198">
            <v>4.0162620680217831E-3</v>
          </cell>
          <cell r="H198">
            <v>-7.6417809972011853E-3</v>
          </cell>
          <cell r="I198">
            <v>-9.638032562270242E-3</v>
          </cell>
        </row>
        <row r="199">
          <cell r="A199">
            <v>43374</v>
          </cell>
          <cell r="B199">
            <v>-7.1608176933506767E-2</v>
          </cell>
          <cell r="C199">
            <v>-2.2454685946034773E-2</v>
          </cell>
          <cell r="F199">
            <v>-2.0553717379581858E-2</v>
          </cell>
          <cell r="G199">
            <v>-1.143701118667192E-3</v>
          </cell>
          <cell r="H199">
            <v>-1.0025517699890484E-2</v>
          </cell>
          <cell r="I199">
            <v>-3.4509257523105241E-2</v>
          </cell>
        </row>
        <row r="200">
          <cell r="A200">
            <v>43405</v>
          </cell>
          <cell r="B200">
            <v>1.8379691391875903E-2</v>
          </cell>
          <cell r="C200">
            <v>-3.5969844062635793E-2</v>
          </cell>
          <cell r="F200">
            <v>3.9326840232530066E-2</v>
          </cell>
          <cell r="G200">
            <v>2.6912111481402364E-3</v>
          </cell>
          <cell r="H200">
            <v>3.7637580457190539E-2</v>
          </cell>
          <cell r="I200">
            <v>-6.9525341384052705E-3</v>
          </cell>
        </row>
        <row r="201">
          <cell r="A201">
            <v>43435</v>
          </cell>
          <cell r="B201">
            <v>-9.2168749331661873E-2</v>
          </cell>
          <cell r="C201">
            <v>-0.21185768769194702</v>
          </cell>
          <cell r="F201">
            <v>6.4367590049125331E-2</v>
          </cell>
          <cell r="G201">
            <v>1.5648958771348532E-3</v>
          </cell>
          <cell r="H201">
            <v>-4.2918108101582725E-2</v>
          </cell>
          <cell r="I201">
            <v>3.2803510581793024E-2</v>
          </cell>
        </row>
        <row r="202">
          <cell r="A202">
            <v>43466</v>
          </cell>
          <cell r="B202">
            <v>7.7021910778385203E-2</v>
          </cell>
          <cell r="C202">
            <v>6.2412897833737845E-2</v>
          </cell>
          <cell r="F202">
            <v>2.4450809983496139E-2</v>
          </cell>
          <cell r="G202">
            <v>1.3620232353698167E-2</v>
          </cell>
          <cell r="H202">
            <v>2.7040014402131642E-2</v>
          </cell>
          <cell r="I202">
            <v>-6.588298738461275E-4</v>
          </cell>
        </row>
        <row r="203">
          <cell r="A203">
            <v>43497</v>
          </cell>
          <cell r="B203">
            <v>3.1901454536871036E-2</v>
          </cell>
          <cell r="C203">
            <v>3.4578791536887671E-2</v>
          </cell>
          <cell r="F203">
            <v>-1.6496818060871888E-3</v>
          </cell>
          <cell r="G203">
            <v>-1.2831582499350359E-2</v>
          </cell>
          <cell r="H203">
            <v>7.7779418502615071E-4</v>
          </cell>
          <cell r="I203">
            <v>1.1087989592116305E-3</v>
          </cell>
        </row>
        <row r="204">
          <cell r="A204">
            <v>43525</v>
          </cell>
          <cell r="B204">
            <v>1.793895013713236E-2</v>
          </cell>
          <cell r="C204">
            <v>-3.5669839480469839E-4</v>
          </cell>
          <cell r="F204">
            <v>-7.9335959042815991E-3</v>
          </cell>
          <cell r="G204">
            <v>2.7990327444829342E-2</v>
          </cell>
          <cell r="H204">
            <v>-1.32564783316515E-2</v>
          </cell>
          <cell r="I204">
            <v>1.0738075946087874E-2</v>
          </cell>
        </row>
        <row r="205">
          <cell r="A205">
            <v>43556</v>
          </cell>
          <cell r="B205">
            <v>4.0039738729214951E-2</v>
          </cell>
          <cell r="C205">
            <v>5.8211696101089103E-2</v>
          </cell>
          <cell r="F205">
            <v>1.2836208250145786E-2</v>
          </cell>
          <cell r="G205">
            <v>1.0896548044421583E-2</v>
          </cell>
          <cell r="H205">
            <v>2.1329952712746219E-2</v>
          </cell>
          <cell r="I205">
            <v>-1.7043418807385507E-2</v>
          </cell>
        </row>
        <row r="206">
          <cell r="A206">
            <v>43586</v>
          </cell>
          <cell r="B206">
            <v>-6.5895104484750014E-2</v>
          </cell>
          <cell r="C206">
            <v>-4.3060739153136685E-2</v>
          </cell>
          <cell r="F206">
            <v>-4.0020836287496545E-2</v>
          </cell>
          <cell r="G206">
            <v>4.8968361084669731E-2</v>
          </cell>
          <cell r="H206">
            <v>-2.0930417113664015E-2</v>
          </cell>
          <cell r="I206">
            <v>1.2555292621467427E-2</v>
          </cell>
        </row>
        <row r="207">
          <cell r="A207">
            <v>43617</v>
          </cell>
          <cell r="B207">
            <v>6.7272022468448489E-2</v>
          </cell>
          <cell r="C207">
            <v>7.1667902578850279E-2</v>
          </cell>
          <cell r="F207">
            <v>-3.4073026851065384E-3</v>
          </cell>
          <cell r="G207">
            <v>1.0444911862299582E-2</v>
          </cell>
          <cell r="H207">
            <v>4.399190773026062E-2</v>
          </cell>
          <cell r="I207">
            <v>1.3671303040833308E-3</v>
          </cell>
        </row>
        <row r="208">
          <cell r="A208">
            <v>43647</v>
          </cell>
          <cell r="B208">
            <v>1.500620137629358E-2</v>
          </cell>
          <cell r="C208">
            <v>2.1197709253571204E-2</v>
          </cell>
          <cell r="F208">
            <v>-1.5790180353129762E-3</v>
          </cell>
          <cell r="G208">
            <v>7.174392460381933E-3</v>
          </cell>
          <cell r="H208">
            <v>1.2953234765340405E-2</v>
          </cell>
          <cell r="I208">
            <v>4.5282474430382831E-4</v>
          </cell>
        </row>
        <row r="209">
          <cell r="A209">
            <v>43678</v>
          </cell>
          <cell r="B209">
            <v>-1.6885378364657398E-2</v>
          </cell>
          <cell r="C209">
            <v>-0.10304671415057169</v>
          </cell>
          <cell r="F209">
            <v>-8.5760391843603401E-17</v>
          </cell>
          <cell r="G209">
            <v>1.8640966382109898E-2</v>
          </cell>
          <cell r="H209">
            <v>-3.2322727118099921E-2</v>
          </cell>
          <cell r="I209">
            <v>5.4323258675608874E-2</v>
          </cell>
        </row>
        <row r="210">
          <cell r="A210">
            <v>43709</v>
          </cell>
          <cell r="B210">
            <v>1.9271248211454543E-2</v>
          </cell>
          <cell r="C210">
            <v>5.9839293231491952E-2</v>
          </cell>
          <cell r="F210">
            <v>-4.8403196492609636E-3</v>
          </cell>
          <cell r="G210">
            <v>8.5631392488743178E-3</v>
          </cell>
          <cell r="H210">
            <v>1.9470701481444874E-2</v>
          </cell>
          <cell r="I210">
            <v>-2.6326017837039459E-2</v>
          </cell>
        </row>
        <row r="211">
          <cell r="A211">
            <v>43739</v>
          </cell>
          <cell r="B211">
            <v>2.1863755855332775E-2</v>
          </cell>
          <cell r="C211">
            <v>4.1360021286653836E-2</v>
          </cell>
          <cell r="F211">
            <v>1.1071934002620127E-2</v>
          </cell>
          <cell r="G211">
            <v>1.9373662194019918E-2</v>
          </cell>
          <cell r="H211">
            <v>-1.2512001002066814E-2</v>
          </cell>
          <cell r="I211">
            <v>1.3560329364563601E-2</v>
          </cell>
        </row>
        <row r="212">
          <cell r="A212">
            <v>43770</v>
          </cell>
          <cell r="B212">
            <v>3.5558706102376735E-2</v>
          </cell>
          <cell r="C212">
            <v>3.1698852310559578E-2</v>
          </cell>
          <cell r="F212">
            <v>1.2936920610405946E-2</v>
          </cell>
          <cell r="G212">
            <v>4.9981935904771166E-3</v>
          </cell>
          <cell r="H212">
            <v>1.5862863522568556E-2</v>
          </cell>
          <cell r="I212">
            <v>-3.9893326980146304E-2</v>
          </cell>
        </row>
        <row r="213">
          <cell r="A213">
            <v>43800</v>
          </cell>
          <cell r="B213">
            <v>2.8641314403768072E-2</v>
          </cell>
          <cell r="C213">
            <v>4.9023676097155258E-2</v>
          </cell>
          <cell r="F213">
            <v>3.5169616754017132E-3</v>
          </cell>
          <cell r="G213">
            <v>-8.598696048661968E-3</v>
          </cell>
          <cell r="H213">
            <v>1.7801957500472544E-3</v>
          </cell>
          <cell r="I213">
            <v>-1.313465865478125E-2</v>
          </cell>
        </row>
        <row r="214">
          <cell r="A214">
            <v>43831</v>
          </cell>
          <cell r="B214">
            <v>-4.039889798689994E-4</v>
          </cell>
          <cell r="C214">
            <v>-9.3355575274019637E-3</v>
          </cell>
          <cell r="F214">
            <v>-3.0578533959365453E-2</v>
          </cell>
          <cell r="G214">
            <v>3.4587267214807121E-2</v>
          </cell>
          <cell r="H214">
            <v>8.0147708123337359E-3</v>
          </cell>
          <cell r="I214">
            <v>9.2572618468068392E-3</v>
          </cell>
        </row>
        <row r="215">
          <cell r="A215">
            <v>43862</v>
          </cell>
          <cell r="B215">
            <v>-8.2475534437916068E-2</v>
          </cell>
          <cell r="C215">
            <v>-2.8896455353091689E-2</v>
          </cell>
          <cell r="F215">
            <v>-8.4617817573889573E-2</v>
          </cell>
          <cell r="G215">
            <v>3.3122523406681939E-2</v>
          </cell>
          <cell r="H215">
            <v>3.2024609406970363E-2</v>
          </cell>
          <cell r="I215">
            <v>-8.4663006108253135E-3</v>
          </cell>
        </row>
        <row r="216">
          <cell r="A216">
            <v>43891</v>
          </cell>
          <cell r="B216">
            <v>-0.13338385101653819</v>
          </cell>
          <cell r="C216">
            <v>-0.28018376553683783</v>
          </cell>
          <cell r="F216">
            <v>0.11914184455184304</v>
          </cell>
          <cell r="G216">
            <v>3.4158472861818862E-2</v>
          </cell>
          <cell r="H216">
            <v>4.0424781829973243E-3</v>
          </cell>
          <cell r="I216">
            <v>7.2668897470410485E-2</v>
          </cell>
        </row>
        <row r="217">
          <cell r="A217">
            <v>43922</v>
          </cell>
          <cell r="B217">
            <v>0.11954483405199261</v>
          </cell>
          <cell r="C217">
            <v>5.0810756795842009E-2</v>
          </cell>
          <cell r="F217">
            <v>3.9964976912821498E-2</v>
          </cell>
          <cell r="G217">
            <v>-1.6652988985195807E-2</v>
          </cell>
          <cell r="H217">
            <v>2.8230113492507286E-2</v>
          </cell>
          <cell r="I217">
            <v>9.4731254942713415E-3</v>
          </cell>
        </row>
        <row r="218">
          <cell r="A218">
            <v>43952</v>
          </cell>
          <cell r="B218">
            <v>4.6544875288220017E-2</v>
          </cell>
          <cell r="C218">
            <v>2.6897857213899284E-2</v>
          </cell>
          <cell r="F218">
            <v>3.1511637601687931E-2</v>
          </cell>
          <cell r="G218">
            <v>-5.912094715439368E-3</v>
          </cell>
          <cell r="H218">
            <v>-9.686525317039155E-3</v>
          </cell>
          <cell r="I218">
            <v>-2.3090651334060804E-3</v>
          </cell>
        </row>
        <row r="219">
          <cell r="A219">
            <v>43983</v>
          </cell>
          <cell r="B219">
            <v>1.7578794828849852E-2</v>
          </cell>
          <cell r="C219">
            <v>2.4563997019679484E-2</v>
          </cell>
          <cell r="F219">
            <v>-9.077189236067415E-4</v>
          </cell>
          <cell r="G219">
            <v>9.4382102108475086E-3</v>
          </cell>
          <cell r="H219">
            <v>4.8176311604839213E-2</v>
          </cell>
          <cell r="I219">
            <v>-4.5517773957081412E-2</v>
          </cell>
        </row>
        <row r="220">
          <cell r="A220">
            <v>44013</v>
          </cell>
          <cell r="B220">
            <v>5.7223117971709883E-2</v>
          </cell>
          <cell r="C220">
            <v>3.381857113333079E-2</v>
          </cell>
          <cell r="F220">
            <v>-1.0409730545889451E-3</v>
          </cell>
          <cell r="G220">
            <v>1.8950940809573213E-2</v>
          </cell>
          <cell r="H220">
            <v>2.5043734133579919E-2</v>
          </cell>
          <cell r="I220">
            <v>4.9474103268462005E-3</v>
          </cell>
        </row>
        <row r="221">
          <cell r="A221">
            <v>44044</v>
          </cell>
          <cell r="B221">
            <v>6.7468973641364963E-2</v>
          </cell>
          <cell r="C221">
            <v>6.6284061528658747E-2</v>
          </cell>
          <cell r="F221">
            <v>2.8544745681194899E-2</v>
          </cell>
          <cell r="G221">
            <v>-2.4423499225942866E-2</v>
          </cell>
          <cell r="H221">
            <v>2.435536138477289E-2</v>
          </cell>
          <cell r="I221">
            <v>-5.4595417744939118E-3</v>
          </cell>
        </row>
        <row r="222">
          <cell r="A222">
            <v>44075</v>
          </cell>
          <cell r="B222">
            <v>-3.8162637604299825E-2</v>
          </cell>
          <cell r="C222">
            <v>-6.5835196447114802E-2</v>
          </cell>
          <cell r="F222">
            <v>1.3801127197242125E-2</v>
          </cell>
          <cell r="G222">
            <v>-6.1671171111852439E-3</v>
          </cell>
          <cell r="H222">
            <v>-4.7187031607900776E-2</v>
          </cell>
          <cell r="I222">
            <v>1.0640009348219716E-2</v>
          </cell>
        </row>
        <row r="223">
          <cell r="A223">
            <v>44105</v>
          </cell>
          <cell r="B223">
            <v>-2.5249895399426077E-2</v>
          </cell>
          <cell r="C223">
            <v>5.0433310915136788E-2</v>
          </cell>
          <cell r="F223">
            <v>-4.8390562265195107E-2</v>
          </cell>
          <cell r="G223">
            <v>-7.1460642012588504E-3</v>
          </cell>
          <cell r="H223">
            <v>1.7376122530387436E-2</v>
          </cell>
          <cell r="I223">
            <v>-2.3770397829058831E-2</v>
          </cell>
        </row>
        <row r="224">
          <cell r="A224">
            <v>44136</v>
          </cell>
          <cell r="B224">
            <v>0.10325725550094472</v>
          </cell>
          <cell r="C224">
            <v>5.8724078336053101E-2</v>
          </cell>
          <cell r="F224">
            <v>1.8762721466198451E-2</v>
          </cell>
          <cell r="G224">
            <v>-9.2682344533405788E-3</v>
          </cell>
          <cell r="H224">
            <v>6.9837669112041478E-2</v>
          </cell>
          <cell r="I224">
            <v>1.2683144314982917E-2</v>
          </cell>
        </row>
        <row r="225">
          <cell r="A225">
            <v>44166</v>
          </cell>
          <cell r="B225">
            <v>3.6378837239044566E-2</v>
          </cell>
          <cell r="C225">
            <v>3.7455498346783508E-2</v>
          </cell>
          <cell r="F225">
            <v>1.6232651290830739E-2</v>
          </cell>
          <cell r="G225">
            <v>4.9572194513811414E-3</v>
          </cell>
          <cell r="H225">
            <v>1.9231100883604513E-2</v>
          </cell>
          <cell r="I225">
            <v>-2.0584412472849062E-2</v>
          </cell>
        </row>
        <row r="226">
          <cell r="A226">
            <v>44197</v>
          </cell>
          <cell r="B226">
            <v>-1.0242863776633608E-2</v>
          </cell>
          <cell r="C226">
            <v>5.3800505606036331E-2</v>
          </cell>
          <cell r="F226">
            <v>-3.7965943621629986E-2</v>
          </cell>
          <cell r="G226">
            <v>-1.0926908059107593E-2</v>
          </cell>
          <cell r="H226">
            <v>1.9546640054376244E-2</v>
          </cell>
          <cell r="I226">
            <v>-4.1488033938793661E-2</v>
          </cell>
        </row>
        <row r="227">
          <cell r="A227">
            <v>44228</v>
          </cell>
          <cell r="B227">
            <v>2.742605383338521E-2</v>
          </cell>
          <cell r="C227">
            <v>0.11043778553510218</v>
          </cell>
          <cell r="F227">
            <v>-1.7384024666514359E-2</v>
          </cell>
          <cell r="G227">
            <v>6.5892914761212194E-3</v>
          </cell>
          <cell r="H227">
            <v>4.6565654072414545E-2</v>
          </cell>
          <cell r="I227">
            <v>-2.5307333706020389E-2</v>
          </cell>
        </row>
        <row r="228">
          <cell r="A228">
            <v>44256</v>
          </cell>
          <cell r="B228">
            <v>4.4398912813180841E-2</v>
          </cell>
          <cell r="C228">
            <v>8.602422644532659E-2</v>
          </cell>
          <cell r="F228">
            <v>1.7434699494535747E-2</v>
          </cell>
          <cell r="G228">
            <v>5.1815325318994637E-3</v>
          </cell>
          <cell r="H228">
            <v>8.5603789557191674E-3</v>
          </cell>
          <cell r="I228">
            <v>-2.8655038580267456E-2</v>
          </cell>
        </row>
        <row r="229">
          <cell r="A229">
            <v>44287</v>
          </cell>
          <cell r="B229">
            <v>5.1558238542363341E-2</v>
          </cell>
          <cell r="C229">
            <v>2.2431054914758015E-3</v>
          </cell>
          <cell r="F229">
            <v>1.2126781256457655E-2</v>
          </cell>
          <cell r="G229">
            <v>-1.2543451851814881E-2</v>
          </cell>
          <cell r="H229">
            <v>3.0293643363770127E-2</v>
          </cell>
          <cell r="I229">
            <v>2.0090355650542794E-2</v>
          </cell>
        </row>
        <row r="230">
          <cell r="A230">
            <v>44317</v>
          </cell>
          <cell r="B230">
            <v>6.5446098984584186E-3</v>
          </cell>
          <cell r="C230">
            <v>-1.151218306930323E-4</v>
          </cell>
          <cell r="F230">
            <v>1.2215842357166922E-2</v>
          </cell>
          <cell r="G230">
            <v>5.5777026221061465E-3</v>
          </cell>
          <cell r="H230">
            <v>1.148423361336148E-2</v>
          </cell>
          <cell r="I230">
            <v>5.7119539558551256E-3</v>
          </cell>
        </row>
        <row r="231">
          <cell r="A231">
            <v>44348</v>
          </cell>
          <cell r="B231">
            <v>2.2179778274440821E-2</v>
          </cell>
          <cell r="C231">
            <v>-3.0655097020226812E-2</v>
          </cell>
          <cell r="F231">
            <v>1.696333741766997E-2</v>
          </cell>
          <cell r="G231">
            <v>7.3711573761226874E-3</v>
          </cell>
          <cell r="H231">
            <v>5.10547761978978E-3</v>
          </cell>
          <cell r="I231">
            <v>8.8507930187924858E-3</v>
          </cell>
        </row>
        <row r="232">
          <cell r="A232">
            <v>44378</v>
          </cell>
          <cell r="B232">
            <v>2.4119266388236284E-2</v>
          </cell>
          <cell r="C232">
            <v>-1.9218809799632017E-2</v>
          </cell>
          <cell r="F232">
            <v>6.9798021718870265E-3</v>
          </cell>
          <cell r="G232">
            <v>1.3392975497376024E-4</v>
          </cell>
          <cell r="H232">
            <v>6.6590971395921635E-3</v>
          </cell>
          <cell r="I232">
            <v>3.0454553422428508E-2</v>
          </cell>
        </row>
        <row r="233">
          <cell r="A233">
            <v>44409</v>
          </cell>
          <cell r="B233">
            <v>2.9325454689421535E-2</v>
          </cell>
          <cell r="C233">
            <v>2.9162464152286509E-3</v>
          </cell>
          <cell r="F233">
            <v>1.8326270727281269E-2</v>
          </cell>
          <cell r="G233">
            <v>-1.1490464061884264E-2</v>
          </cell>
          <cell r="H233">
            <v>9.0350287328493824E-3</v>
          </cell>
          <cell r="I233">
            <v>-1.0487486988141873E-2</v>
          </cell>
        </row>
        <row r="234">
          <cell r="A234">
            <v>44440</v>
          </cell>
          <cell r="B234">
            <v>-4.772644369023616E-2</v>
          </cell>
          <cell r="C234">
            <v>-4.8574503818244685E-2</v>
          </cell>
          <cell r="F234">
            <v>-2.0115820546968352E-2</v>
          </cell>
          <cell r="G234">
            <v>-5.0464856597345863E-2</v>
          </cell>
          <cell r="H234">
            <v>-1.4405299472210753E-3</v>
          </cell>
          <cell r="I234">
            <v>-4.7948403519810535E-3</v>
          </cell>
        </row>
        <row r="235">
          <cell r="A235">
            <v>44470</v>
          </cell>
          <cell r="B235">
            <v>6.7811520185359464E-2</v>
          </cell>
          <cell r="C235">
            <v>6.641177784413213E-2</v>
          </cell>
          <cell r="F235">
            <v>1.2401001113649456E-2</v>
          </cell>
          <cell r="G235">
            <v>3.5352190616262616E-2</v>
          </cell>
          <cell r="H235">
            <v>2.1941322895229948E-2</v>
          </cell>
          <cell r="I235">
            <v>-8.7589070445465121E-3</v>
          </cell>
        </row>
        <row r="236">
          <cell r="A236">
            <v>44501</v>
          </cell>
          <cell r="B236">
            <v>-8.0673554045536805E-3</v>
          </cell>
          <cell r="C236">
            <v>1.4972978925412972E-2</v>
          </cell>
          <cell r="F236">
            <v>-2.8840826497794219E-2</v>
          </cell>
          <cell r="G236">
            <v>2.1537887401986894E-2</v>
          </cell>
          <cell r="H236">
            <v>2.0005490052964581E-2</v>
          </cell>
          <cell r="I236">
            <v>1.2116522201603058E-2</v>
          </cell>
        </row>
        <row r="237">
          <cell r="A237">
            <v>44531</v>
          </cell>
          <cell r="B237">
            <v>4.5210268361061477E-2</v>
          </cell>
          <cell r="C237">
            <v>3.3856448687732785E-2</v>
          </cell>
          <cell r="F237">
            <v>2.5374119839260571E-2</v>
          </cell>
          <cell r="G237">
            <v>-6.323674093309908E-3</v>
          </cell>
          <cell r="H237">
            <v>2.7538990939022526E-2</v>
          </cell>
          <cell r="I237">
            <v>-2.6852351765409531E-3</v>
          </cell>
        </row>
        <row r="238">
          <cell r="A238">
            <v>44562</v>
          </cell>
          <cell r="B238">
            <v>-5.4183147552412894E-2</v>
          </cell>
          <cell r="C238">
            <v>-3.7315541756700842E-2</v>
          </cell>
          <cell r="F238">
            <v>2.2636409234365662E-2</v>
          </cell>
          <cell r="G238">
            <v>-4.2129798501501243E-4</v>
          </cell>
          <cell r="H238">
            <v>-1.8851744402737389E-2</v>
          </cell>
          <cell r="I238">
            <v>-4.0838967133271536E-2</v>
          </cell>
        </row>
        <row r="239">
          <cell r="A239">
            <v>44593</v>
          </cell>
          <cell r="B239">
            <v>-2.9961465282810056E-2</v>
          </cell>
          <cell r="C239">
            <v>-2.0604266682628408E-2</v>
          </cell>
          <cell r="F239">
            <v>1.6301219398284696E-2</v>
          </cell>
          <cell r="G239">
            <v>9.1934973856490493E-3</v>
          </cell>
          <cell r="H239">
            <v>-5.9072520587277015E-3</v>
          </cell>
          <cell r="I239">
            <v>-2.1985102829656576E-2</v>
          </cell>
        </row>
        <row r="240">
          <cell r="A240">
            <v>44621</v>
          </cell>
          <cell r="B240">
            <v>3.6901152909018811E-2</v>
          </cell>
          <cell r="C240">
            <v>8.9885063159876544E-2</v>
          </cell>
          <cell r="F240">
            <v>1.6182762188979259E-2</v>
          </cell>
          <cell r="G240">
            <v>1.3184671065982648E-2</v>
          </cell>
          <cell r="H240">
            <v>-4.0189359076868367E-2</v>
          </cell>
          <cell r="I240">
            <v>-3.6936724875798934E-3</v>
          </cell>
        </row>
        <row r="241">
          <cell r="A241">
            <v>44652</v>
          </cell>
          <cell r="B241">
            <v>-9.1862059431613879E-2</v>
          </cell>
          <cell r="C241">
            <v>3.6116596232121351E-2</v>
          </cell>
          <cell r="F241">
            <v>-3.3509970123769106E-2</v>
          </cell>
          <cell r="G241">
            <v>-4.5106034144923278E-3</v>
          </cell>
          <cell r="H241">
            <v>-6.3748698554428338E-3</v>
          </cell>
          <cell r="I241">
            <v>-4.1713923872158269E-2</v>
          </cell>
        </row>
        <row r="242">
          <cell r="A242">
            <v>44682</v>
          </cell>
          <cell r="B242">
            <v>2.2547708845364368E-3</v>
          </cell>
          <cell r="C242">
            <v>-4.9625936824924513E-2</v>
          </cell>
          <cell r="F242">
            <v>5.8080529031280477E-2</v>
          </cell>
          <cell r="G242">
            <v>-1.6590826960377794E-2</v>
          </cell>
          <cell r="H242">
            <v>-1.6031069070328533E-3</v>
          </cell>
          <cell r="I242">
            <v>-4.7897659323441547E-2</v>
          </cell>
        </row>
        <row r="243">
          <cell r="A243">
            <v>44713</v>
          </cell>
          <cell r="B243">
            <v>-8.6059583848674445E-2</v>
          </cell>
          <cell r="C243">
            <v>-6.6284959335857985E-2</v>
          </cell>
          <cell r="F243">
            <v>7.6098943102592912E-3</v>
          </cell>
          <cell r="G243">
            <v>1.4556806555055089E-2</v>
          </cell>
          <cell r="H243">
            <v>6.7820448430330922E-3</v>
          </cell>
          <cell r="I243">
            <v>-1.0653574469724036E-2</v>
          </cell>
        </row>
        <row r="244">
          <cell r="A244">
            <v>44743</v>
          </cell>
          <cell r="B244">
            <v>8.8091124831144063E-2</v>
          </cell>
          <cell r="C244">
            <v>1.2693886789839605E-2</v>
          </cell>
          <cell r="F244">
            <v>4.1885610161670708E-2</v>
          </cell>
          <cell r="G244">
            <v>-9.4922099550556385E-3</v>
          </cell>
          <cell r="H244">
            <v>2.9822572227213E-2</v>
          </cell>
          <cell r="I244">
            <v>-1.886995706164055E-2</v>
          </cell>
        </row>
        <row r="245">
          <cell r="A245">
            <v>44774</v>
          </cell>
          <cell r="B245">
            <v>-4.1657799857286626E-2</v>
          </cell>
          <cell r="C245">
            <v>6.062324073068464E-2</v>
          </cell>
          <cell r="F245">
            <v>-6.5995677701862043E-2</v>
          </cell>
          <cell r="G245">
            <v>-1.0315013568283377E-2</v>
          </cell>
          <cell r="H245">
            <v>3.5858619216959159E-3</v>
          </cell>
          <cell r="I245">
            <v>-6.3932624235382499E-3</v>
          </cell>
        </row>
        <row r="246">
          <cell r="A246">
            <v>44805</v>
          </cell>
          <cell r="B246">
            <v>-9.7002169996013396E-2</v>
          </cell>
          <cell r="C246">
            <v>8.3886388646190434E-3</v>
          </cell>
          <cell r="F246">
            <v>-4.6603959657814595E-2</v>
          </cell>
          <cell r="G246">
            <v>-2.7153218540924524E-2</v>
          </cell>
          <cell r="H246">
            <v>1.3072733488800007E-2</v>
          </cell>
          <cell r="I246">
            <v>-3.2535810818751787E-2</v>
          </cell>
        </row>
        <row r="247">
          <cell r="A247">
            <v>44835</v>
          </cell>
          <cell r="B247">
            <v>7.8141380151404344E-2</v>
          </cell>
          <cell r="C247">
            <v>0.13935565166982827</v>
          </cell>
          <cell r="F247">
            <v>3.1350248517966972E-2</v>
          </cell>
          <cell r="G247">
            <v>3.1067135403424123E-2</v>
          </cell>
          <cell r="H247">
            <v>1.5584465585531511E-2</v>
          </cell>
          <cell r="I247">
            <v>-1.1968878114308447E-2</v>
          </cell>
        </row>
        <row r="248">
          <cell r="A248">
            <v>44866</v>
          </cell>
          <cell r="B248">
            <v>5.4101386552727962E-2</v>
          </cell>
          <cell r="C248">
            <v>-2.1269418729255508E-2</v>
          </cell>
          <cell r="F248">
            <v>3.2635390949806997E-2</v>
          </cell>
          <cell r="G248">
            <v>2.6334171503575893E-2</v>
          </cell>
          <cell r="H248">
            <v>-1.6341383721180588E-2</v>
          </cell>
          <cell r="I248">
            <v>-2.7428896165786927E-2</v>
          </cell>
        </row>
        <row r="249">
          <cell r="A249">
            <v>44896</v>
          </cell>
          <cell r="B249">
            <v>-5.9355424807020774E-2</v>
          </cell>
          <cell r="C249">
            <v>-6.3660020850272947E-2</v>
          </cell>
          <cell r="F249">
            <v>-9.8873564368634689E-3</v>
          </cell>
          <cell r="G249">
            <v>-4.0741727636447671E-2</v>
          </cell>
          <cell r="H249">
            <v>-3.6265950376248794E-2</v>
          </cell>
          <cell r="I249">
            <v>6.592438389733847E-2</v>
          </cell>
        </row>
        <row r="250">
          <cell r="A250">
            <v>44927</v>
          </cell>
          <cell r="B250">
            <v>6.0989042987148877E-2</v>
          </cell>
          <cell r="C250">
            <v>-2.8703901397100898E-2</v>
          </cell>
          <cell r="F250">
            <v>1.5570332348981508E-2</v>
          </cell>
          <cell r="G250">
            <v>-4.6658610633868586E-4</v>
          </cell>
          <cell r="H250">
            <v>1.4098805850262989E-2</v>
          </cell>
          <cell r="I250">
            <v>6.0223087445092256E-2</v>
          </cell>
        </row>
        <row r="251">
          <cell r="A251">
            <v>44958</v>
          </cell>
          <cell r="B251">
            <v>-2.5464125557989256E-2</v>
          </cell>
          <cell r="C251">
            <v>3.393514641699949E-2</v>
          </cell>
          <cell r="F251">
            <v>-5.7373839170864645E-3</v>
          </cell>
          <cell r="G251">
            <v>3.9404879804261807E-3</v>
          </cell>
          <cell r="H251">
            <v>2.120154946171568E-2</v>
          </cell>
          <cell r="I251">
            <v>-1.7315227024552043E-2</v>
          </cell>
        </row>
        <row r="252">
          <cell r="A252">
            <v>44986</v>
          </cell>
          <cell r="B252">
            <v>3.640694729499569E-2</v>
          </cell>
          <cell r="C252">
            <v>-2.3821380612611725E-2</v>
          </cell>
          <cell r="F252">
            <v>2.5932478440488804E-2</v>
          </cell>
          <cell r="G252">
            <v>1.296305279039766E-2</v>
          </cell>
          <cell r="H252">
            <v>5.0595579084371876E-3</v>
          </cell>
          <cell r="I252">
            <v>2.5590878126626132E-3</v>
          </cell>
        </row>
        <row r="253">
          <cell r="A253">
            <v>45017</v>
          </cell>
          <cell r="B253">
            <v>1.58486521482058E-2</v>
          </cell>
          <cell r="C253">
            <v>1.4416909340226054E-2</v>
          </cell>
          <cell r="F253">
            <v>7.9656680460839097E-3</v>
          </cell>
          <cell r="G253">
            <v>9.9117768762516031E-3</v>
          </cell>
          <cell r="H253">
            <v>5.3723531069235515E-4</v>
          </cell>
          <cell r="I253">
            <v>6.3793332121780538E-3</v>
          </cell>
        </row>
        <row r="254">
          <cell r="A254">
            <v>45047</v>
          </cell>
          <cell r="B254">
            <v>4.6056456231339778E-3</v>
          </cell>
          <cell r="C254">
            <v>5.558518579025535E-2</v>
          </cell>
          <cell r="F254">
            <v>-1.8409776175125152E-3</v>
          </cell>
          <cell r="G254">
            <v>1.8521673682312632E-2</v>
          </cell>
          <cell r="H254">
            <v>-7.9656680460839582E-3</v>
          </cell>
          <cell r="I254">
            <v>-1.233665227295235E-2</v>
          </cell>
        </row>
        <row r="255">
          <cell r="A255">
            <v>45078</v>
          </cell>
          <cell r="B255">
            <v>6.2786786809685191E-2</v>
          </cell>
          <cell r="C255">
            <v>5.1366834277172271E-2</v>
          </cell>
          <cell r="F255">
            <v>1.539028211431351E-2</v>
          </cell>
          <cell r="G255">
            <v>6.1389511311554651E-3</v>
          </cell>
          <cell r="H255">
            <v>2.0607024806775186E-2</v>
          </cell>
          <cell r="I255">
            <v>-1.8046065467901554E-2</v>
          </cell>
        </row>
        <row r="256">
          <cell r="A256">
            <v>45108</v>
          </cell>
          <cell r="B256">
            <v>3.2209042036108075E-2</v>
          </cell>
          <cell r="C256">
            <v>3.7099351628328815E-2</v>
          </cell>
          <cell r="F256">
            <v>7.8730585470919226E-3</v>
          </cell>
          <cell r="G256">
            <v>-1.3008261248185188E-2</v>
          </cell>
          <cell r="H256">
            <v>-8.1998711954159188E-3</v>
          </cell>
          <cell r="I256">
            <v>-3.4203228368274614E-2</v>
          </cell>
        </row>
        <row r="257">
          <cell r="A257">
            <v>45139</v>
          </cell>
          <cell r="B257">
            <v>-1.6385701417559566E-2</v>
          </cell>
          <cell r="C257">
            <v>3.4355888593008435E-2</v>
          </cell>
          <cell r="F257">
            <v>2.4751390414202261E-2</v>
          </cell>
          <cell r="G257">
            <v>4.3567907116918693E-2</v>
          </cell>
          <cell r="H257">
            <v>-1.5586547649061687E-2</v>
          </cell>
          <cell r="I257">
            <v>-4.2954270293844576E-2</v>
          </cell>
        </row>
        <row r="258">
          <cell r="A258">
            <v>45170</v>
          </cell>
          <cell r="B258">
            <v>-4.8596290544066056E-2</v>
          </cell>
          <cell r="C258">
            <v>1.0681884654112257E-2</v>
          </cell>
          <cell r="F258">
            <v>-6.8539573097565684E-3</v>
          </cell>
          <cell r="G258">
            <v>-3.0426348947618843E-2</v>
          </cell>
          <cell r="H258">
            <v>-1.0782916968361523E-2</v>
          </cell>
          <cell r="I258">
            <v>-2.0774505230996245E-2</v>
          </cell>
        </row>
        <row r="259">
          <cell r="A259">
            <v>45200</v>
          </cell>
          <cell r="B259">
            <v>-2.1947724150478545E-2</v>
          </cell>
          <cell r="C259">
            <v>4.5433788607178741E-2</v>
          </cell>
          <cell r="F259">
            <v>-7.1241208321481874E-3</v>
          </cell>
          <cell r="G259">
            <v>4.0761703172671072E-3</v>
          </cell>
          <cell r="H259">
            <v>4.8073716103814489E-3</v>
          </cell>
          <cell r="I259">
            <v>-4.1807514329919145E-2</v>
          </cell>
        </row>
        <row r="260">
          <cell r="A260">
            <v>45231</v>
          </cell>
          <cell r="B260">
            <v>8.7409824483363888E-2</v>
          </cell>
          <cell r="C260">
            <v>-2.9977367869131852E-3</v>
          </cell>
          <cell r="F260">
            <v>6.8817742481404858E-3</v>
          </cell>
          <cell r="G260">
            <v>1.1092712032213549E-2</v>
          </cell>
          <cell r="H260">
            <v>4.3813207279914342E-2</v>
          </cell>
          <cell r="I260">
            <v>5.5642173558489175E-2</v>
          </cell>
        </row>
        <row r="261">
          <cell r="A261">
            <v>45261</v>
          </cell>
          <cell r="B261">
            <v>4.4643772916211313E-2</v>
          </cell>
          <cell r="C261">
            <v>-4.4658325790076607E-2</v>
          </cell>
          <cell r="F261">
            <v>5.5062902406491348E-3</v>
          </cell>
          <cell r="G261">
            <v>-5.0551421704840213E-4</v>
          </cell>
          <cell r="H261">
            <v>4.0016389801776379E-3</v>
          </cell>
          <cell r="I261">
            <v>4.3406286384425376E-2</v>
          </cell>
        </row>
        <row r="262">
          <cell r="A262">
            <v>45292</v>
          </cell>
          <cell r="B262">
            <v>1.5800957516541425E-2</v>
          </cell>
          <cell r="C262">
            <v>7.1569505137652881E-2</v>
          </cell>
          <cell r="F262">
            <v>-4.0919138594321634E-3</v>
          </cell>
          <cell r="G262">
            <v>2.8969369212235873E-2</v>
          </cell>
          <cell r="H262">
            <v>-1.4948636087541312E-3</v>
          </cell>
          <cell r="I262">
            <v>-1.6724934027748946E-2</v>
          </cell>
        </row>
        <row r="263">
          <cell r="A263">
            <v>45323</v>
          </cell>
          <cell r="B263">
            <v>5.0870715521053947E-2</v>
          </cell>
          <cell r="C263">
            <v>8.9102841275943034E-2</v>
          </cell>
          <cell r="F263">
            <v>1.1421240067535665E-3</v>
          </cell>
          <cell r="G263">
            <v>1.6594409000635822E-2</v>
          </cell>
          <cell r="H263">
            <v>3.1032701476210567E-2</v>
          </cell>
          <cell r="I263">
            <v>-1.8435637178925084E-2</v>
          </cell>
        </row>
        <row r="264">
          <cell r="A264">
            <v>45352</v>
          </cell>
          <cell r="B264">
            <v>3.2178750060169029E-2</v>
          </cell>
          <cell r="C264">
            <v>3.901761419476165E-2</v>
          </cell>
          <cell r="F264">
            <v>1.6648253842542285E-3</v>
          </cell>
          <cell r="G264">
            <v>1.6302003058535058E-2</v>
          </cell>
          <cell r="H264">
            <v>1.3159058951112419E-2</v>
          </cell>
          <cell r="I264">
            <v>2.1235647958883171E-2</v>
          </cell>
        </row>
        <row r="265">
          <cell r="A265">
            <v>45383</v>
          </cell>
          <cell r="B265">
            <v>-4.1155041750283824E-2</v>
          </cell>
          <cell r="C265">
            <v>1.4109990981579848E-3</v>
          </cell>
          <cell r="F265">
            <v>1.3679412404378172E-2</v>
          </cell>
          <cell r="G265">
            <v>-1.0486649375916802E-2</v>
          </cell>
          <cell r="H265">
            <v>-8.9104523069123732E-3</v>
          </cell>
          <cell r="I265">
            <v>-3.1429933253891595E-2</v>
          </cell>
        </row>
        <row r="266">
          <cell r="A266">
            <v>45413</v>
          </cell>
          <cell r="B266">
            <v>4.9341926200576133E-2</v>
          </cell>
          <cell r="C266">
            <v>1.5893809749767701E-2</v>
          </cell>
          <cell r="F266">
            <v>-7.5375643514422695E-3</v>
          </cell>
          <cell r="G266">
            <v>-1.2524900429691337E-2</v>
          </cell>
          <cell r="H266">
            <v>2.9753173513714228E-2</v>
          </cell>
          <cell r="I266">
            <v>3.1661917816724595E-2</v>
          </cell>
        </row>
        <row r="267">
          <cell r="A267">
            <v>45444</v>
          </cell>
          <cell r="B267">
            <v>3.4672137981978199E-2</v>
          </cell>
          <cell r="C267">
            <v>-1.3570107312282052E-2</v>
          </cell>
          <cell r="F267">
            <v>2.723190918377312E-3</v>
          </cell>
          <cell r="G267">
            <v>-2.7510876495499673E-2</v>
          </cell>
          <cell r="H267">
            <v>1.2512304391934124E-2</v>
          </cell>
          <cell r="I267">
            <v>1.4952763595864015E-2</v>
          </cell>
        </row>
        <row r="268">
          <cell r="A268">
            <v>45474</v>
          </cell>
          <cell r="B268">
            <v>1.2036422652770377E-2</v>
          </cell>
          <cell r="C268">
            <v>6.3733967610182553E-3</v>
          </cell>
          <cell r="F268">
            <v>-6.9474075330781503E-3</v>
          </cell>
          <cell r="G268">
            <v>2.3045732831310929E-2</v>
          </cell>
          <cell r="H268">
            <v>2.0119043559437007E-2</v>
          </cell>
          <cell r="I268">
            <v>1.37970494602731E-2</v>
          </cell>
        </row>
        <row r="269">
          <cell r="A269">
            <v>45505</v>
          </cell>
          <cell r="B269">
            <v>2.3096674300165244E-2</v>
          </cell>
          <cell r="C269">
            <v>-2.6188565902419116E-2</v>
          </cell>
          <cell r="F269">
            <v>5.4432595171319481E-3</v>
          </cell>
          <cell r="G269">
            <v>-2.2949531899315638E-2</v>
          </cell>
          <cell r="H269">
            <v>-6.0141403170915958E-2</v>
          </cell>
          <cell r="I269">
            <v>1.4863421378237351E-2</v>
          </cell>
        </row>
        <row r="270">
          <cell r="A270">
            <v>45536</v>
          </cell>
          <cell r="B270">
            <v>2.0787250725068776E-2</v>
          </cell>
          <cell r="C270">
            <v>-1.1957683430430775E-2</v>
          </cell>
          <cell r="F270">
            <v>7.1541371203220332E-3</v>
          </cell>
          <cell r="G270">
            <v>-5.7935885191071632E-3</v>
          </cell>
          <cell r="H270">
            <v>-3.1117013644920338E-2</v>
          </cell>
          <cell r="I270">
            <v>3.8879968116322536E-2</v>
          </cell>
        </row>
        <row r="271">
          <cell r="A271">
            <v>45566</v>
          </cell>
          <cell r="B271">
            <v>-8.9637250286328206E-3</v>
          </cell>
          <cell r="C271">
            <v>7.5531379394351394E-2</v>
          </cell>
          <cell r="F271">
            <v>-2.601957976440664E-2</v>
          </cell>
          <cell r="G271">
            <v>2.3824947236706136E-3</v>
          </cell>
          <cell r="H271">
            <v>-1.0442140020132771E-2</v>
          </cell>
          <cell r="I271">
            <v>-3.0675082917408353E-2</v>
          </cell>
        </row>
        <row r="272">
          <cell r="A272">
            <v>45597</v>
          </cell>
          <cell r="B272">
            <v>5.7923013086624189E-2</v>
          </cell>
          <cell r="C272">
            <v>6.2794062589265745E-2</v>
          </cell>
          <cell r="F272">
            <v>1.4846949421476317E-2</v>
          </cell>
          <cell r="G272">
            <v>3.9395219458884141E-2</v>
          </cell>
          <cell r="H272">
            <v>4.6338520008788547E-2</v>
          </cell>
          <cell r="I272">
            <v>-8.818994088863677E-3</v>
          </cell>
        </row>
        <row r="273">
          <cell r="A273">
            <v>45627</v>
          </cell>
          <cell r="B273">
            <v>-2.4354253846920634E-2</v>
          </cell>
          <cell r="C273">
            <v>3.9036998208068344E-2</v>
          </cell>
          <cell r="F273">
            <v>-8.6135309785591897E-3</v>
          </cell>
          <cell r="G273">
            <v>-1.115924717554876E-2</v>
          </cell>
          <cell r="H273">
            <v>8.6917097530328155E-3</v>
          </cell>
          <cell r="I273">
            <v>7.9242570584242746E-3</v>
          </cell>
        </row>
        <row r="274">
          <cell r="A274">
            <v>45658</v>
          </cell>
          <cell r="B274">
            <v>2.6502009567008759E-2</v>
          </cell>
          <cell r="C274">
            <v>3.7929519450425733E-2</v>
          </cell>
          <cell r="F274">
            <v>-1.0167113227328512E-2</v>
          </cell>
          <cell r="G274">
            <v>6.1722234289853725E-3</v>
          </cell>
          <cell r="H274">
            <v>5.8013851190404702E-3</v>
          </cell>
          <cell r="I274">
            <v>-1.499805088929935E-2</v>
          </cell>
        </row>
        <row r="275">
          <cell r="A275">
            <v>45689</v>
          </cell>
          <cell r="B275">
            <v>-1.2776043967811583E-2</v>
          </cell>
          <cell r="C275">
            <v>-3.500936501709119E-2</v>
          </cell>
          <cell r="F275">
            <v>-5.0865333317791379E-3</v>
          </cell>
          <cell r="G275">
            <v>2.8087473180161238E-2</v>
          </cell>
          <cell r="H275">
            <v>-1.7461244313232028E-3</v>
          </cell>
          <cell r="I275">
            <v>2.0621095775060161E-2</v>
          </cell>
        </row>
        <row r="276">
          <cell r="A276">
            <v>45717</v>
          </cell>
          <cell r="B276">
            <v>-5.7331697768171243E-2</v>
          </cell>
          <cell r="C276">
            <v>-3.3407846146737079E-2</v>
          </cell>
          <cell r="F276">
            <v>-8.1718970707223143E-3</v>
          </cell>
          <cell r="G276">
            <v>3.6319127510171141E-3</v>
          </cell>
          <cell r="H276">
            <v>-3.1213501580951396E-2</v>
          </cell>
          <cell r="I276">
            <v>-2.2278008159225978E-2</v>
          </cell>
        </row>
        <row r="277">
          <cell r="A277">
            <v>45748</v>
          </cell>
          <cell r="B277">
            <v>-8.7079434414738428E-3</v>
          </cell>
          <cell r="C277">
            <v>-1.1483725364181536E-2</v>
          </cell>
          <cell r="F277">
            <v>5.0464070106939728E-2</v>
          </cell>
          <cell r="G277">
            <v>3.3990149814473548E-2</v>
          </cell>
          <cell r="H277">
            <v>-0.10351692435420581</v>
          </cell>
          <cell r="I277">
            <v>-7.2364724208488149E-3</v>
          </cell>
        </row>
        <row r="278">
          <cell r="A278">
            <v>45778</v>
          </cell>
          <cell r="B278">
            <v>6.0949225706794605E-2</v>
          </cell>
          <cell r="C278">
            <v>0.10957911041744683</v>
          </cell>
          <cell r="F278">
            <v>1.1141170220970385E-2</v>
          </cell>
          <cell r="G278">
            <v>2.713825197772381E-2</v>
          </cell>
          <cell r="H278">
            <v>1.1849305622369077E-2</v>
          </cell>
          <cell r="I278">
            <v>-1.4030753308767668E-2</v>
          </cell>
        </row>
        <row r="279">
          <cell r="A279">
            <v>45809</v>
          </cell>
          <cell r="B279">
            <v>5.0109422082739628E-2</v>
          </cell>
          <cell r="C279">
            <v>1.1664630776718258E-2</v>
          </cell>
          <cell r="F279">
            <v>2.9066005384365462E-2</v>
          </cell>
          <cell r="G279">
            <v>1.6912792689625568E-2</v>
          </cell>
          <cell r="H279">
            <v>1.6407174187849045E-2</v>
          </cell>
          <cell r="I279">
            <v>-7.1216753098330733E-3</v>
          </cell>
        </row>
        <row r="280">
          <cell r="A280">
            <v>45839</v>
          </cell>
          <cell r="B280">
            <v>2.2770325416294181E-2</v>
          </cell>
          <cell r="C280">
            <v>3.3737406528080702E-2</v>
          </cell>
          <cell r="F280">
            <v>5.1073623354443189E-3</v>
          </cell>
          <cell r="G280">
            <v>4.6125415532246722E-3</v>
          </cell>
          <cell r="H280">
            <v>4.0220880825346979E-3</v>
          </cell>
          <cell r="I280">
            <v>-2.1753909381793265E-2</v>
          </cell>
        </row>
        <row r="281">
          <cell r="A281">
            <v>45870</v>
          </cell>
          <cell r="B281">
            <v>9.4946638684212728E-3</v>
          </cell>
          <cell r="C281">
            <v>6.6001117953861342E-3</v>
          </cell>
          <cell r="F281">
            <v>0</v>
          </cell>
          <cell r="G281">
            <v>0</v>
          </cell>
          <cell r="H281">
            <v>2.6889009812874562E-4</v>
          </cell>
          <cell r="I281">
            <v>1.2406993948444583E-2</v>
          </cell>
        </row>
      </sheetData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D8B1C-70BA-4F62-952B-AAD0070E72B1}" name="Table1" displayName="Table1" ref="A1:Z280" totalsRowShown="0" headerRowDxfId="24" headerRowBorderDxfId="23" tableBorderDxfId="22">
  <autoFilter ref="A1:Z280" xr:uid="{B94D8B1C-70BA-4F62-952B-AAD0070E72B1}"/>
  <tableColumns count="26">
    <tableColumn id="1" xr3:uid="{56924872-D28C-462E-B613-0EB7CC4CA637}" name="ym" dataDxfId="21"/>
    <tableColumn id="2" xr3:uid="{E0F55720-16D7-45AE-B15E-5C5250B2FA68}" name="SPY_ret"/>
    <tableColumn id="3" xr3:uid="{F67A1769-D300-47AD-9442-92F04A30441B}" name="SPY_TLT_som"/>
    <tableColumn id="4" xr3:uid="{21A583BA-43D2-4CF7-A55F-FCC430C3AB5D}" name="SPY_ret_eom"/>
    <tableColumn id="5" xr3:uid="{701604F6-5516-45F2-A8FB-C4BB4AD51055}" name="TLT_ret_eom"/>
    <tableColumn id="6" xr3:uid="{8637BFFF-E23D-4D4C-906A-FB7B4E1F7AFC}" name="SPY_ret_nsm"/>
    <tableColumn id="7" xr3:uid="{64415E19-2E75-4954-89B2-421A09369C20}" name="TLT_ret_nsm"/>
    <tableColumn id="8" xr3:uid="{31CFA6EE-DF67-498C-A3D9-3C8E2E72BDD6}" name="signal_eom"/>
    <tableColumn id="9" xr3:uid="{365554B7-78AC-454E-B33D-CA7C3A94AAAA}" name="signal_som"/>
    <tableColumn id="10" xr3:uid="{4FA26E3B-CBF8-4072-B309-F5931B1ADA15}" name="End_of_Month_SPY_Long_SPY"/>
    <tableColumn id="11" xr3:uid="{CF2B2F88-8BF4-4EC3-BBFB-56F62C0BCDAE}" name="End_of_Month_SPY_Short_SPY"/>
    <tableColumn id="12" xr3:uid="{B6CB90AC-F084-4604-9D8E-00B1B461C911}" name="End_of_Month_TLT_Short_TLT"/>
    <tableColumn id="13" xr3:uid="{A4833079-76B3-4395-A1CF-08B31199C45F}" name="End_of_Month_TLT_Long_TLT"/>
    <tableColumn id="14" xr3:uid="{C552893D-4179-4D3F-B461-46DB59030B2F}" name="Start_of_Month_SPY_Long_SPY"/>
    <tableColumn id="15" xr3:uid="{8C9460C1-3692-4C6F-94BD-FB394B82EB49}" name="Start_of_Month_SPY_Short_SPY"/>
    <tableColumn id="16" xr3:uid="{B80D27EB-C4A1-449D-8308-7390302C386A}" name="Start_of_Month_TLT_Short_TLT"/>
    <tableColumn id="17" xr3:uid="{43B2ED60-C532-4AC3-B699-BB5F363BAFD6}" name="Start_of_Month_TLT_Long_TLT"/>
    <tableColumn id="18" xr3:uid="{714E8A31-47A4-4F9D-BE61-257C82E6972B}" name="cpl_End_of_Month_SPY_Long_SPY"/>
    <tableColumn id="19" xr3:uid="{981FE9C4-2BDA-4E0B-862F-8DDC9E6CB846}" name="cpl_End_of_Month_SPY_Short_SPY"/>
    <tableColumn id="20" xr3:uid="{78DBC3B2-4685-4E28-94C5-0C9259CF9459}" name="cpl_End_of_Month_TLT_Short_TLT"/>
    <tableColumn id="21" xr3:uid="{82E75918-EECA-4F28-AEE9-8075E92CDB1A}" name="cpl_End_of_Month_TLT_Long_TLT"/>
    <tableColumn id="22" xr3:uid="{D8141373-6FB3-4906-92AD-07171B708FE2}" name="cpl_Start_of_Month_SPY_Long_SPY"/>
    <tableColumn id="23" xr3:uid="{0AB08888-E93B-48C4-84F9-0B7134FF83AD}" name="cpl_Start_of_Month_SPY_Short_SPY"/>
    <tableColumn id="24" xr3:uid="{E2C99923-D482-4235-B59B-8A1F5ADDD169}" name="cpl_Start_of_Month_TLT_Short_TLT"/>
    <tableColumn id="25" xr3:uid="{2F8DEA3B-354E-4108-B2EC-09512CE3C9CB}" name="cpl_Start_of_Month_TLT_Long_TLT"/>
    <tableColumn id="26" xr3:uid="{A54C0FAD-354B-468D-BB01-5E9206F370C2}" name="Total_P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5D8301-16E5-466F-B51E-10BE2DB3E684}" name="Table2" displayName="Table2" ref="A1:Q280" totalsRowShown="0" headerRowDxfId="20" dataDxfId="18" headerRowBorderDxfId="19" tableBorderDxfId="17">
  <autoFilter ref="A1:Q280" xr:uid="{105D8301-16E5-466F-B51E-10BE2DB3E684}"/>
  <tableColumns count="17">
    <tableColumn id="1" xr3:uid="{21FBC303-18D5-48CD-8BCE-788C415117D0}" name="ym" dataDxfId="16"/>
    <tableColumn id="2" xr3:uid="{23EC5B93-8812-4E75-A8E9-59291664D7F7}" name="SPY_ret" dataDxfId="15"/>
    <tableColumn id="3" xr3:uid="{62342CE0-B5F6-469B-83EF-2ED8412F8B10}" name="SPY_TLT_som" dataDxfId="14"/>
    <tableColumn id="4" xr3:uid="{607AC289-08F8-4A3B-84AF-C58CC65F9268}" name="SPY_ret_eom" dataDxfId="13"/>
    <tableColumn id="5" xr3:uid="{7BBE4433-ED4E-4858-81AF-974A5038699D}" name="TLT_ret_eom" dataDxfId="12"/>
    <tableColumn id="6" xr3:uid="{4E7D107F-0F43-4A74-B6ED-5D04129F8989}" name="SPY_ret_nsm" dataDxfId="11"/>
    <tableColumn id="7" xr3:uid="{ADE8E448-D3A1-4370-89BE-3E8E9C2C058B}" name="TLT_ret_nsm" dataDxfId="10"/>
    <tableColumn id="8" xr3:uid="{BE85EB78-3DF5-475E-8D44-D3B4F10BADC3}" name="signal_eom" dataDxfId="9">
      <calculatedColumnFormula>IF(C2&gt;0,-1,1)</calculatedColumnFormula>
    </tableColumn>
    <tableColumn id="9" xr3:uid="{A546FA2B-E6F2-44B6-A536-3720CF7200BF}" name="signal_som" dataDxfId="8">
      <calculatedColumnFormula>IF(C1&gt;0,1,-1)</calculatedColumnFormula>
    </tableColumn>
    <tableColumn id="10" xr3:uid="{721F057A-BF41-49B4-9250-C06B7D63B42D}" name="End_of_Month_SPY_Long_SPY" dataDxfId="7">
      <calculatedColumnFormula>IF(H2=1,D2,0)</calculatedColumnFormula>
    </tableColumn>
    <tableColumn id="11" xr3:uid="{5B086E6B-2B86-44B4-AEAE-322A5D412188}" name="End_of_Month_SPY_Short_SPY" dataDxfId="6">
      <calculatedColumnFormula>IF(H2=-1,-D2,0)</calculatedColumnFormula>
    </tableColumn>
    <tableColumn id="12" xr3:uid="{B19C658D-D6D7-4131-A658-601EF97D3272}" name="End_of_Month_TLT_Short_TLT" dataDxfId="5">
      <calculatedColumnFormula>IF(H2=1,-E2,0)</calculatedColumnFormula>
    </tableColumn>
    <tableColumn id="13" xr3:uid="{52CDFA7F-027E-4290-B4E0-0EC0F359CCE7}" name="End_of_Month_TLT_Long_TLT" dataDxfId="4">
      <calculatedColumnFormula>IF(H2=-1,E2,0)</calculatedColumnFormula>
    </tableColumn>
    <tableColumn id="14" xr3:uid="{515B20A5-DF7E-4FF8-BC3A-A4B1B0675DC8}" name="Start_of_Month_SPY_Long_SPY" dataDxfId="3">
      <calculatedColumnFormula>IF(I2=1,F2,0)</calculatedColumnFormula>
    </tableColumn>
    <tableColumn id="15" xr3:uid="{885E9836-4B31-4D05-BD89-1FBDD6DC8B93}" name="Start_of_Month_SPY_Short_SPY" dataDxfId="2">
      <calculatedColumnFormula>IF(I2=-1,-F2,0)</calculatedColumnFormula>
    </tableColumn>
    <tableColumn id="16" xr3:uid="{94C490B6-9E0F-4592-BBED-86976E378801}" name="Start_of_Month_TLT_Short_TLT" dataDxfId="1">
      <calculatedColumnFormula>IF(I2=1,-G2,0)</calculatedColumnFormula>
    </tableColumn>
    <tableColumn id="17" xr3:uid="{9DCFC366-EBDA-457E-9913-929B537484E7}" name="Start_of_Month_TLT_Long_TLT" dataDxfId="0">
      <calculatedColumnFormula>IF(I2=-1,G2,0)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0"/>
  <sheetViews>
    <sheetView topLeftCell="U1" zoomScale="85" zoomScaleNormal="85" workbookViewId="0">
      <selection activeCell="R1" sqref="R1:Y1"/>
    </sheetView>
  </sheetViews>
  <sheetFormatPr defaultRowHeight="15" x14ac:dyDescent="0.25"/>
  <cols>
    <col min="1" max="1" width="22.5703125" bestFit="1" customWidth="1"/>
    <col min="2" max="2" width="17.7109375" bestFit="1" customWidth="1"/>
    <col min="3" max="3" width="25" bestFit="1" customWidth="1"/>
    <col min="4" max="4" width="24" bestFit="1" customWidth="1"/>
    <col min="5" max="5" width="23.42578125" bestFit="1" customWidth="1"/>
    <col min="6" max="6" width="23.85546875" bestFit="1" customWidth="1"/>
    <col min="7" max="7" width="23.140625" bestFit="1" customWidth="1"/>
    <col min="8" max="8" width="21.140625" bestFit="1" customWidth="1"/>
    <col min="9" max="9" width="21" bestFit="1" customWidth="1"/>
    <col min="10" max="10" width="45.42578125" bestFit="1" customWidth="1"/>
    <col min="11" max="11" width="45.85546875" bestFit="1" customWidth="1"/>
    <col min="12" max="12" width="44.5703125" bestFit="1" customWidth="1"/>
    <col min="13" max="13" width="44.28515625" bestFit="1" customWidth="1"/>
    <col min="14" max="14" width="46.7109375" bestFit="1" customWidth="1"/>
    <col min="15" max="15" width="47.140625" bestFit="1" customWidth="1"/>
    <col min="16" max="16" width="45.85546875" bestFit="1" customWidth="1"/>
    <col min="17" max="17" width="45.42578125" bestFit="1" customWidth="1"/>
    <col min="18" max="18" width="50.5703125" bestFit="1" customWidth="1"/>
    <col min="19" max="19" width="51" bestFit="1" customWidth="1"/>
    <col min="20" max="20" width="49.7109375" bestFit="1" customWidth="1"/>
    <col min="21" max="21" width="49.28515625" bestFit="1" customWidth="1"/>
    <col min="22" max="22" width="51.7109375" bestFit="1" customWidth="1"/>
    <col min="23" max="23" width="52.140625" bestFit="1" customWidth="1"/>
    <col min="24" max="24" width="51" bestFit="1" customWidth="1"/>
    <col min="25" max="25" width="50.5703125" bestFit="1" customWidth="1"/>
    <col min="26" max="26" width="18.5703125" bestFit="1" customWidth="1"/>
  </cols>
  <sheetData>
    <row r="1" spans="1:2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1">
        <v>37499</v>
      </c>
      <c r="B2">
        <v>1.1222031784698491E-2</v>
      </c>
      <c r="C2">
        <v>1.347181504199557E-2</v>
      </c>
      <c r="D2">
        <v>-4.1722424222282228E-2</v>
      </c>
      <c r="E2">
        <v>1.486168362453011E-2</v>
      </c>
      <c r="F2">
        <v>-3.2217731658956139E-2</v>
      </c>
      <c r="G2">
        <v>1.41940487299751E-2</v>
      </c>
      <c r="H2">
        <v>-1</v>
      </c>
      <c r="I2">
        <v>1</v>
      </c>
      <c r="J2">
        <v>0</v>
      </c>
      <c r="K2">
        <v>4.1722424222282228E-2</v>
      </c>
      <c r="L2">
        <v>0</v>
      </c>
      <c r="M2">
        <v>1.486168362453011E-2</v>
      </c>
      <c r="N2">
        <v>-3.2217731658956139E-2</v>
      </c>
      <c r="O2">
        <v>0</v>
      </c>
      <c r="P2">
        <v>-1.41940487299751E-2</v>
      </c>
      <c r="Q2">
        <v>0</v>
      </c>
      <c r="R2">
        <v>0</v>
      </c>
      <c r="S2">
        <v>4.1722424222282228E-2</v>
      </c>
      <c r="T2">
        <v>0</v>
      </c>
      <c r="U2">
        <v>1.486168362453011E-2</v>
      </c>
      <c r="V2">
        <v>-3.2217731658956139E-2</v>
      </c>
      <c r="W2">
        <v>0</v>
      </c>
      <c r="X2">
        <v>-1.41940487299751E-2</v>
      </c>
      <c r="Y2">
        <v>0</v>
      </c>
      <c r="Z2">
        <v>1.0172327457881099E-2</v>
      </c>
    </row>
    <row r="3" spans="1:26" x14ac:dyDescent="0.25">
      <c r="A3" s="1">
        <v>37529</v>
      </c>
      <c r="B3">
        <v>-0.1075560312730699</v>
      </c>
      <c r="C3">
        <v>-0.12496506337790721</v>
      </c>
      <c r="D3">
        <v>-2.135314322155701E-2</v>
      </c>
      <c r="E3">
        <v>3.4572338190952401E-3</v>
      </c>
      <c r="F3">
        <v>-1.127440398555957E-2</v>
      </c>
      <c r="G3">
        <v>7.3616378364121937E-3</v>
      </c>
      <c r="H3">
        <v>1</v>
      </c>
      <c r="I3">
        <v>-1</v>
      </c>
      <c r="J3">
        <v>-2.135314322155701E-2</v>
      </c>
      <c r="K3">
        <v>0</v>
      </c>
      <c r="L3">
        <v>-3.4572338190952401E-3</v>
      </c>
      <c r="M3">
        <v>0</v>
      </c>
      <c r="N3">
        <v>0</v>
      </c>
      <c r="O3">
        <v>1.127440398555957E-2</v>
      </c>
      <c r="P3">
        <v>0</v>
      </c>
      <c r="Q3">
        <v>7.3616378364121937E-3</v>
      </c>
      <c r="R3">
        <v>-2.135314322155701E-2</v>
      </c>
      <c r="S3">
        <v>4.1722424222282228E-2</v>
      </c>
      <c r="T3">
        <v>-3.4572338190952401E-3</v>
      </c>
      <c r="U3">
        <v>1.486168362453011E-2</v>
      </c>
      <c r="V3">
        <v>-3.2217731658956139E-2</v>
      </c>
      <c r="W3">
        <v>1.1274403985559459E-2</v>
      </c>
      <c r="X3">
        <v>-1.41940487299751E-2</v>
      </c>
      <c r="Y3">
        <v>7.3616378364120827E-3</v>
      </c>
      <c r="Z3">
        <v>3.9979922392006104E-3</v>
      </c>
    </row>
    <row r="4" spans="1:26" x14ac:dyDescent="0.25">
      <c r="A4" s="1">
        <v>37560</v>
      </c>
      <c r="B4">
        <v>8.5515680429710139E-2</v>
      </c>
      <c r="C4">
        <v>0.16590427775758379</v>
      </c>
      <c r="D4">
        <v>-1.7800473339559919E-2</v>
      </c>
      <c r="E4">
        <v>2.572110476772194E-2</v>
      </c>
      <c r="F4">
        <v>-3.1047478521914029E-2</v>
      </c>
      <c r="G4">
        <v>-4.3144156392858068E-3</v>
      </c>
      <c r="H4">
        <v>-1</v>
      </c>
      <c r="I4">
        <v>1</v>
      </c>
      <c r="J4">
        <v>0</v>
      </c>
      <c r="K4">
        <v>1.7800473339559919E-2</v>
      </c>
      <c r="L4">
        <v>0</v>
      </c>
      <c r="M4">
        <v>2.572110476772194E-2</v>
      </c>
      <c r="N4">
        <v>-3.1047478521914029E-2</v>
      </c>
      <c r="O4">
        <v>0</v>
      </c>
      <c r="P4">
        <v>4.3144156392858068E-3</v>
      </c>
      <c r="Q4">
        <v>0</v>
      </c>
      <c r="R4">
        <v>-2.135314322155701E-2</v>
      </c>
      <c r="S4">
        <v>6.0265576461872687E-2</v>
      </c>
      <c r="T4">
        <v>-3.4572338190952401E-3</v>
      </c>
      <c r="U4">
        <v>4.0965047313783247E-2</v>
      </c>
      <c r="V4">
        <v>-6.2264930849163957E-2</v>
      </c>
      <c r="W4">
        <v>1.1274403985559459E-2</v>
      </c>
      <c r="X4">
        <v>-9.9408721165146208E-3</v>
      </c>
      <c r="Y4">
        <v>7.3616378364120827E-3</v>
      </c>
      <c r="Z4">
        <v>2.0786507463854239E-2</v>
      </c>
    </row>
    <row r="5" spans="1:26" x14ac:dyDescent="0.25">
      <c r="A5" s="1">
        <v>37590</v>
      </c>
      <c r="B5">
        <v>6.2012297931764659E-2</v>
      </c>
      <c r="C5">
        <v>6.4402234332341823E-2</v>
      </c>
      <c r="D5">
        <v>-5.6688042694508223E-4</v>
      </c>
      <c r="E5">
        <v>-6.2821825625629657E-3</v>
      </c>
      <c r="F5">
        <v>2.5647332969464309E-2</v>
      </c>
      <c r="G5">
        <v>1.6293962780553839E-2</v>
      </c>
      <c r="H5">
        <v>-1</v>
      </c>
      <c r="I5">
        <v>1</v>
      </c>
      <c r="J5">
        <v>0</v>
      </c>
      <c r="K5">
        <v>5.6688042694508223E-4</v>
      </c>
      <c r="L5">
        <v>0</v>
      </c>
      <c r="M5">
        <v>-6.2821825625629657E-3</v>
      </c>
      <c r="N5">
        <v>2.5647332969464309E-2</v>
      </c>
      <c r="O5">
        <v>0</v>
      </c>
      <c r="P5">
        <v>-1.6293962780553839E-2</v>
      </c>
      <c r="Q5">
        <v>0</v>
      </c>
      <c r="R5">
        <v>-2.135314322155701E-2</v>
      </c>
      <c r="S5">
        <v>6.0866620264532489E-2</v>
      </c>
      <c r="T5">
        <v>-3.4572338190952401E-3</v>
      </c>
      <c r="U5">
        <v>3.44255148453112E-2</v>
      </c>
      <c r="V5">
        <v>-3.8214527293508833E-2</v>
      </c>
      <c r="W5">
        <v>1.1274403985559459E-2</v>
      </c>
      <c r="X5">
        <v>-2.6072858696795761E-2</v>
      </c>
      <c r="Y5">
        <v>7.3616378364120827E-3</v>
      </c>
      <c r="Z5">
        <v>2.4424575517146829E-2</v>
      </c>
    </row>
    <row r="6" spans="1:26" x14ac:dyDescent="0.25">
      <c r="A6" s="1">
        <v>37621</v>
      </c>
      <c r="B6">
        <v>-5.6567784293243162E-2</v>
      </c>
      <c r="C6">
        <v>-6.306584734620968E-2</v>
      </c>
      <c r="D6">
        <v>-1.9431922934326051E-2</v>
      </c>
      <c r="E6">
        <v>1.8619701375307659E-2</v>
      </c>
      <c r="F6">
        <v>-2.0782462114470209E-2</v>
      </c>
      <c r="G6">
        <v>1.17978873123108E-2</v>
      </c>
      <c r="H6">
        <v>1</v>
      </c>
      <c r="I6">
        <v>-1</v>
      </c>
      <c r="J6">
        <v>-1.9431922934326051E-2</v>
      </c>
      <c r="K6">
        <v>0</v>
      </c>
      <c r="L6">
        <v>-1.8619701375307659E-2</v>
      </c>
      <c r="M6">
        <v>0</v>
      </c>
      <c r="N6">
        <v>0</v>
      </c>
      <c r="O6">
        <v>2.0782462114470209E-2</v>
      </c>
      <c r="P6">
        <v>0</v>
      </c>
      <c r="Q6">
        <v>1.17978873123108E-2</v>
      </c>
      <c r="R6">
        <v>-4.0370133522396157E-2</v>
      </c>
      <c r="S6">
        <v>6.0866620264532489E-2</v>
      </c>
      <c r="T6">
        <v>-2.201256253310668E-2</v>
      </c>
      <c r="U6">
        <v>3.44255148453112E-2</v>
      </c>
      <c r="V6">
        <v>-3.8214527293508833E-2</v>
      </c>
      <c r="W6">
        <v>3.2291175973723003E-2</v>
      </c>
      <c r="X6">
        <v>-2.6072858696795761E-2</v>
      </c>
      <c r="Y6">
        <v>1.9246376922350979E-2</v>
      </c>
      <c r="Z6">
        <v>1.895330063429412E-2</v>
      </c>
    </row>
    <row r="7" spans="1:26" x14ac:dyDescent="0.25">
      <c r="A7" s="1">
        <v>37652</v>
      </c>
      <c r="B7">
        <v>-2.2646033478139201E-2</v>
      </c>
      <c r="C7">
        <v>1.8808789134057591E-2</v>
      </c>
      <c r="D7">
        <v>-2.9357518265043511E-2</v>
      </c>
      <c r="E7">
        <v>7.0233598846778378E-3</v>
      </c>
      <c r="F7">
        <v>3.5962905112254313E-2</v>
      </c>
      <c r="G7">
        <v>-1.763441145183153E-2</v>
      </c>
      <c r="H7">
        <v>-1</v>
      </c>
      <c r="I7">
        <v>1</v>
      </c>
      <c r="J7">
        <v>0</v>
      </c>
      <c r="K7">
        <v>2.9357518265043511E-2</v>
      </c>
      <c r="L7">
        <v>0</v>
      </c>
      <c r="M7">
        <v>7.0233598846778378E-3</v>
      </c>
      <c r="N7">
        <v>3.5962905112254313E-2</v>
      </c>
      <c r="O7">
        <v>0</v>
      </c>
      <c r="P7">
        <v>1.763441145183153E-2</v>
      </c>
      <c r="Q7">
        <v>0</v>
      </c>
      <c r="R7">
        <v>-4.0370133522396157E-2</v>
      </c>
      <c r="S7">
        <v>9.2011031445723646E-2</v>
      </c>
      <c r="T7">
        <v>-2.201256253310668E-2</v>
      </c>
      <c r="U7">
        <v>4.1690657509962932E-2</v>
      </c>
      <c r="V7">
        <v>-3.6259276002206242E-3</v>
      </c>
      <c r="W7">
        <v>3.2291175973723003E-2</v>
      </c>
      <c r="X7">
        <v>-8.8982267629490464E-3</v>
      </c>
      <c r="Y7">
        <v>1.9246376922350979E-2</v>
      </c>
      <c r="Z7">
        <v>0.1089314953481013</v>
      </c>
    </row>
    <row r="8" spans="1:26" x14ac:dyDescent="0.25">
      <c r="A8" s="1">
        <v>37680</v>
      </c>
      <c r="B8">
        <v>-1.234923659557907E-2</v>
      </c>
      <c r="C8">
        <v>-3.6832208398142718E-2</v>
      </c>
      <c r="D8">
        <v>1.328856999095485E-2</v>
      </c>
      <c r="E8">
        <v>1.958897451222508E-2</v>
      </c>
      <c r="F8">
        <v>-3.099984324363669E-2</v>
      </c>
      <c r="G8">
        <v>7.6660608193896973E-3</v>
      </c>
      <c r="H8">
        <v>1</v>
      </c>
      <c r="I8">
        <v>-1</v>
      </c>
      <c r="J8">
        <v>1.328856999095485E-2</v>
      </c>
      <c r="K8">
        <v>0</v>
      </c>
      <c r="L8">
        <v>-1.958897451222508E-2</v>
      </c>
      <c r="M8">
        <v>0</v>
      </c>
      <c r="N8">
        <v>0</v>
      </c>
      <c r="O8">
        <v>3.099984324363669E-2</v>
      </c>
      <c r="P8">
        <v>0</v>
      </c>
      <c r="Q8">
        <v>7.6660608193896973E-3</v>
      </c>
      <c r="R8">
        <v>-2.7618024876297831E-2</v>
      </c>
      <c r="S8">
        <v>9.2011031445723646E-2</v>
      </c>
      <c r="T8">
        <v>-4.1170333518921957E-2</v>
      </c>
      <c r="U8">
        <v>4.1690657509962932E-2</v>
      </c>
      <c r="V8">
        <v>-3.6259276002206242E-3</v>
      </c>
      <c r="W8">
        <v>6.4292040610697709E-2</v>
      </c>
      <c r="X8">
        <v>-8.8982267629490464E-3</v>
      </c>
      <c r="Y8">
        <v>2.7059981637780339E-2</v>
      </c>
      <c r="Z8">
        <v>0.1412969948898575</v>
      </c>
    </row>
    <row r="9" spans="1:26" x14ac:dyDescent="0.25">
      <c r="A9" s="1">
        <v>37711</v>
      </c>
      <c r="B9">
        <v>5.015677813172581E-3</v>
      </c>
      <c r="C9">
        <v>0.1065245360179071</v>
      </c>
      <c r="D9">
        <v>-5.5650749983481407E-2</v>
      </c>
      <c r="E9">
        <v>3.2799007247309553E-2</v>
      </c>
      <c r="F9">
        <v>-1.8516805232259629E-2</v>
      </c>
      <c r="G9">
        <v>4.7792901103688168E-3</v>
      </c>
      <c r="H9">
        <v>-1</v>
      </c>
      <c r="I9">
        <v>1</v>
      </c>
      <c r="J9">
        <v>0</v>
      </c>
      <c r="K9">
        <v>5.5650749983481407E-2</v>
      </c>
      <c r="L9">
        <v>0</v>
      </c>
      <c r="M9">
        <v>3.2799007247309553E-2</v>
      </c>
      <c r="N9">
        <v>-1.8516805232259629E-2</v>
      </c>
      <c r="O9">
        <v>0</v>
      </c>
      <c r="P9">
        <v>-4.7792901103688168E-3</v>
      </c>
      <c r="Q9">
        <v>0</v>
      </c>
      <c r="R9">
        <v>-2.7618024876297831E-2</v>
      </c>
      <c r="S9">
        <v>0.1527822643359131</v>
      </c>
      <c r="T9">
        <v>-4.1170333518921957E-2</v>
      </c>
      <c r="U9">
        <v>7.5857076935086809E-2</v>
      </c>
      <c r="V9">
        <v>-2.2075592237320699E-2</v>
      </c>
      <c r="W9">
        <v>6.4292040610697709E-2</v>
      </c>
      <c r="X9">
        <v>-1.363498966614984E-2</v>
      </c>
      <c r="Y9">
        <v>2.7059981637780339E-2</v>
      </c>
      <c r="Z9">
        <v>0.20645065677801999</v>
      </c>
    </row>
    <row r="10" spans="1:26" x14ac:dyDescent="0.25">
      <c r="A10" s="1">
        <v>37741</v>
      </c>
      <c r="B10">
        <v>8.2769804555617887E-2</v>
      </c>
      <c r="C10">
        <v>8.4848513933425962E-2</v>
      </c>
      <c r="D10">
        <v>6.5362082547639746E-3</v>
      </c>
      <c r="E10">
        <v>1.927769263376666E-2</v>
      </c>
      <c r="F10">
        <v>3.8752457331685863E-2</v>
      </c>
      <c r="G10">
        <v>-1.900362087068674E-2</v>
      </c>
      <c r="H10">
        <v>-1</v>
      </c>
      <c r="I10">
        <v>1</v>
      </c>
      <c r="J10">
        <v>0</v>
      </c>
      <c r="K10">
        <v>-6.5362082547639746E-3</v>
      </c>
      <c r="L10">
        <v>0</v>
      </c>
      <c r="M10">
        <v>1.927769263376666E-2</v>
      </c>
      <c r="N10">
        <v>3.8752457331685863E-2</v>
      </c>
      <c r="O10">
        <v>0</v>
      </c>
      <c r="P10">
        <v>1.900362087068674E-2</v>
      </c>
      <c r="Q10">
        <v>0</v>
      </c>
      <c r="R10">
        <v>-2.7618024876297831E-2</v>
      </c>
      <c r="S10">
        <v>0.14524743938381521</v>
      </c>
      <c r="T10">
        <v>-4.1170333518921957E-2</v>
      </c>
      <c r="U10">
        <v>9.6597118982104213E-2</v>
      </c>
      <c r="V10">
        <v>1.582138164811675E-2</v>
      </c>
      <c r="W10">
        <v>6.4292040610697709E-2</v>
      </c>
      <c r="X10">
        <v>5.1095170303456783E-3</v>
      </c>
      <c r="Y10">
        <v>2.7059981637780339E-2</v>
      </c>
      <c r="Z10">
        <v>0.27694821935939529</v>
      </c>
    </row>
    <row r="11" spans="1:26" x14ac:dyDescent="0.25">
      <c r="A11" s="1">
        <v>37772</v>
      </c>
      <c r="B11">
        <v>5.4415066867017137E-2</v>
      </c>
      <c r="C11">
        <v>-5.4774675973746967E-2</v>
      </c>
      <c r="D11">
        <v>4.5702783412110648E-2</v>
      </c>
      <c r="E11">
        <v>-1.5462749284537169E-3</v>
      </c>
      <c r="F11">
        <v>1.613700860928691E-2</v>
      </c>
      <c r="G11">
        <v>1.4552859125762979E-2</v>
      </c>
      <c r="H11">
        <v>1</v>
      </c>
      <c r="I11">
        <v>-1</v>
      </c>
      <c r="J11">
        <v>4.5702783412110648E-2</v>
      </c>
      <c r="K11">
        <v>0</v>
      </c>
      <c r="L11">
        <v>1.5462749284537169E-3</v>
      </c>
      <c r="M11">
        <v>0</v>
      </c>
      <c r="N11">
        <v>0</v>
      </c>
      <c r="O11">
        <v>-1.613700860928691E-2</v>
      </c>
      <c r="P11">
        <v>0</v>
      </c>
      <c r="Q11">
        <v>1.4552859125762979E-2</v>
      </c>
      <c r="R11">
        <v>1.6822537926621139E-2</v>
      </c>
      <c r="S11">
        <v>0.14524743938381521</v>
      </c>
      <c r="T11">
        <v>-3.9687719244984709E-2</v>
      </c>
      <c r="U11">
        <v>9.6597118982104213E-2</v>
      </c>
      <c r="V11">
        <v>1.582138164811675E-2</v>
      </c>
      <c r="W11">
        <v>4.7117550788567282E-2</v>
      </c>
      <c r="X11">
        <v>5.1095170303456783E-3</v>
      </c>
      <c r="Y11">
        <v>4.2006640864263638E-2</v>
      </c>
      <c r="Z11">
        <v>0.32261312821643567</v>
      </c>
    </row>
    <row r="12" spans="1:26" x14ac:dyDescent="0.25">
      <c r="A12" s="1">
        <v>37802</v>
      </c>
      <c r="B12">
        <v>1.154912377418349E-2</v>
      </c>
      <c r="C12">
        <v>3.4058452556649743E-2</v>
      </c>
      <c r="D12">
        <v>-1.8114361199767611E-2</v>
      </c>
      <c r="E12">
        <v>-1.312544349634925E-2</v>
      </c>
      <c r="F12">
        <v>2.3687438814004261E-2</v>
      </c>
      <c r="G12">
        <v>-5.578571220307138E-4</v>
      </c>
      <c r="H12">
        <v>-1</v>
      </c>
      <c r="I12">
        <v>1</v>
      </c>
      <c r="J12">
        <v>0</v>
      </c>
      <c r="K12">
        <v>1.8114361199767611E-2</v>
      </c>
      <c r="L12">
        <v>0</v>
      </c>
      <c r="M12">
        <v>-1.312544349634925E-2</v>
      </c>
      <c r="N12">
        <v>2.3687438814004261E-2</v>
      </c>
      <c r="O12">
        <v>0</v>
      </c>
      <c r="P12">
        <v>5.578571220307138E-4</v>
      </c>
      <c r="Q12">
        <v>0</v>
      </c>
      <c r="R12">
        <v>1.6822537926621139E-2</v>
      </c>
      <c r="S12">
        <v>0.16599286516392259</v>
      </c>
      <c r="T12">
        <v>-3.9687719244984709E-2</v>
      </c>
      <c r="U12">
        <v>8.2203795458645201E-2</v>
      </c>
      <c r="V12">
        <v>3.9883588471863803E-2</v>
      </c>
      <c r="W12">
        <v>4.7117550788567282E-2</v>
      </c>
      <c r="X12">
        <v>5.6702245328419387E-3</v>
      </c>
      <c r="Y12">
        <v>4.2006640864263638E-2</v>
      </c>
      <c r="Z12">
        <v>0.35184734185588912</v>
      </c>
    </row>
    <row r="13" spans="1:26" x14ac:dyDescent="0.25">
      <c r="A13" s="1">
        <v>37833</v>
      </c>
      <c r="B13">
        <v>1.8897193957269302E-2</v>
      </c>
      <c r="C13">
        <v>8.1730359860763935E-2</v>
      </c>
      <c r="D13">
        <v>2.4217238442219009E-3</v>
      </c>
      <c r="E13">
        <v>-3.8721092613354102E-2</v>
      </c>
      <c r="F13">
        <v>3.5798869800326538E-2</v>
      </c>
      <c r="G13">
        <v>-2.2324679371589221E-2</v>
      </c>
      <c r="H13">
        <v>-1</v>
      </c>
      <c r="I13">
        <v>1</v>
      </c>
      <c r="J13">
        <v>0</v>
      </c>
      <c r="K13">
        <v>-2.4217238442219009E-3</v>
      </c>
      <c r="L13">
        <v>0</v>
      </c>
      <c r="M13">
        <v>-3.8721092613354102E-2</v>
      </c>
      <c r="N13">
        <v>3.5798869800326538E-2</v>
      </c>
      <c r="O13">
        <v>0</v>
      </c>
      <c r="P13">
        <v>2.2324679371589221E-2</v>
      </c>
      <c r="Q13">
        <v>0</v>
      </c>
      <c r="R13">
        <v>1.6822537926621139E-2</v>
      </c>
      <c r="S13">
        <v>0.16316915244016261</v>
      </c>
      <c r="T13">
        <v>-3.9687719244984709E-2</v>
      </c>
      <c r="U13">
        <v>4.0299682068167593E-2</v>
      </c>
      <c r="V13">
        <v>7.7110245663064347E-2</v>
      </c>
      <c r="W13">
        <v>4.7117550788567282E-2</v>
      </c>
      <c r="X13">
        <v>2.81214898490918E-2</v>
      </c>
      <c r="Y13">
        <v>4.2006640864263638E-2</v>
      </c>
      <c r="Z13">
        <v>0.36882807457022881</v>
      </c>
    </row>
    <row r="14" spans="1:26" x14ac:dyDescent="0.25">
      <c r="A14" s="1">
        <v>37864</v>
      </c>
      <c r="B14">
        <v>2.0981911592384939E-2</v>
      </c>
      <c r="C14">
        <v>8.3336116690708728E-3</v>
      </c>
      <c r="D14">
        <v>6.7217209615590967E-3</v>
      </c>
      <c r="E14">
        <v>7.9390338871155874E-3</v>
      </c>
      <c r="F14">
        <v>-1.374429303287272E-2</v>
      </c>
      <c r="G14">
        <v>1.7487824320675079E-2</v>
      </c>
      <c r="H14">
        <v>-1</v>
      </c>
      <c r="I14">
        <v>1</v>
      </c>
      <c r="J14">
        <v>0</v>
      </c>
      <c r="K14">
        <v>-6.7217209615590967E-3</v>
      </c>
      <c r="L14">
        <v>0</v>
      </c>
      <c r="M14">
        <v>7.9390338871155874E-3</v>
      </c>
      <c r="N14">
        <v>-1.374429303287272E-2</v>
      </c>
      <c r="O14">
        <v>0</v>
      </c>
      <c r="P14">
        <v>-1.7487824320675079E-2</v>
      </c>
      <c r="Q14">
        <v>0</v>
      </c>
      <c r="R14">
        <v>1.6822537926621139E-2</v>
      </c>
      <c r="S14">
        <v>0.15535065396636669</v>
      </c>
      <c r="T14">
        <v>-3.9687719244984709E-2</v>
      </c>
      <c r="U14">
        <v>4.8558656496862307E-2</v>
      </c>
      <c r="V14">
        <v>6.230612681796166E-2</v>
      </c>
      <c r="W14">
        <v>4.7117550788567282E-2</v>
      </c>
      <c r="X14">
        <v>1.014188185429998E-2</v>
      </c>
      <c r="Y14">
        <v>4.2006640864263638E-2</v>
      </c>
      <c r="Z14">
        <v>0.3388132701422375</v>
      </c>
    </row>
    <row r="15" spans="1:26" x14ac:dyDescent="0.25">
      <c r="A15" s="1">
        <v>37894</v>
      </c>
      <c r="B15">
        <v>-1.017690941427085E-2</v>
      </c>
      <c r="C15">
        <v>-5.2341415950690751E-3</v>
      </c>
      <c r="D15">
        <v>-2.5378688802372599E-2</v>
      </c>
      <c r="E15">
        <v>3.8052348814136112E-2</v>
      </c>
      <c r="F15">
        <v>2.199538497060638E-2</v>
      </c>
      <c r="G15">
        <v>-6.1281916513655776E-4</v>
      </c>
      <c r="H15">
        <v>1</v>
      </c>
      <c r="I15">
        <v>-1</v>
      </c>
      <c r="J15">
        <v>-2.5378688802372599E-2</v>
      </c>
      <c r="K15">
        <v>0</v>
      </c>
      <c r="L15">
        <v>-3.8052348814136112E-2</v>
      </c>
      <c r="M15">
        <v>0</v>
      </c>
      <c r="N15">
        <v>0</v>
      </c>
      <c r="O15">
        <v>-2.199538497060638E-2</v>
      </c>
      <c r="P15">
        <v>0</v>
      </c>
      <c r="Q15">
        <v>-6.1281916513655776E-4</v>
      </c>
      <c r="R15">
        <v>-8.9830848306573508E-3</v>
      </c>
      <c r="S15">
        <v>0.15535065396636669</v>
      </c>
      <c r="T15">
        <v>-7.6229857122773081E-2</v>
      </c>
      <c r="U15">
        <v>4.8558656496862307E-2</v>
      </c>
      <c r="V15">
        <v>6.230612681796166E-2</v>
      </c>
      <c r="W15">
        <v>2.4085797149494329E-2</v>
      </c>
      <c r="X15">
        <v>1.014188185429998E-2</v>
      </c>
      <c r="Y15">
        <v>4.1368079224542553E-2</v>
      </c>
      <c r="Z15">
        <v>0.25277402838998592</v>
      </c>
    </row>
    <row r="16" spans="1:26" x14ac:dyDescent="0.25">
      <c r="A16" s="1">
        <v>37925</v>
      </c>
      <c r="B16">
        <v>5.273519213826261E-2</v>
      </c>
      <c r="C16">
        <v>9.1216175087056262E-2</v>
      </c>
      <c r="D16">
        <v>4.3663932606876621E-3</v>
      </c>
      <c r="E16">
        <v>1.276711763920502E-2</v>
      </c>
      <c r="F16">
        <v>4.2507152723462838E-2</v>
      </c>
      <c r="G16">
        <v>-3.6584725594476231E-2</v>
      </c>
      <c r="H16">
        <v>-1</v>
      </c>
      <c r="I16">
        <v>1</v>
      </c>
      <c r="J16">
        <v>0</v>
      </c>
      <c r="K16">
        <v>-4.3663932606876621E-3</v>
      </c>
      <c r="L16">
        <v>0</v>
      </c>
      <c r="M16">
        <v>1.276711763920502E-2</v>
      </c>
      <c r="N16">
        <v>4.2507152723462838E-2</v>
      </c>
      <c r="O16">
        <v>0</v>
      </c>
      <c r="P16">
        <v>3.6584725594476231E-2</v>
      </c>
      <c r="Q16">
        <v>0</v>
      </c>
      <c r="R16">
        <v>-8.9830848306573508E-3</v>
      </c>
      <c r="S16">
        <v>0.1503059386571568</v>
      </c>
      <c r="T16">
        <v>-7.6229857122773081E-2</v>
      </c>
      <c r="U16">
        <v>6.1945728215964557E-2</v>
      </c>
      <c r="V16">
        <v>0.107461735589683</v>
      </c>
      <c r="W16">
        <v>2.4085797149494329E-2</v>
      </c>
      <c r="X16">
        <v>4.7097645413427543E-2</v>
      </c>
      <c r="Y16">
        <v>4.1368079224542553E-2</v>
      </c>
      <c r="Z16">
        <v>0.34026663108644228</v>
      </c>
    </row>
    <row r="17" spans="1:26" x14ac:dyDescent="0.25">
      <c r="A17" s="1">
        <v>37955</v>
      </c>
      <c r="B17">
        <v>1.128654297236042E-2</v>
      </c>
      <c r="C17">
        <v>-2.9826360860150669E-2</v>
      </c>
      <c r="D17">
        <v>2.1367971000018301E-2</v>
      </c>
      <c r="E17">
        <v>-1.5867315392958829E-2</v>
      </c>
      <c r="F17">
        <v>3.0053579202761189E-3</v>
      </c>
      <c r="G17">
        <v>-1.584938816476367E-2</v>
      </c>
      <c r="H17">
        <v>1</v>
      </c>
      <c r="I17">
        <v>-1</v>
      </c>
      <c r="J17">
        <v>2.1367971000018301E-2</v>
      </c>
      <c r="K17">
        <v>0</v>
      </c>
      <c r="L17">
        <v>1.5867315392958829E-2</v>
      </c>
      <c r="M17">
        <v>0</v>
      </c>
      <c r="N17">
        <v>0</v>
      </c>
      <c r="O17">
        <v>-3.0053579202761189E-3</v>
      </c>
      <c r="P17">
        <v>0</v>
      </c>
      <c r="Q17">
        <v>-1.584938816476367E-2</v>
      </c>
      <c r="R17">
        <v>1.219293587320869E-2</v>
      </c>
      <c r="S17">
        <v>0.1503059386571568</v>
      </c>
      <c r="T17">
        <v>-6.1572104915141528E-2</v>
      </c>
      <c r="U17">
        <v>6.1945728215964557E-2</v>
      </c>
      <c r="V17">
        <v>0.107461735589683</v>
      </c>
      <c r="W17">
        <v>2.1008052787988781E-2</v>
      </c>
      <c r="X17">
        <v>4.7097645413427543E-2</v>
      </c>
      <c r="Y17">
        <v>2.486303231451847E-2</v>
      </c>
      <c r="Z17">
        <v>0.35864717139437963</v>
      </c>
    </row>
    <row r="18" spans="1:26" x14ac:dyDescent="0.25">
      <c r="A18" s="1">
        <v>37986</v>
      </c>
      <c r="B18">
        <v>4.9511948085732893E-2</v>
      </c>
      <c r="C18">
        <v>1.3426557710194411E-5</v>
      </c>
      <c r="D18">
        <v>2.1733387140041579E-2</v>
      </c>
      <c r="E18">
        <v>-1.394313214977061E-2</v>
      </c>
      <c r="F18">
        <v>3.8462406333178429E-3</v>
      </c>
      <c r="G18">
        <v>1.292454080983285E-2</v>
      </c>
      <c r="H18">
        <v>-1</v>
      </c>
      <c r="I18">
        <v>1</v>
      </c>
      <c r="J18">
        <v>0</v>
      </c>
      <c r="K18">
        <v>-2.1733387140041579E-2</v>
      </c>
      <c r="L18">
        <v>0</v>
      </c>
      <c r="M18">
        <v>-1.394313214977061E-2</v>
      </c>
      <c r="N18">
        <v>3.8462406333178429E-3</v>
      </c>
      <c r="O18">
        <v>0</v>
      </c>
      <c r="P18">
        <v>-1.292454080983285E-2</v>
      </c>
      <c r="Q18">
        <v>0</v>
      </c>
      <c r="R18">
        <v>1.219293587320869E-2</v>
      </c>
      <c r="S18">
        <v>0.12530589436283199</v>
      </c>
      <c r="T18">
        <v>-6.1572104915141528E-2</v>
      </c>
      <c r="U18">
        <v>4.7138878591564959E-2</v>
      </c>
      <c r="V18">
        <v>0.1117212999169528</v>
      </c>
      <c r="W18">
        <v>2.1008052787988781E-2</v>
      </c>
      <c r="X18">
        <v>3.3564389163401653E-2</v>
      </c>
      <c r="Y18">
        <v>2.486303231451847E-2</v>
      </c>
      <c r="Z18">
        <v>0.31389235192805243</v>
      </c>
    </row>
    <row r="19" spans="1:26" x14ac:dyDescent="0.25">
      <c r="A19" s="1">
        <v>38017</v>
      </c>
      <c r="B19">
        <v>2.001524925037446E-2</v>
      </c>
      <c r="C19">
        <v>5.3577276817713404E-3</v>
      </c>
      <c r="D19">
        <v>-8.1388025954682863E-3</v>
      </c>
      <c r="E19">
        <v>-3.795007410717588E-3</v>
      </c>
      <c r="F19">
        <v>1.8768116937867171E-2</v>
      </c>
      <c r="G19">
        <v>2.5935216815886619E-4</v>
      </c>
      <c r="H19">
        <v>-1</v>
      </c>
      <c r="I19">
        <v>1</v>
      </c>
      <c r="J19">
        <v>0</v>
      </c>
      <c r="K19">
        <v>8.1388025954682863E-3</v>
      </c>
      <c r="L19">
        <v>0</v>
      </c>
      <c r="M19">
        <v>-3.795007410717588E-3</v>
      </c>
      <c r="N19">
        <v>1.8768116937867171E-2</v>
      </c>
      <c r="O19">
        <v>0</v>
      </c>
      <c r="P19">
        <v>-2.5935216815886619E-4</v>
      </c>
      <c r="Q19">
        <v>0</v>
      </c>
      <c r="R19">
        <v>1.219293587320869E-2</v>
      </c>
      <c r="S19">
        <v>0.13446453689656779</v>
      </c>
      <c r="T19">
        <v>-6.1572104915141528E-2</v>
      </c>
      <c r="U19">
        <v>4.3164978787259438E-2</v>
      </c>
      <c r="V19">
        <v>0.13258621527611189</v>
      </c>
      <c r="W19">
        <v>2.1008052787988781E-2</v>
      </c>
      <c r="X19">
        <v>3.3296331998140298E-2</v>
      </c>
      <c r="Y19">
        <v>2.486303231451847E-2</v>
      </c>
      <c r="Z19">
        <v>0.33674491188251138</v>
      </c>
    </row>
    <row r="20" spans="1:26" x14ac:dyDescent="0.25">
      <c r="A20" s="1">
        <v>38046</v>
      </c>
      <c r="B20">
        <v>1.374426807921947E-2</v>
      </c>
      <c r="C20">
        <v>-3.93343473116603E-3</v>
      </c>
      <c r="D20">
        <v>3.756601820672945E-3</v>
      </c>
      <c r="E20">
        <v>8.8820927544687178E-3</v>
      </c>
      <c r="F20">
        <v>8.6224429744555797E-3</v>
      </c>
      <c r="G20">
        <v>8.1039936950793034E-3</v>
      </c>
      <c r="H20">
        <v>1</v>
      </c>
      <c r="I20">
        <v>-1</v>
      </c>
      <c r="J20">
        <v>3.756601820672945E-3</v>
      </c>
      <c r="K20">
        <v>0</v>
      </c>
      <c r="L20">
        <v>-8.8820927544687178E-3</v>
      </c>
      <c r="M20">
        <v>0</v>
      </c>
      <c r="N20">
        <v>0</v>
      </c>
      <c r="O20">
        <v>-8.6224429744555797E-3</v>
      </c>
      <c r="P20">
        <v>0</v>
      </c>
      <c r="Q20">
        <v>8.1039936950793034E-3</v>
      </c>
      <c r="R20">
        <v>1.599534169898242E-2</v>
      </c>
      <c r="S20">
        <v>0.13446453689656779</v>
      </c>
      <c r="T20">
        <v>-6.9907308522666134E-2</v>
      </c>
      <c r="U20">
        <v>4.3164978787259438E-2</v>
      </c>
      <c r="V20">
        <v>0.13258621527611189</v>
      </c>
      <c r="W20">
        <v>1.220446907636452E-2</v>
      </c>
      <c r="X20">
        <v>3.3296331998140298E-2</v>
      </c>
      <c r="Y20">
        <v>3.3168515866714987E-2</v>
      </c>
      <c r="Z20">
        <v>0.33110097166933938</v>
      </c>
    </row>
    <row r="21" spans="1:26" x14ac:dyDescent="0.25">
      <c r="A21" s="1">
        <v>38077</v>
      </c>
      <c r="B21">
        <v>-1.233205583507291E-2</v>
      </c>
      <c r="C21">
        <v>-5.4925668288622893E-2</v>
      </c>
      <c r="D21">
        <v>1.847617258382139E-2</v>
      </c>
      <c r="E21">
        <v>-9.6603109387709551E-3</v>
      </c>
      <c r="F21">
        <v>1.1830875039394281E-2</v>
      </c>
      <c r="G21">
        <v>1.523209561446648E-2</v>
      </c>
      <c r="H21">
        <v>1</v>
      </c>
      <c r="I21">
        <v>-1</v>
      </c>
      <c r="J21">
        <v>1.847617258382139E-2</v>
      </c>
      <c r="K21">
        <v>0</v>
      </c>
      <c r="L21">
        <v>9.6603109387709551E-3</v>
      </c>
      <c r="M21">
        <v>0</v>
      </c>
      <c r="N21">
        <v>0</v>
      </c>
      <c r="O21">
        <v>-1.1830875039394281E-2</v>
      </c>
      <c r="P21">
        <v>0</v>
      </c>
      <c r="Q21">
        <v>1.523209561446648E-2</v>
      </c>
      <c r="R21">
        <v>3.4767046976571292E-2</v>
      </c>
      <c r="S21">
        <v>0.13446453689656779</v>
      </c>
      <c r="T21">
        <v>-6.0922323921116739E-2</v>
      </c>
      <c r="U21">
        <v>4.3164978787259438E-2</v>
      </c>
      <c r="V21">
        <v>0.13258621527611189</v>
      </c>
      <c r="W21">
        <v>2.2920448840557661E-4</v>
      </c>
      <c r="X21">
        <v>3.3296331998140298E-2</v>
      </c>
      <c r="Y21">
        <v>4.8905837486253212E-2</v>
      </c>
      <c r="Z21">
        <v>0.36263867576700393</v>
      </c>
    </row>
    <row r="22" spans="1:26" x14ac:dyDescent="0.25">
      <c r="A22" s="1">
        <v>38107</v>
      </c>
      <c r="B22">
        <v>-1.8468315180704908E-2</v>
      </c>
      <c r="C22">
        <v>6.3977568209764302E-2</v>
      </c>
      <c r="D22">
        <v>-2.9064192836258051E-2</v>
      </c>
      <c r="E22">
        <v>-1.0377138166158709E-2</v>
      </c>
      <c r="F22">
        <v>1.350637896415008E-2</v>
      </c>
      <c r="G22">
        <v>-3.2708381968628353E-2</v>
      </c>
      <c r="H22">
        <v>-1</v>
      </c>
      <c r="I22">
        <v>1</v>
      </c>
      <c r="J22">
        <v>0</v>
      </c>
      <c r="K22">
        <v>2.9064192836258051E-2</v>
      </c>
      <c r="L22">
        <v>0</v>
      </c>
      <c r="M22">
        <v>-1.0377138166158709E-2</v>
      </c>
      <c r="N22">
        <v>1.350637896415008E-2</v>
      </c>
      <c r="O22">
        <v>0</v>
      </c>
      <c r="P22">
        <v>3.2708381968628353E-2</v>
      </c>
      <c r="Q22">
        <v>0</v>
      </c>
      <c r="R22">
        <v>3.4767046976571292E-2</v>
      </c>
      <c r="S22">
        <v>0.16743683296282599</v>
      </c>
      <c r="T22">
        <v>-6.0922323921116739E-2</v>
      </c>
      <c r="U22">
        <v>3.2339911672285997E-2</v>
      </c>
      <c r="V22">
        <v>0.14788335390920351</v>
      </c>
      <c r="W22">
        <v>2.2920448840557661E-4</v>
      </c>
      <c r="X22">
        <v>6.709378311191827E-2</v>
      </c>
      <c r="Y22">
        <v>4.8905837486253212E-2</v>
      </c>
      <c r="Z22">
        <v>0.4275404913698817</v>
      </c>
    </row>
    <row r="23" spans="1:26" x14ac:dyDescent="0.25">
      <c r="A23" s="1">
        <v>38138</v>
      </c>
      <c r="B23">
        <v>1.754404085423145E-2</v>
      </c>
      <c r="C23">
        <v>8.8154874990811205E-3</v>
      </c>
      <c r="D23">
        <v>2.752864841992286E-2</v>
      </c>
      <c r="E23">
        <v>1.6559002054039151E-2</v>
      </c>
      <c r="F23">
        <v>-8.7999211784564046E-3</v>
      </c>
      <c r="G23">
        <v>-2.4117944822595331E-2</v>
      </c>
      <c r="H23">
        <v>-1</v>
      </c>
      <c r="I23">
        <v>1</v>
      </c>
      <c r="J23">
        <v>0</v>
      </c>
      <c r="K23">
        <v>-2.752864841992286E-2</v>
      </c>
      <c r="L23">
        <v>0</v>
      </c>
      <c r="M23">
        <v>1.6559002054039151E-2</v>
      </c>
      <c r="N23">
        <v>-8.7999211784564046E-3</v>
      </c>
      <c r="O23">
        <v>0</v>
      </c>
      <c r="P23">
        <v>2.4117944822595331E-2</v>
      </c>
      <c r="Q23">
        <v>0</v>
      </c>
      <c r="R23">
        <v>3.4767046976571292E-2</v>
      </c>
      <c r="S23">
        <v>0.135298874835724</v>
      </c>
      <c r="T23">
        <v>-6.0922323921116739E-2</v>
      </c>
      <c r="U23">
        <v>4.9434430390134183E-2</v>
      </c>
      <c r="V23">
        <v>0.13778207087274039</v>
      </c>
      <c r="W23">
        <v>2.2920448840557661E-4</v>
      </c>
      <c r="X23">
        <v>9.2829892093545974E-2</v>
      </c>
      <c r="Y23">
        <v>4.8905837486253212E-2</v>
      </c>
      <c r="Z23">
        <v>0.43188886864813691</v>
      </c>
    </row>
    <row r="24" spans="1:26" x14ac:dyDescent="0.25">
      <c r="A24" s="1">
        <v>38168</v>
      </c>
      <c r="B24">
        <v>1.876408004271712E-2</v>
      </c>
      <c r="C24">
        <v>1.635548227174299E-2</v>
      </c>
      <c r="D24">
        <v>6.7402806278281657E-3</v>
      </c>
      <c r="E24">
        <v>1.5322495213965561E-2</v>
      </c>
      <c r="F24">
        <v>1.6368210852963361E-2</v>
      </c>
      <c r="G24">
        <v>-1.525029072814754E-2</v>
      </c>
      <c r="H24">
        <v>-1</v>
      </c>
      <c r="I24">
        <v>1</v>
      </c>
      <c r="J24">
        <v>0</v>
      </c>
      <c r="K24">
        <v>-6.7402806278281657E-3</v>
      </c>
      <c r="L24">
        <v>0</v>
      </c>
      <c r="M24">
        <v>1.5322495213965561E-2</v>
      </c>
      <c r="N24">
        <v>1.6368210852963361E-2</v>
      </c>
      <c r="O24">
        <v>0</v>
      </c>
      <c r="P24">
        <v>1.525029072814754E-2</v>
      </c>
      <c r="Q24">
        <v>0</v>
      </c>
      <c r="R24">
        <v>3.4767046976571292E-2</v>
      </c>
      <c r="S24">
        <v>0.12764664182287369</v>
      </c>
      <c r="T24">
        <v>-6.0922323921116739E-2</v>
      </c>
      <c r="U24">
        <v>6.5514384427157513E-2</v>
      </c>
      <c r="V24">
        <v>0.1564055277135066</v>
      </c>
      <c r="W24">
        <v>2.2920448840557661E-4</v>
      </c>
      <c r="X24">
        <v>0.10949586566438251</v>
      </c>
      <c r="Y24">
        <v>4.8905837486253212E-2</v>
      </c>
      <c r="Z24">
        <v>0.47208958481538521</v>
      </c>
    </row>
    <row r="25" spans="1:26" x14ac:dyDescent="0.25">
      <c r="A25" s="1">
        <v>38199</v>
      </c>
      <c r="B25">
        <v>-3.2192371449354502E-2</v>
      </c>
      <c r="C25">
        <v>-5.7332014851928292E-2</v>
      </c>
      <c r="D25">
        <v>8.7966131046833818E-3</v>
      </c>
      <c r="E25">
        <v>-7.6654250176599881E-4</v>
      </c>
      <c r="F25">
        <v>-2.718564433335768E-2</v>
      </c>
      <c r="G25">
        <v>1.17056118761858E-2</v>
      </c>
      <c r="H25">
        <v>1</v>
      </c>
      <c r="I25">
        <v>-1</v>
      </c>
      <c r="J25">
        <v>8.7966131046833818E-3</v>
      </c>
      <c r="K25">
        <v>0</v>
      </c>
      <c r="L25">
        <v>7.6654250176599881E-4</v>
      </c>
      <c r="M25">
        <v>0</v>
      </c>
      <c r="N25">
        <v>0</v>
      </c>
      <c r="O25">
        <v>2.718564433335768E-2</v>
      </c>
      <c r="P25">
        <v>0</v>
      </c>
      <c r="Q25">
        <v>1.17056118761858E-2</v>
      </c>
      <c r="R25">
        <v>4.3869492342299983E-2</v>
      </c>
      <c r="S25">
        <v>0.12764664182287369</v>
      </c>
      <c r="T25">
        <v>-6.0202480969942629E-2</v>
      </c>
      <c r="U25">
        <v>6.5514384427157513E-2</v>
      </c>
      <c r="V25">
        <v>0.1564055277135066</v>
      </c>
      <c r="W25">
        <v>2.742107989346465E-2</v>
      </c>
      <c r="X25">
        <v>0.10949586566438251</v>
      </c>
      <c r="Y25">
        <v>6.118392211453294E-2</v>
      </c>
      <c r="Z25">
        <v>0.52054399663137807</v>
      </c>
    </row>
    <row r="26" spans="1:26" x14ac:dyDescent="0.25">
      <c r="A26" s="1">
        <v>38230</v>
      </c>
      <c r="B26">
        <v>3.0813773348820068E-3</v>
      </c>
      <c r="C26">
        <v>-2.9604409049959091E-2</v>
      </c>
      <c r="D26">
        <v>5.7663219866974647E-3</v>
      </c>
      <c r="E26">
        <v>1.418204988174732E-2</v>
      </c>
      <c r="F26">
        <v>-3.6391162412038443E-2</v>
      </c>
      <c r="G26">
        <v>2.5464355002135401E-2</v>
      </c>
      <c r="H26">
        <v>1</v>
      </c>
      <c r="I26">
        <v>-1</v>
      </c>
      <c r="J26">
        <v>5.7663219866974647E-3</v>
      </c>
      <c r="K26">
        <v>0</v>
      </c>
      <c r="L26">
        <v>-1.418204988174732E-2</v>
      </c>
      <c r="M26">
        <v>0</v>
      </c>
      <c r="N26">
        <v>0</v>
      </c>
      <c r="O26">
        <v>3.6391162412038443E-2</v>
      </c>
      <c r="P26">
        <v>0</v>
      </c>
      <c r="Q26">
        <v>2.5464355002135401E-2</v>
      </c>
      <c r="R26">
        <v>4.9888779947236062E-2</v>
      </c>
      <c r="S26">
        <v>0.12764664182287369</v>
      </c>
      <c r="T26">
        <v>-7.3530736263569207E-2</v>
      </c>
      <c r="U26">
        <v>6.5514384427157513E-2</v>
      </c>
      <c r="V26">
        <v>0.1564055277135066</v>
      </c>
      <c r="W26">
        <v>6.4810127277419527E-2</v>
      </c>
      <c r="X26">
        <v>0.10949586566438251</v>
      </c>
      <c r="Y26">
        <v>8.8206286229815856E-2</v>
      </c>
      <c r="Z26">
        <v>0.57398378615050205</v>
      </c>
    </row>
    <row r="27" spans="1:26" x14ac:dyDescent="0.25">
      <c r="A27" s="1">
        <v>38260</v>
      </c>
      <c r="B27">
        <v>1.03244850193146E-2</v>
      </c>
      <c r="C27">
        <v>-1.7410567394826382E-2</v>
      </c>
      <c r="D27">
        <v>1.950019802532621E-3</v>
      </c>
      <c r="E27">
        <v>-1.599279900092088E-2</v>
      </c>
      <c r="F27">
        <v>1.3241314369333511E-2</v>
      </c>
      <c r="G27">
        <v>-1.2891398323061629E-3</v>
      </c>
      <c r="H27">
        <v>1</v>
      </c>
      <c r="I27">
        <v>-1</v>
      </c>
      <c r="J27">
        <v>1.950019802532621E-3</v>
      </c>
      <c r="K27">
        <v>0</v>
      </c>
      <c r="L27">
        <v>1.599279900092088E-2</v>
      </c>
      <c r="M27">
        <v>0</v>
      </c>
      <c r="N27">
        <v>0</v>
      </c>
      <c r="O27">
        <v>-1.3241314369333511E-2</v>
      </c>
      <c r="P27">
        <v>0</v>
      </c>
      <c r="Q27">
        <v>-1.2891398323061629E-3</v>
      </c>
      <c r="R27">
        <v>5.1936083858590047E-2</v>
      </c>
      <c r="S27">
        <v>0.12764664182287369</v>
      </c>
      <c r="T27">
        <v>-5.8713899548101363E-2</v>
      </c>
      <c r="U27">
        <v>6.5514384427157513E-2</v>
      </c>
      <c r="V27">
        <v>0.1564055277135066</v>
      </c>
      <c r="W27">
        <v>5.0710641638489262E-2</v>
      </c>
      <c r="X27">
        <v>0.10949586566438251</v>
      </c>
      <c r="Y27">
        <v>8.6803436160471037E-2</v>
      </c>
      <c r="Z27">
        <v>0.57739615075231587</v>
      </c>
    </row>
    <row r="28" spans="1:26" x14ac:dyDescent="0.25">
      <c r="A28" s="1">
        <v>38291</v>
      </c>
      <c r="B28">
        <v>1.348644722098624E-2</v>
      </c>
      <c r="C28">
        <v>-2.3802100189840081E-2</v>
      </c>
      <c r="D28">
        <v>1.772201729628009E-2</v>
      </c>
      <c r="E28">
        <v>-1.827167801613405E-3</v>
      </c>
      <c r="F28">
        <v>1.52330510779588E-2</v>
      </c>
      <c r="G28">
        <v>-1.2435035650256941E-2</v>
      </c>
      <c r="H28">
        <v>1</v>
      </c>
      <c r="I28">
        <v>-1</v>
      </c>
      <c r="J28">
        <v>1.772201729628009E-2</v>
      </c>
      <c r="K28">
        <v>0</v>
      </c>
      <c r="L28">
        <v>1.827167801613405E-3</v>
      </c>
      <c r="M28">
        <v>0</v>
      </c>
      <c r="N28">
        <v>0</v>
      </c>
      <c r="O28">
        <v>-1.52330510779588E-2</v>
      </c>
      <c r="P28">
        <v>0</v>
      </c>
      <c r="Q28">
        <v>-1.2435035650256941E-2</v>
      </c>
      <c r="R28">
        <v>7.0578513331313042E-2</v>
      </c>
      <c r="S28">
        <v>0.12764664182287369</v>
      </c>
      <c r="T28">
        <v>-5.6994011893249368E-2</v>
      </c>
      <c r="U28">
        <v>6.5514384427157513E-2</v>
      </c>
      <c r="V28">
        <v>0.1564055277135066</v>
      </c>
      <c r="W28">
        <v>3.4705112766255208E-2</v>
      </c>
      <c r="X28">
        <v>0.10949586566438251</v>
      </c>
      <c r="Y28">
        <v>7.3288996686993846E-2</v>
      </c>
      <c r="Z28">
        <v>0.56927724912199362</v>
      </c>
    </row>
    <row r="29" spans="1:26" x14ac:dyDescent="0.25">
      <c r="A29" s="1">
        <v>38321</v>
      </c>
      <c r="B29">
        <v>4.3948116741355792E-2</v>
      </c>
      <c r="C29">
        <v>4.887771812231112E-2</v>
      </c>
      <c r="D29">
        <v>4.0207474993871886E-3</v>
      </c>
      <c r="E29">
        <v>-1.496759540639603E-2</v>
      </c>
      <c r="F29">
        <v>3.5602415112968133E-2</v>
      </c>
      <c r="G29">
        <v>-1.421030743092333E-2</v>
      </c>
      <c r="H29">
        <v>-1</v>
      </c>
      <c r="I29">
        <v>1</v>
      </c>
      <c r="J29">
        <v>0</v>
      </c>
      <c r="K29">
        <v>-4.0207474993871886E-3</v>
      </c>
      <c r="L29">
        <v>0</v>
      </c>
      <c r="M29">
        <v>-1.496759540639603E-2</v>
      </c>
      <c r="N29">
        <v>3.5602415112968133E-2</v>
      </c>
      <c r="O29">
        <v>0</v>
      </c>
      <c r="P29">
        <v>1.421030743092333E-2</v>
      </c>
      <c r="Q29">
        <v>0</v>
      </c>
      <c r="R29">
        <v>7.0578513331313042E-2</v>
      </c>
      <c r="S29">
        <v>0.123112659407572</v>
      </c>
      <c r="T29">
        <v>-5.6994011893249368E-2</v>
      </c>
      <c r="U29">
        <v>4.9566196221356718E-2</v>
      </c>
      <c r="V29">
        <v>0.19757635735009391</v>
      </c>
      <c r="W29">
        <v>3.4705112766255208E-2</v>
      </c>
      <c r="X29">
        <v>0.12526214300881189</v>
      </c>
      <c r="Y29">
        <v>7.3288996686993846E-2</v>
      </c>
      <c r="Z29">
        <v>0.60010162876010187</v>
      </c>
    </row>
    <row r="30" spans="1:26" x14ac:dyDescent="0.25">
      <c r="A30" s="1">
        <v>38352</v>
      </c>
      <c r="B30">
        <v>2.9930386458228871E-2</v>
      </c>
      <c r="C30">
        <v>-4.0538508246892313E-3</v>
      </c>
      <c r="D30">
        <v>4.0049090344974614E-3</v>
      </c>
      <c r="E30">
        <v>-3.2056275859272398E-3</v>
      </c>
      <c r="F30">
        <v>1.888400187103678E-3</v>
      </c>
      <c r="G30">
        <v>1.4640037231195561E-2</v>
      </c>
      <c r="H30">
        <v>1</v>
      </c>
      <c r="I30">
        <v>-1</v>
      </c>
      <c r="J30">
        <v>4.0049090344974614E-3</v>
      </c>
      <c r="K30">
        <v>0</v>
      </c>
      <c r="L30">
        <v>3.2056275859272398E-3</v>
      </c>
      <c r="M30">
        <v>0</v>
      </c>
      <c r="N30">
        <v>0</v>
      </c>
      <c r="O30">
        <v>-1.888400187103678E-3</v>
      </c>
      <c r="P30">
        <v>0</v>
      </c>
      <c r="Q30">
        <v>1.4640037231195561E-2</v>
      </c>
      <c r="R30">
        <v>7.4866082891492436E-2</v>
      </c>
      <c r="S30">
        <v>0.123112659407572</v>
      </c>
      <c r="T30">
        <v>-5.3971085884079839E-2</v>
      </c>
      <c r="U30">
        <v>4.9566196221356718E-2</v>
      </c>
      <c r="V30">
        <v>0.19757635735009391</v>
      </c>
      <c r="W30">
        <v>3.2751175437710327E-2</v>
      </c>
      <c r="X30">
        <v>0.12526214300881189</v>
      </c>
      <c r="Y30">
        <v>8.9001987558323892E-2</v>
      </c>
      <c r="Z30">
        <v>0.62006380242461845</v>
      </c>
    </row>
    <row r="31" spans="1:26" x14ac:dyDescent="0.25">
      <c r="A31" s="1">
        <v>38383</v>
      </c>
      <c r="B31">
        <v>-2.2288197175619921E-2</v>
      </c>
      <c r="C31">
        <v>-6.78768185779558E-2</v>
      </c>
      <c r="D31">
        <v>1.3748323243456101E-2</v>
      </c>
      <c r="E31">
        <v>3.4879779184630029E-3</v>
      </c>
      <c r="F31">
        <v>-2.0185058515465041E-2</v>
      </c>
      <c r="G31">
        <v>-3.7773946526376001E-5</v>
      </c>
      <c r="H31">
        <v>1</v>
      </c>
      <c r="I31">
        <v>-1</v>
      </c>
      <c r="J31">
        <v>1.3748323243456101E-2</v>
      </c>
      <c r="K31">
        <v>0</v>
      </c>
      <c r="L31">
        <v>-3.4879779184630029E-3</v>
      </c>
      <c r="M31">
        <v>0</v>
      </c>
      <c r="N31">
        <v>0</v>
      </c>
      <c r="O31">
        <v>2.0185058515465041E-2</v>
      </c>
      <c r="P31">
        <v>0</v>
      </c>
      <c r="Q31">
        <v>-3.7773946526376001E-5</v>
      </c>
      <c r="R31">
        <v>8.9643689242512314E-2</v>
      </c>
      <c r="S31">
        <v>0.123112659407572</v>
      </c>
      <c r="T31">
        <v>-5.7270813846743707E-2</v>
      </c>
      <c r="U31">
        <v>4.9566196221356718E-2</v>
      </c>
      <c r="V31">
        <v>0.19757635735009391</v>
      </c>
      <c r="W31">
        <v>5.3597318345835809E-2</v>
      </c>
      <c r="X31">
        <v>0.12526214300881189</v>
      </c>
      <c r="Y31">
        <v>8.8960851655478734E-2</v>
      </c>
      <c r="Z31">
        <v>0.6504714323185502</v>
      </c>
    </row>
    <row r="32" spans="1:26" x14ac:dyDescent="0.25">
      <c r="A32" s="1">
        <v>38411</v>
      </c>
      <c r="B32">
        <v>2.1116813459587939E-2</v>
      </c>
      <c r="C32">
        <v>1.364870411903618E-2</v>
      </c>
      <c r="D32">
        <v>1.7089394377075681E-2</v>
      </c>
      <c r="E32">
        <v>-4.7976565568591534E-3</v>
      </c>
      <c r="F32">
        <v>1.6120946254679192E-2</v>
      </c>
      <c r="G32">
        <v>2.1513567763251199E-2</v>
      </c>
      <c r="H32">
        <v>-1</v>
      </c>
      <c r="I32">
        <v>1</v>
      </c>
      <c r="J32">
        <v>0</v>
      </c>
      <c r="K32">
        <v>-1.7089394377075681E-2</v>
      </c>
      <c r="L32">
        <v>0</v>
      </c>
      <c r="M32">
        <v>-4.7976565568591534E-3</v>
      </c>
      <c r="N32">
        <v>1.6120946254679192E-2</v>
      </c>
      <c r="O32">
        <v>0</v>
      </c>
      <c r="P32">
        <v>-2.1513567763251199E-2</v>
      </c>
      <c r="Q32">
        <v>0</v>
      </c>
      <c r="R32">
        <v>8.9643689242512314E-2</v>
      </c>
      <c r="S32">
        <v>0.1039193442410697</v>
      </c>
      <c r="T32">
        <v>-5.7270813846743707E-2</v>
      </c>
      <c r="U32">
        <v>4.4530738078197629E-2</v>
      </c>
      <c r="V32">
        <v>0.21688242144280909</v>
      </c>
      <c r="W32">
        <v>5.3597318345835809E-2</v>
      </c>
      <c r="X32">
        <v>0.1010537396437705</v>
      </c>
      <c r="Y32">
        <v>8.8960851655478734E-2</v>
      </c>
      <c r="Z32">
        <v>0.62319175987604336</v>
      </c>
    </row>
    <row r="33" spans="1:26" x14ac:dyDescent="0.25">
      <c r="A33" s="1">
        <v>38442</v>
      </c>
      <c r="B33">
        <v>-1.7995857919046569E-2</v>
      </c>
      <c r="C33">
        <v>-2.5688193155753991E-3</v>
      </c>
      <c r="D33">
        <v>-1.00883147917219E-3</v>
      </c>
      <c r="E33">
        <v>1.036332624703085E-2</v>
      </c>
      <c r="F33">
        <v>1.783726461715374E-2</v>
      </c>
      <c r="G33">
        <v>1.260258828898086E-2</v>
      </c>
      <c r="H33">
        <v>1</v>
      </c>
      <c r="I33">
        <v>-1</v>
      </c>
      <c r="J33">
        <v>-1.00883147917219E-3</v>
      </c>
      <c r="K33">
        <v>0</v>
      </c>
      <c r="L33">
        <v>-1.036332624703085E-2</v>
      </c>
      <c r="M33">
        <v>0</v>
      </c>
      <c r="N33">
        <v>0</v>
      </c>
      <c r="O33">
        <v>-1.783726461715374E-2</v>
      </c>
      <c r="P33">
        <v>0</v>
      </c>
      <c r="Q33">
        <v>1.260258828898086E-2</v>
      </c>
      <c r="R33">
        <v>8.8544422387723198E-2</v>
      </c>
      <c r="S33">
        <v>0.1039193442410697</v>
      </c>
      <c r="T33">
        <v>-6.7040623965447743E-2</v>
      </c>
      <c r="U33">
        <v>4.4530738078197629E-2</v>
      </c>
      <c r="V33">
        <v>0.21688242144280909</v>
      </c>
      <c r="W33">
        <v>3.4804024178577642E-2</v>
      </c>
      <c r="X33">
        <v>0.1010537396437705</v>
      </c>
      <c r="Y33">
        <v>0.10268457693171081</v>
      </c>
      <c r="Z33">
        <v>0.60658492582166745</v>
      </c>
    </row>
    <row r="34" spans="1:26" x14ac:dyDescent="0.25">
      <c r="A34" s="1">
        <v>38472</v>
      </c>
      <c r="B34">
        <v>-1.7971466513449719E-2</v>
      </c>
      <c r="C34">
        <v>-3.5319784474897808E-2</v>
      </c>
      <c r="D34">
        <v>-1.98941993260715E-3</v>
      </c>
      <c r="E34">
        <v>1.89679715038551E-2</v>
      </c>
      <c r="F34">
        <v>1.083620154985443E-2</v>
      </c>
      <c r="G34">
        <v>-4.0053845132211876E-3</v>
      </c>
      <c r="H34">
        <v>1</v>
      </c>
      <c r="I34">
        <v>-1</v>
      </c>
      <c r="J34">
        <v>-1.98941993260715E-3</v>
      </c>
      <c r="K34">
        <v>0</v>
      </c>
      <c r="L34">
        <v>-1.89679715038551E-2</v>
      </c>
      <c r="M34">
        <v>0</v>
      </c>
      <c r="N34">
        <v>0</v>
      </c>
      <c r="O34">
        <v>-1.083620154985443E-2</v>
      </c>
      <c r="P34">
        <v>0</v>
      </c>
      <c r="Q34">
        <v>-4.0053845132211876E-3</v>
      </c>
      <c r="R34">
        <v>8.637885041629656E-2</v>
      </c>
      <c r="S34">
        <v>0.1039193442410697</v>
      </c>
      <c r="T34">
        <v>-8.4736970824325519E-2</v>
      </c>
      <c r="U34">
        <v>4.4530738078197629E-2</v>
      </c>
      <c r="V34">
        <v>0.21688242144280909</v>
      </c>
      <c r="W34">
        <v>2.3590679207978079E-2</v>
      </c>
      <c r="X34">
        <v>0.1010537396437705</v>
      </c>
      <c r="Y34">
        <v>9.8267901204300623E-2</v>
      </c>
      <c r="Z34">
        <v>0.57078594832212959</v>
      </c>
    </row>
    <row r="35" spans="1:26" x14ac:dyDescent="0.25">
      <c r="A35" s="1">
        <v>38503</v>
      </c>
      <c r="B35">
        <v>3.2101976359086959E-2</v>
      </c>
      <c r="C35">
        <v>1.4544844357066039E-2</v>
      </c>
      <c r="D35">
        <v>3.0719722516627801E-3</v>
      </c>
      <c r="E35">
        <v>1.6691964979237191E-2</v>
      </c>
      <c r="F35">
        <v>1.156172794261068E-2</v>
      </c>
      <c r="G35">
        <v>-1.1391690400708089E-2</v>
      </c>
      <c r="H35">
        <v>-1</v>
      </c>
      <c r="I35">
        <v>1</v>
      </c>
      <c r="J35">
        <v>0</v>
      </c>
      <c r="K35">
        <v>-3.0719722516627801E-3</v>
      </c>
      <c r="L35">
        <v>0</v>
      </c>
      <c r="M35">
        <v>1.6691964979237191E-2</v>
      </c>
      <c r="N35">
        <v>1.156172794261068E-2</v>
      </c>
      <c r="O35">
        <v>0</v>
      </c>
      <c r="P35">
        <v>1.1391690400708089E-2</v>
      </c>
      <c r="Q35">
        <v>0</v>
      </c>
      <c r="R35">
        <v>8.637885041629656E-2</v>
      </c>
      <c r="S35">
        <v>0.1005281346474873</v>
      </c>
      <c r="T35">
        <v>-8.4736970824325519E-2</v>
      </c>
      <c r="U35">
        <v>6.1966008577935661E-2</v>
      </c>
      <c r="V35">
        <v>0.23095168493767629</v>
      </c>
      <c r="W35">
        <v>2.3590679207978079E-2</v>
      </c>
      <c r="X35">
        <v>0.1135966029603344</v>
      </c>
      <c r="Y35">
        <v>9.8267901204300623E-2</v>
      </c>
      <c r="Z35">
        <v>0.60735935939302277</v>
      </c>
    </row>
    <row r="36" spans="1:26" x14ac:dyDescent="0.25">
      <c r="A36" s="1">
        <v>38533</v>
      </c>
      <c r="B36">
        <v>1.7827154203274851E-3</v>
      </c>
      <c r="C36">
        <v>1.8113407491264999E-2</v>
      </c>
      <c r="D36">
        <v>-1.88511343199812E-2</v>
      </c>
      <c r="E36">
        <v>1.936501161891457E-2</v>
      </c>
      <c r="F36">
        <v>5.477178325563492E-3</v>
      </c>
      <c r="G36">
        <v>1.9607161641917999E-2</v>
      </c>
      <c r="H36">
        <v>-1</v>
      </c>
      <c r="I36">
        <v>1</v>
      </c>
      <c r="J36">
        <v>0</v>
      </c>
      <c r="K36">
        <v>1.88511343199812E-2</v>
      </c>
      <c r="L36">
        <v>0</v>
      </c>
      <c r="M36">
        <v>1.936501161891457E-2</v>
      </c>
      <c r="N36">
        <v>5.477178325563492E-3</v>
      </c>
      <c r="O36">
        <v>0</v>
      </c>
      <c r="P36">
        <v>-1.9607161641917999E-2</v>
      </c>
      <c r="Q36">
        <v>0</v>
      </c>
      <c r="R36">
        <v>8.637885041629656E-2</v>
      </c>
      <c r="S36">
        <v>0.1212743383366455</v>
      </c>
      <c r="T36">
        <v>-8.4736970824325519E-2</v>
      </c>
      <c r="U36">
        <v>8.253099267293984E-2</v>
      </c>
      <c r="V36">
        <v>0.23769382682623269</v>
      </c>
      <c r="W36">
        <v>2.3590679207978079E-2</v>
      </c>
      <c r="X36">
        <v>9.1762134362200154E-2</v>
      </c>
      <c r="Y36">
        <v>9.8267901204300623E-2</v>
      </c>
      <c r="Z36">
        <v>0.63144552201556403</v>
      </c>
    </row>
    <row r="37" spans="1:26" x14ac:dyDescent="0.25">
      <c r="A37" s="1">
        <v>38564</v>
      </c>
      <c r="B37">
        <v>3.7838976572198368E-2</v>
      </c>
      <c r="C37">
        <v>6.5504126604833512E-2</v>
      </c>
      <c r="D37">
        <v>1.671288612384636E-3</v>
      </c>
      <c r="E37">
        <v>-4.617445695672906E-3</v>
      </c>
      <c r="F37">
        <v>1.7941136119030369E-2</v>
      </c>
      <c r="G37">
        <v>-1.8055094463919841E-2</v>
      </c>
      <c r="H37">
        <v>-1</v>
      </c>
      <c r="I37">
        <v>1</v>
      </c>
      <c r="J37">
        <v>0</v>
      </c>
      <c r="K37">
        <v>-1.671288612384636E-3</v>
      </c>
      <c r="L37">
        <v>0</v>
      </c>
      <c r="M37">
        <v>-4.617445695672906E-3</v>
      </c>
      <c r="N37">
        <v>1.7941136119030369E-2</v>
      </c>
      <c r="O37">
        <v>0</v>
      </c>
      <c r="P37">
        <v>1.8055094463919841E-2</v>
      </c>
      <c r="Q37">
        <v>0</v>
      </c>
      <c r="R37">
        <v>8.637885041629656E-2</v>
      </c>
      <c r="S37">
        <v>0.1194003653036244</v>
      </c>
      <c r="T37">
        <v>-8.4736970824325519E-2</v>
      </c>
      <c r="U37">
        <v>7.753246460038965E-2</v>
      </c>
      <c r="V37">
        <v>0.25989946024700572</v>
      </c>
      <c r="W37">
        <v>2.3590679207978079E-2</v>
      </c>
      <c r="X37">
        <v>0.1114740028302406</v>
      </c>
      <c r="Y37">
        <v>9.8267901204300623E-2</v>
      </c>
      <c r="Z37">
        <v>0.6611530182904567</v>
      </c>
    </row>
    <row r="38" spans="1:26" x14ac:dyDescent="0.25">
      <c r="A38" s="1">
        <v>38595</v>
      </c>
      <c r="B38">
        <v>-8.9939369032360217E-3</v>
      </c>
      <c r="C38">
        <v>-2.118687094710792E-2</v>
      </c>
      <c r="D38">
        <v>1.0921336592493169E-3</v>
      </c>
      <c r="E38">
        <v>2.3364596693604241E-2</v>
      </c>
      <c r="F38">
        <v>-6.8975701089103447E-3</v>
      </c>
      <c r="G38">
        <v>-1.192598829289415E-2</v>
      </c>
      <c r="H38">
        <v>1</v>
      </c>
      <c r="I38">
        <v>-1</v>
      </c>
      <c r="J38">
        <v>1.0921336592493169E-3</v>
      </c>
      <c r="K38">
        <v>0</v>
      </c>
      <c r="L38">
        <v>-2.3364596693604241E-2</v>
      </c>
      <c r="M38">
        <v>0</v>
      </c>
      <c r="N38">
        <v>0</v>
      </c>
      <c r="O38">
        <v>6.8975701089103447E-3</v>
      </c>
      <c r="P38">
        <v>0</v>
      </c>
      <c r="Q38">
        <v>-1.192598829289415E-2</v>
      </c>
      <c r="R38">
        <v>8.7565321325532741E-2</v>
      </c>
      <c r="S38">
        <v>0.1194003653036244</v>
      </c>
      <c r="T38">
        <v>-0.1061217223695817</v>
      </c>
      <c r="U38">
        <v>7.753246460038965E-2</v>
      </c>
      <c r="V38">
        <v>0.25989946024700572</v>
      </c>
      <c r="W38">
        <v>3.0650967680642349E-2</v>
      </c>
      <c r="X38">
        <v>0.1114740028302406</v>
      </c>
      <c r="Y38">
        <v>8.51699710720768E-2</v>
      </c>
      <c r="Z38">
        <v>0.63385213707211796</v>
      </c>
    </row>
    <row r="39" spans="1:26" x14ac:dyDescent="0.25">
      <c r="A39" s="1">
        <v>38625</v>
      </c>
      <c r="B39">
        <v>8.2900543077799593E-3</v>
      </c>
      <c r="C39">
        <v>1.892457483269017E-2</v>
      </c>
      <c r="D39">
        <v>1.3952734654649629E-2</v>
      </c>
      <c r="E39">
        <v>-1.1888295164790841E-2</v>
      </c>
      <c r="F39">
        <v>7.5544394877177226E-3</v>
      </c>
      <c r="G39">
        <v>-2.0571278151573339E-2</v>
      </c>
      <c r="H39">
        <v>-1</v>
      </c>
      <c r="I39">
        <v>1</v>
      </c>
      <c r="J39">
        <v>0</v>
      </c>
      <c r="K39">
        <v>-1.3952734654649629E-2</v>
      </c>
      <c r="L39">
        <v>0</v>
      </c>
      <c r="M39">
        <v>-1.1888295164790841E-2</v>
      </c>
      <c r="N39">
        <v>7.5544394877177226E-3</v>
      </c>
      <c r="O39">
        <v>0</v>
      </c>
      <c r="P39">
        <v>2.0571278151573339E-2</v>
      </c>
      <c r="Q39">
        <v>0</v>
      </c>
      <c r="R39">
        <v>8.7565321325532741E-2</v>
      </c>
      <c r="S39">
        <v>0.103781669034225</v>
      </c>
      <c r="T39">
        <v>-0.1061217223695817</v>
      </c>
      <c r="U39">
        <v>6.4722440611575616E-2</v>
      </c>
      <c r="V39">
        <v>0.26941729448005008</v>
      </c>
      <c r="W39">
        <v>3.0650967680642349E-2</v>
      </c>
      <c r="X39">
        <v>0.134338443700704</v>
      </c>
      <c r="Y39">
        <v>8.51699710720768E-2</v>
      </c>
      <c r="Z39">
        <v>0.63613682489196854</v>
      </c>
    </row>
    <row r="40" spans="1:26" x14ac:dyDescent="0.25">
      <c r="A40" s="1">
        <v>38656</v>
      </c>
      <c r="B40">
        <v>-2.2987114502256208E-2</v>
      </c>
      <c r="C40">
        <v>-3.5776976887382912E-2</v>
      </c>
      <c r="D40">
        <v>1.707665192714403E-2</v>
      </c>
      <c r="E40">
        <v>-1.8108334626291689E-2</v>
      </c>
      <c r="F40">
        <v>-2.8104041468304919E-2</v>
      </c>
      <c r="G40">
        <v>8.2813010909510432E-5</v>
      </c>
      <c r="H40">
        <v>1</v>
      </c>
      <c r="I40">
        <v>-1</v>
      </c>
      <c r="J40">
        <v>1.707665192714403E-2</v>
      </c>
      <c r="K40">
        <v>0</v>
      </c>
      <c r="L40">
        <v>1.8108334626291689E-2</v>
      </c>
      <c r="M40">
        <v>0</v>
      </c>
      <c r="N40">
        <v>0</v>
      </c>
      <c r="O40">
        <v>2.8104041468304919E-2</v>
      </c>
      <c r="P40">
        <v>0</v>
      </c>
      <c r="Q40">
        <v>8.2813010909510432E-5</v>
      </c>
      <c r="R40">
        <v>0.10613729576584149</v>
      </c>
      <c r="S40">
        <v>0.103781669034225</v>
      </c>
      <c r="T40">
        <v>-8.9935075403076881E-2</v>
      </c>
      <c r="U40">
        <v>6.4722440611575616E-2</v>
      </c>
      <c r="V40">
        <v>0.26941729448005008</v>
      </c>
      <c r="W40">
        <v>5.9616425215687663E-2</v>
      </c>
      <c r="X40">
        <v>0.134338443700704</v>
      </c>
      <c r="Y40">
        <v>8.5259837264729743E-2</v>
      </c>
      <c r="Z40">
        <v>0.69950866592461869</v>
      </c>
    </row>
    <row r="41" spans="1:26" x14ac:dyDescent="0.25">
      <c r="A41" s="1">
        <v>38686</v>
      </c>
      <c r="B41">
        <v>4.3258851141571457E-2</v>
      </c>
      <c r="C41">
        <v>3.4216184017779483E-2</v>
      </c>
      <c r="D41">
        <v>-2.7207327209122219E-3</v>
      </c>
      <c r="E41">
        <v>-4.4729625454870137E-3</v>
      </c>
      <c r="F41">
        <v>1.7399762933677509E-2</v>
      </c>
      <c r="G41">
        <v>-1.079105471232533E-2</v>
      </c>
      <c r="H41">
        <v>-1</v>
      </c>
      <c r="I41">
        <v>1</v>
      </c>
      <c r="J41">
        <v>0</v>
      </c>
      <c r="K41">
        <v>2.7207327209122219E-3</v>
      </c>
      <c r="L41">
        <v>0</v>
      </c>
      <c r="M41">
        <v>-4.4729625454870137E-3</v>
      </c>
      <c r="N41">
        <v>1.7399762933677509E-2</v>
      </c>
      <c r="O41">
        <v>0</v>
      </c>
      <c r="P41">
        <v>1.079105471232533E-2</v>
      </c>
      <c r="Q41">
        <v>0</v>
      </c>
      <c r="R41">
        <v>0.10613729576584149</v>
      </c>
      <c r="S41">
        <v>0.1067847639379096</v>
      </c>
      <c r="T41">
        <v>-8.9935075403076881E-2</v>
      </c>
      <c r="U41">
        <v>5.9959977013380517E-2</v>
      </c>
      <c r="V41">
        <v>0.2915048544679133</v>
      </c>
      <c r="W41">
        <v>5.9616425215687663E-2</v>
      </c>
      <c r="X41">
        <v>0.1465791519089723</v>
      </c>
      <c r="Y41">
        <v>8.5259837264729743E-2</v>
      </c>
      <c r="Z41">
        <v>0.72594725374604674</v>
      </c>
    </row>
    <row r="42" spans="1:26" x14ac:dyDescent="0.25">
      <c r="A42" s="1">
        <v>38717</v>
      </c>
      <c r="B42">
        <v>-1.6890743788089411E-3</v>
      </c>
      <c r="C42">
        <v>5.2696518473283049E-5</v>
      </c>
      <c r="D42">
        <v>-1.204083254686816E-2</v>
      </c>
      <c r="E42">
        <v>1.9369171439298501E-2</v>
      </c>
      <c r="F42">
        <v>5.4018554441911393E-3</v>
      </c>
      <c r="G42">
        <v>7.3959394856148997E-4</v>
      </c>
      <c r="H42">
        <v>-1</v>
      </c>
      <c r="I42">
        <v>1</v>
      </c>
      <c r="J42">
        <v>0</v>
      </c>
      <c r="K42">
        <v>1.204083254686816E-2</v>
      </c>
      <c r="L42">
        <v>0</v>
      </c>
      <c r="M42">
        <v>1.9369171439298501E-2</v>
      </c>
      <c r="N42">
        <v>5.4018554441911393E-3</v>
      </c>
      <c r="O42">
        <v>0</v>
      </c>
      <c r="P42">
        <v>-7.3959394856148997E-4</v>
      </c>
      <c r="Q42">
        <v>0</v>
      </c>
      <c r="R42">
        <v>0.10613729576584149</v>
      </c>
      <c r="S42">
        <v>0.120111373945911</v>
      </c>
      <c r="T42">
        <v>-8.9935075403076881E-2</v>
      </c>
      <c r="U42">
        <v>8.0490523526947522E-2</v>
      </c>
      <c r="V42">
        <v>0.29848137699721988</v>
      </c>
      <c r="W42">
        <v>5.9616425215687663E-2</v>
      </c>
      <c r="X42">
        <v>0.14573114890667349</v>
      </c>
      <c r="Y42">
        <v>8.5259837264729743E-2</v>
      </c>
      <c r="Z42">
        <v>0.76201951922784306</v>
      </c>
    </row>
    <row r="43" spans="1:26" x14ac:dyDescent="0.25">
      <c r="A43" s="1">
        <v>38748</v>
      </c>
      <c r="B43">
        <v>2.4225635784428271E-2</v>
      </c>
      <c r="C43">
        <v>1.6552200295301019E-2</v>
      </c>
      <c r="D43">
        <v>7.564323560994346E-3</v>
      </c>
      <c r="E43">
        <v>-1.3401687146297751E-2</v>
      </c>
      <c r="F43">
        <v>3.3843959725805783E-2</v>
      </c>
      <c r="G43">
        <v>-1.3005036683254589E-3</v>
      </c>
      <c r="H43">
        <v>-1</v>
      </c>
      <c r="I43">
        <v>1</v>
      </c>
      <c r="J43">
        <v>0</v>
      </c>
      <c r="K43">
        <v>-7.564323560994346E-3</v>
      </c>
      <c r="L43">
        <v>0</v>
      </c>
      <c r="M43">
        <v>-1.3401687146297751E-2</v>
      </c>
      <c r="N43">
        <v>3.3843959725805783E-2</v>
      </c>
      <c r="O43">
        <v>0</v>
      </c>
      <c r="P43">
        <v>1.3005036683254589E-3</v>
      </c>
      <c r="Q43">
        <v>0</v>
      </c>
      <c r="R43">
        <v>0.10613729576584149</v>
      </c>
      <c r="S43">
        <v>0.11163848908903409</v>
      </c>
      <c r="T43">
        <v>-8.9935075403076881E-2</v>
      </c>
      <c r="U43">
        <v>6.601012756610003E-2</v>
      </c>
      <c r="V43">
        <v>0.34242712842502271</v>
      </c>
      <c r="W43">
        <v>5.9616425215687663E-2</v>
      </c>
      <c r="X43">
        <v>0.14722117646874139</v>
      </c>
      <c r="Y43">
        <v>8.5259837264729743E-2</v>
      </c>
      <c r="Z43">
        <v>0.77619797191468221</v>
      </c>
    </row>
    <row r="44" spans="1:26" x14ac:dyDescent="0.25">
      <c r="A44" s="1">
        <v>38776</v>
      </c>
      <c r="B44">
        <v>6.0670813762511164E-3</v>
      </c>
      <c r="C44">
        <v>2.1710154717131669E-3</v>
      </c>
      <c r="D44">
        <v>-8.0279047673980086E-3</v>
      </c>
      <c r="E44">
        <v>-7.4773799335370317E-4</v>
      </c>
      <c r="F44">
        <v>-1.5822520935005139E-2</v>
      </c>
      <c r="G44">
        <v>2.819836527581443E-3</v>
      </c>
      <c r="H44">
        <v>-1</v>
      </c>
      <c r="I44">
        <v>1</v>
      </c>
      <c r="J44">
        <v>0</v>
      </c>
      <c r="K44">
        <v>8.0279047673980086E-3</v>
      </c>
      <c r="L44">
        <v>0</v>
      </c>
      <c r="M44">
        <v>-7.4773799335370317E-4</v>
      </c>
      <c r="N44">
        <v>-1.5822520935005139E-2</v>
      </c>
      <c r="O44">
        <v>0</v>
      </c>
      <c r="P44">
        <v>-2.819836527581443E-3</v>
      </c>
      <c r="Q44">
        <v>0</v>
      </c>
      <c r="R44">
        <v>0.10613729576584149</v>
      </c>
      <c r="S44">
        <v>0.1205626170152152</v>
      </c>
      <c r="T44">
        <v>-8.9935075403076881E-2</v>
      </c>
      <c r="U44">
        <v>6.5213031292419066E-2</v>
      </c>
      <c r="V44">
        <v>0.32118654708179889</v>
      </c>
      <c r="W44">
        <v>5.9616425215687663E-2</v>
      </c>
      <c r="X44">
        <v>0.14398620029011999</v>
      </c>
      <c r="Y44">
        <v>8.5259837264729743E-2</v>
      </c>
      <c r="Z44">
        <v>0.76483578122613993</v>
      </c>
    </row>
    <row r="45" spans="1:26" x14ac:dyDescent="0.25">
      <c r="A45" s="1">
        <v>38807</v>
      </c>
      <c r="B45">
        <v>1.665236528060321E-2</v>
      </c>
      <c r="C45">
        <v>4.238537799130182E-2</v>
      </c>
      <c r="D45">
        <v>1.9124397354870479E-3</v>
      </c>
      <c r="E45">
        <v>-1.8807921199006761E-2</v>
      </c>
      <c r="F45">
        <v>-1.968129565991461E-3</v>
      </c>
      <c r="G45">
        <v>-2.6846877951379411E-2</v>
      </c>
      <c r="H45">
        <v>-1</v>
      </c>
      <c r="I45">
        <v>1</v>
      </c>
      <c r="J45">
        <v>0</v>
      </c>
      <c r="K45">
        <v>-1.9124397354870479E-3</v>
      </c>
      <c r="L45">
        <v>0</v>
      </c>
      <c r="M45">
        <v>-1.8807921199006761E-2</v>
      </c>
      <c r="N45">
        <v>-1.968129565991461E-3</v>
      </c>
      <c r="O45">
        <v>0</v>
      </c>
      <c r="P45">
        <v>2.6846877951379411E-2</v>
      </c>
      <c r="Q45">
        <v>0</v>
      </c>
      <c r="R45">
        <v>0.10613729576584149</v>
      </c>
      <c r="S45">
        <v>0.118419608540334</v>
      </c>
      <c r="T45">
        <v>-8.9935075403076881E-2</v>
      </c>
      <c r="U45">
        <v>4.5178588539716007E-2</v>
      </c>
      <c r="V45">
        <v>0.31858628077629708</v>
      </c>
      <c r="W45">
        <v>5.9616425215687663E-2</v>
      </c>
      <c r="X45">
        <v>0.1746986581873711</v>
      </c>
      <c r="Y45">
        <v>8.5259837264729743E-2</v>
      </c>
      <c r="Z45">
        <v>0.76899416867703407</v>
      </c>
    </row>
    <row r="46" spans="1:26" x14ac:dyDescent="0.25">
      <c r="A46" s="1">
        <v>38837</v>
      </c>
      <c r="B46">
        <v>1.2826743733233229E-2</v>
      </c>
      <c r="C46">
        <v>2.4682523568904321E-2</v>
      </c>
      <c r="D46">
        <v>4.294243958027355E-3</v>
      </c>
      <c r="E46">
        <v>-1.150443276014812E-2</v>
      </c>
      <c r="F46">
        <v>-2.1567917757882031E-3</v>
      </c>
      <c r="G46">
        <v>-1.6723937855271379E-2</v>
      </c>
      <c r="H46">
        <v>-1</v>
      </c>
      <c r="I46">
        <v>1</v>
      </c>
      <c r="J46">
        <v>0</v>
      </c>
      <c r="K46">
        <v>-4.294243958027355E-3</v>
      </c>
      <c r="L46">
        <v>0</v>
      </c>
      <c r="M46">
        <v>-1.150443276014812E-2</v>
      </c>
      <c r="N46">
        <v>-2.1567917757882031E-3</v>
      </c>
      <c r="O46">
        <v>0</v>
      </c>
      <c r="P46">
        <v>1.6723937855271379E-2</v>
      </c>
      <c r="Q46">
        <v>0</v>
      </c>
      <c r="R46">
        <v>0.10613729576584149</v>
      </c>
      <c r="S46">
        <v>0.11361684189382019</v>
      </c>
      <c r="T46">
        <v>-8.9935075403076881E-2</v>
      </c>
      <c r="U46">
        <v>3.3154401745514317E-2</v>
      </c>
      <c r="V46">
        <v>0.31574236473025152</v>
      </c>
      <c r="W46">
        <v>5.9616425215687663E-2</v>
      </c>
      <c r="X46">
        <v>0.19434424554556731</v>
      </c>
      <c r="Y46">
        <v>8.5259837264729743E-2</v>
      </c>
      <c r="Z46">
        <v>0.76776263803834177</v>
      </c>
    </row>
    <row r="47" spans="1:26" x14ac:dyDescent="0.25">
      <c r="A47" s="1">
        <v>38868</v>
      </c>
      <c r="B47">
        <v>-2.9683520871581881E-2</v>
      </c>
      <c r="C47">
        <v>-4.0688705129135361E-2</v>
      </c>
      <c r="D47">
        <v>3.6214577868757258E-3</v>
      </c>
      <c r="E47">
        <v>-9.0139111020108853E-3</v>
      </c>
      <c r="F47">
        <v>8.0688700767590493E-3</v>
      </c>
      <c r="G47">
        <v>-2.693588352437049E-3</v>
      </c>
      <c r="H47">
        <v>1</v>
      </c>
      <c r="I47">
        <v>-1</v>
      </c>
      <c r="J47">
        <v>3.6214577868757258E-3</v>
      </c>
      <c r="K47">
        <v>0</v>
      </c>
      <c r="L47">
        <v>9.0139111020108853E-3</v>
      </c>
      <c r="M47">
        <v>0</v>
      </c>
      <c r="N47">
        <v>0</v>
      </c>
      <c r="O47">
        <v>-8.0688700767590493E-3</v>
      </c>
      <c r="P47">
        <v>0</v>
      </c>
      <c r="Q47">
        <v>-2.693588352437049E-3</v>
      </c>
      <c r="R47">
        <v>0.1101431252889464</v>
      </c>
      <c r="S47">
        <v>0.11361684189382019</v>
      </c>
      <c r="T47">
        <v>-8.1731831075701922E-2</v>
      </c>
      <c r="U47">
        <v>3.3154401745514317E-2</v>
      </c>
      <c r="V47">
        <v>0.31574236473025152</v>
      </c>
      <c r="W47">
        <v>5.1066517949422303E-2</v>
      </c>
      <c r="X47">
        <v>0.19434424554556731</v>
      </c>
      <c r="Y47">
        <v>8.2336594007705877E-2</v>
      </c>
      <c r="Z47">
        <v>0.76963554849803228</v>
      </c>
    </row>
    <row r="48" spans="1:26" x14ac:dyDescent="0.25">
      <c r="A48" s="1">
        <v>38898</v>
      </c>
      <c r="B48">
        <v>3.5474188729718299E-3</v>
      </c>
      <c r="C48">
        <v>-2.366789497670518E-2</v>
      </c>
      <c r="D48">
        <v>1.82768726589051E-2</v>
      </c>
      <c r="E48">
        <v>3.0688168447706721E-3</v>
      </c>
      <c r="F48">
        <v>-1.283862230166344E-2</v>
      </c>
      <c r="G48">
        <v>2.1027477456258992E-2</v>
      </c>
      <c r="H48">
        <v>1</v>
      </c>
      <c r="I48">
        <v>-1</v>
      </c>
      <c r="J48">
        <v>1.82768726589051E-2</v>
      </c>
      <c r="K48">
        <v>0</v>
      </c>
      <c r="L48">
        <v>-3.0688168447706721E-3</v>
      </c>
      <c r="M48">
        <v>0</v>
      </c>
      <c r="N48">
        <v>0</v>
      </c>
      <c r="O48">
        <v>1.283862230166344E-2</v>
      </c>
      <c r="P48">
        <v>0</v>
      </c>
      <c r="Q48">
        <v>2.1027477456258992E-2</v>
      </c>
      <c r="R48">
        <v>0.13043306982301139</v>
      </c>
      <c r="S48">
        <v>0.11361684189382019</v>
      </c>
      <c r="T48">
        <v>-8.4549827900513574E-2</v>
      </c>
      <c r="U48">
        <v>3.3154401745514317E-2</v>
      </c>
      <c r="V48">
        <v>0.31574236473025152</v>
      </c>
      <c r="W48">
        <v>6.4560763987299596E-2</v>
      </c>
      <c r="X48">
        <v>0.19434424554556731</v>
      </c>
      <c r="Y48">
        <v>0.1050954023382871</v>
      </c>
      <c r="Z48">
        <v>0.81870970407008914</v>
      </c>
    </row>
    <row r="49" spans="1:26" x14ac:dyDescent="0.25">
      <c r="A49" s="1">
        <v>38929</v>
      </c>
      <c r="B49">
        <v>5.1087225848435169E-3</v>
      </c>
      <c r="C49">
        <v>-2.323981509848971E-2</v>
      </c>
      <c r="D49">
        <v>1.2968174781978981E-2</v>
      </c>
      <c r="E49">
        <v>6.2251390174834498E-3</v>
      </c>
      <c r="F49">
        <v>-3.3319652039537351E-3</v>
      </c>
      <c r="G49">
        <v>4.5497597311815463E-3</v>
      </c>
      <c r="H49">
        <v>1</v>
      </c>
      <c r="I49">
        <v>-1</v>
      </c>
      <c r="J49">
        <v>1.2968174781978981E-2</v>
      </c>
      <c r="K49">
        <v>0</v>
      </c>
      <c r="L49">
        <v>-6.2251390174834498E-3</v>
      </c>
      <c r="M49">
        <v>0</v>
      </c>
      <c r="N49">
        <v>0</v>
      </c>
      <c r="O49">
        <v>3.3319652039537351E-3</v>
      </c>
      <c r="P49">
        <v>0</v>
      </c>
      <c r="Q49">
        <v>4.5497597311815463E-3</v>
      </c>
      <c r="R49">
        <v>0.14509272345180529</v>
      </c>
      <c r="S49">
        <v>0.11361684189382019</v>
      </c>
      <c r="T49">
        <v>-9.0248632485412039E-2</v>
      </c>
      <c r="U49">
        <v>3.3154401745514317E-2</v>
      </c>
      <c r="V49">
        <v>0.31574236473025152</v>
      </c>
      <c r="W49">
        <v>6.810784341039966E-2</v>
      </c>
      <c r="X49">
        <v>0.19434424554556731</v>
      </c>
      <c r="Y49">
        <v>0.1101233208989596</v>
      </c>
      <c r="Z49">
        <v>0.83333446476971995</v>
      </c>
    </row>
    <row r="50" spans="1:26" x14ac:dyDescent="0.25">
      <c r="A50" s="1">
        <v>38960</v>
      </c>
      <c r="B50">
        <v>2.1800940023598451E-2</v>
      </c>
      <c r="C50">
        <v>-9.2751875466079436E-4</v>
      </c>
      <c r="D50">
        <v>3.929163861501106E-3</v>
      </c>
      <c r="E50">
        <v>1.142850522504957E-2</v>
      </c>
      <c r="F50">
        <v>4.3386896460018137E-4</v>
      </c>
      <c r="G50">
        <v>1.0523787702865991E-2</v>
      </c>
      <c r="H50">
        <v>1</v>
      </c>
      <c r="I50">
        <v>-1</v>
      </c>
      <c r="J50">
        <v>3.929163861501106E-3</v>
      </c>
      <c r="K50">
        <v>0</v>
      </c>
      <c r="L50">
        <v>-1.142850522504957E-2</v>
      </c>
      <c r="M50">
        <v>0</v>
      </c>
      <c r="N50">
        <v>0</v>
      </c>
      <c r="O50">
        <v>-4.3386896460018137E-4</v>
      </c>
      <c r="P50">
        <v>0</v>
      </c>
      <c r="Q50">
        <v>1.0523787702865991E-2</v>
      </c>
      <c r="R50">
        <v>0.1495919803988599</v>
      </c>
      <c r="S50">
        <v>0.11361684189382019</v>
      </c>
      <c r="T50">
        <v>-0.1006457307425485</v>
      </c>
      <c r="U50">
        <v>3.3154401745514317E-2</v>
      </c>
      <c r="V50">
        <v>0.31574236473025152</v>
      </c>
      <c r="W50">
        <v>6.7644424566297934E-2</v>
      </c>
      <c r="X50">
        <v>0.19434424554556731</v>
      </c>
      <c r="Y50">
        <v>0.1218060230521008</v>
      </c>
      <c r="Z50">
        <v>0.8359250421444373</v>
      </c>
    </row>
    <row r="51" spans="1:26" x14ac:dyDescent="0.25">
      <c r="A51" s="1">
        <v>38990</v>
      </c>
      <c r="B51">
        <v>2.687487480405237E-2</v>
      </c>
      <c r="C51">
        <v>-1.1253582413524921E-2</v>
      </c>
      <c r="D51">
        <v>1.598694475574047E-2</v>
      </c>
      <c r="E51">
        <v>-2.9761322181943721E-3</v>
      </c>
      <c r="F51">
        <v>-2.6867775077843441E-3</v>
      </c>
      <c r="G51">
        <v>-4.5474355101589037E-3</v>
      </c>
      <c r="H51">
        <v>1</v>
      </c>
      <c r="I51">
        <v>-1</v>
      </c>
      <c r="J51">
        <v>1.598694475574047E-2</v>
      </c>
      <c r="K51">
        <v>0</v>
      </c>
      <c r="L51">
        <v>2.9761322181943721E-3</v>
      </c>
      <c r="M51">
        <v>0</v>
      </c>
      <c r="N51">
        <v>0</v>
      </c>
      <c r="O51">
        <v>2.6867775077843441E-3</v>
      </c>
      <c r="P51">
        <v>0</v>
      </c>
      <c r="Q51">
        <v>-4.5474355101589037E-3</v>
      </c>
      <c r="R51">
        <v>0.16797044388113891</v>
      </c>
      <c r="S51">
        <v>0.11361684189382019</v>
      </c>
      <c r="T51">
        <v>-9.7969133526240704E-2</v>
      </c>
      <c r="U51">
        <v>3.3154401745514317E-2</v>
      </c>
      <c r="V51">
        <v>0.31574236473025152</v>
      </c>
      <c r="W51">
        <v>7.0512947592533903E-2</v>
      </c>
      <c r="X51">
        <v>0.19434424554556731</v>
      </c>
      <c r="Y51">
        <v>0.1167046825073637</v>
      </c>
      <c r="Z51">
        <v>0.85302746111599759</v>
      </c>
    </row>
    <row r="52" spans="1:26" x14ac:dyDescent="0.25">
      <c r="A52" s="1">
        <v>39021</v>
      </c>
      <c r="B52">
        <v>3.1205403274978009E-2</v>
      </c>
      <c r="C52">
        <v>4.1119927567749848E-2</v>
      </c>
      <c r="D52">
        <v>6.9633436925158332E-3</v>
      </c>
      <c r="E52">
        <v>2.559149992292897E-2</v>
      </c>
      <c r="F52">
        <v>1.072797814551241E-2</v>
      </c>
      <c r="G52">
        <v>-8.7540661284570831E-3</v>
      </c>
      <c r="H52">
        <v>-1</v>
      </c>
      <c r="I52">
        <v>1</v>
      </c>
      <c r="J52">
        <v>0</v>
      </c>
      <c r="K52">
        <v>-6.9633436925158332E-3</v>
      </c>
      <c r="L52">
        <v>0</v>
      </c>
      <c r="M52">
        <v>2.559149992292897E-2</v>
      </c>
      <c r="N52">
        <v>1.072797814551241E-2</v>
      </c>
      <c r="O52">
        <v>0</v>
      </c>
      <c r="P52">
        <v>8.7540661284570831E-3</v>
      </c>
      <c r="Q52">
        <v>0</v>
      </c>
      <c r="R52">
        <v>0.16797044388113891</v>
      </c>
      <c r="S52">
        <v>0.1058623450819396</v>
      </c>
      <c r="T52">
        <v>-9.7969133526240704E-2</v>
      </c>
      <c r="U52">
        <v>5.9594372538158469E-2</v>
      </c>
      <c r="V52">
        <v>0.32985762006420249</v>
      </c>
      <c r="W52">
        <v>7.0512947592533903E-2</v>
      </c>
      <c r="X52">
        <v>0.20479961405121541</v>
      </c>
      <c r="Y52">
        <v>0.1167046825073637</v>
      </c>
      <c r="Z52">
        <v>0.89113766162038022</v>
      </c>
    </row>
    <row r="53" spans="1:26" x14ac:dyDescent="0.25">
      <c r="A53" s="1">
        <v>39051</v>
      </c>
      <c r="B53">
        <v>2.0010373903029729E-2</v>
      </c>
      <c r="C53">
        <v>1.1052622373783129E-2</v>
      </c>
      <c r="D53">
        <v>-6.1346805527151549E-4</v>
      </c>
      <c r="E53">
        <v>1.345395785351E-2</v>
      </c>
      <c r="F53">
        <v>6.0293710798338118E-3</v>
      </c>
      <c r="G53">
        <v>-2.8576824476647111E-3</v>
      </c>
      <c r="H53">
        <v>-1</v>
      </c>
      <c r="I53">
        <v>1</v>
      </c>
      <c r="J53">
        <v>0</v>
      </c>
      <c r="K53">
        <v>6.1346805527151549E-4</v>
      </c>
      <c r="L53">
        <v>0</v>
      </c>
      <c r="M53">
        <v>1.345395785351E-2</v>
      </c>
      <c r="N53">
        <v>6.0293710798338118E-3</v>
      </c>
      <c r="O53">
        <v>0</v>
      </c>
      <c r="P53">
        <v>2.8576824476647111E-3</v>
      </c>
      <c r="Q53">
        <v>0</v>
      </c>
      <c r="R53">
        <v>0.16797044388113891</v>
      </c>
      <c r="S53">
        <v>0.10654075630417489</v>
      </c>
      <c r="T53">
        <v>-9.7969133526240704E-2</v>
      </c>
      <c r="U53">
        <v>7.3850110568103089E-2</v>
      </c>
      <c r="V53">
        <v>0.33787582513891451</v>
      </c>
      <c r="W53">
        <v>7.0512947592533903E-2</v>
      </c>
      <c r="X53">
        <v>0.20824254876124271</v>
      </c>
      <c r="Y53">
        <v>0.1167046825073637</v>
      </c>
      <c r="Z53">
        <v>0.91409214105666026</v>
      </c>
    </row>
    <row r="54" spans="1:26" x14ac:dyDescent="0.25">
      <c r="A54" s="1">
        <v>39082</v>
      </c>
      <c r="B54">
        <v>1.345969957586024E-2</v>
      </c>
      <c r="C54">
        <v>2.5498820849473081E-2</v>
      </c>
      <c r="D54">
        <v>6.8596824570499315E-5</v>
      </c>
      <c r="E54">
        <v>-1.5037552843166661E-2</v>
      </c>
      <c r="F54">
        <v>4.5234769486552917E-3</v>
      </c>
      <c r="G54">
        <v>-3.1439449589116819E-3</v>
      </c>
      <c r="H54">
        <v>-1</v>
      </c>
      <c r="I54">
        <v>1</v>
      </c>
      <c r="J54">
        <v>0</v>
      </c>
      <c r="K54">
        <v>-6.8596824570499315E-5</v>
      </c>
      <c r="L54">
        <v>0</v>
      </c>
      <c r="M54">
        <v>-1.5037552843166661E-2</v>
      </c>
      <c r="N54">
        <v>4.5234769486552917E-3</v>
      </c>
      <c r="O54">
        <v>0</v>
      </c>
      <c r="P54">
        <v>3.1439449589116819E-3</v>
      </c>
      <c r="Q54">
        <v>0</v>
      </c>
      <c r="R54">
        <v>0.16797044388113891</v>
      </c>
      <c r="S54">
        <v>0.10646485112203451</v>
      </c>
      <c r="T54">
        <v>-9.7969133526240704E-2</v>
      </c>
      <c r="U54">
        <v>5.7702032784795021E-2</v>
      </c>
      <c r="V54">
        <v>0.34392767559409337</v>
      </c>
      <c r="W54">
        <v>7.0512947592533903E-2</v>
      </c>
      <c r="X54">
        <v>0.21204119683156319</v>
      </c>
      <c r="Y54">
        <v>0.1167046825073637</v>
      </c>
      <c r="Z54">
        <v>0.90665341329649007</v>
      </c>
    </row>
    <row r="55" spans="1:26" x14ac:dyDescent="0.25">
      <c r="A55" s="1">
        <v>39113</v>
      </c>
      <c r="B55">
        <v>1.517586632438273E-2</v>
      </c>
      <c r="C55">
        <v>2.5643032029647569E-2</v>
      </c>
      <c r="D55">
        <v>-1.2840997359915281E-3</v>
      </c>
      <c r="E55">
        <v>-6.2176033207883563E-4</v>
      </c>
      <c r="F55">
        <v>-3.8445451048537689E-3</v>
      </c>
      <c r="G55">
        <v>1.0628054106722519E-2</v>
      </c>
      <c r="H55">
        <v>-1</v>
      </c>
      <c r="I55">
        <v>1</v>
      </c>
      <c r="J55">
        <v>0</v>
      </c>
      <c r="K55">
        <v>1.2840997359915281E-3</v>
      </c>
      <c r="L55">
        <v>0</v>
      </c>
      <c r="M55">
        <v>-6.2176033207883563E-4</v>
      </c>
      <c r="N55">
        <v>-3.8445451048537689E-3</v>
      </c>
      <c r="O55">
        <v>0</v>
      </c>
      <c r="P55">
        <v>-1.0628054106722519E-2</v>
      </c>
      <c r="Q55">
        <v>0</v>
      </c>
      <c r="R55">
        <v>0.16797044388113891</v>
      </c>
      <c r="S55">
        <v>0.1078856623452442</v>
      </c>
      <c r="T55">
        <v>-9.7969133526240704E-2</v>
      </c>
      <c r="U55">
        <v>5.704439561765029E-2</v>
      </c>
      <c r="V55">
        <v>0.33876088502761048</v>
      </c>
      <c r="W55">
        <v>7.0512947592533903E-2</v>
      </c>
      <c r="X55">
        <v>0.19915955741206079</v>
      </c>
      <c r="Y55">
        <v>0.1167046825073637</v>
      </c>
      <c r="Z55">
        <v>0.89284315348882648</v>
      </c>
    </row>
    <row r="56" spans="1:26" x14ac:dyDescent="0.25">
      <c r="A56" s="1">
        <v>39141</v>
      </c>
      <c r="B56">
        <v>-1.8852743597293831E-2</v>
      </c>
      <c r="C56">
        <v>3.0653318070462681E-3</v>
      </c>
      <c r="D56">
        <v>-3.3609147996006117E-2</v>
      </c>
      <c r="E56">
        <v>2.189132291863027E-2</v>
      </c>
      <c r="F56">
        <v>1.012664026238363E-2</v>
      </c>
      <c r="G56">
        <v>9.8940366338770014E-3</v>
      </c>
      <c r="H56">
        <v>-1</v>
      </c>
      <c r="I56">
        <v>1</v>
      </c>
      <c r="J56">
        <v>0</v>
      </c>
      <c r="K56">
        <v>3.3609147996006117E-2</v>
      </c>
      <c r="L56">
        <v>0</v>
      </c>
      <c r="M56">
        <v>2.189132291863027E-2</v>
      </c>
      <c r="N56">
        <v>1.012664026238363E-2</v>
      </c>
      <c r="O56">
        <v>0</v>
      </c>
      <c r="P56">
        <v>-9.8940366338770014E-3</v>
      </c>
      <c r="Q56">
        <v>0</v>
      </c>
      <c r="R56">
        <v>0.16797044388113891</v>
      </c>
      <c r="S56">
        <v>0.14512075553365891</v>
      </c>
      <c r="T56">
        <v>-9.7969133526240704E-2</v>
      </c>
      <c r="U56">
        <v>8.0184495821444601E-2</v>
      </c>
      <c r="V56">
        <v>0.35231803490763558</v>
      </c>
      <c r="W56">
        <v>7.0512947592533903E-2</v>
      </c>
      <c r="X56">
        <v>0.18729502882116211</v>
      </c>
      <c r="Y56">
        <v>0.1167046825073637</v>
      </c>
      <c r="Z56">
        <v>0.9485762280319695</v>
      </c>
    </row>
    <row r="57" spans="1:26" x14ac:dyDescent="0.25">
      <c r="A57" s="1">
        <v>39172</v>
      </c>
      <c r="B57">
        <v>1.231788248686783E-2</v>
      </c>
      <c r="C57">
        <v>2.184279604679407E-2</v>
      </c>
      <c r="D57">
        <v>-9.0109443413043389E-3</v>
      </c>
      <c r="E57">
        <v>-1.6471992179545421E-2</v>
      </c>
      <c r="F57">
        <v>-9.4872508712976478E-3</v>
      </c>
      <c r="G57">
        <v>6.9389618353838936E-3</v>
      </c>
      <c r="H57">
        <v>-1</v>
      </c>
      <c r="I57">
        <v>1</v>
      </c>
      <c r="J57">
        <v>0</v>
      </c>
      <c r="K57">
        <v>9.0109443413043389E-3</v>
      </c>
      <c r="L57">
        <v>0</v>
      </c>
      <c r="M57">
        <v>-1.6471992179545421E-2</v>
      </c>
      <c r="N57">
        <v>-9.4872508712976478E-3</v>
      </c>
      <c r="O57">
        <v>0</v>
      </c>
      <c r="P57">
        <v>-6.9389618353838936E-3</v>
      </c>
      <c r="Q57">
        <v>0</v>
      </c>
      <c r="R57">
        <v>0.16797044388113891</v>
      </c>
      <c r="S57">
        <v>0.15543937492584509</v>
      </c>
      <c r="T57">
        <v>-9.7969133526240704E-2</v>
      </c>
      <c r="U57">
        <v>6.2391705253807439E-2</v>
      </c>
      <c r="V57">
        <v>0.33948825445268649</v>
      </c>
      <c r="W57">
        <v>7.0512947592533903E-2</v>
      </c>
      <c r="X57">
        <v>0.179056433928831</v>
      </c>
      <c r="Y57">
        <v>0.1167046825073637</v>
      </c>
      <c r="Z57">
        <v>0.92468896748704688</v>
      </c>
    </row>
    <row r="58" spans="1:26" x14ac:dyDescent="0.25">
      <c r="A58" s="1">
        <v>39202</v>
      </c>
      <c r="B58">
        <v>4.3613533769573998E-2</v>
      </c>
      <c r="C58">
        <v>3.6038596832208669E-2</v>
      </c>
      <c r="D58">
        <v>1.6297025820760651E-3</v>
      </c>
      <c r="E58">
        <v>3.2535967729601101E-3</v>
      </c>
      <c r="F58">
        <v>1.7100373633021752E-2</v>
      </c>
      <c r="G58">
        <v>-8.922451398889697E-3</v>
      </c>
      <c r="H58">
        <v>-1</v>
      </c>
      <c r="I58">
        <v>1</v>
      </c>
      <c r="J58">
        <v>0</v>
      </c>
      <c r="K58">
        <v>-1.6297025820760651E-3</v>
      </c>
      <c r="L58">
        <v>0</v>
      </c>
      <c r="M58">
        <v>3.2535967729601101E-3</v>
      </c>
      <c r="N58">
        <v>1.7100373633021752E-2</v>
      </c>
      <c r="O58">
        <v>0</v>
      </c>
      <c r="P58">
        <v>8.922451398889697E-3</v>
      </c>
      <c r="Q58">
        <v>0</v>
      </c>
      <c r="R58">
        <v>0.16797044388113891</v>
      </c>
      <c r="S58">
        <v>0.15355635239309609</v>
      </c>
      <c r="T58">
        <v>-9.7969133526240704E-2</v>
      </c>
      <c r="U58">
        <v>6.5848299477640815E-2</v>
      </c>
      <c r="V58">
        <v>0.36239400408087152</v>
      </c>
      <c r="W58">
        <v>7.0512947592533903E-2</v>
      </c>
      <c r="X58">
        <v>0.18957650765710921</v>
      </c>
      <c r="Y58">
        <v>0.1167046825073637</v>
      </c>
      <c r="Z58">
        <v>0.95233568670984237</v>
      </c>
    </row>
    <row r="59" spans="1:26" x14ac:dyDescent="0.25">
      <c r="A59" s="1">
        <v>39233</v>
      </c>
      <c r="B59">
        <v>3.3651351542437258E-2</v>
      </c>
      <c r="C59">
        <v>4.246404710952123E-2</v>
      </c>
      <c r="D59">
        <v>5.1906235097193276E-3</v>
      </c>
      <c r="E59">
        <v>-9.3090249343031894E-3</v>
      </c>
      <c r="F59">
        <v>1.7821004067593241E-2</v>
      </c>
      <c r="G59">
        <v>4.6855164150956252E-3</v>
      </c>
      <c r="H59">
        <v>-1</v>
      </c>
      <c r="I59">
        <v>1</v>
      </c>
      <c r="J59">
        <v>0</v>
      </c>
      <c r="K59">
        <v>-5.1906235097193276E-3</v>
      </c>
      <c r="L59">
        <v>0</v>
      </c>
      <c r="M59">
        <v>-9.3090249343031894E-3</v>
      </c>
      <c r="N59">
        <v>1.7821004067593241E-2</v>
      </c>
      <c r="O59">
        <v>0</v>
      </c>
      <c r="P59">
        <v>-4.6855164150956252E-3</v>
      </c>
      <c r="Q59">
        <v>0</v>
      </c>
      <c r="R59">
        <v>0.16797044388113891</v>
      </c>
      <c r="S59">
        <v>0.1475686756705783</v>
      </c>
      <c r="T59">
        <v>-9.7969133526240704E-2</v>
      </c>
      <c r="U59">
        <v>5.5926291081618951E-2</v>
      </c>
      <c r="V59">
        <v>0.3866732331692615</v>
      </c>
      <c r="W59">
        <v>7.0512947592533903E-2</v>
      </c>
      <c r="X59">
        <v>0.18400272740346971</v>
      </c>
      <c r="Y59">
        <v>0.1167046825073637</v>
      </c>
      <c r="Z59">
        <v>0.95097152591831746</v>
      </c>
    </row>
    <row r="60" spans="1:26" x14ac:dyDescent="0.25">
      <c r="A60" s="1">
        <v>39263</v>
      </c>
      <c r="B60">
        <v>-1.3866464947871471E-2</v>
      </c>
      <c r="C60">
        <v>2.901919401371611E-2</v>
      </c>
      <c r="D60">
        <v>-1.004140084607219E-2</v>
      </c>
      <c r="E60">
        <v>2.3250798576259672E-2</v>
      </c>
      <c r="F60">
        <v>-2.766687534266643E-2</v>
      </c>
      <c r="G60">
        <v>-2.5360381094025049E-2</v>
      </c>
      <c r="H60">
        <v>-1</v>
      </c>
      <c r="I60">
        <v>1</v>
      </c>
      <c r="J60">
        <v>0</v>
      </c>
      <c r="K60">
        <v>1.004140084607219E-2</v>
      </c>
      <c r="L60">
        <v>0</v>
      </c>
      <c r="M60">
        <v>2.3250798576259672E-2</v>
      </c>
      <c r="N60">
        <v>-2.766687534266643E-2</v>
      </c>
      <c r="O60">
        <v>0</v>
      </c>
      <c r="P60">
        <v>2.5360381094025049E-2</v>
      </c>
      <c r="Q60">
        <v>0</v>
      </c>
      <c r="R60">
        <v>0.16797044388113891</v>
      </c>
      <c r="S60">
        <v>0.15909187274138281</v>
      </c>
      <c r="T60">
        <v>-9.7969133526240704E-2</v>
      </c>
      <c r="U60">
        <v>8.0477420586934523E-2</v>
      </c>
      <c r="V60">
        <v>0.34830831768615522</v>
      </c>
      <c r="W60">
        <v>7.0512947592533903E-2</v>
      </c>
      <c r="X60">
        <v>0.21402948778678679</v>
      </c>
      <c r="Y60">
        <v>0.1167046825073637</v>
      </c>
      <c r="Z60">
        <v>0.98195723109200794</v>
      </c>
    </row>
    <row r="61" spans="1:26" x14ac:dyDescent="0.25">
      <c r="A61" s="1">
        <v>39294</v>
      </c>
      <c r="B61">
        <v>-3.060877707743026E-2</v>
      </c>
      <c r="C61">
        <v>1.1791186635771609E-2</v>
      </c>
      <c r="D61">
        <v>-5.4251414325754199E-2</v>
      </c>
      <c r="E61">
        <v>2.1291386873765861E-2</v>
      </c>
      <c r="F61">
        <v>1.7655425786004649E-2</v>
      </c>
      <c r="G61">
        <v>-1.251005652992432E-2</v>
      </c>
      <c r="H61">
        <v>-1</v>
      </c>
      <c r="I61">
        <v>1</v>
      </c>
      <c r="J61">
        <v>0</v>
      </c>
      <c r="K61">
        <v>5.4251414325754199E-2</v>
      </c>
      <c r="L61">
        <v>0</v>
      </c>
      <c r="M61">
        <v>2.1291386873765861E-2</v>
      </c>
      <c r="N61">
        <v>1.7655425786004649E-2</v>
      </c>
      <c r="O61">
        <v>0</v>
      </c>
      <c r="P61">
        <v>1.251005652992432E-2</v>
      </c>
      <c r="Q61">
        <v>0</v>
      </c>
      <c r="R61">
        <v>0.16797044388113891</v>
      </c>
      <c r="S61">
        <v>0.2219742461710901</v>
      </c>
      <c r="T61">
        <v>-9.7969133526240704E-2</v>
      </c>
      <c r="U61">
        <v>0.1034822833570197</v>
      </c>
      <c r="V61">
        <v>0.3721132751257159</v>
      </c>
      <c r="W61">
        <v>7.0512947592533903E-2</v>
      </c>
      <c r="X61">
        <v>0.2292170653079946</v>
      </c>
      <c r="Y61">
        <v>0.1167046825073637</v>
      </c>
      <c r="Z61">
        <v>1.087665514607457</v>
      </c>
    </row>
    <row r="62" spans="1:26" x14ac:dyDescent="0.25">
      <c r="A62" s="1">
        <v>39325</v>
      </c>
      <c r="B62">
        <v>1.497633234794893E-2</v>
      </c>
      <c r="C62">
        <v>-3.4307729880644899E-3</v>
      </c>
      <c r="D62">
        <v>1.886364730774193E-2</v>
      </c>
      <c r="E62">
        <v>1.8455198294134001E-2</v>
      </c>
      <c r="F62">
        <v>1.454643276347389E-2</v>
      </c>
      <c r="G62">
        <v>-1.081083809569394E-3</v>
      </c>
      <c r="H62">
        <v>1</v>
      </c>
      <c r="I62">
        <v>-1</v>
      </c>
      <c r="J62">
        <v>1.886364730774193E-2</v>
      </c>
      <c r="K62">
        <v>0</v>
      </c>
      <c r="L62">
        <v>-1.8455198294134001E-2</v>
      </c>
      <c r="M62">
        <v>0</v>
      </c>
      <c r="N62">
        <v>0</v>
      </c>
      <c r="O62">
        <v>-1.454643276347389E-2</v>
      </c>
      <c r="P62">
        <v>0</v>
      </c>
      <c r="Q62">
        <v>-1.081083809569394E-3</v>
      </c>
      <c r="R62">
        <v>0.19000262640037929</v>
      </c>
      <c r="S62">
        <v>0.2219742461710901</v>
      </c>
      <c r="T62">
        <v>-0.1146162920344435</v>
      </c>
      <c r="U62">
        <v>0.1034822833570197</v>
      </c>
      <c r="V62">
        <v>0.3721132751257159</v>
      </c>
      <c r="W62">
        <v>5.4940802977951009E-2</v>
      </c>
      <c r="X62">
        <v>0.2292170653079946</v>
      </c>
      <c r="Y62">
        <v>0.1154974311550345</v>
      </c>
      <c r="Z62">
        <v>1.0724464470480219</v>
      </c>
    </row>
    <row r="63" spans="1:26" x14ac:dyDescent="0.25">
      <c r="A63" s="1">
        <v>39355</v>
      </c>
      <c r="B63">
        <v>3.8795570319487098E-2</v>
      </c>
      <c r="C63">
        <v>3.6669591256518592E-2</v>
      </c>
      <c r="D63">
        <v>5.8887475977650316E-3</v>
      </c>
      <c r="E63">
        <v>6.5926226221184603E-3</v>
      </c>
      <c r="F63">
        <v>-1.208027114359189E-2</v>
      </c>
      <c r="G63">
        <v>2.781749946867218E-2</v>
      </c>
      <c r="H63">
        <v>-1</v>
      </c>
      <c r="I63">
        <v>1</v>
      </c>
      <c r="J63">
        <v>0</v>
      </c>
      <c r="K63">
        <v>-5.8887475977650316E-3</v>
      </c>
      <c r="L63">
        <v>0</v>
      </c>
      <c r="M63">
        <v>6.5926226221184603E-3</v>
      </c>
      <c r="N63">
        <v>-1.208027114359189E-2</v>
      </c>
      <c r="O63">
        <v>0</v>
      </c>
      <c r="P63">
        <v>-2.781749946867218E-2</v>
      </c>
      <c r="Q63">
        <v>0</v>
      </c>
      <c r="R63">
        <v>0.19000262640037929</v>
      </c>
      <c r="S63">
        <v>0.21477834826441919</v>
      </c>
      <c r="T63">
        <v>-0.1146162920344435</v>
      </c>
      <c r="U63">
        <v>0.110757125621386</v>
      </c>
      <c r="V63">
        <v>0.35553777472247527</v>
      </c>
      <c r="W63">
        <v>5.4940802977951009E-2</v>
      </c>
      <c r="X63">
        <v>0.1950233202469065</v>
      </c>
      <c r="Y63">
        <v>0.1154974311550345</v>
      </c>
      <c r="Z63">
        <v>1.033252551460111</v>
      </c>
    </row>
    <row r="64" spans="1:26" x14ac:dyDescent="0.25">
      <c r="A64" s="1">
        <v>39386</v>
      </c>
      <c r="B64">
        <v>1.433131807542354E-2</v>
      </c>
      <c r="C64">
        <v>-4.2214439566361062E-2</v>
      </c>
      <c r="D64">
        <v>3.2936703641610721E-2</v>
      </c>
      <c r="E64">
        <v>-5.2362975777596743E-3</v>
      </c>
      <c r="F64">
        <v>2.1342488457323561E-2</v>
      </c>
      <c r="G64">
        <v>-9.8499161444087768E-4</v>
      </c>
      <c r="H64">
        <v>1</v>
      </c>
      <c r="I64">
        <v>-1</v>
      </c>
      <c r="J64">
        <v>3.2936703641610721E-2</v>
      </c>
      <c r="K64">
        <v>0</v>
      </c>
      <c r="L64">
        <v>5.2362975777596743E-3</v>
      </c>
      <c r="M64">
        <v>0</v>
      </c>
      <c r="N64">
        <v>0</v>
      </c>
      <c r="O64">
        <v>-2.1342488457323561E-2</v>
      </c>
      <c r="P64">
        <v>0</v>
      </c>
      <c r="Q64">
        <v>-9.8499161444087768E-4</v>
      </c>
      <c r="R64">
        <v>0.22919739023886709</v>
      </c>
      <c r="S64">
        <v>0.21477834826441919</v>
      </c>
      <c r="T64">
        <v>-0.1099801594690355</v>
      </c>
      <c r="U64">
        <v>0.110757125621386</v>
      </c>
      <c r="V64">
        <v>0.35553777472247527</v>
      </c>
      <c r="W64">
        <v>3.2425741067234393E-2</v>
      </c>
      <c r="X64">
        <v>0.1950233202469065</v>
      </c>
      <c r="Y64">
        <v>0.11439867553941641</v>
      </c>
      <c r="Z64">
        <v>1.049098072607717</v>
      </c>
    </row>
    <row r="65" spans="1:26" x14ac:dyDescent="0.25">
      <c r="A65" s="1">
        <v>39416</v>
      </c>
      <c r="B65">
        <v>-3.6660302605505242E-2</v>
      </c>
      <c r="C65">
        <v>-0.12822678274616461</v>
      </c>
      <c r="D65">
        <v>4.9101805912020069E-2</v>
      </c>
      <c r="E65">
        <v>1.0216967956825579E-2</v>
      </c>
      <c r="F65">
        <v>-4.3781167709221469E-2</v>
      </c>
      <c r="G65">
        <v>1.2681475110837609E-2</v>
      </c>
      <c r="H65">
        <v>1</v>
      </c>
      <c r="I65">
        <v>-1</v>
      </c>
      <c r="J65">
        <v>4.9101805912020069E-2</v>
      </c>
      <c r="K65">
        <v>0</v>
      </c>
      <c r="L65">
        <v>-1.0216967956825579E-2</v>
      </c>
      <c r="M65">
        <v>0</v>
      </c>
      <c r="N65">
        <v>0</v>
      </c>
      <c r="O65">
        <v>4.3781167709221469E-2</v>
      </c>
      <c r="P65">
        <v>0</v>
      </c>
      <c r="Q65">
        <v>1.2681475110837609E-2</v>
      </c>
      <c r="R65">
        <v>0.28955320192193762</v>
      </c>
      <c r="S65">
        <v>0.21477834826441919</v>
      </c>
      <c r="T65">
        <v>-0.1190734636606794</v>
      </c>
      <c r="U65">
        <v>0.110757125621386</v>
      </c>
      <c r="V65">
        <v>0.35553777472247527</v>
      </c>
      <c r="W65">
        <v>7.7626545584216222E-2</v>
      </c>
      <c r="X65">
        <v>0.1950233202469065</v>
      </c>
      <c r="Y65">
        <v>0.12853089460681999</v>
      </c>
      <c r="Z65">
        <v>1.1444455533829709</v>
      </c>
    </row>
    <row r="66" spans="1:26" x14ac:dyDescent="0.25">
      <c r="A66" s="1">
        <v>39447</v>
      </c>
      <c r="B66">
        <v>-1.0096938640896891E-2</v>
      </c>
      <c r="C66">
        <v>2.7156880527242969E-2</v>
      </c>
      <c r="D66">
        <v>-1.290665475680597E-2</v>
      </c>
      <c r="E66">
        <v>1.909241937197537E-2</v>
      </c>
      <c r="F66">
        <v>1.5324372277929601E-2</v>
      </c>
      <c r="G66">
        <v>-2.4065107831023891E-2</v>
      </c>
      <c r="H66">
        <v>-1</v>
      </c>
      <c r="I66">
        <v>1</v>
      </c>
      <c r="J66">
        <v>0</v>
      </c>
      <c r="K66">
        <v>1.290665475680597E-2</v>
      </c>
      <c r="L66">
        <v>0</v>
      </c>
      <c r="M66">
        <v>1.909241937197537E-2</v>
      </c>
      <c r="N66">
        <v>1.5324372277929601E-2</v>
      </c>
      <c r="O66">
        <v>0</v>
      </c>
      <c r="P66">
        <v>2.4065107831023891E-2</v>
      </c>
      <c r="Q66">
        <v>0</v>
      </c>
      <c r="R66">
        <v>0.28955320192193762</v>
      </c>
      <c r="S66">
        <v>0.23045707301151119</v>
      </c>
      <c r="T66">
        <v>-0.1190734636606794</v>
      </c>
      <c r="U66">
        <v>0.13196416648415951</v>
      </c>
      <c r="V66">
        <v>0.37631054021911892</v>
      </c>
      <c r="W66">
        <v>7.7626545584216222E-2</v>
      </c>
      <c r="X66">
        <v>0.2237816853092367</v>
      </c>
      <c r="Y66">
        <v>0.12853089460681999</v>
      </c>
      <c r="Z66">
        <v>1.215834107620706</v>
      </c>
    </row>
    <row r="67" spans="1:26" x14ac:dyDescent="0.25">
      <c r="A67" s="1">
        <v>39478</v>
      </c>
      <c r="B67">
        <v>-6.0254864694886827E-2</v>
      </c>
      <c r="C67">
        <v>-0.1214519786103663</v>
      </c>
      <c r="D67">
        <v>2.636316413619855E-2</v>
      </c>
      <c r="E67">
        <v>-1.31722158344888E-2</v>
      </c>
      <c r="F67">
        <v>-5.0741369794192533E-2</v>
      </c>
      <c r="G67">
        <v>1.6424573136379791E-2</v>
      </c>
      <c r="H67">
        <v>1</v>
      </c>
      <c r="I67">
        <v>-1</v>
      </c>
      <c r="J67">
        <v>2.636316413619855E-2</v>
      </c>
      <c r="K67">
        <v>0</v>
      </c>
      <c r="L67">
        <v>1.31722158344888E-2</v>
      </c>
      <c r="M67">
        <v>0</v>
      </c>
      <c r="N67">
        <v>0</v>
      </c>
      <c r="O67">
        <v>5.0741369794192533E-2</v>
      </c>
      <c r="P67">
        <v>0</v>
      </c>
      <c r="Q67">
        <v>1.6424573136379791E-2</v>
      </c>
      <c r="R67">
        <v>0.32354990464656602</v>
      </c>
      <c r="S67">
        <v>0.23045707301151119</v>
      </c>
      <c r="T67">
        <v>-0.10746970918968921</v>
      </c>
      <c r="U67">
        <v>0.13196416648415951</v>
      </c>
      <c r="V67">
        <v>0.37631054021911892</v>
      </c>
      <c r="W67">
        <v>0.13230679263374309</v>
      </c>
      <c r="X67">
        <v>0.2237816853092367</v>
      </c>
      <c r="Y67">
        <v>0.14706653282195381</v>
      </c>
      <c r="Z67">
        <v>1.322535430521965</v>
      </c>
    </row>
    <row r="68" spans="1:26" x14ac:dyDescent="0.25">
      <c r="A68" s="1">
        <v>39507</v>
      </c>
      <c r="B68">
        <v>-2.4918234330132741E-2</v>
      </c>
      <c r="C68">
        <v>1.5557107980596171E-2</v>
      </c>
      <c r="D68">
        <v>-1.29537603214519E-2</v>
      </c>
      <c r="E68">
        <v>2.4057769985869171E-2</v>
      </c>
      <c r="F68">
        <v>-2.4732823631616552E-2</v>
      </c>
      <c r="G68">
        <v>-2.123970153534149E-2</v>
      </c>
      <c r="H68">
        <v>-1</v>
      </c>
      <c r="I68">
        <v>1</v>
      </c>
      <c r="J68">
        <v>0</v>
      </c>
      <c r="K68">
        <v>1.29537603214519E-2</v>
      </c>
      <c r="L68">
        <v>0</v>
      </c>
      <c r="M68">
        <v>2.4057769985869171E-2</v>
      </c>
      <c r="N68">
        <v>-2.4732823631616552E-2</v>
      </c>
      <c r="O68">
        <v>0</v>
      </c>
      <c r="P68">
        <v>2.123970153534149E-2</v>
      </c>
      <c r="Q68">
        <v>0</v>
      </c>
      <c r="R68">
        <v>0.32354990464656602</v>
      </c>
      <c r="S68">
        <v>0.24639611902113739</v>
      </c>
      <c r="T68">
        <v>-0.10746970918968921</v>
      </c>
      <c r="U68">
        <v>0.15919670003368161</v>
      </c>
      <c r="V68">
        <v>0.34227049436554441</v>
      </c>
      <c r="W68">
        <v>0.13230679263374309</v>
      </c>
      <c r="X68">
        <v>0.24977444304962201</v>
      </c>
      <c r="Y68">
        <v>0.14706653282195381</v>
      </c>
      <c r="Z68">
        <v>1.356053838733011</v>
      </c>
    </row>
    <row r="69" spans="1:26" x14ac:dyDescent="0.25">
      <c r="A69" s="1">
        <v>39538</v>
      </c>
      <c r="B69">
        <v>-6.0931616615653716E-3</v>
      </c>
      <c r="C69">
        <v>-1.531203892204513E-3</v>
      </c>
      <c r="D69">
        <v>-2.049127284296581E-2</v>
      </c>
      <c r="E69">
        <v>6.2675457999420434E-3</v>
      </c>
      <c r="F69">
        <v>-3.0893888869266809E-2</v>
      </c>
      <c r="G69">
        <v>-1.761487234657055E-2</v>
      </c>
      <c r="H69">
        <v>1</v>
      </c>
      <c r="I69">
        <v>-1</v>
      </c>
      <c r="J69">
        <v>-2.049127284296581E-2</v>
      </c>
      <c r="K69">
        <v>0</v>
      </c>
      <c r="L69">
        <v>-6.2675457999420434E-3</v>
      </c>
      <c r="M69">
        <v>0</v>
      </c>
      <c r="N69">
        <v>0</v>
      </c>
      <c r="O69">
        <v>3.0893888869266809E-2</v>
      </c>
      <c r="P69">
        <v>0</v>
      </c>
      <c r="Q69">
        <v>-1.761487234657055E-2</v>
      </c>
      <c r="R69">
        <v>0.29642868242917181</v>
      </c>
      <c r="S69">
        <v>0.24639611902113739</v>
      </c>
      <c r="T69">
        <v>-0.1130636836651784</v>
      </c>
      <c r="U69">
        <v>0.15919670003368161</v>
      </c>
      <c r="V69">
        <v>0.34227049436554441</v>
      </c>
      <c r="W69">
        <v>0.16728815285128601</v>
      </c>
      <c r="X69">
        <v>0.24977444304962201</v>
      </c>
      <c r="Y69">
        <v>0.12686110227327169</v>
      </c>
      <c r="Z69">
        <v>1.3425740366128001</v>
      </c>
    </row>
    <row r="70" spans="1:26" x14ac:dyDescent="0.25">
      <c r="A70" s="1">
        <v>39568</v>
      </c>
      <c r="B70">
        <v>4.7900840108866423E-2</v>
      </c>
      <c r="C70">
        <v>7.4328877703117358E-2</v>
      </c>
      <c r="D70">
        <v>-2.0072978126874919E-3</v>
      </c>
      <c r="E70">
        <v>-2.2076720327879329E-4</v>
      </c>
      <c r="F70">
        <v>3.7722521143646708E-2</v>
      </c>
      <c r="G70">
        <v>-8.0509931229577614E-3</v>
      </c>
      <c r="H70">
        <v>-1</v>
      </c>
      <c r="I70">
        <v>1</v>
      </c>
      <c r="J70">
        <v>0</v>
      </c>
      <c r="K70">
        <v>2.0072978126874919E-3</v>
      </c>
      <c r="L70">
        <v>0</v>
      </c>
      <c r="M70">
        <v>-2.2076720327879329E-4</v>
      </c>
      <c r="N70">
        <v>3.7722521143646708E-2</v>
      </c>
      <c r="O70">
        <v>0</v>
      </c>
      <c r="P70">
        <v>8.0509931229577614E-3</v>
      </c>
      <c r="Q70">
        <v>0</v>
      </c>
      <c r="R70">
        <v>0.29642868242917181</v>
      </c>
      <c r="S70">
        <v>0.24889800722459079</v>
      </c>
      <c r="T70">
        <v>-0.1130636836651784</v>
      </c>
      <c r="U70">
        <v>0.1589407874201649</v>
      </c>
      <c r="V70">
        <v>0.39290432146974191</v>
      </c>
      <c r="W70">
        <v>0.16728815285128601</v>
      </c>
      <c r="X70">
        <v>0.25983636849586289</v>
      </c>
      <c r="Y70">
        <v>0.12686110227327169</v>
      </c>
      <c r="Z70">
        <v>1.390134081488813</v>
      </c>
    </row>
    <row r="71" spans="1:26" x14ac:dyDescent="0.25">
      <c r="A71" s="1">
        <v>39599</v>
      </c>
      <c r="B71">
        <v>1.5901057766588681E-2</v>
      </c>
      <c r="C71">
        <v>1.271174465287794E-2</v>
      </c>
      <c r="D71">
        <v>6.2910893337727591E-3</v>
      </c>
      <c r="E71">
        <v>-2.3669976291192611E-2</v>
      </c>
      <c r="F71">
        <v>9.4961644936036871E-3</v>
      </c>
      <c r="G71">
        <v>-1.54611723436433E-2</v>
      </c>
      <c r="H71">
        <v>-1</v>
      </c>
      <c r="I71">
        <v>1</v>
      </c>
      <c r="J71">
        <v>0</v>
      </c>
      <c r="K71">
        <v>-6.2910893337727591E-3</v>
      </c>
      <c r="L71">
        <v>0</v>
      </c>
      <c r="M71">
        <v>-2.3669976291192611E-2</v>
      </c>
      <c r="N71">
        <v>9.4961644936036871E-3</v>
      </c>
      <c r="O71">
        <v>0</v>
      </c>
      <c r="P71">
        <v>1.54611723436433E-2</v>
      </c>
      <c r="Q71">
        <v>0</v>
      </c>
      <c r="R71">
        <v>0.29642868242917181</v>
      </c>
      <c r="S71">
        <v>0.24104107829237001</v>
      </c>
      <c r="T71">
        <v>-0.1130636836651784</v>
      </c>
      <c r="U71">
        <v>0.1315086864590336</v>
      </c>
      <c r="V71">
        <v>0.40613157003026989</v>
      </c>
      <c r="W71">
        <v>0.16728815285128601</v>
      </c>
      <c r="X71">
        <v>0.27931491571396722</v>
      </c>
      <c r="Y71">
        <v>0.12686110227327169</v>
      </c>
      <c r="Z71">
        <v>1.3851303527010941</v>
      </c>
    </row>
    <row r="72" spans="1:26" x14ac:dyDescent="0.25">
      <c r="A72" s="1">
        <v>39629</v>
      </c>
      <c r="B72">
        <v>-8.5672809422014717E-2</v>
      </c>
      <c r="C72">
        <v>-5.7072858104435187E-2</v>
      </c>
      <c r="D72">
        <v>-2.7330640258473201E-2</v>
      </c>
      <c r="E72">
        <v>2.7895691103313251E-2</v>
      </c>
      <c r="F72">
        <v>-2.8566679661084948E-2</v>
      </c>
      <c r="G72">
        <v>9.1046617721622924E-3</v>
      </c>
      <c r="H72">
        <v>1</v>
      </c>
      <c r="I72">
        <v>-1</v>
      </c>
      <c r="J72">
        <v>-2.7330640258473201E-2</v>
      </c>
      <c r="K72">
        <v>0</v>
      </c>
      <c r="L72">
        <v>-2.7895691103313251E-2</v>
      </c>
      <c r="M72">
        <v>0</v>
      </c>
      <c r="N72">
        <v>0</v>
      </c>
      <c r="O72">
        <v>2.8566679661084948E-2</v>
      </c>
      <c r="P72">
        <v>0</v>
      </c>
      <c r="Q72">
        <v>9.1046617721622924E-3</v>
      </c>
      <c r="R72">
        <v>0.26099645648893349</v>
      </c>
      <c r="S72">
        <v>0.24104107829237001</v>
      </c>
      <c r="T72">
        <v>-0.13780538517396509</v>
      </c>
      <c r="U72">
        <v>0.1315086864590336</v>
      </c>
      <c r="V72">
        <v>0.40613157003026989</v>
      </c>
      <c r="W72">
        <v>0.20063369958596811</v>
      </c>
      <c r="X72">
        <v>0.27931491571396722</v>
      </c>
      <c r="Y72">
        <v>0.13712079147367581</v>
      </c>
      <c r="Z72">
        <v>1.3675753627725551</v>
      </c>
    </row>
    <row r="73" spans="1:26" x14ac:dyDescent="0.25">
      <c r="A73" s="1">
        <v>39660</v>
      </c>
      <c r="B73">
        <v>-7.0170660634690796E-3</v>
      </c>
      <c r="C73">
        <v>1.5061720540032519E-2</v>
      </c>
      <c r="D73">
        <v>-4.3003671558028422E-3</v>
      </c>
      <c r="E73">
        <v>1.4711852013012731E-2</v>
      </c>
      <c r="F73">
        <v>-5.4367531680324932E-3</v>
      </c>
      <c r="G73">
        <v>1.174153260748223E-2</v>
      </c>
      <c r="H73">
        <v>-1</v>
      </c>
      <c r="I73">
        <v>1</v>
      </c>
      <c r="J73">
        <v>0</v>
      </c>
      <c r="K73">
        <v>4.3003671558028422E-3</v>
      </c>
      <c r="L73">
        <v>0</v>
      </c>
      <c r="M73">
        <v>1.4711852013012731E-2</v>
      </c>
      <c r="N73">
        <v>-5.4367531680324932E-3</v>
      </c>
      <c r="O73">
        <v>0</v>
      </c>
      <c r="P73">
        <v>-1.174153260748223E-2</v>
      </c>
      <c r="Q73">
        <v>0</v>
      </c>
      <c r="R73">
        <v>0.26099645648893349</v>
      </c>
      <c r="S73">
        <v>0.2463780105844606</v>
      </c>
      <c r="T73">
        <v>-0.13780538517396509</v>
      </c>
      <c r="U73">
        <v>0.14815527480565741</v>
      </c>
      <c r="V73">
        <v>0.39848677976223729</v>
      </c>
      <c r="W73">
        <v>0.20063369958596811</v>
      </c>
      <c r="X73">
        <v>0.26429379791587332</v>
      </c>
      <c r="Y73">
        <v>0.13712079147367581</v>
      </c>
      <c r="Z73">
        <v>1.3694092961658559</v>
      </c>
    </row>
    <row r="74" spans="1:26" x14ac:dyDescent="0.25">
      <c r="A74" s="1">
        <v>39691</v>
      </c>
      <c r="B74">
        <v>1.6869453812236031E-2</v>
      </c>
      <c r="C74">
        <v>-1.122963447815184E-2</v>
      </c>
      <c r="D74">
        <v>8.2110609921641764E-3</v>
      </c>
      <c r="E74">
        <v>7.5481242788517644E-3</v>
      </c>
      <c r="F74">
        <v>1.9543243918804798E-3</v>
      </c>
      <c r="G74">
        <v>4.6741205325983026E-3</v>
      </c>
      <c r="H74">
        <v>1</v>
      </c>
      <c r="I74">
        <v>-1</v>
      </c>
      <c r="J74">
        <v>8.2110609921641764E-3</v>
      </c>
      <c r="K74">
        <v>0</v>
      </c>
      <c r="L74">
        <v>-7.5481242788517644E-3</v>
      </c>
      <c r="M74">
        <v>0</v>
      </c>
      <c r="N74">
        <v>0</v>
      </c>
      <c r="O74">
        <v>-1.9543243918804798E-3</v>
      </c>
      <c r="P74">
        <v>0</v>
      </c>
      <c r="Q74">
        <v>4.6741205325983026E-3</v>
      </c>
      <c r="R74">
        <v>0.27135057530406731</v>
      </c>
      <c r="S74">
        <v>0.2463780105844606</v>
      </c>
      <c r="T74">
        <v>-0.14431333727922879</v>
      </c>
      <c r="U74">
        <v>0.14815527480565741</v>
      </c>
      <c r="V74">
        <v>0.39848677976223729</v>
      </c>
      <c r="W74">
        <v>0.19828727186115369</v>
      </c>
      <c r="X74">
        <v>0.26429379791587332</v>
      </c>
      <c r="Y74">
        <v>0.1424358311131475</v>
      </c>
      <c r="Z74">
        <v>1.3727920290198861</v>
      </c>
    </row>
    <row r="75" spans="1:26" x14ac:dyDescent="0.25">
      <c r="A75" s="1">
        <v>39721</v>
      </c>
      <c r="B75">
        <v>-8.9363831366758406E-2</v>
      </c>
      <c r="C75">
        <v>-5.5285750775666331E-2</v>
      </c>
      <c r="D75">
        <v>-4.038158191110619E-2</v>
      </c>
      <c r="E75">
        <v>1.050571440401993E-2</v>
      </c>
      <c r="F75">
        <v>-1.337687681556443E-2</v>
      </c>
      <c r="G75">
        <v>2.5229236092793369E-2</v>
      </c>
      <c r="H75">
        <v>1</v>
      </c>
      <c r="I75">
        <v>-1</v>
      </c>
      <c r="J75">
        <v>-4.038158191110619E-2</v>
      </c>
      <c r="K75">
        <v>0</v>
      </c>
      <c r="L75">
        <v>-1.050571440401993E-2</v>
      </c>
      <c r="M75">
        <v>0</v>
      </c>
      <c r="N75">
        <v>0</v>
      </c>
      <c r="O75">
        <v>1.337687681556443E-2</v>
      </c>
      <c r="P75">
        <v>0</v>
      </c>
      <c r="Q75">
        <v>2.5229236092793369E-2</v>
      </c>
      <c r="R75">
        <v>0.22001142790969411</v>
      </c>
      <c r="S75">
        <v>0.2463780105844606</v>
      </c>
      <c r="T75">
        <v>-0.15330293697710209</v>
      </c>
      <c r="U75">
        <v>0.14815527480565741</v>
      </c>
      <c r="V75">
        <v>0.39848677976223729</v>
      </c>
      <c r="W75">
        <v>0.2143166130864991</v>
      </c>
      <c r="X75">
        <v>0.26429379791587332</v>
      </c>
      <c r="Y75">
        <v>0.17125861441716769</v>
      </c>
      <c r="Z75">
        <v>1.3605108456131181</v>
      </c>
    </row>
    <row r="76" spans="1:26" x14ac:dyDescent="0.25">
      <c r="A76" s="1">
        <v>39752</v>
      </c>
      <c r="B76">
        <v>-0.14570367895034189</v>
      </c>
      <c r="C76">
        <v>-0.17261946086373789</v>
      </c>
      <c r="D76">
        <v>2.061484033758143E-2</v>
      </c>
      <c r="E76">
        <v>-2.3835308083160811E-2</v>
      </c>
      <c r="F76">
        <v>-0.1448906923986476</v>
      </c>
      <c r="G76">
        <v>4.457156783547378E-2</v>
      </c>
      <c r="H76">
        <v>1</v>
      </c>
      <c r="I76">
        <v>-1</v>
      </c>
      <c r="J76">
        <v>2.061484033758143E-2</v>
      </c>
      <c r="K76">
        <v>0</v>
      </c>
      <c r="L76">
        <v>2.3835308083160811E-2</v>
      </c>
      <c r="M76">
        <v>0</v>
      </c>
      <c r="N76">
        <v>0</v>
      </c>
      <c r="O76">
        <v>0.1448906923986476</v>
      </c>
      <c r="P76">
        <v>0</v>
      </c>
      <c r="Q76">
        <v>4.457156783547378E-2</v>
      </c>
      <c r="R76">
        <v>0.245161768706077</v>
      </c>
      <c r="S76">
        <v>0.2463780105844606</v>
      </c>
      <c r="T76">
        <v>-0.13312165162684389</v>
      </c>
      <c r="U76">
        <v>0.14815527480565741</v>
      </c>
      <c r="V76">
        <v>0.39848677976223729</v>
      </c>
      <c r="W76">
        <v>0.39025978794778249</v>
      </c>
      <c r="X76">
        <v>0.26429379791587332</v>
      </c>
      <c r="Y76">
        <v>0.22346344720254541</v>
      </c>
      <c r="Z76">
        <v>1.594423254267981</v>
      </c>
    </row>
    <row r="77" spans="1:26" x14ac:dyDescent="0.25">
      <c r="A77" s="1">
        <v>39782</v>
      </c>
      <c r="B77">
        <v>-5.3974885433300757E-2</v>
      </c>
      <c r="C77">
        <v>-0.29170801469906987</v>
      </c>
      <c r="D77">
        <v>0.1279290762445591</v>
      </c>
      <c r="E77">
        <v>2.7466358939051361E-2</v>
      </c>
      <c r="F77">
        <v>-2.7547284046790521E-2</v>
      </c>
      <c r="G77">
        <v>1.9575258784127691E-2</v>
      </c>
      <c r="H77">
        <v>1</v>
      </c>
      <c r="I77">
        <v>-1</v>
      </c>
      <c r="J77">
        <v>0.1279290762445591</v>
      </c>
      <c r="K77">
        <v>0</v>
      </c>
      <c r="L77">
        <v>-2.7466358939051361E-2</v>
      </c>
      <c r="M77">
        <v>0</v>
      </c>
      <c r="N77">
        <v>0</v>
      </c>
      <c r="O77">
        <v>2.7547284046790521E-2</v>
      </c>
      <c r="P77">
        <v>0</v>
      </c>
      <c r="Q77">
        <v>1.9575258784127691E-2</v>
      </c>
      <c r="R77">
        <v>0.40445416355168667</v>
      </c>
      <c r="S77">
        <v>0.2463780105844606</v>
      </c>
      <c r="T77">
        <v>-0.15693164349975311</v>
      </c>
      <c r="U77">
        <v>0.14815527480565741</v>
      </c>
      <c r="V77">
        <v>0.39848677976223729</v>
      </c>
      <c r="W77">
        <v>0.42855766922521088</v>
      </c>
      <c r="X77">
        <v>0.26429379791587332</v>
      </c>
      <c r="Y77">
        <v>0.24741306079445621</v>
      </c>
      <c r="Z77">
        <v>1.7420085144044071</v>
      </c>
    </row>
    <row r="78" spans="1:26" x14ac:dyDescent="0.25">
      <c r="A78" s="1">
        <v>39813</v>
      </c>
      <c r="B78">
        <v>1.874268236320964E-2</v>
      </c>
      <c r="C78">
        <v>-0.1557022736064412</v>
      </c>
      <c r="D78">
        <v>2.353131221174742E-2</v>
      </c>
      <c r="E78">
        <v>-2.043875670463358E-2</v>
      </c>
      <c r="F78">
        <v>-1.8352594006723399E-2</v>
      </c>
      <c r="G78">
        <v>4.8454344674847993E-2</v>
      </c>
      <c r="H78">
        <v>1</v>
      </c>
      <c r="I78">
        <v>-1</v>
      </c>
      <c r="J78">
        <v>2.353131221174742E-2</v>
      </c>
      <c r="K78">
        <v>0</v>
      </c>
      <c r="L78">
        <v>2.043875670463358E-2</v>
      </c>
      <c r="M78">
        <v>0</v>
      </c>
      <c r="N78">
        <v>0</v>
      </c>
      <c r="O78">
        <v>1.8352594006723399E-2</v>
      </c>
      <c r="P78">
        <v>0</v>
      </c>
      <c r="Q78">
        <v>4.8454344674847993E-2</v>
      </c>
      <c r="R78">
        <v>0.43750281296131011</v>
      </c>
      <c r="S78">
        <v>0.2463780105844606</v>
      </c>
      <c r="T78">
        <v>-0.13970037447586911</v>
      </c>
      <c r="U78">
        <v>0.14815527480565741</v>
      </c>
      <c r="V78">
        <v>0.39848677976223729</v>
      </c>
      <c r="W78">
        <v>0.45477540814369227</v>
      </c>
      <c r="X78">
        <v>0.26429379791587332</v>
      </c>
      <c r="Y78">
        <v>0.30785564319409803</v>
      </c>
      <c r="Z78">
        <v>1.8527855220023599</v>
      </c>
    </row>
    <row r="79" spans="1:26" x14ac:dyDescent="0.25">
      <c r="A79" s="1">
        <v>39844</v>
      </c>
      <c r="B79">
        <v>-7.9819587839560557E-2</v>
      </c>
      <c r="C79">
        <v>2.3216508531612941E-2</v>
      </c>
      <c r="D79">
        <v>-1.9906534851582558E-3</v>
      </c>
      <c r="E79">
        <v>-3.6371448318395783E-2</v>
      </c>
      <c r="F79">
        <v>9.7606042211854094E-3</v>
      </c>
      <c r="G79">
        <v>-5.7855976553978339E-2</v>
      </c>
      <c r="H79">
        <v>-1</v>
      </c>
      <c r="I79">
        <v>1</v>
      </c>
      <c r="J79">
        <v>0</v>
      </c>
      <c r="K79">
        <v>1.9906534851582558E-3</v>
      </c>
      <c r="L79">
        <v>0</v>
      </c>
      <c r="M79">
        <v>-3.6371448318395783E-2</v>
      </c>
      <c r="N79">
        <v>9.7606042211854094E-3</v>
      </c>
      <c r="O79">
        <v>0</v>
      </c>
      <c r="P79">
        <v>5.7855976553978339E-2</v>
      </c>
      <c r="Q79">
        <v>0</v>
      </c>
      <c r="R79">
        <v>0.43750281296131011</v>
      </c>
      <c r="S79">
        <v>0.24885911731505539</v>
      </c>
      <c r="T79">
        <v>-0.13970037447586911</v>
      </c>
      <c r="U79">
        <v>0.1063952045665699</v>
      </c>
      <c r="V79">
        <v>0.41213685572805669</v>
      </c>
      <c r="W79">
        <v>0.45477540814369227</v>
      </c>
      <c r="X79">
        <v>0.33744075024543418</v>
      </c>
      <c r="Y79">
        <v>0.30785564319409803</v>
      </c>
      <c r="Z79">
        <v>1.886021307944286</v>
      </c>
    </row>
    <row r="80" spans="1:26" x14ac:dyDescent="0.25">
      <c r="A80" s="1">
        <v>39872</v>
      </c>
      <c r="B80">
        <v>-0.1090643616718162</v>
      </c>
      <c r="C80">
        <v>-0.1160190478514066</v>
      </c>
      <c r="D80">
        <v>-8.5727339443852912E-3</v>
      </c>
      <c r="E80">
        <v>-2.8879747880538039E-2</v>
      </c>
      <c r="F80">
        <v>4.9510340386493268E-2</v>
      </c>
      <c r="G80">
        <v>-1.095062925672163E-2</v>
      </c>
      <c r="H80">
        <v>1</v>
      </c>
      <c r="I80">
        <v>-1</v>
      </c>
      <c r="J80">
        <v>-8.5727339443852912E-3</v>
      </c>
      <c r="K80">
        <v>0</v>
      </c>
      <c r="L80">
        <v>2.8879747880538039E-2</v>
      </c>
      <c r="M80">
        <v>0</v>
      </c>
      <c r="N80">
        <v>0</v>
      </c>
      <c r="O80">
        <v>-4.9510340386493268E-2</v>
      </c>
      <c r="P80">
        <v>0</v>
      </c>
      <c r="Q80">
        <v>-1.095062925672163E-2</v>
      </c>
      <c r="R80">
        <v>0.42517948380148729</v>
      </c>
      <c r="S80">
        <v>0.24885911731505539</v>
      </c>
      <c r="T80">
        <v>-0.11485513818901109</v>
      </c>
      <c r="U80">
        <v>0.1063952045665699</v>
      </c>
      <c r="V80">
        <v>0.41213685572805669</v>
      </c>
      <c r="W80">
        <v>0.3827489825005983</v>
      </c>
      <c r="X80">
        <v>0.33744075024543418</v>
      </c>
      <c r="Y80">
        <v>0.29353380092416809</v>
      </c>
      <c r="Z80">
        <v>1.845867352237224</v>
      </c>
    </row>
    <row r="81" spans="1:26" x14ac:dyDescent="0.25">
      <c r="A81" s="1">
        <v>39903</v>
      </c>
      <c r="B81">
        <v>8.9571935571874151E-2</v>
      </c>
      <c r="C81">
        <v>2.5548582649084439E-2</v>
      </c>
      <c r="D81">
        <v>3.9714308571441537E-2</v>
      </c>
      <c r="E81">
        <v>1.7380317635329878E-2</v>
      </c>
      <c r="F81">
        <v>-6.7962576850493339E-2</v>
      </c>
      <c r="G81">
        <v>2.6433550240879011E-2</v>
      </c>
      <c r="H81">
        <v>-1</v>
      </c>
      <c r="I81">
        <v>1</v>
      </c>
      <c r="J81">
        <v>0</v>
      </c>
      <c r="K81">
        <v>-3.9714308571441537E-2</v>
      </c>
      <c r="L81">
        <v>0</v>
      </c>
      <c r="M81">
        <v>1.7380317635329878E-2</v>
      </c>
      <c r="N81">
        <v>-6.7962576850493339E-2</v>
      </c>
      <c r="O81">
        <v>0</v>
      </c>
      <c r="P81">
        <v>-2.6433550240879011E-2</v>
      </c>
      <c r="Q81">
        <v>0</v>
      </c>
      <c r="R81">
        <v>0.42517948380148729</v>
      </c>
      <c r="S81">
        <v>0.19926154096774701</v>
      </c>
      <c r="T81">
        <v>-0.11485513818901109</v>
      </c>
      <c r="U81">
        <v>0.12562470465214259</v>
      </c>
      <c r="V81">
        <v>0.31616439614722469</v>
      </c>
      <c r="W81">
        <v>0.3827489825005983</v>
      </c>
      <c r="X81">
        <v>0.30208744297962248</v>
      </c>
      <c r="Y81">
        <v>0.29353380092416809</v>
      </c>
      <c r="Z81">
        <v>1.72913723420974</v>
      </c>
    </row>
    <row r="82" spans="1:26" x14ac:dyDescent="0.25">
      <c r="A82" s="1">
        <v>39933</v>
      </c>
      <c r="B82">
        <v>9.8384240153427505E-2</v>
      </c>
      <c r="C82">
        <v>0.1004562308300259</v>
      </c>
      <c r="D82">
        <v>3.3933178251632563E-2</v>
      </c>
      <c r="E82">
        <v>-3.5018287766123368E-2</v>
      </c>
      <c r="F82">
        <v>2.7394462145799992E-2</v>
      </c>
      <c r="G82">
        <v>-2.529610463271437E-2</v>
      </c>
      <c r="H82">
        <v>-1</v>
      </c>
      <c r="I82">
        <v>1</v>
      </c>
      <c r="J82">
        <v>0</v>
      </c>
      <c r="K82">
        <v>-3.3933178251632563E-2</v>
      </c>
      <c r="L82">
        <v>0</v>
      </c>
      <c r="M82">
        <v>-3.5018287766123368E-2</v>
      </c>
      <c r="N82">
        <v>2.7394462145799992E-2</v>
      </c>
      <c r="O82">
        <v>0</v>
      </c>
      <c r="P82">
        <v>2.529610463271437E-2</v>
      </c>
      <c r="Q82">
        <v>0</v>
      </c>
      <c r="R82">
        <v>0.42517948380148729</v>
      </c>
      <c r="S82">
        <v>0.158566785327761</v>
      </c>
      <c r="T82">
        <v>-0.11485513818901109</v>
      </c>
      <c r="U82">
        <v>8.6207254827976199E-2</v>
      </c>
      <c r="V82">
        <v>0.35222001187512952</v>
      </c>
      <c r="W82">
        <v>0.3827489825005983</v>
      </c>
      <c r="X82">
        <v>0.33502518317817848</v>
      </c>
      <c r="Y82">
        <v>0.29353380092416809</v>
      </c>
      <c r="Z82">
        <v>1.712876334970499</v>
      </c>
    </row>
    <row r="83" spans="1:26" x14ac:dyDescent="0.25">
      <c r="A83" s="1">
        <v>39964</v>
      </c>
      <c r="B83">
        <v>5.9743368970572197E-2</v>
      </c>
      <c r="C83">
        <v>5.4747388211682457E-2</v>
      </c>
      <c r="D83">
        <v>3.7276758691769829E-2</v>
      </c>
      <c r="E83">
        <v>-3.5782114642530778E-3</v>
      </c>
      <c r="F83">
        <v>3.9428095562151433E-2</v>
      </c>
      <c r="G83">
        <v>-3.1595671290962753E-2</v>
      </c>
      <c r="H83">
        <v>-1</v>
      </c>
      <c r="I83">
        <v>1</v>
      </c>
      <c r="J83">
        <v>0</v>
      </c>
      <c r="K83">
        <v>-3.7276758691769829E-2</v>
      </c>
      <c r="L83">
        <v>0</v>
      </c>
      <c r="M83">
        <v>-3.5782114642530778E-3</v>
      </c>
      <c r="N83">
        <v>3.9428095562151433E-2</v>
      </c>
      <c r="O83">
        <v>0</v>
      </c>
      <c r="P83">
        <v>3.1595671290962753E-2</v>
      </c>
      <c r="Q83">
        <v>0</v>
      </c>
      <c r="R83">
        <v>0.42517948380148729</v>
      </c>
      <c r="S83">
        <v>0.1153791708427985</v>
      </c>
      <c r="T83">
        <v>-0.11485513818901109</v>
      </c>
      <c r="U83">
        <v>8.2320575576195987E-2</v>
      </c>
      <c r="V83">
        <v>0.40553547172439552</v>
      </c>
      <c r="W83">
        <v>0.3827489825005983</v>
      </c>
      <c r="X83">
        <v>0.37720620003103372</v>
      </c>
      <c r="Y83">
        <v>0.29353380092416809</v>
      </c>
      <c r="Z83">
        <v>1.7430451316675899</v>
      </c>
    </row>
    <row r="84" spans="1:26" x14ac:dyDescent="0.25">
      <c r="A84" s="1">
        <v>39994</v>
      </c>
      <c r="B84">
        <v>9.9995393135055011E-4</v>
      </c>
      <c r="C84">
        <v>2.321883480650222E-2</v>
      </c>
      <c r="D84">
        <v>-1.6900301156896891E-4</v>
      </c>
      <c r="E84">
        <v>3.1263276318920341E-2</v>
      </c>
      <c r="F84">
        <v>2.2008883695896819E-2</v>
      </c>
      <c r="G84">
        <v>-4.3077276621147798E-2</v>
      </c>
      <c r="H84">
        <v>-1</v>
      </c>
      <c r="I84">
        <v>1</v>
      </c>
      <c r="J84">
        <v>0</v>
      </c>
      <c r="K84">
        <v>1.6900301156896891E-4</v>
      </c>
      <c r="L84">
        <v>0</v>
      </c>
      <c r="M84">
        <v>3.1263276318920341E-2</v>
      </c>
      <c r="N84">
        <v>2.2008883695896819E-2</v>
      </c>
      <c r="O84">
        <v>0</v>
      </c>
      <c r="P84">
        <v>4.3077276621147798E-2</v>
      </c>
      <c r="Q84">
        <v>0</v>
      </c>
      <c r="R84">
        <v>0.42517948380148729</v>
      </c>
      <c r="S84">
        <v>0.1155676732817124</v>
      </c>
      <c r="T84">
        <v>-0.11485513818901109</v>
      </c>
      <c r="U84">
        <v>0.1161574627960875</v>
      </c>
      <c r="V84">
        <v>0.43646973845203529</v>
      </c>
      <c r="W84">
        <v>0.3827489825005983</v>
      </c>
      <c r="X84">
        <v>0.43653249247413028</v>
      </c>
      <c r="Y84">
        <v>0.29353380092416809</v>
      </c>
      <c r="Z84">
        <v>1.8395635713151239</v>
      </c>
    </row>
    <row r="85" spans="1:26" x14ac:dyDescent="0.25">
      <c r="A85" s="1">
        <v>40025</v>
      </c>
      <c r="B85">
        <v>7.3712987320647017E-2</v>
      </c>
      <c r="C85">
        <v>5.5264900338710343E-2</v>
      </c>
      <c r="D85">
        <v>3.3871072448578447E-2</v>
      </c>
      <c r="E85">
        <v>2.298683583490824E-2</v>
      </c>
      <c r="F85">
        <v>-4.3330565618581063E-2</v>
      </c>
      <c r="G85">
        <v>2.360934452748709E-2</v>
      </c>
      <c r="H85">
        <v>-1</v>
      </c>
      <c r="I85">
        <v>1</v>
      </c>
      <c r="J85">
        <v>0</v>
      </c>
      <c r="K85">
        <v>-3.3871072448578447E-2</v>
      </c>
      <c r="L85">
        <v>0</v>
      </c>
      <c r="M85">
        <v>2.298683583490824E-2</v>
      </c>
      <c r="N85">
        <v>-4.3330565618581063E-2</v>
      </c>
      <c r="O85">
        <v>0</v>
      </c>
      <c r="P85">
        <v>-2.360934452748709E-2</v>
      </c>
      <c r="Q85">
        <v>0</v>
      </c>
      <c r="R85">
        <v>0.42517948380148729</v>
      </c>
      <c r="S85">
        <v>7.7782199798695384E-2</v>
      </c>
      <c r="T85">
        <v>-0.11485513818901109</v>
      </c>
      <c r="U85">
        <v>0.14181439115928879</v>
      </c>
      <c r="V85">
        <v>0.37422669219093341</v>
      </c>
      <c r="W85">
        <v>0.3827489825005983</v>
      </c>
      <c r="X85">
        <v>0.40261690193437882</v>
      </c>
      <c r="Y85">
        <v>0.29353380092416809</v>
      </c>
      <c r="Z85">
        <v>1.761739424555385</v>
      </c>
    </row>
    <row r="86" spans="1:26" x14ac:dyDescent="0.25">
      <c r="A86" s="1">
        <v>40056</v>
      </c>
      <c r="B86">
        <v>3.7374834707081687E-2</v>
      </c>
      <c r="C86">
        <v>4.8948634912004851E-2</v>
      </c>
      <c r="D86">
        <v>-4.9209099285136837E-3</v>
      </c>
      <c r="E86">
        <v>2.9941421417940869E-2</v>
      </c>
      <c r="F86">
        <v>2.4140471611239889E-2</v>
      </c>
      <c r="G86">
        <v>-4.2973704426215183E-2</v>
      </c>
      <c r="H86">
        <v>-1</v>
      </c>
      <c r="I86">
        <v>1</v>
      </c>
      <c r="J86">
        <v>0</v>
      </c>
      <c r="K86">
        <v>4.9209099285136837E-3</v>
      </c>
      <c r="L86">
        <v>0</v>
      </c>
      <c r="M86">
        <v>2.9941421417940869E-2</v>
      </c>
      <c r="N86">
        <v>2.4140471611239889E-2</v>
      </c>
      <c r="O86">
        <v>0</v>
      </c>
      <c r="P86">
        <v>4.2973704426215183E-2</v>
      </c>
      <c r="Q86">
        <v>0</v>
      </c>
      <c r="R86">
        <v>0.42517948380148729</v>
      </c>
      <c r="S86">
        <v>8.3085868926459971E-2</v>
      </c>
      <c r="T86">
        <v>-0.11485513818901109</v>
      </c>
      <c r="U86">
        <v>0.17600193702605879</v>
      </c>
      <c r="V86">
        <v>0.40740117264117681</v>
      </c>
      <c r="W86">
        <v>0.3827489825005983</v>
      </c>
      <c r="X86">
        <v>0.46289254610132052</v>
      </c>
      <c r="Y86">
        <v>0.29353380092416809</v>
      </c>
      <c r="Z86">
        <v>1.8637159319392951</v>
      </c>
    </row>
    <row r="87" spans="1:26" x14ac:dyDescent="0.25">
      <c r="A87" s="1">
        <v>40086</v>
      </c>
      <c r="B87">
        <v>3.5782415681818953E-2</v>
      </c>
      <c r="C87">
        <v>4.992583739396228E-2</v>
      </c>
      <c r="D87">
        <v>-1.3639288840546099E-2</v>
      </c>
      <c r="E87">
        <v>2.5585845244044721E-2</v>
      </c>
      <c r="F87">
        <v>5.0962283169685429E-3</v>
      </c>
      <c r="G87">
        <v>-1.8074126212696991E-2</v>
      </c>
      <c r="H87">
        <v>-1</v>
      </c>
      <c r="I87">
        <v>1</v>
      </c>
      <c r="J87">
        <v>0</v>
      </c>
      <c r="K87">
        <v>1.3639288840546099E-2</v>
      </c>
      <c r="L87">
        <v>0</v>
      </c>
      <c r="M87">
        <v>2.5585845244044721E-2</v>
      </c>
      <c r="N87">
        <v>5.0962283169685429E-3</v>
      </c>
      <c r="O87">
        <v>0</v>
      </c>
      <c r="P87">
        <v>1.8074126212696991E-2</v>
      </c>
      <c r="Q87">
        <v>0</v>
      </c>
      <c r="R87">
        <v>0.42517948380148729</v>
      </c>
      <c r="S87">
        <v>9.7858389931861911E-2</v>
      </c>
      <c r="T87">
        <v>-0.11485513818901109</v>
      </c>
      <c r="U87">
        <v>0.2060909405935043</v>
      </c>
      <c r="V87">
        <v>0.41457361035052548</v>
      </c>
      <c r="W87">
        <v>0.3827489825005983</v>
      </c>
      <c r="X87">
        <v>0.48933305061516941</v>
      </c>
      <c r="Y87">
        <v>0.29353380092416809</v>
      </c>
      <c r="Z87">
        <v>1.926111420553551</v>
      </c>
    </row>
    <row r="88" spans="1:26" x14ac:dyDescent="0.25">
      <c r="A88" s="1">
        <v>40117</v>
      </c>
      <c r="B88">
        <v>-1.7523040727880131E-2</v>
      </c>
      <c r="C88">
        <v>4.7530654738552447E-2</v>
      </c>
      <c r="D88">
        <v>-4.3085200776805443E-2</v>
      </c>
      <c r="E88">
        <v>-3.3582023564945329E-3</v>
      </c>
      <c r="F88">
        <v>2.5270419630867291E-3</v>
      </c>
      <c r="G88">
        <v>8.708957580459864E-3</v>
      </c>
      <c r="H88">
        <v>-1</v>
      </c>
      <c r="I88">
        <v>1</v>
      </c>
      <c r="J88">
        <v>0</v>
      </c>
      <c r="K88">
        <v>4.3085200776805443E-2</v>
      </c>
      <c r="L88">
        <v>0</v>
      </c>
      <c r="M88">
        <v>-3.3582023564945329E-3</v>
      </c>
      <c r="N88">
        <v>2.5270419630867291E-3</v>
      </c>
      <c r="O88">
        <v>0</v>
      </c>
      <c r="P88">
        <v>-8.708957580459864E-3</v>
      </c>
      <c r="Q88">
        <v>0</v>
      </c>
      <c r="R88">
        <v>0.42517948380148729</v>
      </c>
      <c r="S88">
        <v>0.14515983908657651</v>
      </c>
      <c r="T88">
        <v>-0.11485513818901109</v>
      </c>
      <c r="U88">
        <v>0.20204064315465639</v>
      </c>
      <c r="V88">
        <v>0.41814829722375618</v>
      </c>
      <c r="W88">
        <v>0.3827489825005983</v>
      </c>
      <c r="X88">
        <v>0.47636251225418502</v>
      </c>
      <c r="Y88">
        <v>0.29353380092416809</v>
      </c>
      <c r="Z88">
        <v>1.959656503356489</v>
      </c>
    </row>
    <row r="89" spans="1:26" x14ac:dyDescent="0.25">
      <c r="A89" s="1">
        <v>40147</v>
      </c>
      <c r="B89">
        <v>6.0748238484364947E-2</v>
      </c>
      <c r="C89">
        <v>5.9337779271891773E-2</v>
      </c>
      <c r="D89">
        <v>4.8765917830093652E-3</v>
      </c>
      <c r="E89">
        <v>1.579007960546042E-2</v>
      </c>
      <c r="F89">
        <v>3.4097490681105791E-2</v>
      </c>
      <c r="G89">
        <v>-2.2589426920756051E-2</v>
      </c>
      <c r="H89">
        <v>-1</v>
      </c>
      <c r="I89">
        <v>1</v>
      </c>
      <c r="J89">
        <v>0</v>
      </c>
      <c r="K89">
        <v>-4.8765917830093652E-3</v>
      </c>
      <c r="L89">
        <v>0</v>
      </c>
      <c r="M89">
        <v>1.579007960546042E-2</v>
      </c>
      <c r="N89">
        <v>3.4097490681105791E-2</v>
      </c>
      <c r="O89">
        <v>0</v>
      </c>
      <c r="P89">
        <v>2.2589426920756051E-2</v>
      </c>
      <c r="Q89">
        <v>0</v>
      </c>
      <c r="R89">
        <v>0.42517948380148729</v>
      </c>
      <c r="S89">
        <v>0.13957536202505461</v>
      </c>
      <c r="T89">
        <v>-0.11485513818901109</v>
      </c>
      <c r="U89">
        <v>0.2210209605990674</v>
      </c>
      <c r="V89">
        <v>0.46650359557276938</v>
      </c>
      <c r="W89">
        <v>0.3827489825005983</v>
      </c>
      <c r="X89">
        <v>0.50971269533329466</v>
      </c>
      <c r="Y89">
        <v>0.29353380092416809</v>
      </c>
      <c r="Z89">
        <v>2.0272569087808021</v>
      </c>
    </row>
    <row r="90" spans="1:26" x14ac:dyDescent="0.25">
      <c r="A90" s="1">
        <v>40178</v>
      </c>
      <c r="B90">
        <v>1.9383436719370931E-2</v>
      </c>
      <c r="C90">
        <v>7.3068918783489423E-2</v>
      </c>
      <c r="D90">
        <v>1.0576984484760299E-3</v>
      </c>
      <c r="E90">
        <v>-1.01204422107869E-2</v>
      </c>
      <c r="F90">
        <v>8.2766593517392684E-3</v>
      </c>
      <c r="G90">
        <v>-2.9998335057943581E-2</v>
      </c>
      <c r="H90">
        <v>-1</v>
      </c>
      <c r="I90">
        <v>1</v>
      </c>
      <c r="J90">
        <v>0</v>
      </c>
      <c r="K90">
        <v>-1.0576984484760299E-3</v>
      </c>
      <c r="L90">
        <v>0</v>
      </c>
      <c r="M90">
        <v>-1.01204422107869E-2</v>
      </c>
      <c r="N90">
        <v>8.2766593517392684E-3</v>
      </c>
      <c r="O90">
        <v>0</v>
      </c>
      <c r="P90">
        <v>2.9998335057943581E-2</v>
      </c>
      <c r="Q90">
        <v>0</v>
      </c>
      <c r="R90">
        <v>0.42517948380148729</v>
      </c>
      <c r="S90">
        <v>0.13837003493271929</v>
      </c>
      <c r="T90">
        <v>-0.11485513818901109</v>
      </c>
      <c r="U90">
        <v>0.20866368852916509</v>
      </c>
      <c r="V90">
        <v>0.47864134627142613</v>
      </c>
      <c r="W90">
        <v>0.3827489825005983</v>
      </c>
      <c r="X90">
        <v>0.5550015626091338</v>
      </c>
      <c r="Y90">
        <v>0.29353380092416809</v>
      </c>
      <c r="Z90">
        <v>2.054353762531222</v>
      </c>
    </row>
    <row r="91" spans="1:26" x14ac:dyDescent="0.25">
      <c r="A91" s="1">
        <v>40209</v>
      </c>
      <c r="B91">
        <v>-3.5983832622079708E-2</v>
      </c>
      <c r="C91">
        <v>-3.3371151747016548E-2</v>
      </c>
      <c r="D91">
        <v>-2.177421657438838E-2</v>
      </c>
      <c r="E91">
        <v>7.9781022227477516E-3</v>
      </c>
      <c r="F91">
        <v>2.7859627705320911E-2</v>
      </c>
      <c r="G91">
        <v>-6.5840030536216121E-3</v>
      </c>
      <c r="H91">
        <v>1</v>
      </c>
      <c r="I91">
        <v>-1</v>
      </c>
      <c r="J91">
        <v>-2.177421657438838E-2</v>
      </c>
      <c r="K91">
        <v>0</v>
      </c>
      <c r="L91">
        <v>-7.9781022227477516E-3</v>
      </c>
      <c r="M91">
        <v>0</v>
      </c>
      <c r="N91">
        <v>0</v>
      </c>
      <c r="O91">
        <v>-2.7859627705320911E-2</v>
      </c>
      <c r="P91">
        <v>0</v>
      </c>
      <c r="Q91">
        <v>-6.5840030536216121E-3</v>
      </c>
      <c r="R91">
        <v>0.39414731706381878</v>
      </c>
      <c r="S91">
        <v>0.13837003493271929</v>
      </c>
      <c r="T91">
        <v>-0.121916914378479</v>
      </c>
      <c r="U91">
        <v>0.20866368852916509</v>
      </c>
      <c r="V91">
        <v>0.47864134627142613</v>
      </c>
      <c r="W91">
        <v>0.34422611063822051</v>
      </c>
      <c r="X91">
        <v>0.5550015626091338</v>
      </c>
      <c r="Y91">
        <v>0.28501717042892061</v>
      </c>
      <c r="Z91">
        <v>1.9901578129751429</v>
      </c>
    </row>
    <row r="92" spans="1:26" x14ac:dyDescent="0.25">
      <c r="A92" s="1">
        <v>40237</v>
      </c>
      <c r="B92">
        <v>3.1842906193519593E-2</v>
      </c>
      <c r="C92">
        <v>6.7144361917797601E-2</v>
      </c>
      <c r="D92">
        <v>-3.6682054710515111E-3</v>
      </c>
      <c r="E92">
        <v>2.8812565692437401E-2</v>
      </c>
      <c r="F92">
        <v>-6.127775015364989E-3</v>
      </c>
      <c r="G92">
        <v>1.8450496975330741E-4</v>
      </c>
      <c r="H92">
        <v>-1</v>
      </c>
      <c r="I92">
        <v>1</v>
      </c>
      <c r="J92">
        <v>0</v>
      </c>
      <c r="K92">
        <v>3.6682054710515111E-3</v>
      </c>
      <c r="L92">
        <v>0</v>
      </c>
      <c r="M92">
        <v>2.8812565692437401E-2</v>
      </c>
      <c r="N92">
        <v>-6.127775015364989E-3</v>
      </c>
      <c r="O92">
        <v>0</v>
      </c>
      <c r="P92">
        <v>-1.8450496975330741E-4</v>
      </c>
      <c r="Q92">
        <v>0</v>
      </c>
      <c r="R92">
        <v>0.39414731706381878</v>
      </c>
      <c r="S92">
        <v>0.1425458101229404</v>
      </c>
      <c r="T92">
        <v>-0.121916914378479</v>
      </c>
      <c r="U92">
        <v>0.2434883904549752</v>
      </c>
      <c r="V92">
        <v>0.46958056477305821</v>
      </c>
      <c r="W92">
        <v>0.34422611063822051</v>
      </c>
      <c r="X92">
        <v>0.55471465709285828</v>
      </c>
      <c r="Y92">
        <v>0.28501717042892061</v>
      </c>
      <c r="Z92">
        <v>2.0163263041535142</v>
      </c>
    </row>
    <row r="93" spans="1:26" x14ac:dyDescent="0.25">
      <c r="A93" s="1">
        <v>40268</v>
      </c>
      <c r="B93">
        <v>5.9422440900326327E-2</v>
      </c>
      <c r="C93">
        <v>5.1620834413726453E-2</v>
      </c>
      <c r="D93">
        <v>8.9206041581919582E-3</v>
      </c>
      <c r="E93">
        <v>-1.923237661550747E-2</v>
      </c>
      <c r="F93">
        <v>3.1367401908981567E-2</v>
      </c>
      <c r="G93">
        <v>-1.211600970927007E-2</v>
      </c>
      <c r="H93">
        <v>-1</v>
      </c>
      <c r="I93">
        <v>1</v>
      </c>
      <c r="J93">
        <v>0</v>
      </c>
      <c r="K93">
        <v>-8.9206041581919582E-3</v>
      </c>
      <c r="L93">
        <v>0</v>
      </c>
      <c r="M93">
        <v>-1.923237661550747E-2</v>
      </c>
      <c r="N93">
        <v>3.1367401908981567E-2</v>
      </c>
      <c r="O93">
        <v>0</v>
      </c>
      <c r="P93">
        <v>1.211600970927007E-2</v>
      </c>
      <c r="Q93">
        <v>0</v>
      </c>
      <c r="R93">
        <v>0.39414731706381878</v>
      </c>
      <c r="S93">
        <v>0.13235361121823291</v>
      </c>
      <c r="T93">
        <v>-0.121916914378479</v>
      </c>
      <c r="U93">
        <v>0.2195731534127339</v>
      </c>
      <c r="V93">
        <v>0.51567748898592303</v>
      </c>
      <c r="W93">
        <v>0.34422611063822051</v>
      </c>
      <c r="X93">
        <v>0.57355159497333985</v>
      </c>
      <c r="Y93">
        <v>0.28501717042892061</v>
      </c>
      <c r="Z93">
        <v>2.0316567349980659</v>
      </c>
    </row>
    <row r="94" spans="1:26" x14ac:dyDescent="0.25">
      <c r="A94" s="1">
        <v>40298</v>
      </c>
      <c r="B94">
        <v>1.6264008462187781E-2</v>
      </c>
      <c r="C94">
        <v>1.973144533590121E-2</v>
      </c>
      <c r="D94">
        <v>-1.7867171204687948E-2</v>
      </c>
      <c r="E94">
        <v>1.8841112848977489E-2</v>
      </c>
      <c r="F94">
        <v>1.5096033715645831E-2</v>
      </c>
      <c r="G94">
        <v>-4.2478831309803464E-3</v>
      </c>
      <c r="H94">
        <v>-1</v>
      </c>
      <c r="I94">
        <v>1</v>
      </c>
      <c r="J94">
        <v>0</v>
      </c>
      <c r="K94">
        <v>1.7867171204687948E-2</v>
      </c>
      <c r="L94">
        <v>0</v>
      </c>
      <c r="M94">
        <v>1.8841112848977489E-2</v>
      </c>
      <c r="N94">
        <v>1.5096033715645831E-2</v>
      </c>
      <c r="O94">
        <v>0</v>
      </c>
      <c r="P94">
        <v>4.2478831309803464E-3</v>
      </c>
      <c r="Q94">
        <v>0</v>
      </c>
      <c r="R94">
        <v>0.39414731706381878</v>
      </c>
      <c r="S94">
        <v>0.15258556705411591</v>
      </c>
      <c r="T94">
        <v>-0.121916914378479</v>
      </c>
      <c r="U94">
        <v>0.24255126882376651</v>
      </c>
      <c r="V94">
        <v>0.53855820746169991</v>
      </c>
      <c r="W94">
        <v>0.34422611063822051</v>
      </c>
      <c r="X94">
        <v>0.58023585824935431</v>
      </c>
      <c r="Y94">
        <v>0.28501717042892061</v>
      </c>
      <c r="Z94">
        <v>2.087708935898358</v>
      </c>
    </row>
    <row r="95" spans="1:26" x14ac:dyDescent="0.25">
      <c r="A95" s="1">
        <v>40329</v>
      </c>
      <c r="B95">
        <v>-7.8767648935510914E-2</v>
      </c>
      <c r="C95">
        <v>-0.15299577382417881</v>
      </c>
      <c r="D95">
        <v>3.1098342602571272E-3</v>
      </c>
      <c r="E95">
        <v>-1.9508952288987521E-2</v>
      </c>
      <c r="F95">
        <v>-6.4598008766471371E-2</v>
      </c>
      <c r="G95">
        <v>4.0966768816755213E-2</v>
      </c>
      <c r="H95">
        <v>1</v>
      </c>
      <c r="I95">
        <v>-1</v>
      </c>
      <c r="J95">
        <v>3.1098342602571272E-3</v>
      </c>
      <c r="K95">
        <v>0</v>
      </c>
      <c r="L95">
        <v>1.9508952288987521E-2</v>
      </c>
      <c r="M95">
        <v>0</v>
      </c>
      <c r="N95">
        <v>0</v>
      </c>
      <c r="O95">
        <v>6.4598008766471371E-2</v>
      </c>
      <c r="P95">
        <v>0</v>
      </c>
      <c r="Q95">
        <v>4.0966768816755213E-2</v>
      </c>
      <c r="R95">
        <v>0.39848288415426941</v>
      </c>
      <c r="S95">
        <v>0.15258556705411591</v>
      </c>
      <c r="T95">
        <v>-0.1047864333553218</v>
      </c>
      <c r="U95">
        <v>0.24255126882376651</v>
      </c>
      <c r="V95">
        <v>0.53855820746169991</v>
      </c>
      <c r="W95">
        <v>0.43106044071734789</v>
      </c>
      <c r="X95">
        <v>0.58023585824935431</v>
      </c>
      <c r="Y95">
        <v>0.33766017177544327</v>
      </c>
      <c r="Z95">
        <v>2.2158925000308289</v>
      </c>
    </row>
    <row r="96" spans="1:26" x14ac:dyDescent="0.25">
      <c r="A96" s="1">
        <v>40359</v>
      </c>
      <c r="B96">
        <v>-5.0343654910357638E-2</v>
      </c>
      <c r="C96">
        <v>1.160273041271709E-2</v>
      </c>
      <c r="D96">
        <v>-7.5527311825180354E-2</v>
      </c>
      <c r="E96">
        <v>4.3834848830870632E-2</v>
      </c>
      <c r="F96">
        <v>-3.4928003651084727E-2</v>
      </c>
      <c r="G96">
        <v>2.478395961567403E-2</v>
      </c>
      <c r="H96">
        <v>-1</v>
      </c>
      <c r="I96">
        <v>1</v>
      </c>
      <c r="J96">
        <v>0</v>
      </c>
      <c r="K96">
        <v>7.5527311825180354E-2</v>
      </c>
      <c r="L96">
        <v>0</v>
      </c>
      <c r="M96">
        <v>4.3834848830870632E-2</v>
      </c>
      <c r="N96">
        <v>-3.4928003651084727E-2</v>
      </c>
      <c r="O96">
        <v>0</v>
      </c>
      <c r="P96">
        <v>-2.478395961567403E-2</v>
      </c>
      <c r="Q96">
        <v>0</v>
      </c>
      <c r="R96">
        <v>0.39848288415426941</v>
      </c>
      <c r="S96">
        <v>0.23963725658221419</v>
      </c>
      <c r="T96">
        <v>-0.1047864333553218</v>
      </c>
      <c r="U96">
        <v>0.29701831585726279</v>
      </c>
      <c r="V96">
        <v>0.48481944077407108</v>
      </c>
      <c r="W96">
        <v>0.43106044071734789</v>
      </c>
      <c r="X96">
        <v>0.54107135655526228</v>
      </c>
      <c r="Y96">
        <v>0.33766017177544327</v>
      </c>
      <c r="Z96">
        <v>2.2755426974201209</v>
      </c>
    </row>
    <row r="97" spans="1:26" x14ac:dyDescent="0.25">
      <c r="A97" s="1">
        <v>40390</v>
      </c>
      <c r="B97">
        <v>6.7710417958073754E-2</v>
      </c>
      <c r="C97">
        <v>6.5495743832695519E-2</v>
      </c>
      <c r="D97">
        <v>7.4967192667974034E-3</v>
      </c>
      <c r="E97">
        <v>-3.445876560522088E-3</v>
      </c>
      <c r="F97">
        <v>3.8041507743096559E-2</v>
      </c>
      <c r="G97">
        <v>-1.6243211002767041E-2</v>
      </c>
      <c r="H97">
        <v>-1</v>
      </c>
      <c r="I97">
        <v>1</v>
      </c>
      <c r="J97">
        <v>0</v>
      </c>
      <c r="K97">
        <v>-7.4967192667974034E-3</v>
      </c>
      <c r="L97">
        <v>0</v>
      </c>
      <c r="M97">
        <v>-3.445876560522088E-3</v>
      </c>
      <c r="N97">
        <v>3.8041507743096559E-2</v>
      </c>
      <c r="O97">
        <v>0</v>
      </c>
      <c r="P97">
        <v>1.6243211002767041E-2</v>
      </c>
      <c r="Q97">
        <v>0</v>
      </c>
      <c r="R97">
        <v>0.39848288415426941</v>
      </c>
      <c r="S97">
        <v>0.23034404407695461</v>
      </c>
      <c r="T97">
        <v>-0.1047864333553218</v>
      </c>
      <c r="U97">
        <v>0.29254895084408239</v>
      </c>
      <c r="V97">
        <v>0.54130421102737825</v>
      </c>
      <c r="W97">
        <v>0.43106044071734789</v>
      </c>
      <c r="X97">
        <v>0.56610330377010998</v>
      </c>
      <c r="Y97">
        <v>0.33766017177544327</v>
      </c>
      <c r="Z97">
        <v>2.3188848203386661</v>
      </c>
    </row>
    <row r="98" spans="1:26" x14ac:dyDescent="0.25">
      <c r="A98" s="1">
        <v>40421</v>
      </c>
      <c r="B98">
        <v>-4.4686548862853281E-2</v>
      </c>
      <c r="C98">
        <v>-8.2128796261132675E-2</v>
      </c>
      <c r="D98">
        <v>-2.048800156989183E-2</v>
      </c>
      <c r="E98">
        <v>2.4313847806604061E-2</v>
      </c>
      <c r="F98">
        <v>1.9336937184678101E-2</v>
      </c>
      <c r="G98">
        <v>-3.4371271809296999E-4</v>
      </c>
      <c r="H98">
        <v>1</v>
      </c>
      <c r="I98">
        <v>-1</v>
      </c>
      <c r="J98">
        <v>-2.048800156989183E-2</v>
      </c>
      <c r="K98">
        <v>0</v>
      </c>
      <c r="L98">
        <v>-2.4313847806604061E-2</v>
      </c>
      <c r="M98">
        <v>0</v>
      </c>
      <c r="N98">
        <v>0</v>
      </c>
      <c r="O98">
        <v>-1.9336937184678101E-2</v>
      </c>
      <c r="P98">
        <v>0</v>
      </c>
      <c r="Q98">
        <v>-3.4371271809296999E-4</v>
      </c>
      <c r="R98">
        <v>0.36983076462824971</v>
      </c>
      <c r="S98">
        <v>0.23034404407695461</v>
      </c>
      <c r="T98">
        <v>-0.12655251976912771</v>
      </c>
      <c r="U98">
        <v>0.29254895084408239</v>
      </c>
      <c r="V98">
        <v>0.54130421102737825</v>
      </c>
      <c r="W98">
        <v>0.40338811486771881</v>
      </c>
      <c r="X98">
        <v>0.56610330377010998</v>
      </c>
      <c r="Y98">
        <v>0.33720040096191761</v>
      </c>
      <c r="Z98">
        <v>2.254402321059398</v>
      </c>
    </row>
    <row r="99" spans="1:26" x14ac:dyDescent="0.25">
      <c r="A99" s="1">
        <v>40451</v>
      </c>
      <c r="B99">
        <v>8.6911316967261842E-2</v>
      </c>
      <c r="C99">
        <v>0.1133220111814988</v>
      </c>
      <c r="D99">
        <v>6.5069557370650566E-3</v>
      </c>
      <c r="E99">
        <v>8.8431990937027916E-3</v>
      </c>
      <c r="F99">
        <v>4.794644611768295E-2</v>
      </c>
      <c r="G99">
        <v>-3.111722701504371E-2</v>
      </c>
      <c r="H99">
        <v>-1</v>
      </c>
      <c r="I99">
        <v>1</v>
      </c>
      <c r="J99">
        <v>0</v>
      </c>
      <c r="K99">
        <v>-6.5069557370650566E-3</v>
      </c>
      <c r="L99">
        <v>0</v>
      </c>
      <c r="M99">
        <v>8.8431990937027916E-3</v>
      </c>
      <c r="N99">
        <v>4.794644611768295E-2</v>
      </c>
      <c r="O99">
        <v>0</v>
      </c>
      <c r="P99">
        <v>3.111722701504371E-2</v>
      </c>
      <c r="Q99">
        <v>0</v>
      </c>
      <c r="R99">
        <v>0.36983076462824971</v>
      </c>
      <c r="S99">
        <v>0.22233824984078421</v>
      </c>
      <c r="T99">
        <v>-0.12655251976912771</v>
      </c>
      <c r="U99">
        <v>0.30397921855475341</v>
      </c>
      <c r="V99">
        <v>0.61520427033236036</v>
      </c>
      <c r="W99">
        <v>0.40338811486771881</v>
      </c>
      <c r="X99">
        <v>0.61483609580253451</v>
      </c>
      <c r="Y99">
        <v>0.33720040096191761</v>
      </c>
      <c r="Z99">
        <v>2.335802237548763</v>
      </c>
    </row>
    <row r="100" spans="1:26" x14ac:dyDescent="0.25">
      <c r="A100" s="1">
        <v>40482</v>
      </c>
      <c r="B100">
        <v>3.7947807251664467E-2</v>
      </c>
      <c r="C100">
        <v>7.7314170388157355E-2</v>
      </c>
      <c r="D100">
        <v>3.0530936022977739E-3</v>
      </c>
      <c r="E100">
        <v>-2.5503665556736439E-3</v>
      </c>
      <c r="F100">
        <v>1.5541117341477889E-2</v>
      </c>
      <c r="G100">
        <v>-4.0289499784142979E-3</v>
      </c>
      <c r="H100">
        <v>-1</v>
      </c>
      <c r="I100">
        <v>1</v>
      </c>
      <c r="J100">
        <v>0</v>
      </c>
      <c r="K100">
        <v>-3.0530936022977739E-3</v>
      </c>
      <c r="L100">
        <v>0</v>
      </c>
      <c r="M100">
        <v>-2.5503665556736439E-3</v>
      </c>
      <c r="N100">
        <v>1.5541117341477889E-2</v>
      </c>
      <c r="O100">
        <v>0</v>
      </c>
      <c r="P100">
        <v>4.0289499784142979E-3</v>
      </c>
      <c r="Q100">
        <v>0</v>
      </c>
      <c r="R100">
        <v>0.36983076462824971</v>
      </c>
      <c r="S100">
        <v>0.21860633675035149</v>
      </c>
      <c r="T100">
        <v>-0.12655251976912771</v>
      </c>
      <c r="U100">
        <v>0.30065359356645782</v>
      </c>
      <c r="V100">
        <v>0.64030634942805165</v>
      </c>
      <c r="W100">
        <v>0.40338811486771881</v>
      </c>
      <c r="X100">
        <v>0.62134218965586063</v>
      </c>
      <c r="Y100">
        <v>0.33720040096191761</v>
      </c>
      <c r="Z100">
        <v>2.3497688447106841</v>
      </c>
    </row>
    <row r="101" spans="1:26" x14ac:dyDescent="0.25">
      <c r="A101" s="1">
        <v>40512</v>
      </c>
      <c r="B101">
        <v>8.8091519784616601E-4</v>
      </c>
      <c r="C101">
        <v>5.003658033337377E-2</v>
      </c>
      <c r="D101">
        <v>-1.477424327149846E-2</v>
      </c>
      <c r="E101">
        <v>1.8995685521828509E-2</v>
      </c>
      <c r="F101">
        <v>3.5306670941053893E-2</v>
      </c>
      <c r="G101">
        <v>-2.0931981713849801E-2</v>
      </c>
      <c r="H101">
        <v>-1</v>
      </c>
      <c r="I101">
        <v>1</v>
      </c>
      <c r="J101">
        <v>0</v>
      </c>
      <c r="K101">
        <v>1.477424327149846E-2</v>
      </c>
      <c r="L101">
        <v>0</v>
      </c>
      <c r="M101">
        <v>1.8995685521828509E-2</v>
      </c>
      <c r="N101">
        <v>3.5306670941053893E-2</v>
      </c>
      <c r="O101">
        <v>0</v>
      </c>
      <c r="P101">
        <v>2.0931981713849801E-2</v>
      </c>
      <c r="Q101">
        <v>0</v>
      </c>
      <c r="R101">
        <v>0.36983076462824971</v>
      </c>
      <c r="S101">
        <v>0.2366103232216907</v>
      </c>
      <c r="T101">
        <v>-0.12655251976912771</v>
      </c>
      <c r="U101">
        <v>0.32536040020268242</v>
      </c>
      <c r="V101">
        <v>0.69822010594982942</v>
      </c>
      <c r="W101">
        <v>0.40338811486771881</v>
      </c>
      <c r="X101">
        <v>0.6552800947216304</v>
      </c>
      <c r="Y101">
        <v>0.33720040096191761</v>
      </c>
      <c r="Z101">
        <v>2.4397774261589138</v>
      </c>
    </row>
    <row r="102" spans="1:26" x14ac:dyDescent="0.25">
      <c r="A102" s="1">
        <v>40543</v>
      </c>
      <c r="B102">
        <v>6.5112843517056485E-2</v>
      </c>
      <c r="C102">
        <v>0.1057539250921422</v>
      </c>
      <c r="D102">
        <v>2.8758454745115851E-3</v>
      </c>
      <c r="E102">
        <v>7.3953066932150868E-3</v>
      </c>
      <c r="F102">
        <v>3.6281732297392399E-2</v>
      </c>
      <c r="G102">
        <v>-3.9963388562924473E-2</v>
      </c>
      <c r="H102">
        <v>-1</v>
      </c>
      <c r="I102">
        <v>1</v>
      </c>
      <c r="J102">
        <v>0</v>
      </c>
      <c r="K102">
        <v>-2.8758454745115851E-3</v>
      </c>
      <c r="L102">
        <v>0</v>
      </c>
      <c r="M102">
        <v>7.3953066932150868E-3</v>
      </c>
      <c r="N102">
        <v>3.6281732297392399E-2</v>
      </c>
      <c r="O102">
        <v>0</v>
      </c>
      <c r="P102">
        <v>3.9963388562924473E-2</v>
      </c>
      <c r="Q102">
        <v>0</v>
      </c>
      <c r="R102">
        <v>0.36983076462824971</v>
      </c>
      <c r="S102">
        <v>0.2330540230199192</v>
      </c>
      <c r="T102">
        <v>-0.12655251976912771</v>
      </c>
      <c r="U102">
        <v>0.33516184684122358</v>
      </c>
      <c r="V102">
        <v>0.75983447321595032</v>
      </c>
      <c r="W102">
        <v>0.40338811486771881</v>
      </c>
      <c r="X102">
        <v>0.72143069632746526</v>
      </c>
      <c r="Y102">
        <v>0.33720040096191761</v>
      </c>
      <c r="Z102">
        <v>2.5205420082379351</v>
      </c>
    </row>
    <row r="103" spans="1:26" x14ac:dyDescent="0.25">
      <c r="A103" s="1">
        <v>40574</v>
      </c>
      <c r="B103">
        <v>2.3440417133957839E-2</v>
      </c>
      <c r="C103">
        <v>5.3497238948387198E-2</v>
      </c>
      <c r="D103">
        <v>-3.0654925996792541E-3</v>
      </c>
      <c r="E103">
        <v>-3.5066050867728071E-3</v>
      </c>
      <c r="F103">
        <v>1.1062954741164919E-2</v>
      </c>
      <c r="G103">
        <v>-1.8685475430794799E-2</v>
      </c>
      <c r="H103">
        <v>-1</v>
      </c>
      <c r="I103">
        <v>1</v>
      </c>
      <c r="J103">
        <v>0</v>
      </c>
      <c r="K103">
        <v>3.0654925996792541E-3</v>
      </c>
      <c r="L103">
        <v>0</v>
      </c>
      <c r="M103">
        <v>-3.5066050867728071E-3</v>
      </c>
      <c r="N103">
        <v>1.1062954741164919E-2</v>
      </c>
      <c r="O103">
        <v>0</v>
      </c>
      <c r="P103">
        <v>1.8685475430794799E-2</v>
      </c>
      <c r="Q103">
        <v>0</v>
      </c>
      <c r="R103">
        <v>0.36983076462824971</v>
      </c>
      <c r="S103">
        <v>0.23683394100249161</v>
      </c>
      <c r="T103">
        <v>-0.12655251976912771</v>
      </c>
      <c r="U103">
        <v>0.3304799615174252</v>
      </c>
      <c r="V103">
        <v>0.7793034423450802</v>
      </c>
      <c r="W103">
        <v>0.40338811486771881</v>
      </c>
      <c r="X103">
        <v>0.75359644730950803</v>
      </c>
      <c r="Y103">
        <v>0.33720040096191761</v>
      </c>
      <c r="Z103">
        <v>2.5498493259228008</v>
      </c>
    </row>
    <row r="104" spans="1:26" x14ac:dyDescent="0.25">
      <c r="A104" s="1">
        <v>40602</v>
      </c>
      <c r="B104">
        <v>3.4666315390162072E-2</v>
      </c>
      <c r="C104">
        <v>2.4883468704491759E-2</v>
      </c>
      <c r="D104">
        <v>1.0058015002696759E-2</v>
      </c>
      <c r="E104">
        <v>1.7181797321206949E-2</v>
      </c>
      <c r="F104">
        <v>2.5400307831916599E-2</v>
      </c>
      <c r="G104">
        <v>-1.79825470253967E-2</v>
      </c>
      <c r="H104">
        <v>-1</v>
      </c>
      <c r="I104">
        <v>1</v>
      </c>
      <c r="J104">
        <v>0</v>
      </c>
      <c r="K104">
        <v>-1.0058015002696759E-2</v>
      </c>
      <c r="L104">
        <v>0</v>
      </c>
      <c r="M104">
        <v>1.7181797321206949E-2</v>
      </c>
      <c r="N104">
        <v>2.5400307831916599E-2</v>
      </c>
      <c r="O104">
        <v>0</v>
      </c>
      <c r="P104">
        <v>1.79825470253967E-2</v>
      </c>
      <c r="Q104">
        <v>0</v>
      </c>
      <c r="R104">
        <v>0.36983076462824971</v>
      </c>
      <c r="S104">
        <v>0.22439384666804399</v>
      </c>
      <c r="T104">
        <v>-0.12655251976912771</v>
      </c>
      <c r="U104">
        <v>0.35333999855614467</v>
      </c>
      <c r="V104">
        <v>0.82449829750703407</v>
      </c>
      <c r="W104">
        <v>0.40338811486771881</v>
      </c>
      <c r="X104">
        <v>0.78513057788682006</v>
      </c>
      <c r="Y104">
        <v>0.33720040096191761</v>
      </c>
      <c r="Z104">
        <v>2.6003559630986239</v>
      </c>
    </row>
    <row r="105" spans="1:26" x14ac:dyDescent="0.25">
      <c r="A105" s="1">
        <v>40633</v>
      </c>
      <c r="B105">
        <v>1.2854791089004221E-3</v>
      </c>
      <c r="C105">
        <v>-2.9950283648666361E-2</v>
      </c>
      <c r="D105">
        <v>2.1839339918260921E-2</v>
      </c>
      <c r="E105">
        <v>-8.3283941069578482E-3</v>
      </c>
      <c r="F105">
        <v>-1.2652887420439461E-2</v>
      </c>
      <c r="G105">
        <v>-2.0319037710555651E-2</v>
      </c>
      <c r="H105">
        <v>1</v>
      </c>
      <c r="I105">
        <v>-1</v>
      </c>
      <c r="J105">
        <v>2.1839339918260921E-2</v>
      </c>
      <c r="K105">
        <v>0</v>
      </c>
      <c r="L105">
        <v>8.3283941069578482E-3</v>
      </c>
      <c r="M105">
        <v>0</v>
      </c>
      <c r="N105">
        <v>0</v>
      </c>
      <c r="O105">
        <v>1.2652887420439461E-2</v>
      </c>
      <c r="P105">
        <v>0</v>
      </c>
      <c r="Q105">
        <v>-2.0319037710555651E-2</v>
      </c>
      <c r="R105">
        <v>0.39974696432745738</v>
      </c>
      <c r="S105">
        <v>0.22439384666804399</v>
      </c>
      <c r="T105">
        <v>-0.11927810492203569</v>
      </c>
      <c r="U105">
        <v>0.35333999855614467</v>
      </c>
      <c r="V105">
        <v>0.82449829750703407</v>
      </c>
      <c r="W105">
        <v>0.4211450266923229</v>
      </c>
      <c r="X105">
        <v>0.78513057788682006</v>
      </c>
      <c r="Y105">
        <v>0.31002977558820222</v>
      </c>
      <c r="Z105">
        <v>2.622857546833727</v>
      </c>
    </row>
    <row r="106" spans="1:26" x14ac:dyDescent="0.25">
      <c r="A106" s="1">
        <v>40663</v>
      </c>
      <c r="B106">
        <v>2.8864298493596952E-2</v>
      </c>
      <c r="C106">
        <v>-4.558710315473169E-4</v>
      </c>
      <c r="D106">
        <v>1.9681405435359119E-2</v>
      </c>
      <c r="E106">
        <v>1.397561243922762E-2</v>
      </c>
      <c r="F106">
        <v>5.5084795378548268E-3</v>
      </c>
      <c r="G106">
        <v>-1.5064337362032609E-2</v>
      </c>
      <c r="H106">
        <v>1</v>
      </c>
      <c r="I106">
        <v>-1</v>
      </c>
      <c r="J106">
        <v>1.9681405435359119E-2</v>
      </c>
      <c r="K106">
        <v>0</v>
      </c>
      <c r="L106">
        <v>-1.397561243922762E-2</v>
      </c>
      <c r="M106">
        <v>0</v>
      </c>
      <c r="N106">
        <v>0</v>
      </c>
      <c r="O106">
        <v>-5.5084795378548268E-3</v>
      </c>
      <c r="P106">
        <v>0</v>
      </c>
      <c r="Q106">
        <v>-1.5064337362032609E-2</v>
      </c>
      <c r="R106">
        <v>0.42729595183929908</v>
      </c>
      <c r="S106">
        <v>0.22439384666804399</v>
      </c>
      <c r="T106">
        <v>-0.13158673279438751</v>
      </c>
      <c r="U106">
        <v>0.35333999855614467</v>
      </c>
      <c r="V106">
        <v>0.82449829750703407</v>
      </c>
      <c r="W106">
        <v>0.413316678392464</v>
      </c>
      <c r="X106">
        <v>0.78513057788682006</v>
      </c>
      <c r="Y106">
        <v>0.29029504509443349</v>
      </c>
      <c r="Z106">
        <v>2.6079905229299709</v>
      </c>
    </row>
    <row r="107" spans="1:26" x14ac:dyDescent="0.25">
      <c r="A107" s="1">
        <v>40694</v>
      </c>
      <c r="B107">
        <v>-1.0816384299011109E-2</v>
      </c>
      <c r="C107">
        <v>-4.0297037463738923E-2</v>
      </c>
      <c r="D107">
        <v>9.7542720245101799E-3</v>
      </c>
      <c r="E107">
        <v>1.43401101276196E-2</v>
      </c>
      <c r="F107">
        <v>-1.639938589455037E-2</v>
      </c>
      <c r="G107">
        <v>1.6840669114757349E-2</v>
      </c>
      <c r="H107">
        <v>1</v>
      </c>
      <c r="I107">
        <v>-1</v>
      </c>
      <c r="J107">
        <v>9.7542720245101799E-3</v>
      </c>
      <c r="K107">
        <v>0</v>
      </c>
      <c r="L107">
        <v>-1.43401101276196E-2</v>
      </c>
      <c r="M107">
        <v>0</v>
      </c>
      <c r="N107">
        <v>0</v>
      </c>
      <c r="O107">
        <v>1.639938589455037E-2</v>
      </c>
      <c r="P107">
        <v>0</v>
      </c>
      <c r="Q107">
        <v>1.6840669114757349E-2</v>
      </c>
      <c r="R107">
        <v>0.44121818481302189</v>
      </c>
      <c r="S107">
        <v>0.22439384666804399</v>
      </c>
      <c r="T107">
        <v>-0.1440398746824019</v>
      </c>
      <c r="U107">
        <v>0.35333999855614467</v>
      </c>
      <c r="V107">
        <v>0.82449829750703407</v>
      </c>
      <c r="W107">
        <v>0.43649420399262628</v>
      </c>
      <c r="X107">
        <v>0.78513057788682006</v>
      </c>
      <c r="Y107">
        <v>0.31202447700927971</v>
      </c>
      <c r="Z107">
        <v>2.6366447398361692</v>
      </c>
    </row>
    <row r="108" spans="1:26" x14ac:dyDescent="0.25">
      <c r="A108" s="1">
        <v>40724</v>
      </c>
      <c r="B108">
        <v>-1.5866342396270942E-2</v>
      </c>
      <c r="C108">
        <v>-3.8774698089715121E-2</v>
      </c>
      <c r="D108">
        <v>1.9575684779288172E-2</v>
      </c>
      <c r="E108">
        <v>-2.592739457432414E-2</v>
      </c>
      <c r="F108">
        <v>-4.4668630653617043E-2</v>
      </c>
      <c r="G108">
        <v>-2.7695128029996412E-3</v>
      </c>
      <c r="H108">
        <v>1</v>
      </c>
      <c r="I108">
        <v>-1</v>
      </c>
      <c r="J108">
        <v>1.9575684779288172E-2</v>
      </c>
      <c r="K108">
        <v>0</v>
      </c>
      <c r="L108">
        <v>2.592739457432414E-2</v>
      </c>
      <c r="M108">
        <v>0</v>
      </c>
      <c r="N108">
        <v>0</v>
      </c>
      <c r="O108">
        <v>4.4668630653617043E-2</v>
      </c>
      <c r="P108">
        <v>0</v>
      </c>
      <c r="Q108">
        <v>-2.7695128029996412E-3</v>
      </c>
      <c r="R108">
        <v>0.4694310176970995</v>
      </c>
      <c r="S108">
        <v>0.22439384666804399</v>
      </c>
      <c r="T108">
        <v>-0.1218470587734046</v>
      </c>
      <c r="U108">
        <v>0.35333999855614467</v>
      </c>
      <c r="V108">
        <v>0.82449829750703407</v>
      </c>
      <c r="W108">
        <v>0.50066043302683449</v>
      </c>
      <c r="X108">
        <v>0.78513057788682006</v>
      </c>
      <c r="Y108">
        <v>0.30839080842235372</v>
      </c>
      <c r="Z108">
        <v>2.724046937040399</v>
      </c>
    </row>
    <row r="109" spans="1:26" x14ac:dyDescent="0.25">
      <c r="A109" s="1">
        <v>40755</v>
      </c>
      <c r="B109">
        <v>-1.9275459882457598E-2</v>
      </c>
      <c r="C109">
        <v>-4.3981463100691842E-3</v>
      </c>
      <c r="D109">
        <v>-3.9528802084915597E-2</v>
      </c>
      <c r="E109">
        <v>1.956556709360446E-2</v>
      </c>
      <c r="F109">
        <v>1.8433937496516339E-2</v>
      </c>
      <c r="G109">
        <v>1.6932383626717121E-2</v>
      </c>
      <c r="H109">
        <v>1</v>
      </c>
      <c r="I109">
        <v>-1</v>
      </c>
      <c r="J109">
        <v>-3.9528802084915597E-2</v>
      </c>
      <c r="K109">
        <v>0</v>
      </c>
      <c r="L109">
        <v>-1.956556709360446E-2</v>
      </c>
      <c r="M109">
        <v>0</v>
      </c>
      <c r="N109">
        <v>0</v>
      </c>
      <c r="O109">
        <v>-1.8433937496516339E-2</v>
      </c>
      <c r="P109">
        <v>0</v>
      </c>
      <c r="Q109">
        <v>1.6932383626717121E-2</v>
      </c>
      <c r="R109">
        <v>0.41134616982111472</v>
      </c>
      <c r="S109">
        <v>0.22439384666804399</v>
      </c>
      <c r="T109">
        <v>-0.13902861906341971</v>
      </c>
      <c r="U109">
        <v>0.35333999855614467</v>
      </c>
      <c r="V109">
        <v>0.82449829750703407</v>
      </c>
      <c r="W109">
        <v>0.47299735240092261</v>
      </c>
      <c r="X109">
        <v>0.78513057788682006</v>
      </c>
      <c r="Y109">
        <v>0.33054498352423162</v>
      </c>
      <c r="Z109">
        <v>2.6634510139920802</v>
      </c>
    </row>
    <row r="110" spans="1:26" x14ac:dyDescent="0.25">
      <c r="A110" s="1">
        <v>40786</v>
      </c>
      <c r="B110">
        <v>-4.7164034457418347E-2</v>
      </c>
      <c r="C110">
        <v>-0.26511569482263109</v>
      </c>
      <c r="D110">
        <v>8.2894880946911997E-2</v>
      </c>
      <c r="E110">
        <v>-3.7258150407997292E-2</v>
      </c>
      <c r="F110">
        <v>-7.2719575517119495E-2</v>
      </c>
      <c r="G110">
        <v>4.8815895679274357E-2</v>
      </c>
      <c r="H110">
        <v>1</v>
      </c>
      <c r="I110">
        <v>-1</v>
      </c>
      <c r="J110">
        <v>8.2894880946911997E-2</v>
      </c>
      <c r="K110">
        <v>0</v>
      </c>
      <c r="L110">
        <v>3.7258150407997292E-2</v>
      </c>
      <c r="M110">
        <v>0</v>
      </c>
      <c r="N110">
        <v>0</v>
      </c>
      <c r="O110">
        <v>7.2719575517119495E-2</v>
      </c>
      <c r="P110">
        <v>0</v>
      </c>
      <c r="Q110">
        <v>4.8815895679274357E-2</v>
      </c>
      <c r="R110">
        <v>0.52833954254331617</v>
      </c>
      <c r="S110">
        <v>0.22439384666804399</v>
      </c>
      <c r="T110">
        <v>-0.1069504178555034</v>
      </c>
      <c r="U110">
        <v>0.35333999855614467</v>
      </c>
      <c r="V110">
        <v>0.82449829750703407</v>
      </c>
      <c r="W110">
        <v>0.58011309460535854</v>
      </c>
      <c r="X110">
        <v>0.78513057788682006</v>
      </c>
      <c r="Y110">
        <v>0.39549672863653212</v>
      </c>
      <c r="Z110">
        <v>2.9051395165433829</v>
      </c>
    </row>
    <row r="111" spans="1:26" x14ac:dyDescent="0.25">
      <c r="A111" s="1">
        <v>40816</v>
      </c>
      <c r="B111">
        <v>-6.8471691284311853E-2</v>
      </c>
      <c r="C111">
        <v>-0.2177885214933506</v>
      </c>
      <c r="D111">
        <v>3.48458371059801E-3</v>
      </c>
      <c r="E111">
        <v>-1.8265786822075469E-2</v>
      </c>
      <c r="F111">
        <v>-2.550409981956625E-2</v>
      </c>
      <c r="G111">
        <v>5.3962664757753798E-2</v>
      </c>
      <c r="H111">
        <v>1</v>
      </c>
      <c r="I111">
        <v>-1</v>
      </c>
      <c r="J111">
        <v>3.48458371059801E-3</v>
      </c>
      <c r="K111">
        <v>0</v>
      </c>
      <c r="L111">
        <v>1.8265786822075469E-2</v>
      </c>
      <c r="M111">
        <v>0</v>
      </c>
      <c r="N111">
        <v>0</v>
      </c>
      <c r="O111">
        <v>2.550409981956625E-2</v>
      </c>
      <c r="P111">
        <v>0</v>
      </c>
      <c r="Q111">
        <v>5.3962664757753798E-2</v>
      </c>
      <c r="R111">
        <v>0.53366516961752564</v>
      </c>
      <c r="S111">
        <v>0.22439384666804399</v>
      </c>
      <c r="T111">
        <v>-9.0638164566508417E-2</v>
      </c>
      <c r="U111">
        <v>0.35333999855614467</v>
      </c>
      <c r="V111">
        <v>0.82449829750703407</v>
      </c>
      <c r="W111">
        <v>0.62041245669637735</v>
      </c>
      <c r="X111">
        <v>0.78513057788682006</v>
      </c>
      <c r="Y111">
        <v>0.47080145077448748</v>
      </c>
      <c r="Z111">
        <v>3.006356651653376</v>
      </c>
    </row>
    <row r="112" spans="1:26" x14ac:dyDescent="0.25">
      <c r="A112" s="1">
        <v>40847</v>
      </c>
      <c r="B112">
        <v>0.107163640654844</v>
      </c>
      <c r="C112">
        <v>0.15545714605069891</v>
      </c>
      <c r="D112">
        <v>1.347158731448816E-2</v>
      </c>
      <c r="E112">
        <v>2.5899325508746629E-2</v>
      </c>
      <c r="F112">
        <v>2.3375565943419829E-2</v>
      </c>
      <c r="G112">
        <v>-1.82047690917293E-2</v>
      </c>
      <c r="H112">
        <v>-1</v>
      </c>
      <c r="I112">
        <v>1</v>
      </c>
      <c r="J112">
        <v>0</v>
      </c>
      <c r="K112">
        <v>-1.347158731448816E-2</v>
      </c>
      <c r="L112">
        <v>0</v>
      </c>
      <c r="M112">
        <v>2.5899325508746629E-2</v>
      </c>
      <c r="N112">
        <v>2.3375565943419829E-2</v>
      </c>
      <c r="O112">
        <v>0</v>
      </c>
      <c r="P112">
        <v>1.82047690917293E-2</v>
      </c>
      <c r="Q112">
        <v>0</v>
      </c>
      <c r="R112">
        <v>0.53366516961752564</v>
      </c>
      <c r="S112">
        <v>0.20789931805533321</v>
      </c>
      <c r="T112">
        <v>-9.0638164566508417E-2</v>
      </c>
      <c r="U112">
        <v>0.38839059170275703</v>
      </c>
      <c r="V112">
        <v>0.86714697777406702</v>
      </c>
      <c r="W112">
        <v>0.62041245669637735</v>
      </c>
      <c r="X112">
        <v>0.81762846785583498</v>
      </c>
      <c r="Y112">
        <v>0.47080145077448748</v>
      </c>
      <c r="Z112">
        <v>3.0603647248827839</v>
      </c>
    </row>
    <row r="113" spans="1:26" x14ac:dyDescent="0.25">
      <c r="A113" s="1">
        <v>40877</v>
      </c>
      <c r="B113">
        <v>-3.5078375680075441E-4</v>
      </c>
      <c r="C113">
        <v>-8.4751631810281447E-2</v>
      </c>
      <c r="D113">
        <v>4.5075753032794097E-2</v>
      </c>
      <c r="E113">
        <v>-1.7868416400877329E-2</v>
      </c>
      <c r="F113">
        <v>6.7676645489760379E-3</v>
      </c>
      <c r="G113">
        <v>1.482402835914187E-2</v>
      </c>
      <c r="H113">
        <v>1</v>
      </c>
      <c r="I113">
        <v>-1</v>
      </c>
      <c r="J113">
        <v>4.5075753032794097E-2</v>
      </c>
      <c r="K113">
        <v>0</v>
      </c>
      <c r="L113">
        <v>1.7868416400877329E-2</v>
      </c>
      <c r="M113">
        <v>0</v>
      </c>
      <c r="N113">
        <v>0</v>
      </c>
      <c r="O113">
        <v>-6.7676645489760379E-3</v>
      </c>
      <c r="P113">
        <v>0</v>
      </c>
      <c r="Q113">
        <v>1.482402835914187E-2</v>
      </c>
      <c r="R113">
        <v>0.60279628203820335</v>
      </c>
      <c r="S113">
        <v>0.20789931805533321</v>
      </c>
      <c r="T113">
        <v>-7.4389308631916728E-2</v>
      </c>
      <c r="U113">
        <v>0.38839059170275703</v>
      </c>
      <c r="V113">
        <v>0.86714697777406702</v>
      </c>
      <c r="W113">
        <v>0.60944604875847408</v>
      </c>
      <c r="X113">
        <v>0.81762846785583498</v>
      </c>
      <c r="Y113">
        <v>0.49260465319143543</v>
      </c>
      <c r="Z113">
        <v>3.1313652581266211</v>
      </c>
    </row>
    <row r="114" spans="1:26" x14ac:dyDescent="0.25">
      <c r="A114" s="1">
        <v>40908</v>
      </c>
      <c r="B114">
        <v>1.180194383668298E-2</v>
      </c>
      <c r="C114">
        <v>-1.314867534482567E-2</v>
      </c>
      <c r="D114">
        <v>1.088533206227804E-2</v>
      </c>
      <c r="E114">
        <v>2.1367134664927678E-2</v>
      </c>
      <c r="F114">
        <v>1.3890814259616019E-2</v>
      </c>
      <c r="G114">
        <v>1.015134365780823E-3</v>
      </c>
      <c r="H114">
        <v>1</v>
      </c>
      <c r="I114">
        <v>-1</v>
      </c>
      <c r="J114">
        <v>1.088533206227804E-2</v>
      </c>
      <c r="K114">
        <v>0</v>
      </c>
      <c r="L114">
        <v>-2.1367134664927678E-2</v>
      </c>
      <c r="M114">
        <v>0</v>
      </c>
      <c r="N114">
        <v>0</v>
      </c>
      <c r="O114">
        <v>-1.3890814259616019E-2</v>
      </c>
      <c r="P114">
        <v>0</v>
      </c>
      <c r="Q114">
        <v>1.015134365780823E-3</v>
      </c>
      <c r="R114">
        <v>0.62024325179637385</v>
      </c>
      <c r="S114">
        <v>0.20789931805533321</v>
      </c>
      <c r="T114">
        <v>-9.4166956921675427E-2</v>
      </c>
      <c r="U114">
        <v>0.38839059170275703</v>
      </c>
      <c r="V114">
        <v>0.86714697777406702</v>
      </c>
      <c r="W114">
        <v>0.58708953263429731</v>
      </c>
      <c r="X114">
        <v>0.81762846785583498</v>
      </c>
      <c r="Y114">
        <v>0.4941198474694144</v>
      </c>
      <c r="Z114">
        <v>3.1080077756301359</v>
      </c>
    </row>
    <row r="115" spans="1:26" x14ac:dyDescent="0.25">
      <c r="A115" s="1">
        <v>40939</v>
      </c>
      <c r="B115">
        <v>4.5669094726066062E-2</v>
      </c>
      <c r="C115">
        <v>8.6452792946649426E-2</v>
      </c>
      <c r="D115">
        <v>-1.0113812772195589E-3</v>
      </c>
      <c r="E115">
        <v>3.7318382745143992E-2</v>
      </c>
      <c r="F115">
        <v>2.0017109211334701E-2</v>
      </c>
      <c r="G115">
        <v>-2.2554000680424569E-2</v>
      </c>
      <c r="H115">
        <v>-1</v>
      </c>
      <c r="I115">
        <v>1</v>
      </c>
      <c r="J115">
        <v>0</v>
      </c>
      <c r="K115">
        <v>1.0113812772195589E-3</v>
      </c>
      <c r="L115">
        <v>0</v>
      </c>
      <c r="M115">
        <v>3.7318382745143992E-2</v>
      </c>
      <c r="N115">
        <v>2.0017109211334701E-2</v>
      </c>
      <c r="O115">
        <v>0</v>
      </c>
      <c r="P115">
        <v>2.2554000680424569E-2</v>
      </c>
      <c r="Q115">
        <v>0</v>
      </c>
      <c r="R115">
        <v>0.62024325179637385</v>
      </c>
      <c r="S115">
        <v>0.2091209648103807</v>
      </c>
      <c r="T115">
        <v>-9.4166956921675427E-2</v>
      </c>
      <c r="U115">
        <v>0.4402030832036774</v>
      </c>
      <c r="V115">
        <v>0.90452186274178414</v>
      </c>
      <c r="W115">
        <v>0.58708953263429731</v>
      </c>
      <c r="X115">
        <v>0.85862326155661428</v>
      </c>
      <c r="Y115">
        <v>0.4941198474694144</v>
      </c>
      <c r="Z115">
        <v>3.1889086495442589</v>
      </c>
    </row>
    <row r="116" spans="1:26" x14ac:dyDescent="0.25">
      <c r="A116" s="1">
        <v>40968</v>
      </c>
      <c r="B116">
        <v>4.2796778352417568E-2</v>
      </c>
      <c r="C116">
        <v>6.6997812665639422E-2</v>
      </c>
      <c r="D116">
        <v>7.277357924039829E-3</v>
      </c>
      <c r="E116">
        <v>5.977297592793529E-3</v>
      </c>
      <c r="F116">
        <v>2.62204673782237E-2</v>
      </c>
      <c r="G116">
        <v>-3.5813584384199133E-2</v>
      </c>
      <c r="H116">
        <v>-1</v>
      </c>
      <c r="I116">
        <v>1</v>
      </c>
      <c r="J116">
        <v>0</v>
      </c>
      <c r="K116">
        <v>-7.277357924039829E-3</v>
      </c>
      <c r="L116">
        <v>0</v>
      </c>
      <c r="M116">
        <v>5.977297592793529E-3</v>
      </c>
      <c r="N116">
        <v>2.62204673782237E-2</v>
      </c>
      <c r="O116">
        <v>0</v>
      </c>
      <c r="P116">
        <v>3.5813584384199133E-2</v>
      </c>
      <c r="Q116">
        <v>0</v>
      </c>
      <c r="R116">
        <v>0.62024325179637385</v>
      </c>
      <c r="S116">
        <v>0.20032175877599531</v>
      </c>
      <c r="T116">
        <v>-9.4166956921675427E-2</v>
      </c>
      <c r="U116">
        <v>0.44881160562604472</v>
      </c>
      <c r="V116">
        <v>0.95445931611491885</v>
      </c>
      <c r="W116">
        <v>0.58708953263429731</v>
      </c>
      <c r="X116">
        <v>0.9251872225728075</v>
      </c>
      <c r="Y116">
        <v>0.4941198474694144</v>
      </c>
      <c r="Z116">
        <v>3.249642640975436</v>
      </c>
    </row>
    <row r="117" spans="1:26" x14ac:dyDescent="0.25">
      <c r="A117" s="1">
        <v>40999</v>
      </c>
      <c r="B117">
        <v>3.2220365810694429E-2</v>
      </c>
      <c r="C117">
        <v>7.3848683075361965E-2</v>
      </c>
      <c r="D117">
        <v>4.426226909826525E-3</v>
      </c>
      <c r="E117">
        <v>3.9236266618012383E-3</v>
      </c>
      <c r="F117">
        <v>-9.5955144133913484E-3</v>
      </c>
      <c r="G117">
        <v>-1.950002840898635E-3</v>
      </c>
      <c r="H117">
        <v>-1</v>
      </c>
      <c r="I117">
        <v>1</v>
      </c>
      <c r="J117">
        <v>0</v>
      </c>
      <c r="K117">
        <v>-4.426226909826525E-3</v>
      </c>
      <c r="L117">
        <v>0</v>
      </c>
      <c r="M117">
        <v>3.9236266618012383E-3</v>
      </c>
      <c r="N117">
        <v>-9.5955144133913484E-3</v>
      </c>
      <c r="O117">
        <v>0</v>
      </c>
      <c r="P117">
        <v>1.950002840898635E-3</v>
      </c>
      <c r="Q117">
        <v>0</v>
      </c>
      <c r="R117">
        <v>0.62024325179637385</v>
      </c>
      <c r="S117">
        <v>0.19500886230685069</v>
      </c>
      <c r="T117">
        <v>-9.4166956921675427E-2</v>
      </c>
      <c r="U117">
        <v>0.45449620146980602</v>
      </c>
      <c r="V117">
        <v>0.93570527357675126</v>
      </c>
      <c r="W117">
        <v>0.58708953263429731</v>
      </c>
      <c r="X117">
        <v>0.92894134312608623</v>
      </c>
      <c r="Y117">
        <v>0.4941198474694144</v>
      </c>
      <c r="Z117">
        <v>3.241494529154918</v>
      </c>
    </row>
    <row r="118" spans="1:26" x14ac:dyDescent="0.25">
      <c r="A118" s="1">
        <v>41029</v>
      </c>
      <c r="B118">
        <v>-5.914192060633483E-3</v>
      </c>
      <c r="C118">
        <v>-8.1486264916269202E-2</v>
      </c>
      <c r="D118">
        <v>2.2398821196239701E-2</v>
      </c>
      <c r="E118">
        <v>-5.0442724353834123E-3</v>
      </c>
      <c r="F118">
        <v>-1.8416535204451741E-2</v>
      </c>
      <c r="G118">
        <v>3.2564236881177711E-2</v>
      </c>
      <c r="H118">
        <v>1</v>
      </c>
      <c r="I118">
        <v>-1</v>
      </c>
      <c r="J118">
        <v>2.2398821196239701E-2</v>
      </c>
      <c r="K118">
        <v>0</v>
      </c>
      <c r="L118">
        <v>5.0442724353834123E-3</v>
      </c>
      <c r="M118">
        <v>0</v>
      </c>
      <c r="N118">
        <v>0</v>
      </c>
      <c r="O118">
        <v>1.8416535204451741E-2</v>
      </c>
      <c r="P118">
        <v>0</v>
      </c>
      <c r="Q118">
        <v>3.2564236881177711E-2</v>
      </c>
      <c r="R118">
        <v>0.65653479068777498</v>
      </c>
      <c r="S118">
        <v>0.19500886230685069</v>
      </c>
      <c r="T118">
        <v>-8.9597688271415898E-2</v>
      </c>
      <c r="U118">
        <v>0.45449620146980602</v>
      </c>
      <c r="V118">
        <v>0.93570527357675126</v>
      </c>
      <c r="W118">
        <v>0.61631822288467353</v>
      </c>
      <c r="X118">
        <v>0.92894134312608623</v>
      </c>
      <c r="Y118">
        <v>0.54277472011127759</v>
      </c>
      <c r="Z118">
        <v>3.31991839487217</v>
      </c>
    </row>
    <row r="119" spans="1:26" x14ac:dyDescent="0.25">
      <c r="A119" s="1">
        <v>41060</v>
      </c>
      <c r="B119">
        <v>-6.114719619904907E-2</v>
      </c>
      <c r="C119">
        <v>-0.1152371051603058</v>
      </c>
      <c r="D119">
        <v>-3.605296892739029E-3</v>
      </c>
      <c r="E119">
        <v>2.9591021264739888E-2</v>
      </c>
      <c r="F119">
        <v>-1.9817829561929571E-2</v>
      </c>
      <c r="G119">
        <v>9.6179515092538193E-3</v>
      </c>
      <c r="H119">
        <v>1</v>
      </c>
      <c r="I119">
        <v>-1</v>
      </c>
      <c r="J119">
        <v>-3.605296892739029E-3</v>
      </c>
      <c r="K119">
        <v>0</v>
      </c>
      <c r="L119">
        <v>-2.9591021264739888E-2</v>
      </c>
      <c r="M119">
        <v>0</v>
      </c>
      <c r="N119">
        <v>0</v>
      </c>
      <c r="O119">
        <v>1.9817829561929571E-2</v>
      </c>
      <c r="P119">
        <v>0</v>
      </c>
      <c r="Q119">
        <v>9.6179515092538193E-3</v>
      </c>
      <c r="R119">
        <v>0.65056249095419427</v>
      </c>
      <c r="S119">
        <v>0.19500886230685069</v>
      </c>
      <c r="T119">
        <v>-0.1165374224372447</v>
      </c>
      <c r="U119">
        <v>0.45449620146980602</v>
      </c>
      <c r="V119">
        <v>0.93570527357675126</v>
      </c>
      <c r="W119">
        <v>0.64835014194364304</v>
      </c>
      <c r="X119">
        <v>0.92894134312608623</v>
      </c>
      <c r="Y119">
        <v>0.55761305255901039</v>
      </c>
      <c r="Z119">
        <v>3.3161578577858739</v>
      </c>
    </row>
    <row r="120" spans="1:26" x14ac:dyDescent="0.25">
      <c r="A120" s="1">
        <v>41090</v>
      </c>
      <c r="B120">
        <v>4.1513124560503267E-2</v>
      </c>
      <c r="C120">
        <v>1.782073737984324E-2</v>
      </c>
      <c r="D120">
        <v>2.7782596707836449E-2</v>
      </c>
      <c r="E120">
        <v>-1.1696003884671961E-2</v>
      </c>
      <c r="F120">
        <v>5.0016812632243113E-3</v>
      </c>
      <c r="G120">
        <v>-1.600277585425924E-2</v>
      </c>
      <c r="H120">
        <v>-1</v>
      </c>
      <c r="I120">
        <v>1</v>
      </c>
      <c r="J120">
        <v>0</v>
      </c>
      <c r="K120">
        <v>-2.7782596707836449E-2</v>
      </c>
      <c r="L120">
        <v>0</v>
      </c>
      <c r="M120">
        <v>-1.1696003884671961E-2</v>
      </c>
      <c r="N120">
        <v>5.0016812632243113E-3</v>
      </c>
      <c r="O120">
        <v>0</v>
      </c>
      <c r="P120">
        <v>1.600277585425924E-2</v>
      </c>
      <c r="Q120">
        <v>0</v>
      </c>
      <c r="R120">
        <v>0.65056249095419427</v>
      </c>
      <c r="S120">
        <v>0.16180841302308899</v>
      </c>
      <c r="T120">
        <v>-0.1165374224372447</v>
      </c>
      <c r="U120">
        <v>0.43748440824717449</v>
      </c>
      <c r="V120">
        <v>0.94538705437472448</v>
      </c>
      <c r="W120">
        <v>0.64835014194364304</v>
      </c>
      <c r="X120">
        <v>0.95980975907614674</v>
      </c>
      <c r="Y120">
        <v>0.55761305255901039</v>
      </c>
      <c r="Z120">
        <v>3.2976837143108502</v>
      </c>
    </row>
    <row r="121" spans="1:26" x14ac:dyDescent="0.25">
      <c r="A121" s="1">
        <v>41121</v>
      </c>
      <c r="B121">
        <v>1.2546341696131219E-2</v>
      </c>
      <c r="C121">
        <v>-5.3200840097746498E-2</v>
      </c>
      <c r="D121">
        <v>1.9572797302480741E-2</v>
      </c>
      <c r="E121">
        <v>-8.0827115445336606E-3</v>
      </c>
      <c r="F121">
        <v>-5.6650998422927978E-3</v>
      </c>
      <c r="G121">
        <v>2.5850845331159111E-2</v>
      </c>
      <c r="H121">
        <v>1</v>
      </c>
      <c r="I121">
        <v>-1</v>
      </c>
      <c r="J121">
        <v>1.9572797302480741E-2</v>
      </c>
      <c r="K121">
        <v>0</v>
      </c>
      <c r="L121">
        <v>8.0827115445336606E-3</v>
      </c>
      <c r="M121">
        <v>0</v>
      </c>
      <c r="N121">
        <v>0</v>
      </c>
      <c r="O121">
        <v>5.6650998422927978E-3</v>
      </c>
      <c r="P121">
        <v>0</v>
      </c>
      <c r="Q121">
        <v>2.5850845331159111E-2</v>
      </c>
      <c r="R121">
        <v>0.68286861602471838</v>
      </c>
      <c r="S121">
        <v>0.16180841302308899</v>
      </c>
      <c r="T121">
        <v>-0.10939664926241489</v>
      </c>
      <c r="U121">
        <v>0.43748440824717449</v>
      </c>
      <c r="V121">
        <v>0.94538705437472448</v>
      </c>
      <c r="W121">
        <v>0.6576882100728112</v>
      </c>
      <c r="X121">
        <v>0.95980975907614674</v>
      </c>
      <c r="Y121">
        <v>0.59787866666650791</v>
      </c>
      <c r="Z121">
        <v>3.3568551683313159</v>
      </c>
    </row>
    <row r="122" spans="1:26" x14ac:dyDescent="0.25">
      <c r="A122" s="1">
        <v>41152</v>
      </c>
      <c r="B122">
        <v>2.5102661811052581E-2</v>
      </c>
      <c r="C122">
        <v>8.4632700088317248E-2</v>
      </c>
      <c r="D122">
        <v>-4.1511851849033174E-3</v>
      </c>
      <c r="E122">
        <v>4.2913283694288817E-2</v>
      </c>
      <c r="F122">
        <v>1.900855805033197E-2</v>
      </c>
      <c r="G122">
        <v>-2.794128276359575E-2</v>
      </c>
      <c r="H122">
        <v>-1</v>
      </c>
      <c r="I122">
        <v>1</v>
      </c>
      <c r="J122">
        <v>0</v>
      </c>
      <c r="K122">
        <v>4.1511851849033174E-3</v>
      </c>
      <c r="L122">
        <v>0</v>
      </c>
      <c r="M122">
        <v>4.2913283694288817E-2</v>
      </c>
      <c r="N122">
        <v>1.900855805033197E-2</v>
      </c>
      <c r="O122">
        <v>0</v>
      </c>
      <c r="P122">
        <v>2.794128276359575E-2</v>
      </c>
      <c r="Q122">
        <v>0</v>
      </c>
      <c r="R122">
        <v>0.68286861602471838</v>
      </c>
      <c r="S122">
        <v>0.16663129489492651</v>
      </c>
      <c r="T122">
        <v>-0.10939664926241489</v>
      </c>
      <c r="U122">
        <v>0.49917158446440252</v>
      </c>
      <c r="V122">
        <v>0.98236605712817071</v>
      </c>
      <c r="W122">
        <v>0.6576882100728112</v>
      </c>
      <c r="X122">
        <v>1.014569357717348</v>
      </c>
      <c r="Y122">
        <v>0.59787866666650791</v>
      </c>
      <c r="Z122">
        <v>3.450869478024436</v>
      </c>
    </row>
    <row r="123" spans="1:26" x14ac:dyDescent="0.25">
      <c r="A123" s="1">
        <v>41182</v>
      </c>
      <c r="B123">
        <v>2.553231788191079E-2</v>
      </c>
      <c r="C123">
        <v>7.5833269889739596E-2</v>
      </c>
      <c r="D123">
        <v>-1.147380272043785E-2</v>
      </c>
      <c r="E123">
        <v>1.407506052885776E-2</v>
      </c>
      <c r="F123">
        <v>1.6738618184470869E-2</v>
      </c>
      <c r="G123">
        <v>-2.4603309814307691E-2</v>
      </c>
      <c r="H123">
        <v>-1</v>
      </c>
      <c r="I123">
        <v>1</v>
      </c>
      <c r="J123">
        <v>0</v>
      </c>
      <c r="K123">
        <v>1.147380272043785E-2</v>
      </c>
      <c r="L123">
        <v>0</v>
      </c>
      <c r="M123">
        <v>1.407506052885776E-2</v>
      </c>
      <c r="N123">
        <v>1.6738618184470869E-2</v>
      </c>
      <c r="O123">
        <v>0</v>
      </c>
      <c r="P123">
        <v>2.4603309814307691E-2</v>
      </c>
      <c r="Q123">
        <v>0</v>
      </c>
      <c r="R123">
        <v>0.68286861602471838</v>
      </c>
      <c r="S123">
        <v>0.18001699222003989</v>
      </c>
      <c r="T123">
        <v>-0.10939664926241489</v>
      </c>
      <c r="U123">
        <v>0.52027251525888252</v>
      </c>
      <c r="V123">
        <v>1.0155481256602941</v>
      </c>
      <c r="W123">
        <v>0.6576882100728112</v>
      </c>
      <c r="X123">
        <v>1.0641344317676791</v>
      </c>
      <c r="Y123">
        <v>0.59787866666650791</v>
      </c>
      <c r="Z123">
        <v>3.5177602692725101</v>
      </c>
    </row>
    <row r="124" spans="1:26" x14ac:dyDescent="0.25">
      <c r="A124" s="1">
        <v>41213</v>
      </c>
      <c r="B124">
        <v>-1.7901778969337648E-2</v>
      </c>
      <c r="C124">
        <v>1.388131811040616E-2</v>
      </c>
      <c r="D124">
        <v>-1.4223297509410201E-2</v>
      </c>
      <c r="E124">
        <v>1.3527572611922389E-2</v>
      </c>
      <c r="F124">
        <v>1.49977387352882E-2</v>
      </c>
      <c r="G124">
        <v>-2.275893419040553E-2</v>
      </c>
      <c r="H124">
        <v>-1</v>
      </c>
      <c r="I124">
        <v>1</v>
      </c>
      <c r="J124">
        <v>0</v>
      </c>
      <c r="K124">
        <v>1.4223297509410201E-2</v>
      </c>
      <c r="L124">
        <v>0</v>
      </c>
      <c r="M124">
        <v>1.3527572611922389E-2</v>
      </c>
      <c r="N124">
        <v>1.49977387352882E-2</v>
      </c>
      <c r="O124">
        <v>0</v>
      </c>
      <c r="P124">
        <v>2.275893419040553E-2</v>
      </c>
      <c r="Q124">
        <v>0</v>
      </c>
      <c r="R124">
        <v>0.68286861602471838</v>
      </c>
      <c r="S124">
        <v>0.19680072496654491</v>
      </c>
      <c r="T124">
        <v>-0.10939664926241489</v>
      </c>
      <c r="U124">
        <v>0.54083811209895694</v>
      </c>
      <c r="V124">
        <v>1.0457767898573469</v>
      </c>
      <c r="W124">
        <v>0.6576882100728112</v>
      </c>
      <c r="X124">
        <v>1.111111931460429</v>
      </c>
      <c r="Y124">
        <v>0.59787866666650791</v>
      </c>
      <c r="Z124">
        <v>3.5832678123195358</v>
      </c>
    </row>
    <row r="125" spans="1:26" x14ac:dyDescent="0.25">
      <c r="A125" s="1">
        <v>41243</v>
      </c>
      <c r="B125">
        <v>6.5703640433089072E-3</v>
      </c>
      <c r="C125">
        <v>-2.1033112998441239E-2</v>
      </c>
      <c r="D125">
        <v>1.932720215024886E-2</v>
      </c>
      <c r="E125">
        <v>3.7164275777423761E-3</v>
      </c>
      <c r="F125">
        <v>-1.1211079075729709E-2</v>
      </c>
      <c r="G125">
        <v>5.4322112050200211E-3</v>
      </c>
      <c r="H125">
        <v>1</v>
      </c>
      <c r="I125">
        <v>-1</v>
      </c>
      <c r="J125">
        <v>1.932720215024886E-2</v>
      </c>
      <c r="K125">
        <v>0</v>
      </c>
      <c r="L125">
        <v>-3.7164275777423761E-3</v>
      </c>
      <c r="M125">
        <v>0</v>
      </c>
      <c r="N125">
        <v>0</v>
      </c>
      <c r="O125">
        <v>1.1211079075729709E-2</v>
      </c>
      <c r="P125">
        <v>0</v>
      </c>
      <c r="Q125">
        <v>5.4322112050200211E-3</v>
      </c>
      <c r="R125">
        <v>0.71539375795893756</v>
      </c>
      <c r="S125">
        <v>0.19680072496654491</v>
      </c>
      <c r="T125">
        <v>-0.11270651211592569</v>
      </c>
      <c r="U125">
        <v>0.54083811209895694</v>
      </c>
      <c r="V125">
        <v>1.0457767898573469</v>
      </c>
      <c r="W125">
        <v>0.67627268367884241</v>
      </c>
      <c r="X125">
        <v>1.111111931460429</v>
      </c>
      <c r="Y125">
        <v>0.60655868106383615</v>
      </c>
      <c r="Z125">
        <v>3.6155218771727919</v>
      </c>
    </row>
    <row r="126" spans="1:26" x14ac:dyDescent="0.25">
      <c r="A126" s="1">
        <v>41274</v>
      </c>
      <c r="B126">
        <v>9.400941085582093E-3</v>
      </c>
      <c r="C126">
        <v>3.0020941280008762E-2</v>
      </c>
      <c r="D126">
        <v>-2.4485150259216941E-3</v>
      </c>
      <c r="E126">
        <v>-6.4117452482019832E-3</v>
      </c>
      <c r="F126">
        <v>1.8525306041050631E-3</v>
      </c>
      <c r="G126">
        <v>-8.6112808530114382E-4</v>
      </c>
      <c r="H126">
        <v>-1</v>
      </c>
      <c r="I126">
        <v>1</v>
      </c>
      <c r="J126">
        <v>0</v>
      </c>
      <c r="K126">
        <v>2.4485150259216941E-3</v>
      </c>
      <c r="L126">
        <v>0</v>
      </c>
      <c r="M126">
        <v>-6.4117452482019832E-3</v>
      </c>
      <c r="N126">
        <v>1.8525306041050631E-3</v>
      </c>
      <c r="O126">
        <v>0</v>
      </c>
      <c r="P126">
        <v>8.6112808530114382E-4</v>
      </c>
      <c r="Q126">
        <v>0</v>
      </c>
      <c r="R126">
        <v>0.71539375795893756</v>
      </c>
      <c r="S126">
        <v>0.19973110952465939</v>
      </c>
      <c r="T126">
        <v>-0.11270651211592569</v>
      </c>
      <c r="U126">
        <v>0.530958650655458</v>
      </c>
      <c r="V126">
        <v>1.049566653969725</v>
      </c>
      <c r="W126">
        <v>0.67627268367884241</v>
      </c>
      <c r="X126">
        <v>1.112929869235824</v>
      </c>
      <c r="Y126">
        <v>0.60655868106383615</v>
      </c>
      <c r="Z126">
        <v>3.614272305639918</v>
      </c>
    </row>
    <row r="127" spans="1:26" x14ac:dyDescent="0.25">
      <c r="A127" s="1">
        <v>41305</v>
      </c>
      <c r="B127">
        <v>5.0375732379418732E-2</v>
      </c>
      <c r="C127">
        <v>5.6813323218638301E-2</v>
      </c>
      <c r="D127">
        <v>2.2424607129983838E-3</v>
      </c>
      <c r="E127">
        <v>-2.3200434748722801E-2</v>
      </c>
      <c r="F127">
        <v>2.2152246321508251E-2</v>
      </c>
      <c r="G127">
        <v>-1.6010098972738081E-2</v>
      </c>
      <c r="H127">
        <v>-1</v>
      </c>
      <c r="I127">
        <v>1</v>
      </c>
      <c r="J127">
        <v>0</v>
      </c>
      <c r="K127">
        <v>-2.2424607129983838E-3</v>
      </c>
      <c r="L127">
        <v>0</v>
      </c>
      <c r="M127">
        <v>-2.3200434748722801E-2</v>
      </c>
      <c r="N127">
        <v>2.2152246321508251E-2</v>
      </c>
      <c r="O127">
        <v>0</v>
      </c>
      <c r="P127">
        <v>1.6010098972738081E-2</v>
      </c>
      <c r="Q127">
        <v>0</v>
      </c>
      <c r="R127">
        <v>0.71539375795893756</v>
      </c>
      <c r="S127">
        <v>0.19704075964538831</v>
      </c>
      <c r="T127">
        <v>-0.11270651211592569</v>
      </c>
      <c r="U127">
        <v>0.49543974437793331</v>
      </c>
      <c r="V127">
        <v>1.094969159340812</v>
      </c>
      <c r="W127">
        <v>0.67627268367884241</v>
      </c>
      <c r="X127">
        <v>1.1467580855647439</v>
      </c>
      <c r="Y127">
        <v>0.60655868106383615</v>
      </c>
      <c r="Z127">
        <v>3.626991755472444</v>
      </c>
    </row>
    <row r="128" spans="1:26" x14ac:dyDescent="0.25">
      <c r="A128" s="1">
        <v>41333</v>
      </c>
      <c r="B128">
        <v>1.3323518939198919E-2</v>
      </c>
      <c r="C128">
        <v>1.4771983379463619E-2</v>
      </c>
      <c r="D128">
        <v>-1.557899305032362E-3</v>
      </c>
      <c r="E128">
        <v>1.278029706406358E-2</v>
      </c>
      <c r="F128">
        <v>8.5490067330309394E-3</v>
      </c>
      <c r="G128">
        <v>-3.0948818159067799E-3</v>
      </c>
      <c r="H128">
        <v>-1</v>
      </c>
      <c r="I128">
        <v>1</v>
      </c>
      <c r="J128">
        <v>0</v>
      </c>
      <c r="K128">
        <v>1.557899305032362E-3</v>
      </c>
      <c r="L128">
        <v>0</v>
      </c>
      <c r="M128">
        <v>1.278029706406358E-2</v>
      </c>
      <c r="N128">
        <v>8.5490067330309394E-3</v>
      </c>
      <c r="O128">
        <v>0</v>
      </c>
      <c r="P128">
        <v>3.0948818159067799E-3</v>
      </c>
      <c r="Q128">
        <v>0</v>
      </c>
      <c r="R128">
        <v>0.71539375795893756</v>
      </c>
      <c r="S128">
        <v>0.1989056286129354</v>
      </c>
      <c r="T128">
        <v>-0.11270651211592569</v>
      </c>
      <c r="U128">
        <v>0.51455190855249056</v>
      </c>
      <c r="V128">
        <v>1.112879064789509</v>
      </c>
      <c r="W128">
        <v>0.67627268367884241</v>
      </c>
      <c r="X128">
        <v>1.1534020481269101</v>
      </c>
      <c r="Y128">
        <v>0.60655868106383615</v>
      </c>
      <c r="Z128">
        <v>3.652973840390477</v>
      </c>
    </row>
    <row r="129" spans="1:26" x14ac:dyDescent="0.25">
      <c r="A129" s="1">
        <v>41364</v>
      </c>
      <c r="B129">
        <v>3.7520910246423678E-2</v>
      </c>
      <c r="C129">
        <v>3.0856362066912339E-2</v>
      </c>
      <c r="D129">
        <v>1.493083082183244E-2</v>
      </c>
      <c r="E129">
        <v>4.47629521026216E-3</v>
      </c>
      <c r="F129">
        <v>2.075534602373752E-2</v>
      </c>
      <c r="G129">
        <v>-1.9501847964132461E-2</v>
      </c>
      <c r="H129">
        <v>-1</v>
      </c>
      <c r="I129">
        <v>1</v>
      </c>
      <c r="J129">
        <v>0</v>
      </c>
      <c r="K129">
        <v>-1.493083082183244E-2</v>
      </c>
      <c r="L129">
        <v>0</v>
      </c>
      <c r="M129">
        <v>4.47629521026216E-3</v>
      </c>
      <c r="N129">
        <v>2.075534602373752E-2</v>
      </c>
      <c r="O129">
        <v>0</v>
      </c>
      <c r="P129">
        <v>1.9501847964132461E-2</v>
      </c>
      <c r="Q129">
        <v>0</v>
      </c>
      <c r="R129">
        <v>0.71539375795893756</v>
      </c>
      <c r="S129">
        <v>0.18100497150077291</v>
      </c>
      <c r="T129">
        <v>-0.11270651211592569</v>
      </c>
      <c r="U129">
        <v>0.52133149000643764</v>
      </c>
      <c r="V129">
        <v>1.1567326008855261</v>
      </c>
      <c r="W129">
        <v>0.67627268367884241</v>
      </c>
      <c r="X129">
        <v>1.1953973674751319</v>
      </c>
      <c r="Y129">
        <v>0.60655868106383615</v>
      </c>
      <c r="Z129">
        <v>3.6827764987667768</v>
      </c>
    </row>
    <row r="130" spans="1:26" x14ac:dyDescent="0.25">
      <c r="A130" s="1">
        <v>41394</v>
      </c>
      <c r="B130">
        <v>1.987532540268511E-2</v>
      </c>
      <c r="C130">
        <v>-5.1883650608686598E-2</v>
      </c>
      <c r="D130">
        <v>2.6752344898006711E-2</v>
      </c>
      <c r="E130">
        <v>1.5311372282450499E-3</v>
      </c>
      <c r="F130">
        <v>-9.5944539748307189E-3</v>
      </c>
      <c r="G130">
        <v>4.4586601348164938E-2</v>
      </c>
      <c r="H130">
        <v>1</v>
      </c>
      <c r="I130">
        <v>-1</v>
      </c>
      <c r="J130">
        <v>2.6752344898006711E-2</v>
      </c>
      <c r="K130">
        <v>0</v>
      </c>
      <c r="L130">
        <v>-1.5311372282450499E-3</v>
      </c>
      <c r="M130">
        <v>0</v>
      </c>
      <c r="N130">
        <v>0</v>
      </c>
      <c r="O130">
        <v>9.5944539748307189E-3</v>
      </c>
      <c r="P130">
        <v>0</v>
      </c>
      <c r="Q130">
        <v>4.4586601348164938E-2</v>
      </c>
      <c r="R130">
        <v>0.76128456340774298</v>
      </c>
      <c r="S130">
        <v>0.18100497150077291</v>
      </c>
      <c r="T130">
        <v>-0.1140650802076045</v>
      </c>
      <c r="U130">
        <v>0.52133149000643764</v>
      </c>
      <c r="V130">
        <v>1.1567326008855261</v>
      </c>
      <c r="W130">
        <v>0.69235560479166502</v>
      </c>
      <c r="X130">
        <v>1.1953973674751319</v>
      </c>
      <c r="Y130">
        <v>0.67818967251886297</v>
      </c>
      <c r="Z130">
        <v>3.762178761759535</v>
      </c>
    </row>
    <row r="131" spans="1:26" x14ac:dyDescent="0.25">
      <c r="A131" s="1">
        <v>41425</v>
      </c>
      <c r="B131">
        <v>2.3811776812379119E-2</v>
      </c>
      <c r="C131">
        <v>8.626095402029621E-2</v>
      </c>
      <c r="D131">
        <v>-2.232197992897544E-2</v>
      </c>
      <c r="E131">
        <v>-2.8668110407603309E-2</v>
      </c>
      <c r="F131">
        <v>1.82699661854876E-2</v>
      </c>
      <c r="G131">
        <v>-2.0970510977447069E-2</v>
      </c>
      <c r="H131">
        <v>-1</v>
      </c>
      <c r="I131">
        <v>1</v>
      </c>
      <c r="J131">
        <v>0</v>
      </c>
      <c r="K131">
        <v>2.232197992897544E-2</v>
      </c>
      <c r="L131">
        <v>0</v>
      </c>
      <c r="M131">
        <v>-2.8668110407603309E-2</v>
      </c>
      <c r="N131">
        <v>1.82699661854876E-2</v>
      </c>
      <c r="O131">
        <v>0</v>
      </c>
      <c r="P131">
        <v>2.0970510977447069E-2</v>
      </c>
      <c r="Q131">
        <v>0</v>
      </c>
      <c r="R131">
        <v>0.76128456340774298</v>
      </c>
      <c r="S131">
        <v>0.20736734077063329</v>
      </c>
      <c r="T131">
        <v>-0.1140650802076045</v>
      </c>
      <c r="U131">
        <v>0.47771779088436928</v>
      </c>
      <c r="V131">
        <v>1.1961360325748429</v>
      </c>
      <c r="W131">
        <v>0.69235560479166502</v>
      </c>
      <c r="X131">
        <v>1.241435972069628</v>
      </c>
      <c r="Y131">
        <v>0.67818967251886297</v>
      </c>
      <c r="Z131">
        <v>3.7950731084438409</v>
      </c>
    </row>
    <row r="132" spans="1:26" x14ac:dyDescent="0.25">
      <c r="A132" s="1">
        <v>41455</v>
      </c>
      <c r="B132">
        <v>-1.229001609534053E-2</v>
      </c>
      <c r="C132">
        <v>2.9989910315959989E-2</v>
      </c>
      <c r="D132">
        <v>8.6522415182115342E-3</v>
      </c>
      <c r="E132">
        <v>1.878912870121496E-2</v>
      </c>
      <c r="F132">
        <v>8.4726509593270327E-3</v>
      </c>
      <c r="G132">
        <v>-8.6165329716749728E-3</v>
      </c>
      <c r="H132">
        <v>-1</v>
      </c>
      <c r="I132">
        <v>1</v>
      </c>
      <c r="J132">
        <v>0</v>
      </c>
      <c r="K132">
        <v>-8.6522415182115342E-3</v>
      </c>
      <c r="L132">
        <v>0</v>
      </c>
      <c r="M132">
        <v>1.878912870121496E-2</v>
      </c>
      <c r="N132">
        <v>8.4726509593270327E-3</v>
      </c>
      <c r="O132">
        <v>0</v>
      </c>
      <c r="P132">
        <v>8.6165329716749728E-3</v>
      </c>
      <c r="Q132">
        <v>0</v>
      </c>
      <c r="R132">
        <v>0.76128456340774298</v>
      </c>
      <c r="S132">
        <v>0.196920906937085</v>
      </c>
      <c r="T132">
        <v>-0.1140650802076045</v>
      </c>
      <c r="U132">
        <v>0.50548282064137084</v>
      </c>
      <c r="V132">
        <v>1.214743126638052</v>
      </c>
      <c r="W132">
        <v>0.69235560479166502</v>
      </c>
      <c r="X132">
        <v>1.260749379026864</v>
      </c>
      <c r="Y132">
        <v>0.67818967251886297</v>
      </c>
      <c r="Z132">
        <v>3.8222991795578469</v>
      </c>
    </row>
    <row r="133" spans="1:26" x14ac:dyDescent="0.25">
      <c r="A133" s="1">
        <v>41486</v>
      </c>
      <c r="B133">
        <v>5.0648490279656011E-2</v>
      </c>
      <c r="C133">
        <v>6.1873250322089013E-2</v>
      </c>
      <c r="D133">
        <v>-4.6544922521374321E-3</v>
      </c>
      <c r="E133">
        <v>-1.5153685231819369E-2</v>
      </c>
      <c r="F133">
        <v>2.1857302596304699E-2</v>
      </c>
      <c r="G133">
        <v>-2.6004707699251891E-2</v>
      </c>
      <c r="H133">
        <v>-1</v>
      </c>
      <c r="I133">
        <v>1</v>
      </c>
      <c r="J133">
        <v>0</v>
      </c>
      <c r="K133">
        <v>4.6544922521374321E-3</v>
      </c>
      <c r="L133">
        <v>0</v>
      </c>
      <c r="M133">
        <v>-1.5153685231819369E-2</v>
      </c>
      <c r="N133">
        <v>2.1857302596304699E-2</v>
      </c>
      <c r="O133">
        <v>0</v>
      </c>
      <c r="P133">
        <v>2.6004707699251891E-2</v>
      </c>
      <c r="Q133">
        <v>0</v>
      </c>
      <c r="R133">
        <v>0.76128456340774298</v>
      </c>
      <c r="S133">
        <v>0.20249196602484501</v>
      </c>
      <c r="T133">
        <v>-0.1140650802076045</v>
      </c>
      <c r="U133">
        <v>0.48266920785546003</v>
      </c>
      <c r="V133">
        <v>1.263151437330065</v>
      </c>
      <c r="W133">
        <v>0.69235560479166502</v>
      </c>
      <c r="X133">
        <v>1.319539505809723</v>
      </c>
      <c r="Y133">
        <v>0.67818967251886297</v>
      </c>
      <c r="Z133">
        <v>3.8596619968737209</v>
      </c>
    </row>
    <row r="134" spans="1:26" x14ac:dyDescent="0.25">
      <c r="A134" s="1">
        <v>41517</v>
      </c>
      <c r="B134">
        <v>-2.997866909417379E-2</v>
      </c>
      <c r="C134">
        <v>2.5292213458425691E-2</v>
      </c>
      <c r="D134">
        <v>-5.3484016438215543E-3</v>
      </c>
      <c r="E134">
        <v>3.7364894243720581E-2</v>
      </c>
      <c r="F134">
        <v>2.872619712449453E-3</v>
      </c>
      <c r="G134">
        <v>-5.5715468283552561E-3</v>
      </c>
      <c r="H134">
        <v>-1</v>
      </c>
      <c r="I134">
        <v>1</v>
      </c>
      <c r="J134">
        <v>0</v>
      </c>
      <c r="K134">
        <v>5.3484016438215543E-3</v>
      </c>
      <c r="L134">
        <v>0</v>
      </c>
      <c r="M134">
        <v>3.7364894243720581E-2</v>
      </c>
      <c r="N134">
        <v>2.872619712449453E-3</v>
      </c>
      <c r="O134">
        <v>0</v>
      </c>
      <c r="P134">
        <v>5.5715468283552561E-3</v>
      </c>
      <c r="Q134">
        <v>0</v>
      </c>
      <c r="R134">
        <v>0.76128456340774298</v>
      </c>
      <c r="S134">
        <v>0.2089233760326146</v>
      </c>
      <c r="T134">
        <v>-0.1140650802076045</v>
      </c>
      <c r="U134">
        <v>0.53806898600540021</v>
      </c>
      <c r="V134">
        <v>1.2696526107611981</v>
      </c>
      <c r="W134">
        <v>0.69235560479166502</v>
      </c>
      <c r="X134">
        <v>1.332462928786561</v>
      </c>
      <c r="Y134">
        <v>0.67818967251886297</v>
      </c>
      <c r="Z134">
        <v>3.910819459302068</v>
      </c>
    </row>
    <row r="135" spans="1:26" x14ac:dyDescent="0.25">
      <c r="A135" s="1">
        <v>41547</v>
      </c>
      <c r="B135">
        <v>3.1454011365737222E-2</v>
      </c>
      <c r="C135">
        <v>4.2500485527815927E-2</v>
      </c>
      <c r="D135">
        <v>-1.1323904469407229E-2</v>
      </c>
      <c r="E135">
        <v>6.7839677678699362E-3</v>
      </c>
      <c r="F135">
        <v>2.4119802550604641E-2</v>
      </c>
      <c r="G135">
        <v>-2.47960037227315E-2</v>
      </c>
      <c r="H135">
        <v>-1</v>
      </c>
      <c r="I135">
        <v>1</v>
      </c>
      <c r="J135">
        <v>0</v>
      </c>
      <c r="K135">
        <v>1.1323904469407229E-2</v>
      </c>
      <c r="L135">
        <v>0</v>
      </c>
      <c r="M135">
        <v>6.7839677678699362E-3</v>
      </c>
      <c r="N135">
        <v>2.4119802550604641E-2</v>
      </c>
      <c r="O135">
        <v>0</v>
      </c>
      <c r="P135">
        <v>2.47960037227315E-2</v>
      </c>
      <c r="Q135">
        <v>0</v>
      </c>
      <c r="R135">
        <v>0.76128456340774298</v>
      </c>
      <c r="S135">
        <v>0.22261310885364119</v>
      </c>
      <c r="T135">
        <v>-0.1140650802076045</v>
      </c>
      <c r="U135">
        <v>0.54850319643122125</v>
      </c>
      <c r="V135">
        <v>1.324396183591223</v>
      </c>
      <c r="W135">
        <v>0.69235560479166502</v>
      </c>
      <c r="X135">
        <v>1.390298688251886</v>
      </c>
      <c r="Y135">
        <v>0.67818967251886297</v>
      </c>
      <c r="Z135">
        <v>3.9778431378126822</v>
      </c>
    </row>
    <row r="136" spans="1:26" x14ac:dyDescent="0.25">
      <c r="A136" s="1">
        <v>41578</v>
      </c>
      <c r="B136">
        <v>4.5977544465649611E-2</v>
      </c>
      <c r="C136">
        <v>3.2323251634276629E-2</v>
      </c>
      <c r="D136">
        <v>8.0149639547700824E-3</v>
      </c>
      <c r="E136">
        <v>8.8822119789453424E-3</v>
      </c>
      <c r="F136">
        <v>-3.3174890677609699E-3</v>
      </c>
      <c r="G136">
        <v>1.8460307016165969E-4</v>
      </c>
      <c r="H136">
        <v>-1</v>
      </c>
      <c r="I136">
        <v>1</v>
      </c>
      <c r="J136">
        <v>0</v>
      </c>
      <c r="K136">
        <v>-8.0149639547700824E-3</v>
      </c>
      <c r="L136">
        <v>0</v>
      </c>
      <c r="M136">
        <v>8.8822119789453424E-3</v>
      </c>
      <c r="N136">
        <v>-3.3174890677609699E-3</v>
      </c>
      <c r="O136">
        <v>0</v>
      </c>
      <c r="P136">
        <v>-1.8460307016165969E-4</v>
      </c>
      <c r="Q136">
        <v>0</v>
      </c>
      <c r="R136">
        <v>0.76128456340774298</v>
      </c>
      <c r="S136">
        <v>0.21281390885554979</v>
      </c>
      <c r="T136">
        <v>-0.1140650802076045</v>
      </c>
      <c r="U136">
        <v>0.56225733007199774</v>
      </c>
      <c r="V136">
        <v>1.316685024663014</v>
      </c>
      <c r="W136">
        <v>0.69235560479166502</v>
      </c>
      <c r="X136">
        <v>1.389857431775432</v>
      </c>
      <c r="Y136">
        <v>0.67818967251886297</v>
      </c>
      <c r="Z136">
        <v>3.9752082936989339</v>
      </c>
    </row>
    <row r="137" spans="1:26" x14ac:dyDescent="0.25">
      <c r="A137" s="1">
        <v>41608</v>
      </c>
      <c r="B137">
        <v>2.9522448946941671E-2</v>
      </c>
      <c r="C137">
        <v>6.4633184575448754E-2</v>
      </c>
      <c r="D137">
        <v>6.0565855347349817E-3</v>
      </c>
      <c r="E137">
        <v>1.4521281482777759E-2</v>
      </c>
      <c r="F137">
        <v>-4.7968416067383224E-3</v>
      </c>
      <c r="G137">
        <v>-1.288420267401658E-2</v>
      </c>
      <c r="H137">
        <v>-1</v>
      </c>
      <c r="I137">
        <v>1</v>
      </c>
      <c r="J137">
        <v>0</v>
      </c>
      <c r="K137">
        <v>-6.0565855347349817E-3</v>
      </c>
      <c r="L137">
        <v>0</v>
      </c>
      <c r="M137">
        <v>1.4521281482777759E-2</v>
      </c>
      <c r="N137">
        <v>-4.7968416067383224E-3</v>
      </c>
      <c r="O137">
        <v>0</v>
      </c>
      <c r="P137">
        <v>1.288420267401658E-2</v>
      </c>
      <c r="Q137">
        <v>0</v>
      </c>
      <c r="R137">
        <v>0.76128456340774298</v>
      </c>
      <c r="S137">
        <v>0.20546839767884981</v>
      </c>
      <c r="T137">
        <v>-0.1140650802076045</v>
      </c>
      <c r="U137">
        <v>0.58494330851050602</v>
      </c>
      <c r="V137">
        <v>1.305572253547002</v>
      </c>
      <c r="W137">
        <v>0.69235560479166502</v>
      </c>
      <c r="X137">
        <v>1.4206488392884311</v>
      </c>
      <c r="Y137">
        <v>0.67818967251886297</v>
      </c>
      <c r="Z137">
        <v>3.9917603507142552</v>
      </c>
    </row>
    <row r="138" spans="1:26" x14ac:dyDescent="0.25">
      <c r="A138" s="1">
        <v>41639</v>
      </c>
      <c r="B138">
        <v>2.5986072994644172E-2</v>
      </c>
      <c r="C138">
        <v>7.4750921767019474E-3</v>
      </c>
      <c r="D138">
        <v>1.7133696626297708E-2</v>
      </c>
      <c r="E138">
        <v>-1.9825289674433422E-2</v>
      </c>
      <c r="F138">
        <v>-2.4703045329432788E-4</v>
      </c>
      <c r="G138">
        <v>-1.168644928442408E-2</v>
      </c>
      <c r="H138">
        <v>-1</v>
      </c>
      <c r="I138">
        <v>1</v>
      </c>
      <c r="J138">
        <v>0</v>
      </c>
      <c r="K138">
        <v>-1.7133696626297708E-2</v>
      </c>
      <c r="L138">
        <v>0</v>
      </c>
      <c r="M138">
        <v>-1.9825289674433422E-2</v>
      </c>
      <c r="N138">
        <v>-2.4703045329432788E-4</v>
      </c>
      <c r="O138">
        <v>0</v>
      </c>
      <c r="P138">
        <v>1.168644928442408E-2</v>
      </c>
      <c r="Q138">
        <v>0</v>
      </c>
      <c r="R138">
        <v>0.76128456340774298</v>
      </c>
      <c r="S138">
        <v>0.1848142678604312</v>
      </c>
      <c r="T138">
        <v>-0.1140650802076045</v>
      </c>
      <c r="U138">
        <v>0.5535213483017305</v>
      </c>
      <c r="V138">
        <v>1.3050027069881061</v>
      </c>
      <c r="W138">
        <v>0.69235560479166502</v>
      </c>
      <c r="X138">
        <v>1.4489376291841749</v>
      </c>
      <c r="Y138">
        <v>0.67818967251886297</v>
      </c>
      <c r="Z138">
        <v>3.966240783244654</v>
      </c>
    </row>
    <row r="139" spans="1:26" x14ac:dyDescent="0.25">
      <c r="A139" s="1">
        <v>41670</v>
      </c>
      <c r="B139">
        <v>-3.5220413900822312E-2</v>
      </c>
      <c r="C139">
        <v>-5.7586692531903183E-2</v>
      </c>
      <c r="D139">
        <v>-2.5163743884780151E-2</v>
      </c>
      <c r="E139">
        <v>1.3964283790534269E-2</v>
      </c>
      <c r="F139">
        <v>-6.2855331213240717E-3</v>
      </c>
      <c r="G139">
        <v>7.0636001951008831E-3</v>
      </c>
      <c r="H139">
        <v>1</v>
      </c>
      <c r="I139">
        <v>-1</v>
      </c>
      <c r="J139">
        <v>-2.5163743884780151E-2</v>
      </c>
      <c r="K139">
        <v>0</v>
      </c>
      <c r="L139">
        <v>-1.3964283790534269E-2</v>
      </c>
      <c r="M139">
        <v>0</v>
      </c>
      <c r="N139">
        <v>0</v>
      </c>
      <c r="O139">
        <v>6.2855331213240717E-3</v>
      </c>
      <c r="P139">
        <v>0</v>
      </c>
      <c r="Q139">
        <v>7.0636001951008831E-3</v>
      </c>
      <c r="R139">
        <v>0.71696404974593375</v>
      </c>
      <c r="S139">
        <v>0.1848142678604312</v>
      </c>
      <c r="T139">
        <v>-0.12643652684752971</v>
      </c>
      <c r="U139">
        <v>0.5535213483017305</v>
      </c>
      <c r="V139">
        <v>1.3050027069881061</v>
      </c>
      <c r="W139">
        <v>0.70299296199864147</v>
      </c>
      <c r="X139">
        <v>1.4489376291841749</v>
      </c>
      <c r="Y139">
        <v>0.69004373341708369</v>
      </c>
      <c r="Z139">
        <v>3.940461888885765</v>
      </c>
    </row>
    <row r="140" spans="1:26" x14ac:dyDescent="0.25">
      <c r="A140" s="1">
        <v>41698</v>
      </c>
      <c r="B140">
        <v>4.5117715684065203E-2</v>
      </c>
      <c r="C140">
        <v>5.2363089174237487E-2</v>
      </c>
      <c r="D140">
        <v>7.452502213549872E-3</v>
      </c>
      <c r="E140">
        <v>2.0257714336295422E-2</v>
      </c>
      <c r="F140">
        <v>8.8277258396759484E-3</v>
      </c>
      <c r="G140">
        <v>-1.112083005732312E-2</v>
      </c>
      <c r="H140">
        <v>-1</v>
      </c>
      <c r="I140">
        <v>1</v>
      </c>
      <c r="J140">
        <v>0</v>
      </c>
      <c r="K140">
        <v>-7.452502213549872E-3</v>
      </c>
      <c r="L140">
        <v>0</v>
      </c>
      <c r="M140">
        <v>2.0257714336295422E-2</v>
      </c>
      <c r="N140">
        <v>8.8277258396759484E-3</v>
      </c>
      <c r="O140">
        <v>0</v>
      </c>
      <c r="P140">
        <v>1.112083005732312E-2</v>
      </c>
      <c r="Q140">
        <v>0</v>
      </c>
      <c r="R140">
        <v>0.71696404974593375</v>
      </c>
      <c r="S140">
        <v>0.17598443690655599</v>
      </c>
      <c r="T140">
        <v>-0.12643652684752971</v>
      </c>
      <c r="U140">
        <v>0.58499213999096344</v>
      </c>
      <c r="V140">
        <v>1.325350638945108</v>
      </c>
      <c r="W140">
        <v>0.70299296199864147</v>
      </c>
      <c r="X140">
        <v>1.476171848379316</v>
      </c>
      <c r="Y140">
        <v>0.69004373341708369</v>
      </c>
      <c r="Z140">
        <v>3.9732156569055088</v>
      </c>
    </row>
    <row r="141" spans="1:26" x14ac:dyDescent="0.25">
      <c r="A141" s="1">
        <v>41729</v>
      </c>
      <c r="B141">
        <v>8.6650501937606261E-3</v>
      </c>
      <c r="C141">
        <v>4.4915227794476431E-3</v>
      </c>
      <c r="D141">
        <v>4.4339955823823329E-3</v>
      </c>
      <c r="E141">
        <v>8.100181603276857E-3</v>
      </c>
      <c r="F141">
        <v>1.0645429046189481E-2</v>
      </c>
      <c r="G141">
        <v>-2.236128541293958E-2</v>
      </c>
      <c r="H141">
        <v>-1</v>
      </c>
      <c r="I141">
        <v>1</v>
      </c>
      <c r="J141">
        <v>0</v>
      </c>
      <c r="K141">
        <v>-4.4339955823823329E-3</v>
      </c>
      <c r="L141">
        <v>0</v>
      </c>
      <c r="M141">
        <v>8.100181603276857E-3</v>
      </c>
      <c r="N141">
        <v>1.0645429046189481E-2</v>
      </c>
      <c r="O141">
        <v>0</v>
      </c>
      <c r="P141">
        <v>2.236128541293958E-2</v>
      </c>
      <c r="Q141">
        <v>0</v>
      </c>
      <c r="R141">
        <v>0.71696404974593375</v>
      </c>
      <c r="S141">
        <v>0.1707701271083619</v>
      </c>
      <c r="T141">
        <v>-0.12643652684752971</v>
      </c>
      <c r="U141">
        <v>0.59783086416465658</v>
      </c>
      <c r="V141">
        <v>1.3501049941795089</v>
      </c>
      <c r="W141">
        <v>0.70299296199864147</v>
      </c>
      <c r="X141">
        <v>1.5315422338124121</v>
      </c>
      <c r="Y141">
        <v>0.69004373341708369</v>
      </c>
      <c r="Z141">
        <v>4.0098885573855334</v>
      </c>
    </row>
    <row r="142" spans="1:26" x14ac:dyDescent="0.25">
      <c r="A142" s="1">
        <v>41759</v>
      </c>
      <c r="B142">
        <v>7.6037692424321124E-3</v>
      </c>
      <c r="C142">
        <v>-8.7532889372928802E-3</v>
      </c>
      <c r="D142">
        <v>2.291963001600394E-3</v>
      </c>
      <c r="E142">
        <v>6.9953919189954528E-3</v>
      </c>
      <c r="F142">
        <v>-1.421961179921871E-2</v>
      </c>
      <c r="G142">
        <v>2.7646676421975158E-3</v>
      </c>
      <c r="H142">
        <v>1</v>
      </c>
      <c r="I142">
        <v>-1</v>
      </c>
      <c r="J142">
        <v>2.291963001600394E-3</v>
      </c>
      <c r="K142">
        <v>0</v>
      </c>
      <c r="L142">
        <v>-6.9953919189954528E-3</v>
      </c>
      <c r="M142">
        <v>0</v>
      </c>
      <c r="N142">
        <v>0</v>
      </c>
      <c r="O142">
        <v>1.421961179921871E-2</v>
      </c>
      <c r="P142">
        <v>0</v>
      </c>
      <c r="Q142">
        <v>2.7646676421975158E-3</v>
      </c>
      <c r="R142">
        <v>0.72089926782302949</v>
      </c>
      <c r="S142">
        <v>0.1707701271083619</v>
      </c>
      <c r="T142">
        <v>-0.13254744570835009</v>
      </c>
      <c r="U142">
        <v>0.59783086416465658</v>
      </c>
      <c r="V142">
        <v>1.3501049941795089</v>
      </c>
      <c r="W142">
        <v>0.72720886081506375</v>
      </c>
      <c r="X142">
        <v>1.5315422338124121</v>
      </c>
      <c r="Y142">
        <v>0.69471614264076043</v>
      </c>
      <c r="Z142">
        <v>4.022169407909554</v>
      </c>
    </row>
    <row r="143" spans="1:26" x14ac:dyDescent="0.25">
      <c r="A143" s="1">
        <v>41790</v>
      </c>
      <c r="B143">
        <v>2.3210946859590461E-2</v>
      </c>
      <c r="C143">
        <v>-8.5517508648640383E-3</v>
      </c>
      <c r="D143">
        <v>1.8640504060005059E-2</v>
      </c>
      <c r="E143">
        <v>1.6379777965210281E-2</v>
      </c>
      <c r="F143">
        <v>-2.2283337822816001E-3</v>
      </c>
      <c r="G143">
        <v>1.131447280216058E-2</v>
      </c>
      <c r="H143">
        <v>1</v>
      </c>
      <c r="I143">
        <v>-1</v>
      </c>
      <c r="J143">
        <v>1.8640504060005059E-2</v>
      </c>
      <c r="K143">
        <v>0</v>
      </c>
      <c r="L143">
        <v>-1.6379777965210281E-2</v>
      </c>
      <c r="M143">
        <v>0</v>
      </c>
      <c r="N143">
        <v>0</v>
      </c>
      <c r="O143">
        <v>2.2283337822816001E-3</v>
      </c>
      <c r="P143">
        <v>0</v>
      </c>
      <c r="Q143">
        <v>1.131447280216058E-2</v>
      </c>
      <c r="R143">
        <v>0.75297769761174438</v>
      </c>
      <c r="S143">
        <v>0.1707701271083619</v>
      </c>
      <c r="T143">
        <v>-0.1467561259430018</v>
      </c>
      <c r="U143">
        <v>0.59783086416465658</v>
      </c>
      <c r="V143">
        <v>1.3501049941795089</v>
      </c>
      <c r="W143">
        <v>0.73105765866867412</v>
      </c>
      <c r="X143">
        <v>1.5315422338124121</v>
      </c>
      <c r="Y143">
        <v>0.71389096234405192</v>
      </c>
      <c r="Z143">
        <v>4.0379729405887907</v>
      </c>
    </row>
    <row r="144" spans="1:26" x14ac:dyDescent="0.25">
      <c r="A144" s="1">
        <v>41820</v>
      </c>
      <c r="B144">
        <v>2.057124524097742E-2</v>
      </c>
      <c r="C144">
        <v>3.9119100924241978E-2</v>
      </c>
      <c r="D144">
        <v>-1.092451617181966E-3</v>
      </c>
      <c r="E144">
        <v>1.534232885083953E-2</v>
      </c>
      <c r="F144">
        <v>1.395137988408901E-2</v>
      </c>
      <c r="G144">
        <v>-1.955960065077E-2</v>
      </c>
      <c r="H144">
        <v>-1</v>
      </c>
      <c r="I144">
        <v>1</v>
      </c>
      <c r="J144">
        <v>0</v>
      </c>
      <c r="K144">
        <v>1.092451617181966E-3</v>
      </c>
      <c r="L144">
        <v>0</v>
      </c>
      <c r="M144">
        <v>1.534232885083953E-2</v>
      </c>
      <c r="N144">
        <v>1.395137988408901E-2</v>
      </c>
      <c r="O144">
        <v>0</v>
      </c>
      <c r="P144">
        <v>1.955960065077E-2</v>
      </c>
      <c r="Q144">
        <v>0</v>
      </c>
      <c r="R144">
        <v>0.75297769761174438</v>
      </c>
      <c r="S144">
        <v>0.17204913682706979</v>
      </c>
      <c r="T144">
        <v>-0.1467561259430018</v>
      </c>
      <c r="U144">
        <v>0.62234531073069177</v>
      </c>
      <c r="V144">
        <v>1.382892201720803</v>
      </c>
      <c r="W144">
        <v>0.73105765866867412</v>
      </c>
      <c r="X144">
        <v>1.5810581889363411</v>
      </c>
      <c r="Y144">
        <v>0.71389096234405192</v>
      </c>
      <c r="Z144">
        <v>4.0879187015916711</v>
      </c>
    </row>
    <row r="145" spans="1:26" x14ac:dyDescent="0.25">
      <c r="A145" s="1">
        <v>41851</v>
      </c>
      <c r="B145">
        <v>-1.3078845075307211E-2</v>
      </c>
      <c r="C145">
        <v>-5.9064590969526432E-3</v>
      </c>
      <c r="D145">
        <v>-2.5899828057756261E-2</v>
      </c>
      <c r="E145">
        <v>-1.1567597886062431E-2</v>
      </c>
      <c r="F145">
        <v>2.7149823357028868E-3</v>
      </c>
      <c r="G145">
        <v>-4.1304931393341127E-3</v>
      </c>
      <c r="H145">
        <v>1</v>
      </c>
      <c r="I145">
        <v>-1</v>
      </c>
      <c r="J145">
        <v>-2.5899828057756261E-2</v>
      </c>
      <c r="K145">
        <v>0</v>
      </c>
      <c r="L145">
        <v>1.1567597886062431E-2</v>
      </c>
      <c r="M145">
        <v>0</v>
      </c>
      <c r="N145">
        <v>0</v>
      </c>
      <c r="O145">
        <v>-2.7149823357028868E-3</v>
      </c>
      <c r="P145">
        <v>0</v>
      </c>
      <c r="Q145">
        <v>-4.1304931393341127E-3</v>
      </c>
      <c r="R145">
        <v>0.7075758766545186</v>
      </c>
      <c r="S145">
        <v>0.17204913682706979</v>
      </c>
      <c r="T145">
        <v>-0.1368861439091644</v>
      </c>
      <c r="U145">
        <v>0.62234531073069177</v>
      </c>
      <c r="V145">
        <v>1.382892201720803</v>
      </c>
      <c r="W145">
        <v>0.72635786770330535</v>
      </c>
      <c r="X145">
        <v>1.5810581889363411</v>
      </c>
      <c r="Y145">
        <v>0.70681174748252307</v>
      </c>
      <c r="Z145">
        <v>4.0667409959449401</v>
      </c>
    </row>
    <row r="146" spans="1:26" x14ac:dyDescent="0.25">
      <c r="A146" s="1">
        <v>41882</v>
      </c>
      <c r="B146">
        <v>3.8977885054224948E-2</v>
      </c>
      <c r="C146">
        <v>6.9182045697872008E-3</v>
      </c>
      <c r="D146">
        <v>6.0652422091720393E-3</v>
      </c>
      <c r="E146">
        <v>2.0528941549606938E-2</v>
      </c>
      <c r="F146">
        <v>-1.063325419782513E-2</v>
      </c>
      <c r="G146">
        <v>1.8300125472894949E-2</v>
      </c>
      <c r="H146">
        <v>-1</v>
      </c>
      <c r="I146">
        <v>1</v>
      </c>
      <c r="J146">
        <v>0</v>
      </c>
      <c r="K146">
        <v>-6.0652422091720393E-3</v>
      </c>
      <c r="L146">
        <v>0</v>
      </c>
      <c r="M146">
        <v>2.0528941549606938E-2</v>
      </c>
      <c r="N146">
        <v>-1.063325419782513E-2</v>
      </c>
      <c r="O146">
        <v>0</v>
      </c>
      <c r="P146">
        <v>-1.8300125472894949E-2</v>
      </c>
      <c r="Q146">
        <v>0</v>
      </c>
      <c r="R146">
        <v>0.7075758766545186</v>
      </c>
      <c r="S146">
        <v>0.16494037493116259</v>
      </c>
      <c r="T146">
        <v>-0.1368861439091644</v>
      </c>
      <c r="U146">
        <v>0.65565034278796119</v>
      </c>
      <c r="V146">
        <v>1.3575543032138899</v>
      </c>
      <c r="W146">
        <v>0.72635786770330535</v>
      </c>
      <c r="X146">
        <v>1.533824500225963</v>
      </c>
      <c r="Y146">
        <v>0.70681174748252307</v>
      </c>
      <c r="Z146">
        <v>4.0522713156146546</v>
      </c>
    </row>
    <row r="147" spans="1:26" x14ac:dyDescent="0.25">
      <c r="A147" s="1">
        <v>41912</v>
      </c>
      <c r="B147">
        <v>-1.354351974873735E-2</v>
      </c>
      <c r="C147">
        <v>3.1167787011428191E-2</v>
      </c>
      <c r="D147">
        <v>-1.0538142176702349E-2</v>
      </c>
      <c r="E147">
        <v>1.3399329519931389E-2</v>
      </c>
      <c r="F147">
        <v>-5.8325942527603925E-4</v>
      </c>
      <c r="G147">
        <v>-2.5329864658690911E-2</v>
      </c>
      <c r="H147">
        <v>-1</v>
      </c>
      <c r="I147">
        <v>1</v>
      </c>
      <c r="J147">
        <v>0</v>
      </c>
      <c r="K147">
        <v>1.0538142176702349E-2</v>
      </c>
      <c r="L147">
        <v>0</v>
      </c>
      <c r="M147">
        <v>1.3399329519931389E-2</v>
      </c>
      <c r="N147">
        <v>-5.8325942527603925E-4</v>
      </c>
      <c r="O147">
        <v>0</v>
      </c>
      <c r="P147">
        <v>2.5329864658690911E-2</v>
      </c>
      <c r="Q147">
        <v>0</v>
      </c>
      <c r="R147">
        <v>0.7075758766545186</v>
      </c>
      <c r="S147">
        <v>0.17721668222956821</v>
      </c>
      <c r="T147">
        <v>-0.1368861439091644</v>
      </c>
      <c r="U147">
        <v>0.67783494730076455</v>
      </c>
      <c r="V147">
        <v>1.35617923744594</v>
      </c>
      <c r="W147">
        <v>0.72635786770330535</v>
      </c>
      <c r="X147">
        <v>1.5980059318855619</v>
      </c>
      <c r="Y147">
        <v>0.70681174748252307</v>
      </c>
      <c r="Z147">
        <v>4.1009553925447033</v>
      </c>
    </row>
    <row r="148" spans="1:26" x14ac:dyDescent="0.25">
      <c r="A148" s="1">
        <v>41943</v>
      </c>
      <c r="B148">
        <v>2.4713548933810281E-2</v>
      </c>
      <c r="C148">
        <v>-5.3007670862036393E-2</v>
      </c>
      <c r="D148">
        <v>3.8638920637109941E-2</v>
      </c>
      <c r="E148">
        <v>-1.069085202563347E-2</v>
      </c>
      <c r="F148">
        <v>-1.8994995873935269E-2</v>
      </c>
      <c r="G148">
        <v>2.904107283022539E-2</v>
      </c>
      <c r="H148">
        <v>1</v>
      </c>
      <c r="I148">
        <v>-1</v>
      </c>
      <c r="J148">
        <v>3.8638920637109941E-2</v>
      </c>
      <c r="K148">
        <v>0</v>
      </c>
      <c r="L148">
        <v>1.069085202563347E-2</v>
      </c>
      <c r="M148">
        <v>0</v>
      </c>
      <c r="N148">
        <v>0</v>
      </c>
      <c r="O148">
        <v>1.8994995873935269E-2</v>
      </c>
      <c r="P148">
        <v>0</v>
      </c>
      <c r="Q148">
        <v>2.904107283022539E-2</v>
      </c>
      <c r="R148">
        <v>0.77355476543441615</v>
      </c>
      <c r="S148">
        <v>0.17721668222956821</v>
      </c>
      <c r="T148">
        <v>-0.1276587213924234</v>
      </c>
      <c r="U148">
        <v>0.67783494730076455</v>
      </c>
      <c r="V148">
        <v>1.35617923744594</v>
      </c>
      <c r="W148">
        <v>0.75915002827726519</v>
      </c>
      <c r="X148">
        <v>1.5980059318855619</v>
      </c>
      <c r="Y148">
        <v>0.75637939174864721</v>
      </c>
      <c r="Z148">
        <v>4.1983212339116074</v>
      </c>
    </row>
    <row r="149" spans="1:26" x14ac:dyDescent="0.25">
      <c r="A149" s="1">
        <v>41973</v>
      </c>
      <c r="B149">
        <v>2.7186230505643501E-2</v>
      </c>
      <c r="C149">
        <v>1.491733214492252E-2</v>
      </c>
      <c r="D149">
        <v>2.5229688110012249E-3</v>
      </c>
      <c r="E149">
        <v>1.9773971757549798E-2</v>
      </c>
      <c r="F149">
        <v>8.3309425025676065E-3</v>
      </c>
      <c r="G149">
        <v>6.7107110109195789E-3</v>
      </c>
      <c r="H149">
        <v>-1</v>
      </c>
      <c r="I149">
        <v>1</v>
      </c>
      <c r="J149">
        <v>0</v>
      </c>
      <c r="K149">
        <v>-2.5229688110012249E-3</v>
      </c>
      <c r="L149">
        <v>0</v>
      </c>
      <c r="M149">
        <v>1.9773971757549798E-2</v>
      </c>
      <c r="N149">
        <v>8.3309425025676065E-3</v>
      </c>
      <c r="O149">
        <v>0</v>
      </c>
      <c r="P149">
        <v>-6.7107110109195789E-3</v>
      </c>
      <c r="Q149">
        <v>0</v>
      </c>
      <c r="R149">
        <v>0.77355476543441615</v>
      </c>
      <c r="S149">
        <v>0.17424660125651251</v>
      </c>
      <c r="T149">
        <v>-0.1276587213924234</v>
      </c>
      <c r="U149">
        <v>0.71101240816251976</v>
      </c>
      <c r="V149">
        <v>1.3758084311988461</v>
      </c>
      <c r="W149">
        <v>0.75915002827726519</v>
      </c>
      <c r="X149">
        <v>1.580571464872023</v>
      </c>
      <c r="Y149">
        <v>0.75637939174864721</v>
      </c>
      <c r="Z149">
        <v>4.2171924683498041</v>
      </c>
    </row>
    <row r="150" spans="1:26" x14ac:dyDescent="0.25">
      <c r="A150" s="1">
        <v>42004</v>
      </c>
      <c r="B150">
        <v>-1.551035598787331E-3</v>
      </c>
      <c r="C150">
        <v>-2.7066790378926231E-2</v>
      </c>
      <c r="D150">
        <v>-4.6748207784930162E-3</v>
      </c>
      <c r="E150">
        <v>2.766867414255358E-3</v>
      </c>
      <c r="F150">
        <v>3.9077626216516004E-3</v>
      </c>
      <c r="G150">
        <v>-9.106809225838397E-3</v>
      </c>
      <c r="H150">
        <v>1</v>
      </c>
      <c r="I150">
        <v>-1</v>
      </c>
      <c r="J150">
        <v>-4.6748207784930162E-3</v>
      </c>
      <c r="K150">
        <v>0</v>
      </c>
      <c r="L150">
        <v>-2.766867414255358E-3</v>
      </c>
      <c r="M150">
        <v>0</v>
      </c>
      <c r="N150">
        <v>0</v>
      </c>
      <c r="O150">
        <v>-3.9077626216516004E-3</v>
      </c>
      <c r="P150">
        <v>0</v>
      </c>
      <c r="Q150">
        <v>-9.106809225838397E-3</v>
      </c>
      <c r="R150">
        <v>0.76526371476516797</v>
      </c>
      <c r="S150">
        <v>0.17424660125651251</v>
      </c>
      <c r="T150">
        <v>-0.13007237405031261</v>
      </c>
      <c r="U150">
        <v>0.71101240816251976</v>
      </c>
      <c r="V150">
        <v>1.3758084311988461</v>
      </c>
      <c r="W150">
        <v>0.75227568755088603</v>
      </c>
      <c r="X150">
        <v>1.580571464872023</v>
      </c>
      <c r="Y150">
        <v>0.7403843796997982</v>
      </c>
      <c r="Z150">
        <v>4.1967362083095656</v>
      </c>
    </row>
    <row r="151" spans="1:26" x14ac:dyDescent="0.25">
      <c r="A151" s="1">
        <v>42035</v>
      </c>
      <c r="B151">
        <v>-2.8986613499523362E-2</v>
      </c>
      <c r="C151">
        <v>-7.0906115625572586E-2</v>
      </c>
      <c r="D151">
        <v>-2.700414136955509E-2</v>
      </c>
      <c r="E151">
        <v>2.6026177238861359E-2</v>
      </c>
      <c r="F151">
        <v>2.1920902723548959E-3</v>
      </c>
      <c r="G151">
        <v>2.9626597014561499E-2</v>
      </c>
      <c r="H151">
        <v>1</v>
      </c>
      <c r="I151">
        <v>-1</v>
      </c>
      <c r="J151">
        <v>-2.700414136955509E-2</v>
      </c>
      <c r="K151">
        <v>0</v>
      </c>
      <c r="L151">
        <v>-2.6026177238861359E-2</v>
      </c>
      <c r="M151">
        <v>0</v>
      </c>
      <c r="N151">
        <v>0</v>
      </c>
      <c r="O151">
        <v>-2.1920902723548959E-3</v>
      </c>
      <c r="P151">
        <v>0</v>
      </c>
      <c r="Q151">
        <v>2.9626597014561499E-2</v>
      </c>
      <c r="R151">
        <v>0.71759428385710344</v>
      </c>
      <c r="S151">
        <v>0.17424660125651251</v>
      </c>
      <c r="T151">
        <v>-0.15271326462826099</v>
      </c>
      <c r="U151">
        <v>0.71101240816251976</v>
      </c>
      <c r="V151">
        <v>1.3758084311988461</v>
      </c>
      <c r="W151">
        <v>0.74843454106172191</v>
      </c>
      <c r="X151">
        <v>1.580571464872023</v>
      </c>
      <c r="Y151">
        <v>0.7919460463676018</v>
      </c>
      <c r="Z151">
        <v>4.1711403964433558</v>
      </c>
    </row>
    <row r="152" spans="1:26" x14ac:dyDescent="0.25">
      <c r="A152" s="1">
        <v>42063</v>
      </c>
      <c r="B152">
        <v>5.5074495527100309E-2</v>
      </c>
      <c r="C152">
        <v>0.13220733977712071</v>
      </c>
      <c r="D152">
        <v>-2.596526298085378E-3</v>
      </c>
      <c r="E152">
        <v>1.218420467588688E-2</v>
      </c>
      <c r="F152">
        <v>3.0366826316710501E-2</v>
      </c>
      <c r="G152">
        <v>-5.1913937247000767E-2</v>
      </c>
      <c r="H152">
        <v>-1</v>
      </c>
      <c r="I152">
        <v>1</v>
      </c>
      <c r="J152">
        <v>0</v>
      </c>
      <c r="K152">
        <v>2.596526298085378E-3</v>
      </c>
      <c r="L152">
        <v>0</v>
      </c>
      <c r="M152">
        <v>1.218420467588688E-2</v>
      </c>
      <c r="N152">
        <v>3.0366826316710501E-2</v>
      </c>
      <c r="O152">
        <v>0</v>
      </c>
      <c r="P152">
        <v>5.1913937247000767E-2</v>
      </c>
      <c r="Q152">
        <v>0</v>
      </c>
      <c r="R152">
        <v>0.71759428385710344</v>
      </c>
      <c r="S152">
        <v>0.1772955634371125</v>
      </c>
      <c r="T152">
        <v>-0.15271326462826099</v>
      </c>
      <c r="U152">
        <v>0.73185973354655398</v>
      </c>
      <c r="V152">
        <v>1.447954193190838</v>
      </c>
      <c r="W152">
        <v>0.74843454106172191</v>
      </c>
      <c r="X152">
        <v>1.71453908996079</v>
      </c>
      <c r="Y152">
        <v>0.7919460463676018</v>
      </c>
      <c r="Z152">
        <v>4.2682018909810404</v>
      </c>
    </row>
    <row r="153" spans="1:26" x14ac:dyDescent="0.25">
      <c r="A153" s="1">
        <v>42094</v>
      </c>
      <c r="B153">
        <v>-1.4991983536856161E-2</v>
      </c>
      <c r="C153">
        <v>-1.4137936390658971E-2</v>
      </c>
      <c r="D153">
        <v>-1.8853084258721561E-2</v>
      </c>
      <c r="E153">
        <v>-5.9578132952726737E-3</v>
      </c>
      <c r="F153">
        <v>-1.4976795046607431E-2</v>
      </c>
      <c r="G153">
        <v>-4.5293165521029022E-2</v>
      </c>
      <c r="H153">
        <v>1</v>
      </c>
      <c r="I153">
        <v>-1</v>
      </c>
      <c r="J153">
        <v>-1.8853084258721561E-2</v>
      </c>
      <c r="K153">
        <v>0</v>
      </c>
      <c r="L153">
        <v>5.9578132952726737E-3</v>
      </c>
      <c r="M153">
        <v>0</v>
      </c>
      <c r="N153">
        <v>0</v>
      </c>
      <c r="O153">
        <v>1.4976795046607431E-2</v>
      </c>
      <c r="P153">
        <v>0</v>
      </c>
      <c r="Q153">
        <v>-4.5293165521029022E-2</v>
      </c>
      <c r="R153">
        <v>0.68521233410124704</v>
      </c>
      <c r="S153">
        <v>0.1772955634371125</v>
      </c>
      <c r="T153">
        <v>-0.1476652884513551</v>
      </c>
      <c r="U153">
        <v>0.73185973354655398</v>
      </c>
      <c r="V153">
        <v>1.447954193190838</v>
      </c>
      <c r="W153">
        <v>0.77462048683561235</v>
      </c>
      <c r="X153">
        <v>1.71453908996079</v>
      </c>
      <c r="Y153">
        <v>0.71078313748472044</v>
      </c>
      <c r="Z153">
        <v>4.2249902495431693</v>
      </c>
    </row>
    <row r="154" spans="1:26" x14ac:dyDescent="0.25">
      <c r="A154" s="1">
        <v>42124</v>
      </c>
      <c r="B154">
        <v>1.007696824221027E-2</v>
      </c>
      <c r="C154">
        <v>4.0700992918431662E-2</v>
      </c>
      <c r="D154">
        <v>-1.027720084741102E-2</v>
      </c>
      <c r="E154">
        <v>-1.3753363224633939E-2</v>
      </c>
      <c r="F154">
        <v>7.5252253793246524E-3</v>
      </c>
      <c r="G154">
        <v>5.6454538061269099E-3</v>
      </c>
      <c r="H154">
        <v>-1</v>
      </c>
      <c r="I154">
        <v>1</v>
      </c>
      <c r="J154">
        <v>0</v>
      </c>
      <c r="K154">
        <v>1.027720084741102E-2</v>
      </c>
      <c r="L154">
        <v>0</v>
      </c>
      <c r="M154">
        <v>-1.3753363224633939E-2</v>
      </c>
      <c r="N154">
        <v>7.5252253793246524E-3</v>
      </c>
      <c r="O154">
        <v>0</v>
      </c>
      <c r="P154">
        <v>-5.6454538061269099E-3</v>
      </c>
      <c r="Q154">
        <v>0</v>
      </c>
      <c r="R154">
        <v>0.68521233410124704</v>
      </c>
      <c r="S154">
        <v>0.18939486639932171</v>
      </c>
      <c r="T154">
        <v>-0.1476652884513551</v>
      </c>
      <c r="U154">
        <v>0.70804083757697045</v>
      </c>
      <c r="V154">
        <v>1.4663756002128621</v>
      </c>
      <c r="W154">
        <v>0.77462048683561235</v>
      </c>
      <c r="X154">
        <v>1.699214284923491</v>
      </c>
      <c r="Y154">
        <v>0.71078313748472044</v>
      </c>
      <c r="Z154">
        <v>4.2233938587391444</v>
      </c>
    </row>
    <row r="155" spans="1:26" x14ac:dyDescent="0.25">
      <c r="A155" s="1">
        <v>42155</v>
      </c>
      <c r="B155">
        <v>1.3210444573675709E-2</v>
      </c>
      <c r="C155">
        <v>6.6433081129417149E-2</v>
      </c>
      <c r="D155">
        <v>-1.098948815069012E-2</v>
      </c>
      <c r="E155">
        <v>1.9572642057401279E-2</v>
      </c>
      <c r="F155">
        <v>2.1095526031382761E-3</v>
      </c>
      <c r="G155">
        <v>-2.7964692146975501E-2</v>
      </c>
      <c r="H155">
        <v>-1</v>
      </c>
      <c r="I155">
        <v>1</v>
      </c>
      <c r="J155">
        <v>0</v>
      </c>
      <c r="K155">
        <v>1.098948815069012E-2</v>
      </c>
      <c r="L155">
        <v>0</v>
      </c>
      <c r="M155">
        <v>1.9572642057401279E-2</v>
      </c>
      <c r="N155">
        <v>2.1095526031382761E-3</v>
      </c>
      <c r="O155">
        <v>0</v>
      </c>
      <c r="P155">
        <v>2.7964692146975501E-2</v>
      </c>
      <c r="Q155">
        <v>0</v>
      </c>
      <c r="R155">
        <v>0.68521233410124704</v>
      </c>
      <c r="S155">
        <v>0.20246570719010859</v>
      </c>
      <c r="T155">
        <v>-0.1476652884513551</v>
      </c>
      <c r="U155">
        <v>0.74147170951028851</v>
      </c>
      <c r="V155">
        <v>1.4715785492806079</v>
      </c>
      <c r="W155">
        <v>0.77462048683561235</v>
      </c>
      <c r="X155">
        <v>1.774696981440095</v>
      </c>
      <c r="Y155">
        <v>0.71078313748472044</v>
      </c>
      <c r="Z155">
        <v>4.2840302336973499</v>
      </c>
    </row>
    <row r="156" spans="1:26" x14ac:dyDescent="0.25">
      <c r="A156" s="1">
        <v>42185</v>
      </c>
      <c r="B156">
        <v>-1.999425560620394E-2</v>
      </c>
      <c r="C156">
        <v>3.0529604348206729E-2</v>
      </c>
      <c r="D156">
        <v>-2.353970902707447E-2</v>
      </c>
      <c r="E156">
        <v>-1.299337200466311E-2</v>
      </c>
      <c r="F156">
        <v>-6.46595167836439E-3</v>
      </c>
      <c r="G156">
        <v>-3.993588374891921E-2</v>
      </c>
      <c r="H156">
        <v>-1</v>
      </c>
      <c r="I156">
        <v>1</v>
      </c>
      <c r="J156">
        <v>0</v>
      </c>
      <c r="K156">
        <v>2.353970902707447E-2</v>
      </c>
      <c r="L156">
        <v>0</v>
      </c>
      <c r="M156">
        <v>-1.299337200466311E-2</v>
      </c>
      <c r="N156">
        <v>-6.46595167836439E-3</v>
      </c>
      <c r="O156">
        <v>0</v>
      </c>
      <c r="P156">
        <v>3.993588374891921E-2</v>
      </c>
      <c r="Q156">
        <v>0</v>
      </c>
      <c r="R156">
        <v>0.68521233410124704</v>
      </c>
      <c r="S156">
        <v>0.23077140005239899</v>
      </c>
      <c r="T156">
        <v>-0.1476652884513551</v>
      </c>
      <c r="U156">
        <v>0.71884411975302487</v>
      </c>
      <c r="V156">
        <v>1.4555974418116771</v>
      </c>
      <c r="W156">
        <v>0.77462048683561235</v>
      </c>
      <c r="X156">
        <v>1.885506957529363</v>
      </c>
      <c r="Y156">
        <v>0.71078313748472044</v>
      </c>
      <c r="Z156">
        <v>4.3280465027903174</v>
      </c>
    </row>
    <row r="157" spans="1:26" x14ac:dyDescent="0.25">
      <c r="A157" s="1">
        <v>42216</v>
      </c>
      <c r="B157">
        <v>2.2915190840296581E-2</v>
      </c>
      <c r="C157">
        <v>5.7812795521317017E-3</v>
      </c>
      <c r="D157">
        <v>-3.9375974173476713E-3</v>
      </c>
      <c r="E157">
        <v>2.4387579939371129E-2</v>
      </c>
      <c r="F157">
        <v>-6.234546798978724E-3</v>
      </c>
      <c r="G157">
        <v>2.6354182355004311E-2</v>
      </c>
      <c r="H157">
        <v>-1</v>
      </c>
      <c r="I157">
        <v>1</v>
      </c>
      <c r="J157">
        <v>0</v>
      </c>
      <c r="K157">
        <v>3.9375974173476713E-3</v>
      </c>
      <c r="L157">
        <v>0</v>
      </c>
      <c r="M157">
        <v>2.4387579939371129E-2</v>
      </c>
      <c r="N157">
        <v>-6.234546798978724E-3</v>
      </c>
      <c r="O157">
        <v>0</v>
      </c>
      <c r="P157">
        <v>-2.6354182355004311E-2</v>
      </c>
      <c r="Q157">
        <v>0</v>
      </c>
      <c r="R157">
        <v>0.68521233410124704</v>
      </c>
      <c r="S157">
        <v>0.23561768233859071</v>
      </c>
      <c r="T157">
        <v>-0.1476652884513551</v>
      </c>
      <c r="U157">
        <v>0.76076256812681975</v>
      </c>
      <c r="V157">
        <v>1.44028790464125</v>
      </c>
      <c r="W157">
        <v>0.77462048683561235</v>
      </c>
      <c r="X157">
        <v>1.8094617809839999</v>
      </c>
      <c r="Y157">
        <v>0.71078313748472044</v>
      </c>
      <c r="Z157">
        <v>4.3237829509930528</v>
      </c>
    </row>
    <row r="158" spans="1:26" x14ac:dyDescent="0.25">
      <c r="A158" s="1">
        <v>42247</v>
      </c>
      <c r="B158">
        <v>-5.9941242272513851E-2</v>
      </c>
      <c r="C158">
        <v>-9.5052839304491488E-2</v>
      </c>
      <c r="D158">
        <v>1.225090970327414E-3</v>
      </c>
      <c r="E158">
        <v>-3.9842321542582833E-2</v>
      </c>
      <c r="F158">
        <v>-1.213917474656789E-2</v>
      </c>
      <c r="G158">
        <v>1.708505373342661E-2</v>
      </c>
      <c r="H158">
        <v>1</v>
      </c>
      <c r="I158">
        <v>-1</v>
      </c>
      <c r="J158">
        <v>1.225090970327414E-3</v>
      </c>
      <c r="K158">
        <v>0</v>
      </c>
      <c r="L158">
        <v>3.9842321542582833E-2</v>
      </c>
      <c r="M158">
        <v>0</v>
      </c>
      <c r="N158">
        <v>0</v>
      </c>
      <c r="O158">
        <v>1.213917474656789E-2</v>
      </c>
      <c r="P158">
        <v>0</v>
      </c>
      <c r="Q158">
        <v>1.708505373342661E-2</v>
      </c>
      <c r="R158">
        <v>0.6872768725148386</v>
      </c>
      <c r="S158">
        <v>0.23561768233859071</v>
      </c>
      <c r="T158">
        <v>-0.1137062948119294</v>
      </c>
      <c r="U158">
        <v>0.76076256812681975</v>
      </c>
      <c r="V158">
        <v>1.44028790464125</v>
      </c>
      <c r="W158">
        <v>0.79616291503414938</v>
      </c>
      <c r="X158">
        <v>1.8094617809839999</v>
      </c>
      <c r="Y158">
        <v>0.74001195931488706</v>
      </c>
      <c r="Z158">
        <v>4.3940745919859578</v>
      </c>
    </row>
    <row r="159" spans="1:26" x14ac:dyDescent="0.25">
      <c r="A159" s="1">
        <v>42277</v>
      </c>
      <c r="B159">
        <v>-2.381485914969805E-2</v>
      </c>
      <c r="C159">
        <v>-1.8512204594820721E-2</v>
      </c>
      <c r="D159">
        <v>-1.132735246089134E-2</v>
      </c>
      <c r="E159">
        <v>1.45644190334262E-2</v>
      </c>
      <c r="F159">
        <v>-1.5580674850790291E-4</v>
      </c>
      <c r="G159">
        <v>-2.1457889157351362E-3</v>
      </c>
      <c r="H159">
        <v>1</v>
      </c>
      <c r="I159">
        <v>-1</v>
      </c>
      <c r="J159">
        <v>-1.132735246089134E-2</v>
      </c>
      <c r="K159">
        <v>0</v>
      </c>
      <c r="L159">
        <v>-1.45644190334262E-2</v>
      </c>
      <c r="M159">
        <v>0</v>
      </c>
      <c r="N159">
        <v>0</v>
      </c>
      <c r="O159">
        <v>1.5580674850790291E-4</v>
      </c>
      <c r="P159">
        <v>0</v>
      </c>
      <c r="Q159">
        <v>-2.1457889157351362E-3</v>
      </c>
      <c r="R159">
        <v>0.66816449268075262</v>
      </c>
      <c r="S159">
        <v>0.23561768233859071</v>
      </c>
      <c r="T159">
        <v>-0.1266146477209763</v>
      </c>
      <c r="U159">
        <v>0.76076256812681975</v>
      </c>
      <c r="V159">
        <v>1.44028790464125</v>
      </c>
      <c r="W159">
        <v>0.79644276933773117</v>
      </c>
      <c r="X159">
        <v>1.8094617809839999</v>
      </c>
      <c r="Y159">
        <v>0.73627826093934257</v>
      </c>
      <c r="Z159">
        <v>4.3661928383244133</v>
      </c>
    </row>
    <row r="160" spans="1:26" x14ac:dyDescent="0.25">
      <c r="A160" s="1">
        <v>42308</v>
      </c>
      <c r="B160">
        <v>8.2443632152183977E-2</v>
      </c>
      <c r="C160">
        <v>4.5968189103739121E-2</v>
      </c>
      <c r="D160">
        <v>2.9956038827128051E-2</v>
      </c>
      <c r="E160">
        <v>-1.006263042398148E-2</v>
      </c>
      <c r="F160">
        <v>4.0106035392492363E-2</v>
      </c>
      <c r="G160">
        <v>-2.2525312430723421E-3</v>
      </c>
      <c r="H160">
        <v>-1</v>
      </c>
      <c r="I160">
        <v>1</v>
      </c>
      <c r="J160">
        <v>0</v>
      </c>
      <c r="K160">
        <v>-2.9956038827128051E-2</v>
      </c>
      <c r="L160">
        <v>0</v>
      </c>
      <c r="M160">
        <v>-1.006263042398148E-2</v>
      </c>
      <c r="N160">
        <v>4.0106035392492363E-2</v>
      </c>
      <c r="O160">
        <v>0</v>
      </c>
      <c r="P160">
        <v>2.2525312430723421E-3</v>
      </c>
      <c r="Q160">
        <v>0</v>
      </c>
      <c r="R160">
        <v>0.66816449268075262</v>
      </c>
      <c r="S160">
        <v>0.19860347107097009</v>
      </c>
      <c r="T160">
        <v>-0.1266146477209763</v>
      </c>
      <c r="U160">
        <v>0.74304466513937895</v>
      </c>
      <c r="V160">
        <v>1.5381581777126629</v>
      </c>
      <c r="W160">
        <v>0.79644276933773117</v>
      </c>
      <c r="X160">
        <v>1.8157901814218851</v>
      </c>
      <c r="Y160">
        <v>0.73627826093934257</v>
      </c>
      <c r="Z160">
        <v>4.3685327357088681</v>
      </c>
    </row>
    <row r="161" spans="1:26" x14ac:dyDescent="0.25">
      <c r="A161" s="1">
        <v>42338</v>
      </c>
      <c r="B161">
        <v>4.2005319051681136E-3</v>
      </c>
      <c r="C161">
        <v>2.390027218447199E-2</v>
      </c>
      <c r="D161">
        <v>-2.9557457105776619E-3</v>
      </c>
      <c r="E161">
        <v>8.2834190540255204E-3</v>
      </c>
      <c r="F161">
        <v>1.0175530394489599E-2</v>
      </c>
      <c r="G161">
        <v>-2.8936879593378099E-2</v>
      </c>
      <c r="H161">
        <v>-1</v>
      </c>
      <c r="I161">
        <v>1</v>
      </c>
      <c r="J161">
        <v>0</v>
      </c>
      <c r="K161">
        <v>2.9557457105776619E-3</v>
      </c>
      <c r="L161">
        <v>0</v>
      </c>
      <c r="M161">
        <v>8.2834190540255204E-3</v>
      </c>
      <c r="N161">
        <v>1.0175530394489599E-2</v>
      </c>
      <c r="O161">
        <v>0</v>
      </c>
      <c r="P161">
        <v>2.8936879593378099E-2</v>
      </c>
      <c r="Q161">
        <v>0</v>
      </c>
      <c r="R161">
        <v>0.66816449268075262</v>
      </c>
      <c r="S161">
        <v>0.2021462381392716</v>
      </c>
      <c r="T161">
        <v>-0.1266146477209763</v>
      </c>
      <c r="U161">
        <v>0.75748303453061228</v>
      </c>
      <c r="V161">
        <v>1.5639852833960011</v>
      </c>
      <c r="W161">
        <v>0.79644276933773117</v>
      </c>
      <c r="X161">
        <v>1.8972703628619061</v>
      </c>
      <c r="Y161">
        <v>0.73627826093934257</v>
      </c>
      <c r="Z161">
        <v>4.4188843104613387</v>
      </c>
    </row>
    <row r="162" spans="1:26" x14ac:dyDescent="0.25">
      <c r="A162" s="1">
        <v>42369</v>
      </c>
      <c r="B162">
        <v>-1.6045766419743202E-2</v>
      </c>
      <c r="C162">
        <v>-4.4432811536750161E-2</v>
      </c>
      <c r="D162">
        <v>1.110315912960713E-2</v>
      </c>
      <c r="E162">
        <v>-1.9175273834751819E-2</v>
      </c>
      <c r="F162">
        <v>-1.227978135351693E-3</v>
      </c>
      <c r="G162">
        <v>5.1368797408606337E-3</v>
      </c>
      <c r="H162">
        <v>1</v>
      </c>
      <c r="I162">
        <v>-1</v>
      </c>
      <c r="J162">
        <v>1.110315912960713E-2</v>
      </c>
      <c r="K162">
        <v>0</v>
      </c>
      <c r="L162">
        <v>1.9175273834751819E-2</v>
      </c>
      <c r="M162">
        <v>0</v>
      </c>
      <c r="N162">
        <v>0</v>
      </c>
      <c r="O162">
        <v>1.227978135351693E-3</v>
      </c>
      <c r="P162">
        <v>0</v>
      </c>
      <c r="Q162">
        <v>5.1368797408606337E-3</v>
      </c>
      <c r="R162">
        <v>0.68668638849734731</v>
      </c>
      <c r="S162">
        <v>0.2021462381392716</v>
      </c>
      <c r="T162">
        <v>-0.1098672444277649</v>
      </c>
      <c r="U162">
        <v>0.75748303453061228</v>
      </c>
      <c r="V162">
        <v>1.5639852833960011</v>
      </c>
      <c r="W162">
        <v>0.79864876177988853</v>
      </c>
      <c r="X162">
        <v>1.8972703628619061</v>
      </c>
      <c r="Y162">
        <v>0.74519731356245877</v>
      </c>
      <c r="Z162">
        <v>4.4555276013019096</v>
      </c>
    </row>
    <row r="163" spans="1:26" x14ac:dyDescent="0.25">
      <c r="A163" s="1">
        <v>42400</v>
      </c>
      <c r="B163">
        <v>-4.8939059644667722E-2</v>
      </c>
      <c r="C163">
        <v>-0.12602858968871189</v>
      </c>
      <c r="D163">
        <v>3.2346271769798103E-2</v>
      </c>
      <c r="E163">
        <v>1.01430270864632E-2</v>
      </c>
      <c r="F163">
        <v>-5.9870496277582341E-2</v>
      </c>
      <c r="G163">
        <v>2.2928964127833299E-2</v>
      </c>
      <c r="H163">
        <v>1</v>
      </c>
      <c r="I163">
        <v>-1</v>
      </c>
      <c r="J163">
        <v>3.2346271769798103E-2</v>
      </c>
      <c r="K163">
        <v>0</v>
      </c>
      <c r="L163">
        <v>-1.01430270864632E-2</v>
      </c>
      <c r="M163">
        <v>0</v>
      </c>
      <c r="N163">
        <v>0</v>
      </c>
      <c r="O163">
        <v>5.9870496277582341E-2</v>
      </c>
      <c r="P163">
        <v>0</v>
      </c>
      <c r="Q163">
        <v>2.2928964127833299E-2</v>
      </c>
      <c r="R163">
        <v>0.74124440481010168</v>
      </c>
      <c r="S163">
        <v>0.2021462381392716</v>
      </c>
      <c r="T163">
        <v>-0.1188958850780821</v>
      </c>
      <c r="U163">
        <v>0.75748303453061228</v>
      </c>
      <c r="V163">
        <v>1.5639852833960011</v>
      </c>
      <c r="W163">
        <v>0.90633475577670941</v>
      </c>
      <c r="X163">
        <v>1.8972703628619061</v>
      </c>
      <c r="Y163">
        <v>0.78521288016112334</v>
      </c>
      <c r="Z163">
        <v>4.5605303063906604</v>
      </c>
    </row>
    <row r="164" spans="1:26" x14ac:dyDescent="0.25">
      <c r="A164" s="1">
        <v>42429</v>
      </c>
      <c r="B164">
        <v>5.1026514808361068E-4</v>
      </c>
      <c r="C164">
        <v>-2.4294977274144199E-2</v>
      </c>
      <c r="D164">
        <v>-6.0860515239306023E-3</v>
      </c>
      <c r="E164">
        <v>3.7813663577113132E-4</v>
      </c>
      <c r="F164">
        <v>-2.9870447960030241E-2</v>
      </c>
      <c r="G164">
        <v>1.32099747843758E-2</v>
      </c>
      <c r="H164">
        <v>1</v>
      </c>
      <c r="I164">
        <v>-1</v>
      </c>
      <c r="J164">
        <v>-6.0860515239306023E-3</v>
      </c>
      <c r="K164">
        <v>0</v>
      </c>
      <c r="L164">
        <v>-3.7813663577113132E-4</v>
      </c>
      <c r="M164">
        <v>0</v>
      </c>
      <c r="N164">
        <v>0</v>
      </c>
      <c r="O164">
        <v>2.9870447960030241E-2</v>
      </c>
      <c r="P164">
        <v>0</v>
      </c>
      <c r="Q164">
        <v>1.32099747843758E-2</v>
      </c>
      <c r="R164">
        <v>0.73064710164667157</v>
      </c>
      <c r="S164">
        <v>0.2021462381392716</v>
      </c>
      <c r="T164">
        <v>-0.11922906282386279</v>
      </c>
      <c r="U164">
        <v>0.75748303453061228</v>
      </c>
      <c r="V164">
        <v>1.5639852833960011</v>
      </c>
      <c r="W164">
        <v>0.96327782889353442</v>
      </c>
      <c r="X164">
        <v>1.8972703628619061</v>
      </c>
      <c r="Y164">
        <v>0.80879549729279465</v>
      </c>
      <c r="Z164">
        <v>4.5971465409753636</v>
      </c>
    </row>
    <row r="165" spans="1:26" x14ac:dyDescent="0.25">
      <c r="A165" s="1">
        <v>42460</v>
      </c>
      <c r="B165">
        <v>6.5722148553609583E-2</v>
      </c>
      <c r="C165">
        <v>8.1690809148589394E-2</v>
      </c>
      <c r="D165">
        <v>4.2219251636533839E-3</v>
      </c>
      <c r="E165">
        <v>1.9838707696152591E-2</v>
      </c>
      <c r="F165">
        <v>3.5970738509383038E-2</v>
      </c>
      <c r="G165">
        <v>-1.6560961996833549E-2</v>
      </c>
      <c r="H165">
        <v>-1</v>
      </c>
      <c r="I165">
        <v>1</v>
      </c>
      <c r="J165">
        <v>0</v>
      </c>
      <c r="K165">
        <v>-4.2219251636533839E-3</v>
      </c>
      <c r="L165">
        <v>0</v>
      </c>
      <c r="M165">
        <v>1.9838707696152591E-2</v>
      </c>
      <c r="N165">
        <v>3.5970738509383038E-2</v>
      </c>
      <c r="O165">
        <v>0</v>
      </c>
      <c r="P165">
        <v>1.6560961996833549E-2</v>
      </c>
      <c r="Q165">
        <v>0</v>
      </c>
      <c r="R165">
        <v>0.73064710164667157</v>
      </c>
      <c r="S165">
        <v>0.19707086668608009</v>
      </c>
      <c r="T165">
        <v>-0.11922906282386279</v>
      </c>
      <c r="U165">
        <v>0.7923492267336123</v>
      </c>
      <c r="V165">
        <v>1.6562137275669451</v>
      </c>
      <c r="W165">
        <v>0.96327782889353442</v>
      </c>
      <c r="X165">
        <v>1.945251947235815</v>
      </c>
      <c r="Y165">
        <v>0.80879549729279465</v>
      </c>
      <c r="Z165">
        <v>4.66529502401408</v>
      </c>
    </row>
    <row r="166" spans="1:26" x14ac:dyDescent="0.25">
      <c r="A166" s="1">
        <v>42490</v>
      </c>
      <c r="B166">
        <v>4.3490684592217832E-3</v>
      </c>
      <c r="C166">
        <v>2.9385166808104549E-2</v>
      </c>
      <c r="D166">
        <v>-1.265304448687121E-2</v>
      </c>
      <c r="E166">
        <v>5.4311521510067573E-3</v>
      </c>
      <c r="F166">
        <v>-7.4590450885310133E-3</v>
      </c>
      <c r="G166">
        <v>1.9239610406423861E-2</v>
      </c>
      <c r="H166">
        <v>-1</v>
      </c>
      <c r="I166">
        <v>1</v>
      </c>
      <c r="J166">
        <v>0</v>
      </c>
      <c r="K166">
        <v>1.265304448687121E-2</v>
      </c>
      <c r="L166">
        <v>0</v>
      </c>
      <c r="M166">
        <v>5.4311521510067573E-3</v>
      </c>
      <c r="N166">
        <v>-7.4590450885310133E-3</v>
      </c>
      <c r="O166">
        <v>0</v>
      </c>
      <c r="P166">
        <v>-1.9239610406423861E-2</v>
      </c>
      <c r="Q166">
        <v>0</v>
      </c>
      <c r="R166">
        <v>0.73064710164667157</v>
      </c>
      <c r="S166">
        <v>0.21221745761619659</v>
      </c>
      <c r="T166">
        <v>-0.11922906282386279</v>
      </c>
      <c r="U166">
        <v>0.80208374809174177</v>
      </c>
      <c r="V166">
        <v>1.6364009096082479</v>
      </c>
      <c r="W166">
        <v>0.96327782889353442</v>
      </c>
      <c r="X166">
        <v>1.888586447222236</v>
      </c>
      <c r="Y166">
        <v>0.80879549729279465</v>
      </c>
      <c r="Z166">
        <v>4.6566805651570036</v>
      </c>
    </row>
    <row r="167" spans="1:26" x14ac:dyDescent="0.25">
      <c r="A167" s="1">
        <v>42521</v>
      </c>
      <c r="B167">
        <v>1.735583262761831E-2</v>
      </c>
      <c r="C167">
        <v>-1.206007495733941E-2</v>
      </c>
      <c r="D167">
        <v>2.1065955211013399E-2</v>
      </c>
      <c r="E167">
        <v>1.134430337371706E-4</v>
      </c>
      <c r="F167">
        <v>-2.8688503318179399E-3</v>
      </c>
      <c r="G167">
        <v>1.042359631193612E-2</v>
      </c>
      <c r="H167">
        <v>1</v>
      </c>
      <c r="I167">
        <v>-1</v>
      </c>
      <c r="J167">
        <v>2.1065955211013399E-2</v>
      </c>
      <c r="K167">
        <v>0</v>
      </c>
      <c r="L167">
        <v>-1.134430337371706E-4</v>
      </c>
      <c r="M167">
        <v>0</v>
      </c>
      <c r="N167">
        <v>0</v>
      </c>
      <c r="O167">
        <v>2.8688503318179399E-3</v>
      </c>
      <c r="P167">
        <v>0</v>
      </c>
      <c r="Q167">
        <v>1.042359631193612E-2</v>
      </c>
      <c r="R167">
        <v>0.76710483597603063</v>
      </c>
      <c r="S167">
        <v>0.21221745761619659</v>
      </c>
      <c r="T167">
        <v>-0.1193289801510036</v>
      </c>
      <c r="U167">
        <v>0.80208374809174177</v>
      </c>
      <c r="V167">
        <v>1.6364009096082479</v>
      </c>
      <c r="W167">
        <v>0.96891017914440658</v>
      </c>
      <c r="X167">
        <v>1.888586447222236</v>
      </c>
      <c r="Y167">
        <v>0.82764965136742252</v>
      </c>
      <c r="Z167">
        <v>4.6909255239780343</v>
      </c>
    </row>
    <row r="168" spans="1:26" x14ac:dyDescent="0.25">
      <c r="A168" s="1">
        <v>42551</v>
      </c>
      <c r="B168">
        <v>4.9202565594809178E-3</v>
      </c>
      <c r="C168">
        <v>-2.9380001186375852E-2</v>
      </c>
      <c r="D168">
        <v>6.2813845669400514E-3</v>
      </c>
      <c r="E168">
        <v>4.0119776737525981E-2</v>
      </c>
      <c r="F168">
        <v>8.7558339759240544E-3</v>
      </c>
      <c r="G168">
        <v>2.0489312059681412E-2</v>
      </c>
      <c r="H168">
        <v>1</v>
      </c>
      <c r="I168">
        <v>-1</v>
      </c>
      <c r="J168">
        <v>6.2813845669400514E-3</v>
      </c>
      <c r="K168">
        <v>0</v>
      </c>
      <c r="L168">
        <v>-4.0119776737525981E-2</v>
      </c>
      <c r="M168">
        <v>0</v>
      </c>
      <c r="N168">
        <v>0</v>
      </c>
      <c r="O168">
        <v>-8.7558339759240544E-3</v>
      </c>
      <c r="P168">
        <v>0</v>
      </c>
      <c r="Q168">
        <v>2.0489312059681412E-2</v>
      </c>
      <c r="R168">
        <v>0.77820470102089545</v>
      </c>
      <c r="S168">
        <v>0.21221745761619659</v>
      </c>
      <c r="T168">
        <v>-0.15466130484655469</v>
      </c>
      <c r="U168">
        <v>0.80208374809174177</v>
      </c>
      <c r="V168">
        <v>1.6364009096082479</v>
      </c>
      <c r="W168">
        <v>0.95167072850231116</v>
      </c>
      <c r="X168">
        <v>1.888586447222236</v>
      </c>
      <c r="Y168">
        <v>0.8650969354100575</v>
      </c>
      <c r="Z168">
        <v>4.6688206098912062</v>
      </c>
    </row>
    <row r="169" spans="1:26" x14ac:dyDescent="0.25">
      <c r="A169" s="1">
        <v>42582</v>
      </c>
      <c r="B169">
        <v>3.6063175248070227E-2</v>
      </c>
      <c r="C169">
        <v>3.4867777675759881E-2</v>
      </c>
      <c r="D169">
        <v>-5.4641546877232106E-4</v>
      </c>
      <c r="E169">
        <v>1.9804250573506099E-2</v>
      </c>
      <c r="F169">
        <v>1.517538963758969E-2</v>
      </c>
      <c r="G169">
        <v>3.5316445830340333E-2</v>
      </c>
      <c r="H169">
        <v>-1</v>
      </c>
      <c r="I169">
        <v>1</v>
      </c>
      <c r="J169">
        <v>0</v>
      </c>
      <c r="K169">
        <v>5.4641546877232106E-4</v>
      </c>
      <c r="L169">
        <v>0</v>
      </c>
      <c r="M169">
        <v>1.9804250573506099E-2</v>
      </c>
      <c r="N169">
        <v>1.517538963758969E-2</v>
      </c>
      <c r="O169">
        <v>0</v>
      </c>
      <c r="P169">
        <v>-3.5316445830340333E-2</v>
      </c>
      <c r="Q169">
        <v>0</v>
      </c>
      <c r="R169">
        <v>0.77820470102089545</v>
      </c>
      <c r="S169">
        <v>0.21287983198655391</v>
      </c>
      <c r="T169">
        <v>-0.15466130484655469</v>
      </c>
      <c r="U169">
        <v>0.83777266619339374</v>
      </c>
      <c r="V169">
        <v>1.6764093206524491</v>
      </c>
      <c r="W169">
        <v>0.95167072850231116</v>
      </c>
      <c r="X169">
        <v>1.7865718404326569</v>
      </c>
      <c r="Y169">
        <v>0.8650969354100575</v>
      </c>
      <c r="Z169">
        <v>4.6690302197407343</v>
      </c>
    </row>
    <row r="170" spans="1:26" x14ac:dyDescent="0.25">
      <c r="A170" s="1">
        <v>42613</v>
      </c>
      <c r="B170">
        <v>1.327826256937281E-3</v>
      </c>
      <c r="C170">
        <v>2.4719836525362249E-2</v>
      </c>
      <c r="D170">
        <v>-5.2873588185711204E-3</v>
      </c>
      <c r="E170">
        <v>8.4876996686914508E-3</v>
      </c>
      <c r="F170">
        <v>4.9291709329477573E-3</v>
      </c>
      <c r="G170">
        <v>-2.34502127062074E-2</v>
      </c>
      <c r="H170">
        <v>-1</v>
      </c>
      <c r="I170">
        <v>1</v>
      </c>
      <c r="J170">
        <v>0</v>
      </c>
      <c r="K170">
        <v>5.2873588185711204E-3</v>
      </c>
      <c r="L170">
        <v>0</v>
      </c>
      <c r="M170">
        <v>8.4876996686914508E-3</v>
      </c>
      <c r="N170">
        <v>4.9291709329477573E-3</v>
      </c>
      <c r="O170">
        <v>0</v>
      </c>
      <c r="P170">
        <v>2.34502127062074E-2</v>
      </c>
      <c r="Q170">
        <v>0</v>
      </c>
      <c r="R170">
        <v>0.77820470102089545</v>
      </c>
      <c r="S170">
        <v>0.21929276286207491</v>
      </c>
      <c r="T170">
        <v>-0.15466130484655469</v>
      </c>
      <c r="U170">
        <v>0.85337112864337361</v>
      </c>
      <c r="V170">
        <v>1.6896017996804791</v>
      </c>
      <c r="W170">
        <v>0.95167072850231116</v>
      </c>
      <c r="X170">
        <v>1.8519175428119301</v>
      </c>
      <c r="Y170">
        <v>0.8650969354100575</v>
      </c>
      <c r="Z170">
        <v>4.7111846618671516</v>
      </c>
    </row>
    <row r="171" spans="1:26" x14ac:dyDescent="0.25">
      <c r="A171" s="1">
        <v>42643</v>
      </c>
      <c r="B171">
        <v>8.6128816511832351E-4</v>
      </c>
      <c r="C171">
        <v>2.359206661403002E-2</v>
      </c>
      <c r="D171">
        <v>-3.9112331834117997E-3</v>
      </c>
      <c r="E171">
        <v>4.174281685477621E-3</v>
      </c>
      <c r="F171">
        <v>5.202172468047217E-3</v>
      </c>
      <c r="G171">
        <v>-1.302527265507936E-2</v>
      </c>
      <c r="H171">
        <v>-1</v>
      </c>
      <c r="I171">
        <v>1</v>
      </c>
      <c r="J171">
        <v>0</v>
      </c>
      <c r="K171">
        <v>3.9112331834117997E-3</v>
      </c>
      <c r="L171">
        <v>0</v>
      </c>
      <c r="M171">
        <v>4.174281685477621E-3</v>
      </c>
      <c r="N171">
        <v>5.202172468047217E-3</v>
      </c>
      <c r="O171">
        <v>0</v>
      </c>
      <c r="P171">
        <v>1.302527265507936E-2</v>
      </c>
      <c r="Q171">
        <v>0</v>
      </c>
      <c r="R171">
        <v>0.77820470102089545</v>
      </c>
      <c r="S171">
        <v>0.22406170117647489</v>
      </c>
      <c r="T171">
        <v>-0.15466130484655469</v>
      </c>
      <c r="U171">
        <v>0.86110762180206257</v>
      </c>
      <c r="V171">
        <v>1.7035935721127879</v>
      </c>
      <c r="W171">
        <v>0.95167072850231116</v>
      </c>
      <c r="X171">
        <v>1.8890645463968589</v>
      </c>
      <c r="Y171">
        <v>0.8650969354100575</v>
      </c>
      <c r="Z171">
        <v>4.737497621859168</v>
      </c>
    </row>
    <row r="172" spans="1:26" x14ac:dyDescent="0.25">
      <c r="A172" s="1">
        <v>42674</v>
      </c>
      <c r="B172">
        <v>-1.7301005780876681E-2</v>
      </c>
      <c r="C172">
        <v>1.8345967650616361E-2</v>
      </c>
      <c r="D172">
        <v>-6.6806220750029732E-3</v>
      </c>
      <c r="E172">
        <v>-1.5456295282937351E-2</v>
      </c>
      <c r="F172">
        <v>-5.8102171025600216E-3</v>
      </c>
      <c r="G172">
        <v>-2.455487173668924E-2</v>
      </c>
      <c r="H172">
        <v>-1</v>
      </c>
      <c r="I172">
        <v>1</v>
      </c>
      <c r="J172">
        <v>0</v>
      </c>
      <c r="K172">
        <v>6.6806220750029732E-3</v>
      </c>
      <c r="L172">
        <v>0</v>
      </c>
      <c r="M172">
        <v>-1.5456295282937351E-2</v>
      </c>
      <c r="N172">
        <v>-5.8102171025600216E-3</v>
      </c>
      <c r="O172">
        <v>0</v>
      </c>
      <c r="P172">
        <v>2.455487173668924E-2</v>
      </c>
      <c r="Q172">
        <v>0</v>
      </c>
      <c r="R172">
        <v>0.77820470102089545</v>
      </c>
      <c r="S172">
        <v>0.23223919479852029</v>
      </c>
      <c r="T172">
        <v>-0.15466130484655469</v>
      </c>
      <c r="U172">
        <v>0.8323417928461645</v>
      </c>
      <c r="V172">
        <v>1.687885106501726</v>
      </c>
      <c r="W172">
        <v>0.95167072850231116</v>
      </c>
      <c r="X172">
        <v>1.960005155772651</v>
      </c>
      <c r="Y172">
        <v>0.8650969354100575</v>
      </c>
      <c r="Z172">
        <v>4.7474666032853632</v>
      </c>
    </row>
    <row r="173" spans="1:26" x14ac:dyDescent="0.25">
      <c r="A173" s="1">
        <v>42704</v>
      </c>
      <c r="B173">
        <v>3.6644116213955469E-2</v>
      </c>
      <c r="C173">
        <v>0.1123799673414341</v>
      </c>
      <c r="D173">
        <v>1.068860648427483E-3</v>
      </c>
      <c r="E173">
        <v>-7.3627692112540064E-3</v>
      </c>
      <c r="F173">
        <v>3.1141563627652409E-3</v>
      </c>
      <c r="G173">
        <v>-2.7898704440156852E-3</v>
      </c>
      <c r="H173">
        <v>-1</v>
      </c>
      <c r="I173">
        <v>1</v>
      </c>
      <c r="J173">
        <v>0</v>
      </c>
      <c r="K173">
        <v>-1.068860648427483E-3</v>
      </c>
      <c r="L173">
        <v>0</v>
      </c>
      <c r="M173">
        <v>-7.3627692112540064E-3</v>
      </c>
      <c r="N173">
        <v>3.1141563627652409E-3</v>
      </c>
      <c r="O173">
        <v>0</v>
      </c>
      <c r="P173">
        <v>2.7898704440156852E-3</v>
      </c>
      <c r="Q173">
        <v>0</v>
      </c>
      <c r="R173">
        <v>0.77820470102089545</v>
      </c>
      <c r="S173">
        <v>0.23092210281375</v>
      </c>
      <c r="T173">
        <v>-0.15466130484655469</v>
      </c>
      <c r="U173">
        <v>0.81885068310930276</v>
      </c>
      <c r="V173">
        <v>1.696255601008521</v>
      </c>
      <c r="W173">
        <v>0.95167072850231116</v>
      </c>
      <c r="X173">
        <v>1.9682631866708751</v>
      </c>
      <c r="Y173">
        <v>0.8650969354100575</v>
      </c>
      <c r="Z173">
        <v>4.7449390002324634</v>
      </c>
    </row>
    <row r="174" spans="1:26" x14ac:dyDescent="0.25">
      <c r="A174" s="1">
        <v>42735</v>
      </c>
      <c r="B174">
        <v>2.0332895410142719E-2</v>
      </c>
      <c r="C174">
        <v>4.3812650685921883E-2</v>
      </c>
      <c r="D174">
        <v>-9.9244897001810051E-3</v>
      </c>
      <c r="E174">
        <v>9.3958669860367827E-3</v>
      </c>
      <c r="F174">
        <v>1.9082595295349721E-2</v>
      </c>
      <c r="G174">
        <v>3.4731256775585311E-3</v>
      </c>
      <c r="H174">
        <v>-1</v>
      </c>
      <c r="I174">
        <v>1</v>
      </c>
      <c r="J174">
        <v>0</v>
      </c>
      <c r="K174">
        <v>9.9244897001810051E-3</v>
      </c>
      <c r="L174">
        <v>0</v>
      </c>
      <c r="M174">
        <v>9.3958669860367827E-3</v>
      </c>
      <c r="N174">
        <v>1.9082595295349721E-2</v>
      </c>
      <c r="O174">
        <v>0</v>
      </c>
      <c r="P174">
        <v>-3.4731256775585311E-3</v>
      </c>
      <c r="Q174">
        <v>0</v>
      </c>
      <c r="R174">
        <v>0.77820470102089545</v>
      </c>
      <c r="S174">
        <v>0.24313837654485029</v>
      </c>
      <c r="T174">
        <v>-0.15466130484655469</v>
      </c>
      <c r="U174">
        <v>0.83594036219525991</v>
      </c>
      <c r="V174">
        <v>1.747707155455386</v>
      </c>
      <c r="W174">
        <v>0.95167072850231116</v>
      </c>
      <c r="X174">
        <v>1.957954035579496</v>
      </c>
      <c r="Y174">
        <v>0.8650969354100575</v>
      </c>
      <c r="Z174">
        <v>4.7798688265364717</v>
      </c>
    </row>
    <row r="175" spans="1:26" x14ac:dyDescent="0.25">
      <c r="A175" s="1">
        <v>42766</v>
      </c>
      <c r="B175">
        <v>1.7909630157209921E-2</v>
      </c>
      <c r="C175">
        <v>7.8348846728287791E-3</v>
      </c>
      <c r="D175">
        <v>-2.4939300862725222E-4</v>
      </c>
      <c r="E175">
        <v>-1.6263592565822771E-3</v>
      </c>
      <c r="F175">
        <v>1.3081539533864711E-2</v>
      </c>
      <c r="G175">
        <v>2.262336530768605E-2</v>
      </c>
      <c r="H175">
        <v>-1</v>
      </c>
      <c r="I175">
        <v>1</v>
      </c>
      <c r="J175">
        <v>0</v>
      </c>
      <c r="K175">
        <v>2.4939300862725222E-4</v>
      </c>
      <c r="L175">
        <v>0</v>
      </c>
      <c r="M175">
        <v>-1.6263592565822771E-3</v>
      </c>
      <c r="N175">
        <v>1.3081539533864711E-2</v>
      </c>
      <c r="O175">
        <v>0</v>
      </c>
      <c r="P175">
        <v>-2.262336530768605E-2</v>
      </c>
      <c r="Q175">
        <v>0</v>
      </c>
      <c r="R175">
        <v>0.77820470102089545</v>
      </c>
      <c r="S175">
        <v>0.24344840656471689</v>
      </c>
      <c r="T175">
        <v>-0.15466130484655469</v>
      </c>
      <c r="U175">
        <v>0.83295446359267067</v>
      </c>
      <c r="V175">
        <v>1.783651395236959</v>
      </c>
      <c r="W175">
        <v>0.95167072850231116</v>
      </c>
      <c r="X175">
        <v>1.8910351608692371</v>
      </c>
      <c r="Y175">
        <v>0.8650969354100575</v>
      </c>
      <c r="Z175">
        <v>4.7689500345146953</v>
      </c>
    </row>
    <row r="176" spans="1:26" x14ac:dyDescent="0.25">
      <c r="A176" s="1">
        <v>42794</v>
      </c>
      <c r="B176">
        <v>3.8652662009751038E-2</v>
      </c>
      <c r="C176">
        <v>3.3636741050069967E-2</v>
      </c>
      <c r="D176">
        <v>8.0964465933774932E-4</v>
      </c>
      <c r="E176">
        <v>1.190562299324782E-2</v>
      </c>
      <c r="F176">
        <v>6.2036658562703018E-3</v>
      </c>
      <c r="G176">
        <v>6.3777308157938473E-3</v>
      </c>
      <c r="H176">
        <v>-1</v>
      </c>
      <c r="I176">
        <v>1</v>
      </c>
      <c r="J176">
        <v>0</v>
      </c>
      <c r="K176">
        <v>-8.0964465933774932E-4</v>
      </c>
      <c r="L176">
        <v>0</v>
      </c>
      <c r="M176">
        <v>1.190562299324782E-2</v>
      </c>
      <c r="N176">
        <v>6.2036658562703018E-3</v>
      </c>
      <c r="O176">
        <v>0</v>
      </c>
      <c r="P176">
        <v>-6.3777308157938473E-3</v>
      </c>
      <c r="Q176">
        <v>0</v>
      </c>
      <c r="R176">
        <v>0.77820470102089545</v>
      </c>
      <c r="S176">
        <v>0.24244165520317959</v>
      </c>
      <c r="T176">
        <v>-0.15466130484655469</v>
      </c>
      <c r="U176">
        <v>0.85477692839999597</v>
      </c>
      <c r="V176">
        <v>1.80092023835335</v>
      </c>
      <c r="W176">
        <v>0.95167072850231116</v>
      </c>
      <c r="X176">
        <v>1.872596916834218</v>
      </c>
      <c r="Y176">
        <v>0.8650969354100575</v>
      </c>
      <c r="Z176">
        <v>4.7798719478890819</v>
      </c>
    </row>
    <row r="177" spans="1:26" x14ac:dyDescent="0.25">
      <c r="A177" s="1">
        <v>42825</v>
      </c>
      <c r="B177">
        <v>1.5544580211859229E-3</v>
      </c>
      <c r="C177">
        <v>3.8564331823069948E-3</v>
      </c>
      <c r="D177">
        <v>8.6015064414558529E-3</v>
      </c>
      <c r="E177">
        <v>4.8358406681783261E-3</v>
      </c>
      <c r="F177">
        <v>2.3650615446227929E-3</v>
      </c>
      <c r="G177">
        <v>-2.5557835446960331E-2</v>
      </c>
      <c r="H177">
        <v>-1</v>
      </c>
      <c r="I177">
        <v>1</v>
      </c>
      <c r="J177">
        <v>0</v>
      </c>
      <c r="K177">
        <v>-8.6015064414558529E-3</v>
      </c>
      <c r="L177">
        <v>0</v>
      </c>
      <c r="M177">
        <v>4.8358406681783261E-3</v>
      </c>
      <c r="N177">
        <v>2.3650615446227929E-3</v>
      </c>
      <c r="O177">
        <v>0</v>
      </c>
      <c r="P177">
        <v>2.5557835446960331E-2</v>
      </c>
      <c r="Q177">
        <v>0</v>
      </c>
      <c r="R177">
        <v>0.77820470102089545</v>
      </c>
      <c r="S177">
        <v>0.2317547853028166</v>
      </c>
      <c r="T177">
        <v>-0.15466130484655469</v>
      </c>
      <c r="U177">
        <v>0.86374633410075141</v>
      </c>
      <c r="V177">
        <v>1.8075445870986351</v>
      </c>
      <c r="W177">
        <v>0.95167072850231116</v>
      </c>
      <c r="X177">
        <v>1.946014276140112</v>
      </c>
      <c r="Y177">
        <v>0.8650969354100575</v>
      </c>
      <c r="Z177">
        <v>4.8040291791073866</v>
      </c>
    </row>
    <row r="178" spans="1:26" x14ac:dyDescent="0.25">
      <c r="A178" s="1">
        <v>42855</v>
      </c>
      <c r="B178">
        <v>1.0082715640699959E-2</v>
      </c>
      <c r="C178">
        <v>-1.4384295356658311E-2</v>
      </c>
      <c r="D178">
        <v>3.8493924012165111E-3</v>
      </c>
      <c r="E178">
        <v>-4.638690494291775E-3</v>
      </c>
      <c r="F178">
        <v>-2.2823655612118632E-3</v>
      </c>
      <c r="G178">
        <v>2.1940355246722332E-3</v>
      </c>
      <c r="H178">
        <v>1</v>
      </c>
      <c r="I178">
        <v>-1</v>
      </c>
      <c r="J178">
        <v>3.8493924012165111E-3</v>
      </c>
      <c r="K178">
        <v>0</v>
      </c>
      <c r="L178">
        <v>4.638690494291775E-3</v>
      </c>
      <c r="M178">
        <v>0</v>
      </c>
      <c r="N178">
        <v>0</v>
      </c>
      <c r="O178">
        <v>2.2823655612118632E-3</v>
      </c>
      <c r="P178">
        <v>0</v>
      </c>
      <c r="Q178">
        <v>2.1940355246722332E-3</v>
      </c>
      <c r="R178">
        <v>0.78504970868481272</v>
      </c>
      <c r="S178">
        <v>0.2317547853028166</v>
      </c>
      <c r="T178">
        <v>-0.15074004027688939</v>
      </c>
      <c r="U178">
        <v>0.86374633410075141</v>
      </c>
      <c r="V178">
        <v>1.8075445870986351</v>
      </c>
      <c r="W178">
        <v>0.95612515455987013</v>
      </c>
      <c r="X178">
        <v>1.946014276140112</v>
      </c>
      <c r="Y178">
        <v>0.86918902434330447</v>
      </c>
      <c r="Z178">
        <v>4.8169936630887804</v>
      </c>
    </row>
    <row r="179" spans="1:26" x14ac:dyDescent="0.25">
      <c r="A179" s="1">
        <v>42886</v>
      </c>
      <c r="B179">
        <v>1.426618316219253E-2</v>
      </c>
      <c r="C179">
        <v>-1.217679014901174E-2</v>
      </c>
      <c r="D179">
        <v>1.307850129534038E-2</v>
      </c>
      <c r="E179">
        <v>5.6210869322640411E-3</v>
      </c>
      <c r="F179">
        <v>6.793740353721045E-3</v>
      </c>
      <c r="G179">
        <v>-6.5544215364270464E-3</v>
      </c>
      <c r="H179">
        <v>1</v>
      </c>
      <c r="I179">
        <v>-1</v>
      </c>
      <c r="J179">
        <v>1.307850129534038E-2</v>
      </c>
      <c r="K179">
        <v>0</v>
      </c>
      <c r="L179">
        <v>-5.6210869322640411E-3</v>
      </c>
      <c r="M179">
        <v>0</v>
      </c>
      <c r="N179">
        <v>0</v>
      </c>
      <c r="O179">
        <v>-6.793740353721045E-3</v>
      </c>
      <c r="P179">
        <v>0</v>
      </c>
      <c r="Q179">
        <v>-6.5544215364270464E-3</v>
      </c>
      <c r="R179">
        <v>0.8083954836120939</v>
      </c>
      <c r="S179">
        <v>0.2317547853028166</v>
      </c>
      <c r="T179">
        <v>-0.15551380433858411</v>
      </c>
      <c r="U179">
        <v>0.86374633410075141</v>
      </c>
      <c r="V179">
        <v>1.8075445870986351</v>
      </c>
      <c r="W179">
        <v>0.94283574816040794</v>
      </c>
      <c r="X179">
        <v>1.946014276140112</v>
      </c>
      <c r="Y179">
        <v>0.85693757154649575</v>
      </c>
      <c r="Z179">
        <v>4.8111029155617082</v>
      </c>
    </row>
    <row r="180" spans="1:26" x14ac:dyDescent="0.25">
      <c r="A180" s="1">
        <v>42916</v>
      </c>
      <c r="B180">
        <v>6.5859489652545511E-3</v>
      </c>
      <c r="C180">
        <v>-1.6268554390694859E-2</v>
      </c>
      <c r="D180">
        <v>-4.6305447375701858E-3</v>
      </c>
      <c r="E180">
        <v>-1.9202987088739021E-2</v>
      </c>
      <c r="F180">
        <v>9.1969682412288423E-3</v>
      </c>
      <c r="G180">
        <v>6.4023198015495941E-3</v>
      </c>
      <c r="H180">
        <v>1</v>
      </c>
      <c r="I180">
        <v>-1</v>
      </c>
      <c r="J180">
        <v>-4.6305447375701858E-3</v>
      </c>
      <c r="K180">
        <v>0</v>
      </c>
      <c r="L180">
        <v>1.9202987088739021E-2</v>
      </c>
      <c r="M180">
        <v>0</v>
      </c>
      <c r="N180">
        <v>0</v>
      </c>
      <c r="O180">
        <v>-9.1969682412288423E-3</v>
      </c>
      <c r="P180">
        <v>0</v>
      </c>
      <c r="Q180">
        <v>6.4023198015495941E-3</v>
      </c>
      <c r="R180">
        <v>0.80002162742200844</v>
      </c>
      <c r="S180">
        <v>0.2317547853028166</v>
      </c>
      <c r="T180">
        <v>-0.13929714682667951</v>
      </c>
      <c r="U180">
        <v>0.86374633410075141</v>
      </c>
      <c r="V180">
        <v>1.8075445870986351</v>
      </c>
      <c r="W180">
        <v>0.9249675494866525</v>
      </c>
      <c r="X180">
        <v>1.946014276140112</v>
      </c>
      <c r="Y180">
        <v>0.86882627973104909</v>
      </c>
      <c r="Z180">
        <v>4.822880709473198</v>
      </c>
    </row>
    <row r="181" spans="1:26" x14ac:dyDescent="0.25">
      <c r="A181" s="1">
        <v>42947</v>
      </c>
      <c r="B181">
        <v>2.0473546055801321E-2</v>
      </c>
      <c r="C181">
        <v>1.7801895246575161E-2</v>
      </c>
      <c r="D181">
        <v>-1.9860824168305149E-4</v>
      </c>
      <c r="E181">
        <v>-9.1912682607654395E-3</v>
      </c>
      <c r="F181">
        <v>2.422185909950469E-3</v>
      </c>
      <c r="G181">
        <v>-1.5779424135701881E-2</v>
      </c>
      <c r="H181">
        <v>-1</v>
      </c>
      <c r="I181">
        <v>1</v>
      </c>
      <c r="J181">
        <v>0</v>
      </c>
      <c r="K181">
        <v>1.9860824168305149E-4</v>
      </c>
      <c r="L181">
        <v>0</v>
      </c>
      <c r="M181">
        <v>-9.1912682607654395E-3</v>
      </c>
      <c r="N181">
        <v>2.422185909950469E-3</v>
      </c>
      <c r="O181">
        <v>0</v>
      </c>
      <c r="P181">
        <v>1.5779424135701881E-2</v>
      </c>
      <c r="Q181">
        <v>0</v>
      </c>
      <c r="R181">
        <v>0.80002162742200844</v>
      </c>
      <c r="S181">
        <v>0.23199942195491019</v>
      </c>
      <c r="T181">
        <v>-0.13929714682667951</v>
      </c>
      <c r="U181">
        <v>0.84661614157401344</v>
      </c>
      <c r="V181">
        <v>1.8143449820390629</v>
      </c>
      <c r="W181">
        <v>0.9249675494866525</v>
      </c>
      <c r="X181">
        <v>1.9925006849131599</v>
      </c>
      <c r="Y181">
        <v>0.86882627973104909</v>
      </c>
      <c r="Z181">
        <v>4.8320896594997684</v>
      </c>
    </row>
    <row r="182" spans="1:26" x14ac:dyDescent="0.25">
      <c r="A182" s="1">
        <v>42978</v>
      </c>
      <c r="B182">
        <v>3.296863980043474E-3</v>
      </c>
      <c r="C182">
        <v>-4.0954422402858508E-2</v>
      </c>
      <c r="D182">
        <v>1.881645751336947E-2</v>
      </c>
      <c r="E182">
        <v>8.3709526236803722E-3</v>
      </c>
      <c r="F182">
        <v>4.455549265622194E-3</v>
      </c>
      <c r="G182">
        <v>1.055524144503683E-2</v>
      </c>
      <c r="H182">
        <v>1</v>
      </c>
      <c r="I182">
        <v>-1</v>
      </c>
      <c r="J182">
        <v>1.881645751336947E-2</v>
      </c>
      <c r="K182">
        <v>0</v>
      </c>
      <c r="L182">
        <v>-8.3709526236803722E-3</v>
      </c>
      <c r="M182">
        <v>0</v>
      </c>
      <c r="N182">
        <v>0</v>
      </c>
      <c r="O182">
        <v>-4.455549265622194E-3</v>
      </c>
      <c r="P182">
        <v>0</v>
      </c>
      <c r="Q182">
        <v>1.055524144503683E-2</v>
      </c>
      <c r="R182">
        <v>0.83389165789754083</v>
      </c>
      <c r="S182">
        <v>0.23199942195491019</v>
      </c>
      <c r="T182">
        <v>-0.1465020496336599</v>
      </c>
      <c r="U182">
        <v>0.84661614157401344</v>
      </c>
      <c r="V182">
        <v>1.8143449820390629</v>
      </c>
      <c r="W182">
        <v>0.91639076173519074</v>
      </c>
      <c r="X182">
        <v>1.9925006849131599</v>
      </c>
      <c r="Y182">
        <v>0.88855219233244043</v>
      </c>
      <c r="Z182">
        <v>4.8486348565688724</v>
      </c>
    </row>
    <row r="183" spans="1:26" x14ac:dyDescent="0.25">
      <c r="A183" s="1">
        <v>43008</v>
      </c>
      <c r="B183">
        <v>2.0068944698953369E-2</v>
      </c>
      <c r="C183">
        <v>2.457586581285642E-2</v>
      </c>
      <c r="D183">
        <v>7.167059343528237E-3</v>
      </c>
      <c r="E183">
        <v>-1.1333286988345679E-2</v>
      </c>
      <c r="F183">
        <v>-3.6504674057774582E-3</v>
      </c>
      <c r="G183">
        <v>1.0144643553741121E-2</v>
      </c>
      <c r="H183">
        <v>-1</v>
      </c>
      <c r="I183">
        <v>1</v>
      </c>
      <c r="J183">
        <v>0</v>
      </c>
      <c r="K183">
        <v>-7.167059343528237E-3</v>
      </c>
      <c r="L183">
        <v>0</v>
      </c>
      <c r="M183">
        <v>-1.1333286988345679E-2</v>
      </c>
      <c r="N183">
        <v>-3.6504674057774582E-3</v>
      </c>
      <c r="O183">
        <v>0</v>
      </c>
      <c r="P183">
        <v>-1.0144643553741121E-2</v>
      </c>
      <c r="Q183">
        <v>0</v>
      </c>
      <c r="R183">
        <v>0.83389165789754083</v>
      </c>
      <c r="S183">
        <v>0.2231696089865669</v>
      </c>
      <c r="T183">
        <v>-0.1465020496336599</v>
      </c>
      <c r="U183">
        <v>0.82568791088424343</v>
      </c>
      <c r="V183">
        <v>1.804071307413516</v>
      </c>
      <c r="W183">
        <v>0.91639076173519074</v>
      </c>
      <c r="X183">
        <v>1.96214283213039</v>
      </c>
      <c r="Y183">
        <v>0.88855219233244043</v>
      </c>
      <c r="Z183">
        <v>4.8163393992774797</v>
      </c>
    </row>
    <row r="184" spans="1:26" x14ac:dyDescent="0.25">
      <c r="A184" s="1">
        <v>43039</v>
      </c>
      <c r="B184">
        <v>2.3407833912125309E-2</v>
      </c>
      <c r="C184">
        <v>2.730081228103531E-2</v>
      </c>
      <c r="D184">
        <v>2.193891755438715E-4</v>
      </c>
      <c r="E184">
        <v>3.9698714313306516E-3</v>
      </c>
      <c r="F184">
        <v>1.245161094374958E-2</v>
      </c>
      <c r="G184">
        <v>-7.3868833536336886E-3</v>
      </c>
      <c r="H184">
        <v>-1</v>
      </c>
      <c r="I184">
        <v>1</v>
      </c>
      <c r="J184">
        <v>0</v>
      </c>
      <c r="K184">
        <v>-2.193891755438715E-4</v>
      </c>
      <c r="L184">
        <v>0</v>
      </c>
      <c r="M184">
        <v>3.9698714313306516E-3</v>
      </c>
      <c r="N184">
        <v>1.245161094374958E-2</v>
      </c>
      <c r="O184">
        <v>0</v>
      </c>
      <c r="P184">
        <v>7.3868833536336886E-3</v>
      </c>
      <c r="Q184">
        <v>0</v>
      </c>
      <c r="R184">
        <v>0.83389165789754083</v>
      </c>
      <c r="S184">
        <v>0.22290125881450101</v>
      </c>
      <c r="T184">
        <v>-0.1465020496336599</v>
      </c>
      <c r="U184">
        <v>0.83293565716418838</v>
      </c>
      <c r="V184">
        <v>1.83898651239196</v>
      </c>
      <c r="W184">
        <v>0.91639076173519074</v>
      </c>
      <c r="X184">
        <v>1.984023835708139</v>
      </c>
      <c r="Y184">
        <v>0.88855219233244043</v>
      </c>
      <c r="Z184">
        <v>4.8399283758306497</v>
      </c>
    </row>
    <row r="185" spans="1:26" x14ac:dyDescent="0.25">
      <c r="A185" s="1">
        <v>43069</v>
      </c>
      <c r="B185">
        <v>3.0295555283787249E-2</v>
      </c>
      <c r="C185">
        <v>-9.5044876724021954E-3</v>
      </c>
      <c r="D185">
        <v>1.9217223044843631E-2</v>
      </c>
      <c r="E185">
        <v>-1.279860870699512E-2</v>
      </c>
      <c r="F185">
        <v>5.9016073455988582E-3</v>
      </c>
      <c r="G185">
        <v>1.951790191136404E-2</v>
      </c>
      <c r="H185">
        <v>1</v>
      </c>
      <c r="I185">
        <v>-1</v>
      </c>
      <c r="J185">
        <v>1.9217223044843631E-2</v>
      </c>
      <c r="K185">
        <v>0</v>
      </c>
      <c r="L185">
        <v>1.279860870699512E-2</v>
      </c>
      <c r="M185">
        <v>0</v>
      </c>
      <c r="N185">
        <v>0</v>
      </c>
      <c r="O185">
        <v>-5.9016073455988582E-3</v>
      </c>
      <c r="P185">
        <v>0</v>
      </c>
      <c r="Q185">
        <v>1.951790191136404E-2</v>
      </c>
      <c r="R185">
        <v>0.86913396292743572</v>
      </c>
      <c r="S185">
        <v>0.22290125881450101</v>
      </c>
      <c r="T185">
        <v>-0.13557846333469881</v>
      </c>
      <c r="U185">
        <v>0.83293565716418838</v>
      </c>
      <c r="V185">
        <v>1.83898651239196</v>
      </c>
      <c r="W185">
        <v>0.90508097593869663</v>
      </c>
      <c r="X185">
        <v>1.984023835708139</v>
      </c>
      <c r="Y185">
        <v>0.9254127687768765</v>
      </c>
      <c r="Z185">
        <v>4.8855605021482544</v>
      </c>
    </row>
    <row r="186" spans="1:26" x14ac:dyDescent="0.25">
      <c r="A186" s="1">
        <v>43100</v>
      </c>
      <c r="B186">
        <v>1.2172573352669301E-2</v>
      </c>
      <c r="C186">
        <v>1.447793820384957E-2</v>
      </c>
      <c r="D186">
        <v>-2.684050661438508E-3</v>
      </c>
      <c r="E186">
        <v>1.8066906212518389E-2</v>
      </c>
      <c r="F186">
        <v>-3.5393812835619039E-3</v>
      </c>
      <c r="G186">
        <v>1.4570375316430569E-2</v>
      </c>
      <c r="H186">
        <v>-1</v>
      </c>
      <c r="I186">
        <v>1</v>
      </c>
      <c r="J186">
        <v>0</v>
      </c>
      <c r="K186">
        <v>2.684050661438508E-3</v>
      </c>
      <c r="L186">
        <v>0</v>
      </c>
      <c r="M186">
        <v>1.8066906212518389E-2</v>
      </c>
      <c r="N186">
        <v>-3.5393812835619039E-3</v>
      </c>
      <c r="O186">
        <v>0</v>
      </c>
      <c r="P186">
        <v>-1.4570375316430569E-2</v>
      </c>
      <c r="Q186">
        <v>0</v>
      </c>
      <c r="R186">
        <v>0.86913396292743572</v>
      </c>
      <c r="S186">
        <v>0.2261835877470959</v>
      </c>
      <c r="T186">
        <v>-0.13557846333469881</v>
      </c>
      <c r="U186">
        <v>0.86605113377575482</v>
      </c>
      <c r="V186">
        <v>1.8289382566657151</v>
      </c>
      <c r="W186">
        <v>0.90508097593869663</v>
      </c>
      <c r="X186">
        <v>1.940545488468697</v>
      </c>
      <c r="Y186">
        <v>0.9254127687768765</v>
      </c>
      <c r="Z186">
        <v>4.8882017024222177</v>
      </c>
    </row>
    <row r="187" spans="1:26" x14ac:dyDescent="0.25">
      <c r="A187" s="1">
        <v>43131</v>
      </c>
      <c r="B187">
        <v>5.5197505771217181E-2</v>
      </c>
      <c r="C187">
        <v>8.4866588513795249E-2</v>
      </c>
      <c r="D187">
        <v>-4.7768488691620759E-3</v>
      </c>
      <c r="E187">
        <v>-7.8391154135976082E-3</v>
      </c>
      <c r="F187">
        <v>2.6190117239973439E-2</v>
      </c>
      <c r="G187">
        <v>-9.6684529502695238E-3</v>
      </c>
      <c r="H187">
        <v>-1</v>
      </c>
      <c r="I187">
        <v>1</v>
      </c>
      <c r="J187">
        <v>0</v>
      </c>
      <c r="K187">
        <v>4.7768488691620759E-3</v>
      </c>
      <c r="L187">
        <v>0</v>
      </c>
      <c r="M187">
        <v>-7.8391154135976082E-3</v>
      </c>
      <c r="N187">
        <v>2.6190117239973439E-2</v>
      </c>
      <c r="O187">
        <v>0</v>
      </c>
      <c r="P187">
        <v>9.6684529502695238E-3</v>
      </c>
      <c r="Q187">
        <v>0</v>
      </c>
      <c r="R187">
        <v>0.86913396292743572</v>
      </c>
      <c r="S187">
        <v>0.23204088143161081</v>
      </c>
      <c r="T187">
        <v>-0.13557846333469881</v>
      </c>
      <c r="U187">
        <v>0.85142294357041193</v>
      </c>
      <c r="V187">
        <v>1.9030284812724361</v>
      </c>
      <c r="W187">
        <v>0.90508097593869663</v>
      </c>
      <c r="X187">
        <v>1.968976014172084</v>
      </c>
      <c r="Y187">
        <v>0.9254127687768765</v>
      </c>
      <c r="Z187">
        <v>4.9209980060680252</v>
      </c>
    </row>
    <row r="188" spans="1:26" x14ac:dyDescent="0.25">
      <c r="A188" s="1">
        <v>43159</v>
      </c>
      <c r="B188">
        <v>-3.4221024989470772E-2</v>
      </c>
      <c r="C188">
        <v>5.3372291768538638E-3</v>
      </c>
      <c r="D188">
        <v>4.9348990450710506E-3</v>
      </c>
      <c r="E188">
        <v>1.4138225338044321E-2</v>
      </c>
      <c r="F188">
        <v>-5.0450225316479358E-2</v>
      </c>
      <c r="G188">
        <v>-3.0038631146913412E-2</v>
      </c>
      <c r="H188">
        <v>-1</v>
      </c>
      <c r="I188">
        <v>1</v>
      </c>
      <c r="J188">
        <v>0</v>
      </c>
      <c r="K188">
        <v>-4.9348990450710506E-3</v>
      </c>
      <c r="L188">
        <v>0</v>
      </c>
      <c r="M188">
        <v>1.4138225338044321E-2</v>
      </c>
      <c r="N188">
        <v>-5.0450225316479358E-2</v>
      </c>
      <c r="O188">
        <v>0</v>
      </c>
      <c r="P188">
        <v>3.0038631146913412E-2</v>
      </c>
      <c r="Q188">
        <v>0</v>
      </c>
      <c r="R188">
        <v>0.86913396292743572</v>
      </c>
      <c r="S188">
        <v>0.22596088406234549</v>
      </c>
      <c r="T188">
        <v>-0.13557846333469881</v>
      </c>
      <c r="U188">
        <v>0.87759877834263578</v>
      </c>
      <c r="V188">
        <v>1.756570040292085</v>
      </c>
      <c r="W188">
        <v>0.90508097593869663</v>
      </c>
      <c r="X188">
        <v>2.0581599895458318</v>
      </c>
      <c r="Y188">
        <v>0.9254127687768765</v>
      </c>
      <c r="Z188">
        <v>4.9097897381914324</v>
      </c>
    </row>
    <row r="189" spans="1:26" x14ac:dyDescent="0.25">
      <c r="A189" s="1">
        <v>43190</v>
      </c>
      <c r="B189">
        <v>-2.6162757059043921E-2</v>
      </c>
      <c r="C189">
        <v>-4.9985737052521406E-3</v>
      </c>
      <c r="D189">
        <v>-2.614142638745931E-2</v>
      </c>
      <c r="E189">
        <v>2.3533935951319359E-2</v>
      </c>
      <c r="F189">
        <v>4.3407840047611224E-3</v>
      </c>
      <c r="G189">
        <v>-4.1749436957544406E-3</v>
      </c>
      <c r="H189">
        <v>1</v>
      </c>
      <c r="I189">
        <v>-1</v>
      </c>
      <c r="J189">
        <v>-2.614142638745931E-2</v>
      </c>
      <c r="K189">
        <v>0</v>
      </c>
      <c r="L189">
        <v>-2.3533935951319359E-2</v>
      </c>
      <c r="M189">
        <v>0</v>
      </c>
      <c r="N189">
        <v>0</v>
      </c>
      <c r="O189">
        <v>-4.3407840047611224E-3</v>
      </c>
      <c r="P189">
        <v>0</v>
      </c>
      <c r="Q189">
        <v>-4.1749436957544406E-3</v>
      </c>
      <c r="R189">
        <v>0.82027213502726815</v>
      </c>
      <c r="S189">
        <v>0.22596088406234549</v>
      </c>
      <c r="T189">
        <v>-0.15592170441352099</v>
      </c>
      <c r="U189">
        <v>0.87759877834263578</v>
      </c>
      <c r="V189">
        <v>1.756570040292085</v>
      </c>
      <c r="W189">
        <v>0.89681143091056725</v>
      </c>
      <c r="X189">
        <v>2.0581599895458318</v>
      </c>
      <c r="Y189">
        <v>0.91737427887614631</v>
      </c>
      <c r="Z189">
        <v>4.8515986481521383</v>
      </c>
    </row>
    <row r="190" spans="1:26" x14ac:dyDescent="0.25">
      <c r="A190" s="1">
        <v>43220</v>
      </c>
      <c r="B190">
        <v>6.3198581860668401E-3</v>
      </c>
      <c r="C190">
        <v>4.0286906779038678E-2</v>
      </c>
      <c r="D190">
        <v>-7.7317379237020756E-3</v>
      </c>
      <c r="E190">
        <v>5.4768203381645453E-3</v>
      </c>
      <c r="F190">
        <v>-1.2462415784600391E-2</v>
      </c>
      <c r="G190">
        <v>-4.327940115126605E-3</v>
      </c>
      <c r="H190">
        <v>-1</v>
      </c>
      <c r="I190">
        <v>1</v>
      </c>
      <c r="J190">
        <v>0</v>
      </c>
      <c r="K190">
        <v>7.7317379237020756E-3</v>
      </c>
      <c r="L190">
        <v>0</v>
      </c>
      <c r="M190">
        <v>5.4768203381645453E-3</v>
      </c>
      <c r="N190">
        <v>-1.2462415784600391E-2</v>
      </c>
      <c r="O190">
        <v>0</v>
      </c>
      <c r="P190">
        <v>4.327940115126605E-3</v>
      </c>
      <c r="Q190">
        <v>0</v>
      </c>
      <c r="R190">
        <v>0.82027213502726815</v>
      </c>
      <c r="S190">
        <v>0.2354396923226256</v>
      </c>
      <c r="T190">
        <v>-0.15592170441352099</v>
      </c>
      <c r="U190">
        <v>0.88788204951877536</v>
      </c>
      <c r="V190">
        <v>1.722216518310592</v>
      </c>
      <c r="W190">
        <v>0.89681143091056725</v>
      </c>
      <c r="X190">
        <v>2.0713955228430621</v>
      </c>
      <c r="Y190">
        <v>0.91737427887614631</v>
      </c>
      <c r="Z190">
        <v>4.8566727307445312</v>
      </c>
    </row>
    <row r="191" spans="1:26" x14ac:dyDescent="0.25">
      <c r="A191" s="1">
        <v>43251</v>
      </c>
      <c r="B191">
        <v>2.4478663632028219E-2</v>
      </c>
      <c r="C191">
        <v>4.6293632530270079E-2</v>
      </c>
      <c r="D191">
        <v>-8.7426857512382661E-3</v>
      </c>
      <c r="E191">
        <v>3.3466983087111823E-2</v>
      </c>
      <c r="F191">
        <v>9.1854419778543139E-3</v>
      </c>
      <c r="G191">
        <v>-3.0041168796779433E-4</v>
      </c>
      <c r="H191">
        <v>-1</v>
      </c>
      <c r="I191">
        <v>1</v>
      </c>
      <c r="J191">
        <v>0</v>
      </c>
      <c r="K191">
        <v>8.7426857512382661E-3</v>
      </c>
      <c r="L191">
        <v>0</v>
      </c>
      <c r="M191">
        <v>3.3466983087111823E-2</v>
      </c>
      <c r="N191">
        <v>9.1854419778543139E-3</v>
      </c>
      <c r="O191">
        <v>0</v>
      </c>
      <c r="P191">
        <v>3.0041168796779433E-4</v>
      </c>
      <c r="Q191">
        <v>0</v>
      </c>
      <c r="R191">
        <v>0.82027213502726815</v>
      </c>
      <c r="S191">
        <v>0.24624075331720879</v>
      </c>
      <c r="T191">
        <v>-0.15592170441352099</v>
      </c>
      <c r="U191">
        <v>0.95106376614048216</v>
      </c>
      <c r="V191">
        <v>1.747221280190691</v>
      </c>
      <c r="W191">
        <v>0.89681143091056725</v>
      </c>
      <c r="X191">
        <v>2.0723182059564969</v>
      </c>
      <c r="Y191">
        <v>0.91737427887614631</v>
      </c>
      <c r="Z191">
        <v>4.9083682532487032</v>
      </c>
    </row>
    <row r="192" spans="1:26" x14ac:dyDescent="0.25">
      <c r="A192" s="1">
        <v>43281</v>
      </c>
      <c r="B192">
        <v>6.0242485414668812E-3</v>
      </c>
      <c r="C192">
        <v>1.979856702358207E-2</v>
      </c>
      <c r="D192">
        <v>-1.0702673738423599E-2</v>
      </c>
      <c r="E192">
        <v>9.7956194287381892E-3</v>
      </c>
      <c r="F192">
        <v>2.3549091331538929E-2</v>
      </c>
      <c r="G192">
        <v>-8.5892400708371675E-3</v>
      </c>
      <c r="H192">
        <v>-1</v>
      </c>
      <c r="I192">
        <v>1</v>
      </c>
      <c r="J192">
        <v>0</v>
      </c>
      <c r="K192">
        <v>1.0702673738423599E-2</v>
      </c>
      <c r="L192">
        <v>0</v>
      </c>
      <c r="M192">
        <v>9.7956194287381892E-3</v>
      </c>
      <c r="N192">
        <v>2.3549091331538929E-2</v>
      </c>
      <c r="O192">
        <v>0</v>
      </c>
      <c r="P192">
        <v>8.5892400708371675E-3</v>
      </c>
      <c r="Q192">
        <v>0</v>
      </c>
      <c r="R192">
        <v>0.82027213502726815</v>
      </c>
      <c r="S192">
        <v>0.25957886149949011</v>
      </c>
      <c r="T192">
        <v>-0.15592170441352099</v>
      </c>
      <c r="U192">
        <v>0.97017564427479508</v>
      </c>
      <c r="V192">
        <v>1.8119158450258479</v>
      </c>
      <c r="W192">
        <v>0.89681143091056725</v>
      </c>
      <c r="X192">
        <v>2.098707084601461</v>
      </c>
      <c r="Y192">
        <v>0.91737427887614631</v>
      </c>
      <c r="Z192">
        <v>4.9610048778182412</v>
      </c>
    </row>
    <row r="193" spans="1:26" x14ac:dyDescent="0.25">
      <c r="A193" s="1">
        <v>43312</v>
      </c>
      <c r="B193">
        <v>3.6689448047909967E-2</v>
      </c>
      <c r="C193">
        <v>5.0390125203472858E-2</v>
      </c>
      <c r="D193">
        <v>4.1249499591863303E-3</v>
      </c>
      <c r="E193">
        <v>3.6302414884181729E-3</v>
      </c>
      <c r="F193">
        <v>2.422713309976943E-2</v>
      </c>
      <c r="G193">
        <v>4.2759679326009881E-3</v>
      </c>
      <c r="H193">
        <v>-1</v>
      </c>
      <c r="I193">
        <v>1</v>
      </c>
      <c r="J193">
        <v>0</v>
      </c>
      <c r="K193">
        <v>-4.1249499591863303E-3</v>
      </c>
      <c r="L193">
        <v>0</v>
      </c>
      <c r="M193">
        <v>3.6302414884181729E-3</v>
      </c>
      <c r="N193">
        <v>2.422713309976943E-2</v>
      </c>
      <c r="O193">
        <v>0</v>
      </c>
      <c r="P193">
        <v>-4.2759679326009881E-3</v>
      </c>
      <c r="Q193">
        <v>0</v>
      </c>
      <c r="R193">
        <v>0.82027213502726815</v>
      </c>
      <c r="S193">
        <v>0.25438316172615583</v>
      </c>
      <c r="T193">
        <v>-0.15592170441352099</v>
      </c>
      <c r="U193">
        <v>0.97732785763811236</v>
      </c>
      <c r="V193">
        <v>1.8800405044686399</v>
      </c>
      <c r="W193">
        <v>0.89681143091056725</v>
      </c>
      <c r="X193">
        <v>2.085457112475182</v>
      </c>
      <c r="Y193">
        <v>0.91737427887614631</v>
      </c>
      <c r="Z193">
        <v>4.9804613345146418</v>
      </c>
    </row>
    <row r="194" spans="1:26" x14ac:dyDescent="0.25">
      <c r="A194" s="1">
        <v>43343</v>
      </c>
      <c r="B194">
        <v>3.1654151354783673E-2</v>
      </c>
      <c r="C194">
        <v>1.468422353689713E-3</v>
      </c>
      <c r="D194">
        <v>1.384241672078068E-2</v>
      </c>
      <c r="E194">
        <v>-3.083366266992682E-3</v>
      </c>
      <c r="F194">
        <v>1.503092515773119E-2</v>
      </c>
      <c r="G194">
        <v>-6.3484577693526667E-3</v>
      </c>
      <c r="H194">
        <v>-1</v>
      </c>
      <c r="I194">
        <v>1</v>
      </c>
      <c r="J194">
        <v>0</v>
      </c>
      <c r="K194">
        <v>-1.384241672078068E-2</v>
      </c>
      <c r="L194">
        <v>0</v>
      </c>
      <c r="M194">
        <v>-3.083366266992682E-3</v>
      </c>
      <c r="N194">
        <v>1.503092515773119E-2</v>
      </c>
      <c r="O194">
        <v>0</v>
      </c>
      <c r="P194">
        <v>6.3484577693526667E-3</v>
      </c>
      <c r="Q194">
        <v>0</v>
      </c>
      <c r="R194">
        <v>0.82027213502726815</v>
      </c>
      <c r="S194">
        <v>0.23701946727401199</v>
      </c>
      <c r="T194">
        <v>-0.15592170441352099</v>
      </c>
      <c r="U194">
        <v>0.97123103162308611</v>
      </c>
      <c r="V194">
        <v>1.9233301777425429</v>
      </c>
      <c r="W194">
        <v>0.89681143091056725</v>
      </c>
      <c r="X194">
        <v>2.1050450066528801</v>
      </c>
      <c r="Y194">
        <v>0.91737427887614631</v>
      </c>
      <c r="Z194">
        <v>4.9849149344539523</v>
      </c>
    </row>
    <row r="195" spans="1:26" x14ac:dyDescent="0.25">
      <c r="A195" s="1">
        <v>43373</v>
      </c>
      <c r="B195">
        <v>6.0403479379402816E-3</v>
      </c>
      <c r="C195">
        <v>3.9938812120805189E-2</v>
      </c>
      <c r="D195">
        <v>-1.022165794899776E-3</v>
      </c>
      <c r="E195">
        <v>4.0449028920563901E-3</v>
      </c>
      <c r="F195">
        <v>-7.6292289923624024E-3</v>
      </c>
      <c r="G195">
        <v>-9.5687625810060295E-3</v>
      </c>
      <c r="H195">
        <v>-1</v>
      </c>
      <c r="I195">
        <v>1</v>
      </c>
      <c r="J195">
        <v>0</v>
      </c>
      <c r="K195">
        <v>1.022165794899776E-3</v>
      </c>
      <c r="L195">
        <v>0</v>
      </c>
      <c r="M195">
        <v>4.0449028920563901E-3</v>
      </c>
      <c r="N195">
        <v>-7.6292289923624024E-3</v>
      </c>
      <c r="O195">
        <v>0</v>
      </c>
      <c r="P195">
        <v>9.5687625810060295E-3</v>
      </c>
      <c r="Q195">
        <v>0</v>
      </c>
      <c r="R195">
        <v>0.82027213502726815</v>
      </c>
      <c r="S195">
        <v>0.23828390626108459</v>
      </c>
      <c r="T195">
        <v>-0.15592170441352099</v>
      </c>
      <c r="U195">
        <v>0.97920446972380981</v>
      </c>
      <c r="V195">
        <v>1.9010274223962611</v>
      </c>
      <c r="W195">
        <v>0.89681143091056725</v>
      </c>
      <c r="X195">
        <v>2.1347564451248791</v>
      </c>
      <c r="Y195">
        <v>0.91737427887614631</v>
      </c>
      <c r="Z195">
        <v>4.991921536729552</v>
      </c>
    </row>
    <row r="196" spans="1:26" x14ac:dyDescent="0.25">
      <c r="A196" s="1">
        <v>43404</v>
      </c>
      <c r="B196">
        <v>-6.9355599990299166E-2</v>
      </c>
      <c r="C196">
        <v>-2.1613414383916171E-2</v>
      </c>
      <c r="D196">
        <v>-1.9565860199816539E-2</v>
      </c>
      <c r="E196">
        <v>-1.0549571909219679E-3</v>
      </c>
      <c r="F196">
        <v>-9.972428664419053E-3</v>
      </c>
      <c r="G196">
        <v>-3.4248455284707102E-2</v>
      </c>
      <c r="H196">
        <v>1</v>
      </c>
      <c r="I196">
        <v>-1</v>
      </c>
      <c r="J196">
        <v>-1.9565860199816539E-2</v>
      </c>
      <c r="K196">
        <v>0</v>
      </c>
      <c r="L196">
        <v>1.0549571909219679E-3</v>
      </c>
      <c r="M196">
        <v>0</v>
      </c>
      <c r="N196">
        <v>0</v>
      </c>
      <c r="O196">
        <v>9.972428664419053E-3</v>
      </c>
      <c r="P196">
        <v>0</v>
      </c>
      <c r="Q196">
        <v>-3.4248455284707102E-2</v>
      </c>
      <c r="R196">
        <v>0.78465694490770299</v>
      </c>
      <c r="S196">
        <v>0.23828390626108459</v>
      </c>
      <c r="T196">
        <v>-0.15503123794589091</v>
      </c>
      <c r="U196">
        <v>0.97920446972380981</v>
      </c>
      <c r="V196">
        <v>1.9010274223962611</v>
      </c>
      <c r="W196">
        <v>0.91572724759517743</v>
      </c>
      <c r="X196">
        <v>2.1347564451248791</v>
      </c>
      <c r="Y196">
        <v>0.85170717162200904</v>
      </c>
      <c r="Z196">
        <v>4.949134607100369</v>
      </c>
    </row>
    <row r="197" spans="1:26" x14ac:dyDescent="0.25">
      <c r="A197" s="1">
        <v>43434</v>
      </c>
      <c r="B197">
        <v>1.9786020643163701E-2</v>
      </c>
      <c r="C197">
        <v>-3.5159032241133592E-2</v>
      </c>
      <c r="D197">
        <v>3.9765357876150209E-2</v>
      </c>
      <c r="E197">
        <v>2.7220614333197668E-3</v>
      </c>
      <c r="F197">
        <v>3.7972286865275207E-2</v>
      </c>
      <c r="G197">
        <v>-6.8654694088188251E-3</v>
      </c>
      <c r="H197">
        <v>1</v>
      </c>
      <c r="I197">
        <v>-1</v>
      </c>
      <c r="J197">
        <v>3.9765357876150209E-2</v>
      </c>
      <c r="K197">
        <v>0</v>
      </c>
      <c r="L197">
        <v>-2.7220614333197668E-3</v>
      </c>
      <c r="M197">
        <v>0</v>
      </c>
      <c r="N197">
        <v>0</v>
      </c>
      <c r="O197">
        <v>-3.7972286865275207E-2</v>
      </c>
      <c r="P197">
        <v>0</v>
      </c>
      <c r="Q197">
        <v>-6.8654694088188251E-3</v>
      </c>
      <c r="R197">
        <v>0.85562446700811479</v>
      </c>
      <c r="S197">
        <v>0.23828390626108459</v>
      </c>
      <c r="T197">
        <v>-0.15733129482543839</v>
      </c>
      <c r="U197">
        <v>0.97920446972380981</v>
      </c>
      <c r="V197">
        <v>1.9010274223962611</v>
      </c>
      <c r="W197">
        <v>0.84298270299386924</v>
      </c>
      <c r="X197">
        <v>2.1347564451248791</v>
      </c>
      <c r="Y197">
        <v>0.83899433268114776</v>
      </c>
      <c r="Z197">
        <v>4.9413401472691056</v>
      </c>
    </row>
    <row r="198" spans="1:26" x14ac:dyDescent="0.25">
      <c r="A198" s="1">
        <v>43465</v>
      </c>
      <c r="B198">
        <v>-8.876804478823519E-2</v>
      </c>
      <c r="C198">
        <v>-0.21009756224730419</v>
      </c>
      <c r="D198">
        <v>6.5670978029300109E-2</v>
      </c>
      <c r="E198">
        <v>1.665228791986606E-3</v>
      </c>
      <c r="F198">
        <v>-4.2016967764705537E-2</v>
      </c>
      <c r="G198">
        <v>3.298160828040575E-2</v>
      </c>
      <c r="H198">
        <v>1</v>
      </c>
      <c r="I198">
        <v>-1</v>
      </c>
      <c r="J198">
        <v>6.5670978029300109E-2</v>
      </c>
      <c r="K198">
        <v>0</v>
      </c>
      <c r="L198">
        <v>-1.665228791986606E-3</v>
      </c>
      <c r="M198">
        <v>0</v>
      </c>
      <c r="N198">
        <v>0</v>
      </c>
      <c r="O198">
        <v>4.2016967764705537E-2</v>
      </c>
      <c r="P198">
        <v>0</v>
      </c>
      <c r="Q198">
        <v>3.298160828040575E-2</v>
      </c>
      <c r="R198">
        <v>0.97748514061163649</v>
      </c>
      <c r="S198">
        <v>0.23828390626108459</v>
      </c>
      <c r="T198">
        <v>-0.15873453101540111</v>
      </c>
      <c r="U198">
        <v>0.97920446972380981</v>
      </c>
      <c r="V198">
        <v>1.9010274223962611</v>
      </c>
      <c r="W198">
        <v>0.92041924781647277</v>
      </c>
      <c r="X198">
        <v>2.1347564451248791</v>
      </c>
      <c r="Y198">
        <v>0.89964732339152365</v>
      </c>
      <c r="Z198">
        <v>5.0803444725515314</v>
      </c>
    </row>
    <row r="199" spans="1:26" x14ac:dyDescent="0.25">
      <c r="A199" s="1">
        <v>43496</v>
      </c>
      <c r="B199">
        <v>7.8477863324115549E-2</v>
      </c>
      <c r="C199">
        <v>6.3406323287588662E-2</v>
      </c>
      <c r="D199">
        <v>2.4679088983681319E-2</v>
      </c>
      <c r="E199">
        <v>1.370363427656851E-2</v>
      </c>
      <c r="F199">
        <v>2.795312810651018E-2</v>
      </c>
      <c r="G199">
        <v>-5.0502147545883336E-4</v>
      </c>
      <c r="H199">
        <v>-1</v>
      </c>
      <c r="I199">
        <v>1</v>
      </c>
      <c r="J199">
        <v>0</v>
      </c>
      <c r="K199">
        <v>-2.4679088983681319E-2</v>
      </c>
      <c r="L199">
        <v>0</v>
      </c>
      <c r="M199">
        <v>1.370363427656851E-2</v>
      </c>
      <c r="N199">
        <v>2.795312810651018E-2</v>
      </c>
      <c r="O199">
        <v>0</v>
      </c>
      <c r="P199">
        <v>5.0502147545883336E-4</v>
      </c>
      <c r="Q199">
        <v>0</v>
      </c>
      <c r="R199">
        <v>0.97748514061163649</v>
      </c>
      <c r="S199">
        <v>0.2077241875514069</v>
      </c>
      <c r="T199">
        <v>-0.15873453101540111</v>
      </c>
      <c r="U199">
        <v>1.0063267639354549</v>
      </c>
      <c r="V199">
        <v>1.9821202135750029</v>
      </c>
      <c r="W199">
        <v>0.92041924781647277</v>
      </c>
      <c r="X199">
        <v>2.1363395644500001</v>
      </c>
      <c r="Y199">
        <v>0.89964732339152365</v>
      </c>
      <c r="Z199">
        <v>5.0978271674263871</v>
      </c>
    </row>
    <row r="200" spans="1:26" x14ac:dyDescent="0.25">
      <c r="A200" s="1">
        <v>43524</v>
      </c>
      <c r="B200">
        <v>3.2163128643397432E-2</v>
      </c>
      <c r="C200">
        <v>3.4666822954542931E-2</v>
      </c>
      <c r="D200">
        <v>-1.6465142304405991E-3</v>
      </c>
      <c r="E200">
        <v>-1.2745077998026041E-2</v>
      </c>
      <c r="F200">
        <v>8.5774159900697811E-4</v>
      </c>
      <c r="G200">
        <v>1.168756182317376E-3</v>
      </c>
      <c r="H200">
        <v>-1</v>
      </c>
      <c r="I200">
        <v>1</v>
      </c>
      <c r="J200">
        <v>0</v>
      </c>
      <c r="K200">
        <v>1.6465142304405991E-3</v>
      </c>
      <c r="L200">
        <v>0</v>
      </c>
      <c r="M200">
        <v>-1.2745077998026041E-2</v>
      </c>
      <c r="N200">
        <v>8.5774159900697811E-4</v>
      </c>
      <c r="O200">
        <v>0</v>
      </c>
      <c r="P200">
        <v>-1.168756182317376E-3</v>
      </c>
      <c r="Q200">
        <v>0</v>
      </c>
      <c r="R200">
        <v>0.97748514061163649</v>
      </c>
      <c r="S200">
        <v>0.20971272261265739</v>
      </c>
      <c r="T200">
        <v>-0.15873453101540111</v>
      </c>
      <c r="U200">
        <v>0.98075597283957006</v>
      </c>
      <c r="V200">
        <v>1.9846781021354261</v>
      </c>
      <c r="W200">
        <v>0.92041924781647277</v>
      </c>
      <c r="X200">
        <v>2.1326739481942019</v>
      </c>
      <c r="Y200">
        <v>0.89964732339152365</v>
      </c>
      <c r="Z200">
        <v>5.0864175890754906</v>
      </c>
    </row>
    <row r="201" spans="1:26" x14ac:dyDescent="0.25">
      <c r="A201" s="1">
        <v>43555</v>
      </c>
      <c r="B201">
        <v>1.8497413309849439E-2</v>
      </c>
      <c r="C201">
        <v>-3.0478258755661791E-4</v>
      </c>
      <c r="D201">
        <v>-7.6775009336615962E-3</v>
      </c>
      <c r="E201">
        <v>2.8159997743356199E-2</v>
      </c>
      <c r="F201">
        <v>-1.3175994232670241E-2</v>
      </c>
      <c r="G201">
        <v>1.084128621617819E-2</v>
      </c>
      <c r="H201">
        <v>1</v>
      </c>
      <c r="I201">
        <v>-1</v>
      </c>
      <c r="J201">
        <v>-7.6775009336615962E-3</v>
      </c>
      <c r="K201">
        <v>0</v>
      </c>
      <c r="L201">
        <v>-2.8159997743356199E-2</v>
      </c>
      <c r="M201">
        <v>0</v>
      </c>
      <c r="N201">
        <v>0</v>
      </c>
      <c r="O201">
        <v>1.3175994232670241E-2</v>
      </c>
      <c r="P201">
        <v>0</v>
      </c>
      <c r="Q201">
        <v>1.084128621617819E-2</v>
      </c>
      <c r="R201">
        <v>0.96230299659828877</v>
      </c>
      <c r="S201">
        <v>0.20971272261265739</v>
      </c>
      <c r="T201">
        <v>-0.18242456472357091</v>
      </c>
      <c r="U201">
        <v>0.98075597283957006</v>
      </c>
      <c r="V201">
        <v>1.9846781021354261</v>
      </c>
      <c r="W201">
        <v>0.94572268075001142</v>
      </c>
      <c r="X201">
        <v>2.1326739481942019</v>
      </c>
      <c r="Y201">
        <v>0.92024194373420798</v>
      </c>
      <c r="Z201">
        <v>5.0745973708473224</v>
      </c>
    </row>
    <row r="202" spans="1:26" x14ac:dyDescent="0.25">
      <c r="A202" s="1">
        <v>43585</v>
      </c>
      <c r="B202">
        <v>4.022910002614577E-2</v>
      </c>
      <c r="C202">
        <v>5.80946684423298E-2</v>
      </c>
      <c r="D202">
        <v>1.289128697066344E-2</v>
      </c>
      <c r="E202">
        <v>1.097202901847827E-2</v>
      </c>
      <c r="F202">
        <v>2.1416531864592029E-2</v>
      </c>
      <c r="G202">
        <v>-1.6897632107284118E-2</v>
      </c>
      <c r="H202">
        <v>-1</v>
      </c>
      <c r="I202">
        <v>1</v>
      </c>
      <c r="J202">
        <v>0</v>
      </c>
      <c r="K202">
        <v>-1.289128697066344E-2</v>
      </c>
      <c r="L202">
        <v>0</v>
      </c>
      <c r="M202">
        <v>1.097202901847827E-2</v>
      </c>
      <c r="N202">
        <v>2.1416531864592029E-2</v>
      </c>
      <c r="O202">
        <v>0</v>
      </c>
      <c r="P202">
        <v>1.6897632107284118E-2</v>
      </c>
      <c r="Q202">
        <v>0</v>
      </c>
      <c r="R202">
        <v>0.96230299659828877</v>
      </c>
      <c r="S202">
        <v>0.19411796875339521</v>
      </c>
      <c r="T202">
        <v>-0.18242456472357091</v>
      </c>
      <c r="U202">
        <v>1.0024888848520901</v>
      </c>
      <c r="V202">
        <v>2.0485995558153589</v>
      </c>
      <c r="W202">
        <v>0.94572268075001142</v>
      </c>
      <c r="X202">
        <v>2.1856087200828611</v>
      </c>
      <c r="Y202">
        <v>0.92024194373420798</v>
      </c>
      <c r="Z202">
        <v>5.1109922768670133</v>
      </c>
    </row>
    <row r="203" spans="1:26" x14ac:dyDescent="0.25">
      <c r="A203" s="1">
        <v>43616</v>
      </c>
      <c r="B203">
        <v>-6.4900535039930651E-2</v>
      </c>
      <c r="C203">
        <v>-4.2450379879334421E-2</v>
      </c>
      <c r="D203">
        <v>-3.9777298492171931E-2</v>
      </c>
      <c r="E203">
        <v>4.9193013332440312E-2</v>
      </c>
      <c r="F203">
        <v>-2.0702510937061661E-2</v>
      </c>
      <c r="G203">
        <v>1.261242077015823E-2</v>
      </c>
      <c r="H203">
        <v>1</v>
      </c>
      <c r="I203">
        <v>-1</v>
      </c>
      <c r="J203">
        <v>-3.9777298492171931E-2</v>
      </c>
      <c r="K203">
        <v>0</v>
      </c>
      <c r="L203">
        <v>-4.9193013332440312E-2</v>
      </c>
      <c r="M203">
        <v>0</v>
      </c>
      <c r="N203">
        <v>0</v>
      </c>
      <c r="O203">
        <v>2.0702510937061661E-2</v>
      </c>
      <c r="P203">
        <v>0</v>
      </c>
      <c r="Q203">
        <v>1.261242077015823E-2</v>
      </c>
      <c r="R203">
        <v>0.88424788457051506</v>
      </c>
      <c r="S203">
        <v>0.19411796875339521</v>
      </c>
      <c r="T203">
        <v>-0.22264356401140001</v>
      </c>
      <c r="U203">
        <v>1.0024888848520901</v>
      </c>
      <c r="V203">
        <v>2.0485995558153589</v>
      </c>
      <c r="W203">
        <v>0.98600402582872748</v>
      </c>
      <c r="X203">
        <v>2.1856087200828611</v>
      </c>
      <c r="Y203">
        <v>0.94446084310909018</v>
      </c>
      <c r="Z203">
        <v>5.0553368967496208</v>
      </c>
    </row>
    <row r="204" spans="1:26" x14ac:dyDescent="0.25">
      <c r="A204" s="1">
        <v>43646</v>
      </c>
      <c r="B204">
        <v>6.7809559916481188E-2</v>
      </c>
      <c r="C204">
        <v>7.1856404167711219E-2</v>
      </c>
      <c r="D204">
        <v>-3.3379097351032838E-3</v>
      </c>
      <c r="E204">
        <v>1.0523227866968691E-2</v>
      </c>
      <c r="F204">
        <v>4.4335469129145648E-2</v>
      </c>
      <c r="G204">
        <v>1.5134522010047391E-3</v>
      </c>
      <c r="H204">
        <v>-1</v>
      </c>
      <c r="I204">
        <v>1</v>
      </c>
      <c r="J204">
        <v>0</v>
      </c>
      <c r="K204">
        <v>3.3379097351032838E-3</v>
      </c>
      <c r="L204">
        <v>0</v>
      </c>
      <c r="M204">
        <v>1.0523227866968691E-2</v>
      </c>
      <c r="N204">
        <v>4.4335469129145648E-2</v>
      </c>
      <c r="O204">
        <v>0</v>
      </c>
      <c r="P204">
        <v>-1.5134522010047391E-3</v>
      </c>
      <c r="Q204">
        <v>0</v>
      </c>
      <c r="R204">
        <v>0.88424788457051506</v>
      </c>
      <c r="S204">
        <v>0.19810382674615881</v>
      </c>
      <c r="T204">
        <v>-0.22264356401140001</v>
      </c>
      <c r="U204">
        <v>1.0235615316884601</v>
      </c>
      <c r="V204">
        <v>2.1837606473093381</v>
      </c>
      <c r="W204">
        <v>0.98600402582872748</v>
      </c>
      <c r="X204">
        <v>2.1807874535539118</v>
      </c>
      <c r="Y204">
        <v>0.94446084310909018</v>
      </c>
      <c r="Z204">
        <v>5.1120200512798339</v>
      </c>
    </row>
    <row r="205" spans="1:26" x14ac:dyDescent="0.25">
      <c r="A205" s="1">
        <v>43677</v>
      </c>
      <c r="B205">
        <v>1.531198526276034E-2</v>
      </c>
      <c r="C205">
        <v>2.1031804612019919E-2</v>
      </c>
      <c r="D205">
        <v>-1.443573565183764E-3</v>
      </c>
      <c r="E205">
        <v>7.2478625999795598E-3</v>
      </c>
      <c r="F205">
        <v>1.3044934737677981E-2</v>
      </c>
      <c r="G205">
        <v>6.0000338676602372E-4</v>
      </c>
      <c r="H205">
        <v>-1</v>
      </c>
      <c r="I205">
        <v>1</v>
      </c>
      <c r="J205">
        <v>0</v>
      </c>
      <c r="K205">
        <v>1.443573565183764E-3</v>
      </c>
      <c r="L205">
        <v>0</v>
      </c>
      <c r="M205">
        <v>7.2478625999795598E-3</v>
      </c>
      <c r="N205">
        <v>1.3044934737677981E-2</v>
      </c>
      <c r="O205">
        <v>0</v>
      </c>
      <c r="P205">
        <v>-6.0000338676602372E-4</v>
      </c>
      <c r="Q205">
        <v>0</v>
      </c>
      <c r="R205">
        <v>0.88424788457051506</v>
      </c>
      <c r="S205">
        <v>0.19983337775879509</v>
      </c>
      <c r="T205">
        <v>-0.22264356401140001</v>
      </c>
      <c r="U205">
        <v>1.038228027632742</v>
      </c>
      <c r="V205">
        <v>2.2252925971738762</v>
      </c>
      <c r="W205">
        <v>0.98600402582872748</v>
      </c>
      <c r="X205">
        <v>2.1788789703091962</v>
      </c>
      <c r="Y205">
        <v>0.94446084310909018</v>
      </c>
      <c r="Z205">
        <v>5.1331564187959096</v>
      </c>
    </row>
    <row r="206" spans="1:26" x14ac:dyDescent="0.25">
      <c r="A206" s="1">
        <v>43708</v>
      </c>
      <c r="B206">
        <v>-1.4650220970612641E-2</v>
      </c>
      <c r="C206">
        <v>-0.1024857275970298</v>
      </c>
      <c r="D206">
        <v>5.0980487890783799E-4</v>
      </c>
      <c r="E206">
        <v>1.8930834210054811E-2</v>
      </c>
      <c r="F206">
        <v>-3.1696753529331101E-2</v>
      </c>
      <c r="G206">
        <v>5.4740510342202953E-2</v>
      </c>
      <c r="H206">
        <v>1</v>
      </c>
      <c r="I206">
        <v>-1</v>
      </c>
      <c r="J206">
        <v>5.0980487890783799E-4</v>
      </c>
      <c r="K206">
        <v>0</v>
      </c>
      <c r="L206">
        <v>-1.8930834210054811E-2</v>
      </c>
      <c r="M206">
        <v>0</v>
      </c>
      <c r="N206">
        <v>0</v>
      </c>
      <c r="O206">
        <v>3.1696753529331101E-2</v>
      </c>
      <c r="P206">
        <v>0</v>
      </c>
      <c r="Q206">
        <v>5.4740510342202953E-2</v>
      </c>
      <c r="R206">
        <v>0.88520848333514079</v>
      </c>
      <c r="S206">
        <v>0.19983337775879509</v>
      </c>
      <c r="T206">
        <v>-0.23735956982321929</v>
      </c>
      <c r="U206">
        <v>1.038228027632742</v>
      </c>
      <c r="V206">
        <v>2.2252925971738762</v>
      </c>
      <c r="W206">
        <v>1.0489539059436801</v>
      </c>
      <c r="X206">
        <v>2.1788789703091962</v>
      </c>
      <c r="Y206">
        <v>1.0509016220013121</v>
      </c>
      <c r="Z206">
        <v>5.2011726533362967</v>
      </c>
    </row>
    <row r="207" spans="1:26" x14ac:dyDescent="0.25">
      <c r="A207" s="1">
        <v>43738</v>
      </c>
      <c r="B207">
        <v>1.9560809596153809E-2</v>
      </c>
      <c r="C207">
        <v>5.9095975181095439E-2</v>
      </c>
      <c r="D207">
        <v>-4.7647888406363581E-3</v>
      </c>
      <c r="E207">
        <v>8.7693753540281083E-3</v>
      </c>
      <c r="F207">
        <v>1.9633639981526011E-2</v>
      </c>
      <c r="G207">
        <v>-2.5974298577638218E-2</v>
      </c>
      <c r="H207">
        <v>-1</v>
      </c>
      <c r="I207">
        <v>1</v>
      </c>
      <c r="J207">
        <v>0</v>
      </c>
      <c r="K207">
        <v>4.7647888406363581E-3</v>
      </c>
      <c r="L207">
        <v>0</v>
      </c>
      <c r="M207">
        <v>8.7693753540281083E-3</v>
      </c>
      <c r="N207">
        <v>1.9633639981526011E-2</v>
      </c>
      <c r="O207">
        <v>0</v>
      </c>
      <c r="P207">
        <v>2.5974298577638218E-2</v>
      </c>
      <c r="Q207">
        <v>0</v>
      </c>
      <c r="R207">
        <v>0.88520848333514079</v>
      </c>
      <c r="S207">
        <v>0.2055503304477633</v>
      </c>
      <c r="T207">
        <v>-0.23735956982321929</v>
      </c>
      <c r="U207">
        <v>1.056102014264154</v>
      </c>
      <c r="V207">
        <v>2.2886168308618688</v>
      </c>
      <c r="W207">
        <v>1.0489539059436801</v>
      </c>
      <c r="X207">
        <v>2.261448121826183</v>
      </c>
      <c r="Y207">
        <v>1.0509016220013121</v>
      </c>
      <c r="Z207">
        <v>5.2603147560901258</v>
      </c>
    </row>
    <row r="208" spans="1:26" x14ac:dyDescent="0.25">
      <c r="A208" s="1">
        <v>43769</v>
      </c>
      <c r="B208">
        <v>2.2600156259069859E-2</v>
      </c>
      <c r="C208">
        <v>4.1601271935308937E-2</v>
      </c>
      <c r="D208">
        <v>1.111559473856516E-2</v>
      </c>
      <c r="E208">
        <v>1.964362600631242E-2</v>
      </c>
      <c r="F208">
        <v>-1.214930903610045E-2</v>
      </c>
      <c r="G208">
        <v>1.367078415579337E-2</v>
      </c>
      <c r="H208">
        <v>-1</v>
      </c>
      <c r="I208">
        <v>1</v>
      </c>
      <c r="J208">
        <v>0</v>
      </c>
      <c r="K208">
        <v>-1.111559473856516E-2</v>
      </c>
      <c r="L208">
        <v>0</v>
      </c>
      <c r="M208">
        <v>1.964362600631242E-2</v>
      </c>
      <c r="N208">
        <v>-1.214930903610045E-2</v>
      </c>
      <c r="O208">
        <v>0</v>
      </c>
      <c r="P208">
        <v>-1.367078415579337E-2</v>
      </c>
      <c r="Q208">
        <v>0</v>
      </c>
      <c r="R208">
        <v>0.88520848333514079</v>
      </c>
      <c r="S208">
        <v>0.19214992153756261</v>
      </c>
      <c r="T208">
        <v>-0.23735956982321929</v>
      </c>
      <c r="U208">
        <v>1.0964913132631851</v>
      </c>
      <c r="V208">
        <v>2.248662408682407</v>
      </c>
      <c r="W208">
        <v>1.0489539059436801</v>
      </c>
      <c r="X208">
        <v>2.2168615685173791</v>
      </c>
      <c r="Y208">
        <v>1.0509016220013121</v>
      </c>
      <c r="Z208">
        <v>5.2430226941659797</v>
      </c>
    </row>
    <row r="209" spans="1:26" x14ac:dyDescent="0.25">
      <c r="A209" s="1">
        <v>43799</v>
      </c>
      <c r="B209">
        <v>3.5710311334607447E-2</v>
      </c>
      <c r="C209">
        <v>3.1255233164173453E-2</v>
      </c>
      <c r="D209">
        <v>1.298870838894761E-2</v>
      </c>
      <c r="E209">
        <v>5.0260869589040516E-3</v>
      </c>
      <c r="F209">
        <v>1.5920361882569511E-2</v>
      </c>
      <c r="G209">
        <v>-3.9552994156765831E-2</v>
      </c>
      <c r="H209">
        <v>-1</v>
      </c>
      <c r="I209">
        <v>1</v>
      </c>
      <c r="J209">
        <v>0</v>
      </c>
      <c r="K209">
        <v>-1.298870838894761E-2</v>
      </c>
      <c r="L209">
        <v>0</v>
      </c>
      <c r="M209">
        <v>5.0260869589040516E-3</v>
      </c>
      <c r="N209">
        <v>1.5920361882569511E-2</v>
      </c>
      <c r="O209">
        <v>0</v>
      </c>
      <c r="P209">
        <v>3.9552994156765831E-2</v>
      </c>
      <c r="Q209">
        <v>0</v>
      </c>
      <c r="R209">
        <v>0.88520848333514079</v>
      </c>
      <c r="S209">
        <v>0.17666543385080449</v>
      </c>
      <c r="T209">
        <v>-0.23735956982321929</v>
      </c>
      <c r="U209">
        <v>1.1070284609122329</v>
      </c>
      <c r="V209">
        <v>2.3003822898629309</v>
      </c>
      <c r="W209">
        <v>1.0489539059436801</v>
      </c>
      <c r="X209">
        <v>2.3440980753400722</v>
      </c>
      <c r="Y209">
        <v>1.0509016220013121</v>
      </c>
      <c r="Z209">
        <v>5.2905334287752712</v>
      </c>
    </row>
    <row r="210" spans="1:26" x14ac:dyDescent="0.25">
      <c r="A210" s="1">
        <v>43830</v>
      </c>
      <c r="B210">
        <v>2.8884121059525088E-2</v>
      </c>
      <c r="C210">
        <v>4.8534382688916078E-2</v>
      </c>
      <c r="D210">
        <v>3.5505141666207769E-3</v>
      </c>
      <c r="E210">
        <v>-8.5350082398718552E-3</v>
      </c>
      <c r="F210">
        <v>1.90127107638749E-3</v>
      </c>
      <c r="G210">
        <v>-1.274933186002403E-2</v>
      </c>
      <c r="H210">
        <v>-1</v>
      </c>
      <c r="I210">
        <v>1</v>
      </c>
      <c r="J210">
        <v>0</v>
      </c>
      <c r="K210">
        <v>-3.5505141666207769E-3</v>
      </c>
      <c r="L210">
        <v>0</v>
      </c>
      <c r="M210">
        <v>-8.5350082398718552E-3</v>
      </c>
      <c r="N210">
        <v>1.90127107638749E-3</v>
      </c>
      <c r="O210">
        <v>0</v>
      </c>
      <c r="P210">
        <v>1.274933186002403E-2</v>
      </c>
      <c r="Q210">
        <v>0</v>
      </c>
      <c r="R210">
        <v>0.88520848333514079</v>
      </c>
      <c r="S210">
        <v>0.17248766655854419</v>
      </c>
      <c r="T210">
        <v>-0.23735956982321929</v>
      </c>
      <c r="U210">
        <v>1.089044955636703</v>
      </c>
      <c r="V210">
        <v>2.306657211251669</v>
      </c>
      <c r="W210">
        <v>1.0489539059436801</v>
      </c>
      <c r="X210">
        <v>2.3867330914750502</v>
      </c>
      <c r="Y210">
        <v>1.0509016220013121</v>
      </c>
      <c r="Z210">
        <v>5.2930985093051914</v>
      </c>
    </row>
    <row r="211" spans="1:26" x14ac:dyDescent="0.25">
      <c r="A211" s="1">
        <v>43861</v>
      </c>
      <c r="B211">
        <v>1.8643019383723919E-4</v>
      </c>
      <c r="C211">
        <v>-9.5848106034888136E-3</v>
      </c>
      <c r="D211">
        <v>-3.0181905349989099E-2</v>
      </c>
      <c r="E211">
        <v>3.4859122061615573E-2</v>
      </c>
      <c r="F211">
        <v>8.11244222753571E-3</v>
      </c>
      <c r="G211">
        <v>9.4877725430972948E-3</v>
      </c>
      <c r="H211">
        <v>1</v>
      </c>
      <c r="I211">
        <v>-1</v>
      </c>
      <c r="J211">
        <v>-3.0181905349989099E-2</v>
      </c>
      <c r="K211">
        <v>0</v>
      </c>
      <c r="L211">
        <v>-3.4859122061615573E-2</v>
      </c>
      <c r="M211">
        <v>0</v>
      </c>
      <c r="N211">
        <v>0</v>
      </c>
      <c r="O211">
        <v>-8.11244222753571E-3</v>
      </c>
      <c r="P211">
        <v>0</v>
      </c>
      <c r="Q211">
        <v>9.4877725430972948E-3</v>
      </c>
      <c r="R211">
        <v>0.82830929932612318</v>
      </c>
      <c r="S211">
        <v>0.17248766655854419</v>
      </c>
      <c r="T211">
        <v>-0.26394454566787462</v>
      </c>
      <c r="U211">
        <v>1.089044955636703</v>
      </c>
      <c r="V211">
        <v>2.306657211251669</v>
      </c>
      <c r="W211">
        <v>1.032331885754828</v>
      </c>
      <c r="X211">
        <v>2.3867330914750502</v>
      </c>
      <c r="Y211">
        <v>1.07036011009913</v>
      </c>
      <c r="Z211">
        <v>5.2294328122091471</v>
      </c>
    </row>
    <row r="212" spans="1:26" x14ac:dyDescent="0.25">
      <c r="A212" s="1">
        <v>43890</v>
      </c>
      <c r="B212">
        <v>-8.0031978540537674E-2</v>
      </c>
      <c r="C212">
        <v>-2.8470788163523771E-2</v>
      </c>
      <c r="D212">
        <v>-8.3093597846239931E-2</v>
      </c>
      <c r="E212">
        <v>3.346116331645399E-2</v>
      </c>
      <c r="F212">
        <v>3.2252837933199219E-2</v>
      </c>
      <c r="G212">
        <v>-8.2271112991950668E-3</v>
      </c>
      <c r="H212">
        <v>1</v>
      </c>
      <c r="I212">
        <v>-1</v>
      </c>
      <c r="J212">
        <v>-8.3093597846239931E-2</v>
      </c>
      <c r="K212">
        <v>0</v>
      </c>
      <c r="L212">
        <v>-3.346116331645399E-2</v>
      </c>
      <c r="M212">
        <v>0</v>
      </c>
      <c r="N212">
        <v>0</v>
      </c>
      <c r="O212">
        <v>-3.2252837933199219E-2</v>
      </c>
      <c r="P212">
        <v>0</v>
      </c>
      <c r="Q212">
        <v>-8.2271112991950668E-3</v>
      </c>
      <c r="R212">
        <v>0.67638850166937758</v>
      </c>
      <c r="S212">
        <v>0.17248766655854419</v>
      </c>
      <c r="T212">
        <v>-0.28857381743524868</v>
      </c>
      <c r="U212">
        <v>1.089044955636703</v>
      </c>
      <c r="V212">
        <v>2.306657211251669</v>
      </c>
      <c r="W212">
        <v>0.96678341481710461</v>
      </c>
      <c r="X212">
        <v>2.3867330914750502</v>
      </c>
      <c r="Y212">
        <v>1.053327027043931</v>
      </c>
      <c r="Z212">
        <v>5.0723981018140591</v>
      </c>
    </row>
    <row r="213" spans="1:26" x14ac:dyDescent="0.25">
      <c r="A213" s="1">
        <v>43921</v>
      </c>
      <c r="B213">
        <v>-9.9208615895557406E-2</v>
      </c>
      <c r="C213">
        <v>-0.26660492598388269</v>
      </c>
      <c r="D213">
        <v>0.12617978193348631</v>
      </c>
      <c r="E213">
        <v>3.5592549517646122E-2</v>
      </c>
      <c r="F213">
        <v>6.9341975167750416E-3</v>
      </c>
      <c r="G213">
        <v>7.4484464230769931E-2</v>
      </c>
      <c r="H213">
        <v>1</v>
      </c>
      <c r="I213">
        <v>-1</v>
      </c>
      <c r="J213">
        <v>0.12617978193348631</v>
      </c>
      <c r="K213">
        <v>0</v>
      </c>
      <c r="L213">
        <v>-3.5592549517646122E-2</v>
      </c>
      <c r="M213">
        <v>0</v>
      </c>
      <c r="N213">
        <v>0</v>
      </c>
      <c r="O213">
        <v>-6.9341975167750416E-3</v>
      </c>
      <c r="P213">
        <v>0</v>
      </c>
      <c r="Q213">
        <v>7.4484464230769931E-2</v>
      </c>
      <c r="R213">
        <v>0.88791483724582343</v>
      </c>
      <c r="S213">
        <v>0.17248766655854419</v>
      </c>
      <c r="T213">
        <v>-0.31389528906633452</v>
      </c>
      <c r="U213">
        <v>1.089044955636703</v>
      </c>
      <c r="V213">
        <v>2.306657211251669</v>
      </c>
      <c r="W213">
        <v>0.9531453501460454</v>
      </c>
      <c r="X213">
        <v>2.3867330914750502</v>
      </c>
      <c r="Y213">
        <v>1.2062679905438569</v>
      </c>
      <c r="Z213">
        <v>5.2305356009438944</v>
      </c>
    </row>
    <row r="214" spans="1:26" x14ac:dyDescent="0.25">
      <c r="A214" s="1">
        <v>43951</v>
      </c>
      <c r="B214">
        <v>0.126310504459171</v>
      </c>
      <c r="C214">
        <v>5.6074536276782161E-2</v>
      </c>
      <c r="D214">
        <v>4.0555052452686542E-2</v>
      </c>
      <c r="E214">
        <v>-1.631324156898151E-2</v>
      </c>
      <c r="F214">
        <v>3.180207258465606E-2</v>
      </c>
      <c r="G214">
        <v>9.6528054390255802E-3</v>
      </c>
      <c r="H214">
        <v>-1</v>
      </c>
      <c r="I214">
        <v>1</v>
      </c>
      <c r="J214">
        <v>0</v>
      </c>
      <c r="K214">
        <v>-4.0555052452686542E-2</v>
      </c>
      <c r="L214">
        <v>0</v>
      </c>
      <c r="M214">
        <v>-1.631324156898151E-2</v>
      </c>
      <c r="N214">
        <v>3.180207258465606E-2</v>
      </c>
      <c r="O214">
        <v>0</v>
      </c>
      <c r="P214">
        <v>-9.6528054390255802E-3</v>
      </c>
      <c r="Q214">
        <v>0</v>
      </c>
      <c r="R214">
        <v>0.88791483724582343</v>
      </c>
      <c r="S214">
        <v>0.1249373677411343</v>
      </c>
      <c r="T214">
        <v>-0.31389528906633452</v>
      </c>
      <c r="U214">
        <v>1.054965860626939</v>
      </c>
      <c r="V214">
        <v>2.4118157638964708</v>
      </c>
      <c r="W214">
        <v>0.9531453501460454</v>
      </c>
      <c r="X214">
        <v>2.3540416158691322</v>
      </c>
      <c r="Y214">
        <v>1.2062679905438569</v>
      </c>
      <c r="Z214">
        <v>5.195816574067857</v>
      </c>
    </row>
    <row r="215" spans="1:26" x14ac:dyDescent="0.25">
      <c r="A215" s="1">
        <v>43982</v>
      </c>
      <c r="B215">
        <v>4.8492457448740867E-2</v>
      </c>
      <c r="C215">
        <v>2.780638010153336E-2</v>
      </c>
      <c r="D215">
        <v>3.1709691877851658E-2</v>
      </c>
      <c r="E215">
        <v>-5.7698702224406873E-3</v>
      </c>
      <c r="F215">
        <v>-9.187938711653687E-3</v>
      </c>
      <c r="G215">
        <v>-1.9707193819804569E-3</v>
      </c>
      <c r="H215">
        <v>-1</v>
      </c>
      <c r="I215">
        <v>1</v>
      </c>
      <c r="J215">
        <v>0</v>
      </c>
      <c r="K215">
        <v>-3.1709691877851658E-2</v>
      </c>
      <c r="L215">
        <v>0</v>
      </c>
      <c r="M215">
        <v>-5.7698702224406873E-3</v>
      </c>
      <c r="N215">
        <v>-9.187938711653687E-3</v>
      </c>
      <c r="O215">
        <v>0</v>
      </c>
      <c r="P215">
        <v>1.9707193819804569E-3</v>
      </c>
      <c r="Q215">
        <v>0</v>
      </c>
      <c r="R215">
        <v>0.88791483724582343</v>
      </c>
      <c r="S215">
        <v>8.9265950428181418E-2</v>
      </c>
      <c r="T215">
        <v>-0.31389528906633452</v>
      </c>
      <c r="U215">
        <v>1.0431089742995749</v>
      </c>
      <c r="V215">
        <v>2.380468209762336</v>
      </c>
      <c r="W215">
        <v>0.9531453501460454</v>
      </c>
      <c r="X215">
        <v>2.3606514906894942</v>
      </c>
      <c r="Y215">
        <v>1.2062679905438569</v>
      </c>
      <c r="Z215">
        <v>5.1511197926378918</v>
      </c>
    </row>
    <row r="216" spans="1:26" x14ac:dyDescent="0.25">
      <c r="A216" s="1">
        <v>44012</v>
      </c>
      <c r="B216">
        <v>2.1096443992250299E-2</v>
      </c>
      <c r="C216">
        <v>2.6350965131344939E-2</v>
      </c>
      <c r="D216">
        <v>-1.3536857649043549E-5</v>
      </c>
      <c r="E216">
        <v>9.5972348366977211E-3</v>
      </c>
      <c r="F216">
        <v>4.8632755252001843E-2</v>
      </c>
      <c r="G216">
        <v>-4.5267606382114689E-2</v>
      </c>
      <c r="H216">
        <v>-1</v>
      </c>
      <c r="I216">
        <v>1</v>
      </c>
      <c r="J216">
        <v>0</v>
      </c>
      <c r="K216">
        <v>1.3536857649043549E-5</v>
      </c>
      <c r="L216">
        <v>0</v>
      </c>
      <c r="M216">
        <v>9.5972348366977211E-3</v>
      </c>
      <c r="N216">
        <v>4.8632755252001843E-2</v>
      </c>
      <c r="O216">
        <v>0</v>
      </c>
      <c r="P216">
        <v>4.5267606382114689E-2</v>
      </c>
      <c r="Q216">
        <v>0</v>
      </c>
      <c r="R216">
        <v>0.88791483724582343</v>
      </c>
      <c r="S216">
        <v>8.9280695666294374E-2</v>
      </c>
      <c r="T216">
        <v>-0.31389528906633452</v>
      </c>
      <c r="U216">
        <v>1.0627171709228931</v>
      </c>
      <c r="V216">
        <v>2.54486969284488</v>
      </c>
      <c r="W216">
        <v>0.9531453501460454</v>
      </c>
      <c r="X216">
        <v>2.5127801395574929</v>
      </c>
      <c r="Y216">
        <v>1.2062679905438569</v>
      </c>
      <c r="Z216">
        <v>5.2546309259663548</v>
      </c>
    </row>
    <row r="217" spans="1:26" x14ac:dyDescent="0.25">
      <c r="A217" s="1">
        <v>44043</v>
      </c>
      <c r="B217">
        <v>5.8006490474260541E-2</v>
      </c>
      <c r="C217">
        <v>3.4056452921996772E-2</v>
      </c>
      <c r="D217">
        <v>-7.8893968287974126E-4</v>
      </c>
      <c r="E217">
        <v>1.9072067219333411E-2</v>
      </c>
      <c r="F217">
        <v>2.5284041206561251E-2</v>
      </c>
      <c r="G217">
        <v>5.063642183911754E-3</v>
      </c>
      <c r="H217">
        <v>-1</v>
      </c>
      <c r="I217">
        <v>1</v>
      </c>
      <c r="J217">
        <v>0</v>
      </c>
      <c r="K217">
        <v>7.8893968287974126E-4</v>
      </c>
      <c r="L217">
        <v>0</v>
      </c>
      <c r="M217">
        <v>1.9072067219333411E-2</v>
      </c>
      <c r="N217">
        <v>2.5284041206561251E-2</v>
      </c>
      <c r="O217">
        <v>0</v>
      </c>
      <c r="P217">
        <v>-5.063642183911754E-3</v>
      </c>
      <c r="Q217">
        <v>0</v>
      </c>
      <c r="R217">
        <v>0.88791483724582343</v>
      </c>
      <c r="S217">
        <v>9.0140072432900453E-2</v>
      </c>
      <c r="T217">
        <v>-0.31389528906633452</v>
      </c>
      <c r="U217">
        <v>1.1020574514612069</v>
      </c>
      <c r="V217">
        <v>2.6344983242306599</v>
      </c>
      <c r="W217">
        <v>0.9531453501460454</v>
      </c>
      <c r="X217">
        <v>2.4949926778600222</v>
      </c>
      <c r="Y217">
        <v>1.2062679905438569</v>
      </c>
      <c r="Z217">
        <v>5.2947123318912173</v>
      </c>
    </row>
    <row r="218" spans="1:26" x14ac:dyDescent="0.25">
      <c r="A218" s="1">
        <v>44074</v>
      </c>
      <c r="B218">
        <v>6.7842423473273739E-2</v>
      </c>
      <c r="C218">
        <v>6.6091588754028541E-2</v>
      </c>
      <c r="D218">
        <v>2.868182873117953E-2</v>
      </c>
      <c r="E218">
        <v>-2.4217194195798038E-2</v>
      </c>
      <c r="F218">
        <v>2.4428076274877201E-2</v>
      </c>
      <c r="G218">
        <v>-5.3254251532982577E-3</v>
      </c>
      <c r="H218">
        <v>-1</v>
      </c>
      <c r="I218">
        <v>1</v>
      </c>
      <c r="J218">
        <v>0</v>
      </c>
      <c r="K218">
        <v>-2.868182873117953E-2</v>
      </c>
      <c r="L218">
        <v>0</v>
      </c>
      <c r="M218">
        <v>-2.4217194195798038E-2</v>
      </c>
      <c r="N218">
        <v>2.4428076274877201E-2</v>
      </c>
      <c r="O218">
        <v>0</v>
      </c>
      <c r="P218">
        <v>5.3254251532982577E-3</v>
      </c>
      <c r="Q218">
        <v>0</v>
      </c>
      <c r="R218">
        <v>0.88791483724582343</v>
      </c>
      <c r="S218">
        <v>5.8872861582384362E-2</v>
      </c>
      <c r="T218">
        <v>-0.31389528906633452</v>
      </c>
      <c r="U218">
        <v>1.051151517948447</v>
      </c>
      <c r="V218">
        <v>2.7232821265158802</v>
      </c>
      <c r="W218">
        <v>0.9531453501460454</v>
      </c>
      <c r="X218">
        <v>2.5136049997772911</v>
      </c>
      <c r="Y218">
        <v>1.2062679905438569</v>
      </c>
      <c r="Z218">
        <v>5.2715668103924154</v>
      </c>
    </row>
    <row r="219" spans="1:26" x14ac:dyDescent="0.25">
      <c r="A219" s="1">
        <v>44104</v>
      </c>
      <c r="B219">
        <v>-3.5738245654053147E-2</v>
      </c>
      <c r="C219">
        <v>-6.436155378332542E-2</v>
      </c>
      <c r="D219">
        <v>1.438660597176156E-2</v>
      </c>
      <c r="E219">
        <v>-6.1081477039377496E-3</v>
      </c>
      <c r="F219">
        <v>-4.6019518597495201E-2</v>
      </c>
      <c r="G219">
        <v>1.095631841648903E-2</v>
      </c>
      <c r="H219">
        <v>1</v>
      </c>
      <c r="I219">
        <v>-1</v>
      </c>
      <c r="J219">
        <v>1.438660597176156E-2</v>
      </c>
      <c r="K219">
        <v>0</v>
      </c>
      <c r="L219">
        <v>6.1081477039377496E-3</v>
      </c>
      <c r="M219">
        <v>0</v>
      </c>
      <c r="N219">
        <v>0</v>
      </c>
      <c r="O219">
        <v>4.6019518597495201E-2</v>
      </c>
      <c r="P219">
        <v>0</v>
      </c>
      <c r="Q219">
        <v>1.095631841648903E-2</v>
      </c>
      <c r="R219">
        <v>0.91507552411752147</v>
      </c>
      <c r="S219">
        <v>5.8872861582384362E-2</v>
      </c>
      <c r="T219">
        <v>-0.30970446015158409</v>
      </c>
      <c r="U219">
        <v>1.051151517948447</v>
      </c>
      <c r="V219">
        <v>2.7232821265158802</v>
      </c>
      <c r="W219">
        <v>1.0430281589107031</v>
      </c>
      <c r="X219">
        <v>2.5136049997772911</v>
      </c>
      <c r="Y219">
        <v>1.2304405651603629</v>
      </c>
      <c r="Z219">
        <v>5.3490374010820991</v>
      </c>
    </row>
    <row r="220" spans="1:26" x14ac:dyDescent="0.25">
      <c r="A220" s="1">
        <v>44135</v>
      </c>
      <c r="B220">
        <v>-2.3497382933356681E-2</v>
      </c>
      <c r="C220">
        <v>5.092770941263125E-2</v>
      </c>
      <c r="D220">
        <v>-4.7486812037732529E-2</v>
      </c>
      <c r="E220">
        <v>-6.910291253897638E-3</v>
      </c>
      <c r="F220">
        <v>1.7849761009080641E-2</v>
      </c>
      <c r="G220">
        <v>-2.352753315042477E-2</v>
      </c>
      <c r="H220">
        <v>-1</v>
      </c>
      <c r="I220">
        <v>1</v>
      </c>
      <c r="J220">
        <v>0</v>
      </c>
      <c r="K220">
        <v>4.7486812037732529E-2</v>
      </c>
      <c r="L220">
        <v>0</v>
      </c>
      <c r="M220">
        <v>-6.910291253897638E-3</v>
      </c>
      <c r="N220">
        <v>1.7849761009080641E-2</v>
      </c>
      <c r="O220">
        <v>0</v>
      </c>
      <c r="P220">
        <v>2.352753315042477E-2</v>
      </c>
      <c r="Q220">
        <v>0</v>
      </c>
      <c r="R220">
        <v>0.91507552411752147</v>
      </c>
      <c r="S220">
        <v>0.1091553581322029</v>
      </c>
      <c r="T220">
        <v>-0.30970446015158409</v>
      </c>
      <c r="U220">
        <v>1.0369774635535489</v>
      </c>
      <c r="V220">
        <v>2.78974182264357</v>
      </c>
      <c r="W220">
        <v>1.0430281589107031</v>
      </c>
      <c r="X220">
        <v>2.5962714578870498</v>
      </c>
      <c r="Y220">
        <v>1.2304405651603629</v>
      </c>
      <c r="Z220">
        <v>5.4309912160254399</v>
      </c>
    </row>
    <row r="221" spans="1:26" x14ac:dyDescent="0.25">
      <c r="A221" s="1">
        <v>44165</v>
      </c>
      <c r="B221">
        <v>0.1045149785385184</v>
      </c>
      <c r="C221">
        <v>5.8997230354724588E-2</v>
      </c>
      <c r="D221">
        <v>1.8924136897572889E-2</v>
      </c>
      <c r="E221">
        <v>-9.1551779984462289E-3</v>
      </c>
      <c r="F221">
        <v>7.0487854482300105E-2</v>
      </c>
      <c r="G221">
        <v>1.303454824658468E-2</v>
      </c>
      <c r="H221">
        <v>-1</v>
      </c>
      <c r="I221">
        <v>1</v>
      </c>
      <c r="J221">
        <v>0</v>
      </c>
      <c r="K221">
        <v>-1.8924136897572889E-2</v>
      </c>
      <c r="L221">
        <v>0</v>
      </c>
      <c r="M221">
        <v>-9.1551779984462289E-3</v>
      </c>
      <c r="N221">
        <v>7.0487854482300105E-2</v>
      </c>
      <c r="O221">
        <v>0</v>
      </c>
      <c r="P221">
        <v>-1.303454824658468E-2</v>
      </c>
      <c r="Q221">
        <v>0</v>
      </c>
      <c r="R221">
        <v>0.91507552411752147</v>
      </c>
      <c r="S221">
        <v>8.8165550294232675E-2</v>
      </c>
      <c r="T221">
        <v>-0.30970446015158409</v>
      </c>
      <c r="U221">
        <v>1.018328572295893</v>
      </c>
      <c r="V221">
        <v>3.0568725927635572</v>
      </c>
      <c r="W221">
        <v>1.0430281589107031</v>
      </c>
      <c r="X221">
        <v>2.5493956840614058</v>
      </c>
      <c r="Y221">
        <v>1.2304405651603629</v>
      </c>
      <c r="Z221">
        <v>5.4603652073651361</v>
      </c>
    </row>
    <row r="222" spans="1:26" x14ac:dyDescent="0.25">
      <c r="A222" s="1">
        <v>44196</v>
      </c>
      <c r="B222">
        <v>3.6718489045644558E-2</v>
      </c>
      <c r="C222">
        <v>3.7320319551863768E-2</v>
      </c>
      <c r="D222">
        <v>1.629442070574694E-2</v>
      </c>
      <c r="E222">
        <v>5.0066444661356346E-3</v>
      </c>
      <c r="F222">
        <v>1.9331532003547869E-2</v>
      </c>
      <c r="G222">
        <v>-2.026225005964288E-2</v>
      </c>
      <c r="H222">
        <v>-1</v>
      </c>
      <c r="I222">
        <v>1</v>
      </c>
      <c r="J222">
        <v>0</v>
      </c>
      <c r="K222">
        <v>-1.629442070574694E-2</v>
      </c>
      <c r="L222">
        <v>0</v>
      </c>
      <c r="M222">
        <v>5.0066444661356346E-3</v>
      </c>
      <c r="N222">
        <v>1.9331532003547869E-2</v>
      </c>
      <c r="O222">
        <v>0</v>
      </c>
      <c r="P222">
        <v>2.026225005964288E-2</v>
      </c>
      <c r="Q222">
        <v>0</v>
      </c>
      <c r="R222">
        <v>0.91507552411752147</v>
      </c>
      <c r="S222">
        <v>7.0434523020237672E-2</v>
      </c>
      <c r="T222">
        <v>-0.30970446015158409</v>
      </c>
      <c r="U222">
        <v>1.028433625873221</v>
      </c>
      <c r="V222">
        <v>3.135298155124882</v>
      </c>
      <c r="W222">
        <v>1.0430281589107031</v>
      </c>
      <c r="X222">
        <v>2.621314426972476</v>
      </c>
      <c r="Y222">
        <v>1.2304405651603629</v>
      </c>
      <c r="Z222">
        <v>5.4886712131887156</v>
      </c>
    </row>
    <row r="223" spans="1:26" x14ac:dyDescent="0.25">
      <c r="A223" s="1">
        <v>44227</v>
      </c>
      <c r="B223">
        <v>-9.2384273633747682E-3</v>
      </c>
      <c r="C223">
        <v>5.3751836288143402E-2</v>
      </c>
      <c r="D223">
        <v>-3.7420797550529288E-2</v>
      </c>
      <c r="E223">
        <v>-1.0888438323735211E-2</v>
      </c>
      <c r="F223">
        <v>1.9807007142237602E-2</v>
      </c>
      <c r="G223">
        <v>-4.1201676884807907E-2</v>
      </c>
      <c r="H223">
        <v>-1</v>
      </c>
      <c r="I223">
        <v>1</v>
      </c>
      <c r="J223">
        <v>0</v>
      </c>
      <c r="K223">
        <v>3.7420797550529288E-2</v>
      </c>
      <c r="L223">
        <v>0</v>
      </c>
      <c r="M223">
        <v>-1.0888438323735211E-2</v>
      </c>
      <c r="N223">
        <v>1.9807007142237602E-2</v>
      </c>
      <c r="O223">
        <v>0</v>
      </c>
      <c r="P223">
        <v>4.1201676884807907E-2</v>
      </c>
      <c r="Q223">
        <v>0</v>
      </c>
      <c r="R223">
        <v>0.91507552411752147</v>
      </c>
      <c r="S223">
        <v>0.11049103659727549</v>
      </c>
      <c r="T223">
        <v>-0.30970446015158409</v>
      </c>
      <c r="U223">
        <v>1.00634715144411</v>
      </c>
      <c r="V223">
        <v>3.2172060352187222</v>
      </c>
      <c r="W223">
        <v>1.0430281589107031</v>
      </c>
      <c r="X223">
        <v>2.770518653890889</v>
      </c>
      <c r="Y223">
        <v>1.2304405651603629</v>
      </c>
      <c r="Z223">
        <v>5.5762122564425551</v>
      </c>
    </row>
    <row r="224" spans="1:26" x14ac:dyDescent="0.25">
      <c r="A224" s="1">
        <v>44255</v>
      </c>
      <c r="B224">
        <v>2.818390596188047E-2</v>
      </c>
      <c r="C224">
        <v>0.1103387643263298</v>
      </c>
      <c r="D224">
        <v>-1.7014920600174181E-2</v>
      </c>
      <c r="E224">
        <v>7.2849453633340167E-3</v>
      </c>
      <c r="F224">
        <v>4.6873709855445922E-2</v>
      </c>
      <c r="G224">
        <v>-2.520703810817615E-2</v>
      </c>
      <c r="H224">
        <v>-1</v>
      </c>
      <c r="I224">
        <v>1</v>
      </c>
      <c r="J224">
        <v>0</v>
      </c>
      <c r="K224">
        <v>1.7014920600174181E-2</v>
      </c>
      <c r="L224">
        <v>0</v>
      </c>
      <c r="M224">
        <v>7.2849453633340167E-3</v>
      </c>
      <c r="N224">
        <v>4.6873709855445922E-2</v>
      </c>
      <c r="O224">
        <v>0</v>
      </c>
      <c r="P224">
        <v>2.520703810817615E-2</v>
      </c>
      <c r="Q224">
        <v>0</v>
      </c>
      <c r="R224">
        <v>0.91507552411752147</v>
      </c>
      <c r="S224">
        <v>0.12938595341218331</v>
      </c>
      <c r="T224">
        <v>-0.30970446015158409</v>
      </c>
      <c r="U224">
        <v>1.020963280822262</v>
      </c>
      <c r="V224">
        <v>3.4148821273142</v>
      </c>
      <c r="W224">
        <v>1.0430281589107031</v>
      </c>
      <c r="X224">
        <v>2.865562261287105</v>
      </c>
      <c r="Y224">
        <v>1.2304405651603629</v>
      </c>
      <c r="Z224">
        <v>5.6725928703696864</v>
      </c>
    </row>
    <row r="225" spans="1:26" x14ac:dyDescent="0.25">
      <c r="A225" s="1">
        <v>44286</v>
      </c>
      <c r="B225">
        <v>4.5601142446743403E-2</v>
      </c>
      <c r="C225">
        <v>8.6318074476147477E-2</v>
      </c>
      <c r="D225">
        <v>1.7666552448180051E-2</v>
      </c>
      <c r="E225">
        <v>5.4014577969699884E-3</v>
      </c>
      <c r="F225">
        <v>9.213187755504948E-3</v>
      </c>
      <c r="G225">
        <v>-2.8484424919130061E-2</v>
      </c>
      <c r="H225">
        <v>-1</v>
      </c>
      <c r="I225">
        <v>1</v>
      </c>
      <c r="J225">
        <v>0</v>
      </c>
      <c r="K225">
        <v>-1.7666552448180051E-2</v>
      </c>
      <c r="L225">
        <v>0</v>
      </c>
      <c r="M225">
        <v>5.4014577969699884E-3</v>
      </c>
      <c r="N225">
        <v>9.213187755504948E-3</v>
      </c>
      <c r="O225">
        <v>0</v>
      </c>
      <c r="P225">
        <v>2.8484424919130061E-2</v>
      </c>
      <c r="Q225">
        <v>0</v>
      </c>
      <c r="R225">
        <v>0.91507552411752147</v>
      </c>
      <c r="S225">
        <v>0.1094335972319891</v>
      </c>
      <c r="T225">
        <v>-0.30970446015158409</v>
      </c>
      <c r="U225">
        <v>1.031879428692849</v>
      </c>
      <c r="V225">
        <v>3.4555572652715689</v>
      </c>
      <c r="W225">
        <v>1.0430281589107031</v>
      </c>
      <c r="X225">
        <v>2.9756705792889599</v>
      </c>
      <c r="Y225">
        <v>1.2304405651603629</v>
      </c>
      <c r="Z225">
        <v>5.6980253883931109</v>
      </c>
    </row>
    <row r="226" spans="1:26" x14ac:dyDescent="0.25">
      <c r="A226" s="1">
        <v>44316</v>
      </c>
      <c r="B226">
        <v>5.2057870376735038E-2</v>
      </c>
      <c r="C226">
        <v>2.1779668189036978E-3</v>
      </c>
      <c r="D226">
        <v>1.222952761733909E-2</v>
      </c>
      <c r="E226">
        <v>-1.249422071231876E-2</v>
      </c>
      <c r="F226">
        <v>3.046565823250769E-2</v>
      </c>
      <c r="G226">
        <v>2.031717050230963E-2</v>
      </c>
      <c r="H226">
        <v>-1</v>
      </c>
      <c r="I226">
        <v>1</v>
      </c>
      <c r="J226">
        <v>0</v>
      </c>
      <c r="K226">
        <v>-1.222952761733909E-2</v>
      </c>
      <c r="L226">
        <v>0</v>
      </c>
      <c r="M226">
        <v>-1.249422071231876E-2</v>
      </c>
      <c r="N226">
        <v>3.046565823250769E-2</v>
      </c>
      <c r="O226">
        <v>0</v>
      </c>
      <c r="P226">
        <v>-2.031717050230963E-2</v>
      </c>
      <c r="Q226">
        <v>0</v>
      </c>
      <c r="R226">
        <v>0.91507552411752147</v>
      </c>
      <c r="S226">
        <v>9.58657484150367E-2</v>
      </c>
      <c r="T226">
        <v>-0.30970446015158409</v>
      </c>
      <c r="U226">
        <v>1.00649267864994</v>
      </c>
      <c r="V226">
        <v>3.591298750150699</v>
      </c>
      <c r="W226">
        <v>1.0430281589107031</v>
      </c>
      <c r="X226">
        <v>2.8948962022685309</v>
      </c>
      <c r="Y226">
        <v>1.2304405651603629</v>
      </c>
      <c r="Z226">
        <v>5.6834501277936509</v>
      </c>
    </row>
    <row r="227" spans="1:26" x14ac:dyDescent="0.25">
      <c r="A227" s="1">
        <v>44347</v>
      </c>
      <c r="B227">
        <v>7.2902828588733426E-3</v>
      </c>
      <c r="C227">
        <v>3.1920151884967662E-4</v>
      </c>
      <c r="D227">
        <v>1.227394834384077E-2</v>
      </c>
      <c r="E227">
        <v>5.6376650364458047E-3</v>
      </c>
      <c r="F227">
        <v>1.1563809003026121E-2</v>
      </c>
      <c r="G227">
        <v>5.7497221867069959E-3</v>
      </c>
      <c r="H227">
        <v>-1</v>
      </c>
      <c r="I227">
        <v>1</v>
      </c>
      <c r="J227">
        <v>0</v>
      </c>
      <c r="K227">
        <v>-1.227394834384077E-2</v>
      </c>
      <c r="L227">
        <v>0</v>
      </c>
      <c r="M227">
        <v>5.6376650364458047E-3</v>
      </c>
      <c r="N227">
        <v>1.1563809003026121E-2</v>
      </c>
      <c r="O227">
        <v>0</v>
      </c>
      <c r="P227">
        <v>-5.7497221867069959E-3</v>
      </c>
      <c r="Q227">
        <v>0</v>
      </c>
      <c r="R227">
        <v>0.91507552411752147</v>
      </c>
      <c r="S227">
        <v>8.241514882720602E-2</v>
      </c>
      <c r="T227">
        <v>-0.30970446015158409</v>
      </c>
      <c r="U227">
        <v>1.01780461227025</v>
      </c>
      <c r="V227">
        <v>3.6443916519732742</v>
      </c>
      <c r="W227">
        <v>1.0430281589107031</v>
      </c>
      <c r="X227">
        <v>2.8725016311594271</v>
      </c>
      <c r="Y227">
        <v>1.2304405651603629</v>
      </c>
      <c r="Z227">
        <v>5.6826279313025747</v>
      </c>
    </row>
    <row r="228" spans="1:26" x14ac:dyDescent="0.25">
      <c r="A228" s="1">
        <v>44377</v>
      </c>
      <c r="B228">
        <v>2.2497891803932909E-2</v>
      </c>
      <c r="C228">
        <v>-3.1026756388855881E-2</v>
      </c>
      <c r="D228">
        <v>1.7004436064557479E-2</v>
      </c>
      <c r="E228">
        <v>7.4963496537853169E-3</v>
      </c>
      <c r="F228">
        <v>5.155929042238383E-3</v>
      </c>
      <c r="G228">
        <v>8.9584043420868342E-3</v>
      </c>
      <c r="H228">
        <v>1</v>
      </c>
      <c r="I228">
        <v>-1</v>
      </c>
      <c r="J228">
        <v>1.7004436064557479E-2</v>
      </c>
      <c r="K228">
        <v>0</v>
      </c>
      <c r="L228">
        <v>-7.4963496537853169E-3</v>
      </c>
      <c r="M228">
        <v>0</v>
      </c>
      <c r="N228">
        <v>0</v>
      </c>
      <c r="O228">
        <v>-5.155929042238383E-3</v>
      </c>
      <c r="P228">
        <v>0</v>
      </c>
      <c r="Q228">
        <v>8.9584043420868342E-3</v>
      </c>
      <c r="R228">
        <v>0.94764030342617667</v>
      </c>
      <c r="S228">
        <v>8.241514882720602E-2</v>
      </c>
      <c r="T228">
        <v>-0.31487915688273638</v>
      </c>
      <c r="U228">
        <v>1.01780461227025</v>
      </c>
      <c r="V228">
        <v>3.6443916519732742</v>
      </c>
      <c r="W228">
        <v>1.0324944506920639</v>
      </c>
      <c r="X228">
        <v>2.8725016311594271</v>
      </c>
      <c r="Y228">
        <v>1.250421753604062</v>
      </c>
      <c r="Z228">
        <v>5.6959384930131964</v>
      </c>
    </row>
    <row r="229" spans="1:26" x14ac:dyDescent="0.25">
      <c r="A229" s="1">
        <v>44408</v>
      </c>
      <c r="B229">
        <v>2.464448266331332E-2</v>
      </c>
      <c r="C229">
        <v>-1.9578225594441331E-2</v>
      </c>
      <c r="D229">
        <v>7.0659939130003346E-3</v>
      </c>
      <c r="E229">
        <v>2.4361321225407911E-4</v>
      </c>
      <c r="F229">
        <v>6.7446865162456024E-3</v>
      </c>
      <c r="G229">
        <v>3.0587651547091529E-2</v>
      </c>
      <c r="H229">
        <v>1</v>
      </c>
      <c r="I229">
        <v>-1</v>
      </c>
      <c r="J229">
        <v>7.0659939130003346E-3</v>
      </c>
      <c r="K229">
        <v>0</v>
      </c>
      <c r="L229">
        <v>-2.4361321225407911E-4</v>
      </c>
      <c r="M229">
        <v>0</v>
      </c>
      <c r="N229">
        <v>0</v>
      </c>
      <c r="O229">
        <v>-6.7446865162456024E-3</v>
      </c>
      <c r="P229">
        <v>0</v>
      </c>
      <c r="Q229">
        <v>3.0587651547091529E-2</v>
      </c>
      <c r="R229">
        <v>0.96140231795490005</v>
      </c>
      <c r="S229">
        <v>8.241514882720602E-2</v>
      </c>
      <c r="T229">
        <v>-0.31504606137211039</v>
      </c>
      <c r="U229">
        <v>1.01780461227025</v>
      </c>
      <c r="V229">
        <v>3.6443916519732742</v>
      </c>
      <c r="W229">
        <v>1.0187859127761381</v>
      </c>
      <c r="X229">
        <v>2.8725016311594271</v>
      </c>
      <c r="Y229">
        <v>1.319256870037298</v>
      </c>
      <c r="Z229">
        <v>5.7266038387447882</v>
      </c>
    </row>
    <row r="230" spans="1:26" x14ac:dyDescent="0.25">
      <c r="A230" s="1">
        <v>44439</v>
      </c>
      <c r="B230">
        <v>2.9631794492047892E-2</v>
      </c>
      <c r="C230">
        <v>2.738260973476403E-3</v>
      </c>
      <c r="D230">
        <v>1.8436088542217229E-2</v>
      </c>
      <c r="E230">
        <v>-1.137249662923534E-2</v>
      </c>
      <c r="F230">
        <v>9.1039661149981965E-3</v>
      </c>
      <c r="G230">
        <v>-1.029174151886814E-2</v>
      </c>
      <c r="H230">
        <v>-1</v>
      </c>
      <c r="I230">
        <v>1</v>
      </c>
      <c r="J230">
        <v>0</v>
      </c>
      <c r="K230">
        <v>-1.8436088542217229E-2</v>
      </c>
      <c r="L230">
        <v>0</v>
      </c>
      <c r="M230">
        <v>-1.137249662923534E-2</v>
      </c>
      <c r="N230">
        <v>9.1039661149981965E-3</v>
      </c>
      <c r="O230">
        <v>0</v>
      </c>
      <c r="P230">
        <v>1.029174151886814E-2</v>
      </c>
      <c r="Q230">
        <v>0</v>
      </c>
      <c r="R230">
        <v>0.96140231795490005</v>
      </c>
      <c r="S230">
        <v>6.2459647303990451E-2</v>
      </c>
      <c r="T230">
        <v>-0.31504606137211039</v>
      </c>
      <c r="U230">
        <v>0.9948571361187506</v>
      </c>
      <c r="V230">
        <v>3.6866740361976191</v>
      </c>
      <c r="W230">
        <v>1.0187859127761381</v>
      </c>
      <c r="X230">
        <v>2.9123564169787151</v>
      </c>
      <c r="Y230">
        <v>1.319256870037298</v>
      </c>
      <c r="Z230">
        <v>5.7161909612072019</v>
      </c>
    </row>
    <row r="231" spans="1:26" x14ac:dyDescent="0.25">
      <c r="A231" s="1">
        <v>44469</v>
      </c>
      <c r="B231">
        <v>-4.7022848580092418E-2</v>
      </c>
      <c r="C231">
        <v>-4.8669321202662867E-2</v>
      </c>
      <c r="D231">
        <v>-1.97549674845332E-2</v>
      </c>
      <c r="E231">
        <v>-5.0026670707668641E-2</v>
      </c>
      <c r="F231">
        <v>-1.4284602242506941E-3</v>
      </c>
      <c r="G231">
        <v>-4.6832579830953236E-3</v>
      </c>
      <c r="H231">
        <v>1</v>
      </c>
      <c r="I231">
        <v>-1</v>
      </c>
      <c r="J231">
        <v>-1.97549674845332E-2</v>
      </c>
      <c r="K231">
        <v>0</v>
      </c>
      <c r="L231">
        <v>5.0026670707668641E-2</v>
      </c>
      <c r="M231">
        <v>0</v>
      </c>
      <c r="N231">
        <v>0</v>
      </c>
      <c r="O231">
        <v>1.4284602242506941E-3</v>
      </c>
      <c r="P231">
        <v>0</v>
      </c>
      <c r="Q231">
        <v>-4.6832579830953236E-3</v>
      </c>
      <c r="R231">
        <v>0.92265487893961295</v>
      </c>
      <c r="S231">
        <v>6.2459647303990451E-2</v>
      </c>
      <c r="T231">
        <v>-0.28078009623445233</v>
      </c>
      <c r="U231">
        <v>0.9948571361187506</v>
      </c>
      <c r="V231">
        <v>3.6866740361976191</v>
      </c>
      <c r="W231">
        <v>1.021669668153816</v>
      </c>
      <c r="X231">
        <v>2.9123564169787151</v>
      </c>
      <c r="Y231">
        <v>1.308395191785847</v>
      </c>
      <c r="Z231">
        <v>5.7432078666714927</v>
      </c>
    </row>
    <row r="232" spans="1:26" x14ac:dyDescent="0.25">
      <c r="A232" s="1">
        <v>44500</v>
      </c>
      <c r="B232">
        <v>6.8389672893601094E-2</v>
      </c>
      <c r="C232">
        <v>6.6386304601535495E-2</v>
      </c>
      <c r="D232">
        <v>1.247443344242816E-2</v>
      </c>
      <c r="E232">
        <v>3.5621447450899679E-2</v>
      </c>
      <c r="F232">
        <v>2.219499702463823E-2</v>
      </c>
      <c r="G232">
        <v>-8.6028734235008564E-3</v>
      </c>
      <c r="H232">
        <v>-1</v>
      </c>
      <c r="I232">
        <v>1</v>
      </c>
      <c r="J232">
        <v>0</v>
      </c>
      <c r="K232">
        <v>-1.247443344242816E-2</v>
      </c>
      <c r="L232">
        <v>0</v>
      </c>
      <c r="M232">
        <v>3.5621447450899679E-2</v>
      </c>
      <c r="N232">
        <v>2.219499702463823E-2</v>
      </c>
      <c r="O232">
        <v>0</v>
      </c>
      <c r="P232">
        <v>8.6028734235008564E-3</v>
      </c>
      <c r="Q232">
        <v>0</v>
      </c>
      <c r="R232">
        <v>0.92265487893961295</v>
      </c>
      <c r="S232">
        <v>4.9206065148431177E-2</v>
      </c>
      <c r="T232">
        <v>-0.28078009623445233</v>
      </c>
      <c r="U232">
        <v>1.0659168347650569</v>
      </c>
      <c r="V232">
        <v>3.7906947524864738</v>
      </c>
      <c r="W232">
        <v>1.021669668153816</v>
      </c>
      <c r="X232">
        <v>2.9460139240216039</v>
      </c>
      <c r="Y232">
        <v>1.308395191785847</v>
      </c>
      <c r="Z232">
        <v>5.7971527511281034</v>
      </c>
    </row>
    <row r="233" spans="1:26" x14ac:dyDescent="0.25">
      <c r="A233" s="1">
        <v>44530</v>
      </c>
      <c r="B233">
        <v>-7.4096369962639566E-3</v>
      </c>
      <c r="C233">
        <v>1.440608192835313E-2</v>
      </c>
      <c r="D233">
        <v>-2.8313380560724851E-2</v>
      </c>
      <c r="E233">
        <v>2.2301018655868421E-2</v>
      </c>
      <c r="F233">
        <v>2.0050690659525468E-2</v>
      </c>
      <c r="G233">
        <v>1.2370932587755011E-2</v>
      </c>
      <c r="H233">
        <v>-1</v>
      </c>
      <c r="I233">
        <v>1</v>
      </c>
      <c r="J233">
        <v>0</v>
      </c>
      <c r="K233">
        <v>2.8313380560724851E-2</v>
      </c>
      <c r="L233">
        <v>0</v>
      </c>
      <c r="M233">
        <v>2.2301018655868421E-2</v>
      </c>
      <c r="N233">
        <v>2.0050690659525468E-2</v>
      </c>
      <c r="O233">
        <v>0</v>
      </c>
      <c r="P233">
        <v>-1.2370932587755011E-2</v>
      </c>
      <c r="Q233">
        <v>0</v>
      </c>
      <c r="R233">
        <v>0.92265487893961295</v>
      </c>
      <c r="S233">
        <v>7.8912635757599325E-2</v>
      </c>
      <c r="T233">
        <v>-0.28078009623445233</v>
      </c>
      <c r="U233">
        <v>1.111988884638625</v>
      </c>
      <c r="V233">
        <v>3.886751491012792</v>
      </c>
      <c r="W233">
        <v>1.021669668153816</v>
      </c>
      <c r="X233">
        <v>2.89719805177719</v>
      </c>
      <c r="Y233">
        <v>1.308395191785847</v>
      </c>
      <c r="Z233">
        <v>5.8554469084164671</v>
      </c>
    </row>
    <row r="234" spans="1:26" x14ac:dyDescent="0.25">
      <c r="A234" s="1">
        <v>44561</v>
      </c>
      <c r="B234">
        <v>4.6446835372050972E-2</v>
      </c>
      <c r="C234">
        <v>3.4272307209686659E-2</v>
      </c>
      <c r="D234">
        <v>2.5550327510328041E-2</v>
      </c>
      <c r="E234">
        <v>-6.1668201155351543E-3</v>
      </c>
      <c r="F234">
        <v>2.8035760485548789E-2</v>
      </c>
      <c r="G234">
        <v>-2.4672295082220912E-3</v>
      </c>
      <c r="H234">
        <v>-1</v>
      </c>
      <c r="I234">
        <v>1</v>
      </c>
      <c r="J234">
        <v>0</v>
      </c>
      <c r="K234">
        <v>-2.5550327510328041E-2</v>
      </c>
      <c r="L234">
        <v>0</v>
      </c>
      <c r="M234">
        <v>-6.1668201155351543E-3</v>
      </c>
      <c r="N234">
        <v>2.8035760485548789E-2</v>
      </c>
      <c r="O234">
        <v>0</v>
      </c>
      <c r="P234">
        <v>2.4672295082220912E-3</v>
      </c>
      <c r="Q234">
        <v>0</v>
      </c>
      <c r="R234">
        <v>0.92265487893961295</v>
      </c>
      <c r="S234">
        <v>5.1346064558961402E-2</v>
      </c>
      <c r="T234">
        <v>-0.28078009623445233</v>
      </c>
      <c r="U234">
        <v>1.0989646291010491</v>
      </c>
      <c r="V234">
        <v>4.0237552853672263</v>
      </c>
      <c r="W234">
        <v>1.021669668153816</v>
      </c>
      <c r="X234">
        <v>2.9068133338099211</v>
      </c>
      <c r="Y234">
        <v>1.308395191785847</v>
      </c>
      <c r="Z234">
        <v>5.8542327507843748</v>
      </c>
    </row>
    <row r="235" spans="1:26" x14ac:dyDescent="0.25">
      <c r="A235" s="1">
        <v>44592</v>
      </c>
      <c r="B235">
        <v>-5.279657597624543E-2</v>
      </c>
      <c r="C235">
        <v>-3.7320858993998951E-2</v>
      </c>
      <c r="D235">
        <v>2.3190661387625489E-2</v>
      </c>
      <c r="E235">
        <v>-1.6656163301731469E-4</v>
      </c>
      <c r="F235">
        <v>-1.8639989547635349E-2</v>
      </c>
      <c r="G235">
        <v>-4.0435331952699223E-2</v>
      </c>
      <c r="H235">
        <v>1</v>
      </c>
      <c r="I235">
        <v>-1</v>
      </c>
      <c r="J235">
        <v>2.3190661387625489E-2</v>
      </c>
      <c r="K235">
        <v>0</v>
      </c>
      <c r="L235">
        <v>1.6656163301731469E-4</v>
      </c>
      <c r="M235">
        <v>0</v>
      </c>
      <c r="N235">
        <v>0</v>
      </c>
      <c r="O235">
        <v>1.8639989547635349E-2</v>
      </c>
      <c r="P235">
        <v>0</v>
      </c>
      <c r="Q235">
        <v>-4.0435331952699223E-2</v>
      </c>
      <c r="R235">
        <v>0.96724251720236754</v>
      </c>
      <c r="S235">
        <v>5.1346064558961402E-2</v>
      </c>
      <c r="T235">
        <v>-0.28066030179278262</v>
      </c>
      <c r="U235">
        <v>1.0989646291010491</v>
      </c>
      <c r="V235">
        <v>4.0237552853672263</v>
      </c>
      <c r="W235">
        <v>1.059353569636974</v>
      </c>
      <c r="X235">
        <v>2.9068133338099211</v>
      </c>
      <c r="Y235">
        <v>1.2150544659279721</v>
      </c>
      <c r="Z235">
        <v>5.855794631399954</v>
      </c>
    </row>
    <row r="236" spans="1:26" x14ac:dyDescent="0.25">
      <c r="A236" s="1">
        <v>44620</v>
      </c>
      <c r="B236">
        <v>-2.81353438170866E-2</v>
      </c>
      <c r="C236">
        <v>-1.9951906833182379E-2</v>
      </c>
      <c r="D236">
        <v>1.6815816194588499E-2</v>
      </c>
      <c r="E236">
        <v>9.5267221856246698E-3</v>
      </c>
      <c r="F236">
        <v>-5.5410603636358857E-3</v>
      </c>
      <c r="G236">
        <v>-2.1833312907555639E-2</v>
      </c>
      <c r="H236">
        <v>1</v>
      </c>
      <c r="I236">
        <v>-1</v>
      </c>
      <c r="J236">
        <v>1.6815816194588499E-2</v>
      </c>
      <c r="K236">
        <v>0</v>
      </c>
      <c r="L236">
        <v>-9.5267221856246698E-3</v>
      </c>
      <c r="M236">
        <v>0</v>
      </c>
      <c r="N236">
        <v>0</v>
      </c>
      <c r="O236">
        <v>5.5410603636358857E-3</v>
      </c>
      <c r="P236">
        <v>0</v>
      </c>
      <c r="Q236">
        <v>-2.1833312907555639E-2</v>
      </c>
      <c r="R236">
        <v>1.0003233057818219</v>
      </c>
      <c r="S236">
        <v>5.1346064558961402E-2</v>
      </c>
      <c r="T236">
        <v>-0.28751325125469379</v>
      </c>
      <c r="U236">
        <v>1.0989646291010491</v>
      </c>
      <c r="V236">
        <v>4.0237552853672263</v>
      </c>
      <c r="W236">
        <v>1.0707645720764021</v>
      </c>
      <c r="X236">
        <v>2.9068133338099211</v>
      </c>
      <c r="Y236">
        <v>1.166692488666087</v>
      </c>
      <c r="Z236">
        <v>5.8467914728649983</v>
      </c>
    </row>
    <row r="237" spans="1:26" x14ac:dyDescent="0.25">
      <c r="A237" s="1">
        <v>44651</v>
      </c>
      <c r="B237">
        <v>3.9308601242522778E-2</v>
      </c>
      <c r="C237">
        <v>8.9974826292592902E-2</v>
      </c>
      <c r="D237">
        <v>1.669887527482761E-2</v>
      </c>
      <c r="E237">
        <v>1.372980270275426E-2</v>
      </c>
      <c r="F237">
        <v>-3.9416194471813437E-2</v>
      </c>
      <c r="G237">
        <v>-2.801593116824042E-3</v>
      </c>
      <c r="H237">
        <v>-1</v>
      </c>
      <c r="I237">
        <v>1</v>
      </c>
      <c r="J237">
        <v>0</v>
      </c>
      <c r="K237">
        <v>-1.669887527482761E-2</v>
      </c>
      <c r="L237">
        <v>0</v>
      </c>
      <c r="M237">
        <v>1.372980270275426E-2</v>
      </c>
      <c r="N237">
        <v>-3.9416194471813437E-2</v>
      </c>
      <c r="O237">
        <v>0</v>
      </c>
      <c r="P237">
        <v>2.801593116824042E-3</v>
      </c>
      <c r="Q237">
        <v>0</v>
      </c>
      <c r="R237">
        <v>1.0003233057818219</v>
      </c>
      <c r="S237">
        <v>3.3789767756210447E-2</v>
      </c>
      <c r="T237">
        <v>-0.28751325125469379</v>
      </c>
      <c r="U237">
        <v>1.1277829993386661</v>
      </c>
      <c r="V237">
        <v>3.8257379700603908</v>
      </c>
      <c r="W237">
        <v>1.0707645720764021</v>
      </c>
      <c r="X237">
        <v>2.9177586351546392</v>
      </c>
      <c r="Y237">
        <v>1.166692488666087</v>
      </c>
      <c r="Z237">
        <v>5.8072077989379354</v>
      </c>
    </row>
    <row r="238" spans="1:26" x14ac:dyDescent="0.25">
      <c r="A238" s="1">
        <v>44681</v>
      </c>
      <c r="B238">
        <v>-8.9288784021645751E-2</v>
      </c>
      <c r="C238">
        <v>3.6195430262947803E-2</v>
      </c>
      <c r="D238">
        <v>-3.2047636966192172E-2</v>
      </c>
      <c r="E238">
        <v>-4.2415209001098741E-3</v>
      </c>
      <c r="F238">
        <v>-6.1910224615915332E-3</v>
      </c>
      <c r="G238">
        <v>-4.1361667749301279E-2</v>
      </c>
      <c r="H238">
        <v>-1</v>
      </c>
      <c r="I238">
        <v>1</v>
      </c>
      <c r="J238">
        <v>0</v>
      </c>
      <c r="K238">
        <v>3.2047636966192172E-2</v>
      </c>
      <c r="L238">
        <v>0</v>
      </c>
      <c r="M238">
        <v>-4.2415209001098741E-3</v>
      </c>
      <c r="N238">
        <v>-6.1910224615915332E-3</v>
      </c>
      <c r="O238">
        <v>0</v>
      </c>
      <c r="P238">
        <v>4.1361667749301279E-2</v>
      </c>
      <c r="Q238">
        <v>0</v>
      </c>
      <c r="R238">
        <v>1.0003233057818219</v>
      </c>
      <c r="S238">
        <v>6.6920286932625528E-2</v>
      </c>
      <c r="T238">
        <v>-0.28751325125469379</v>
      </c>
      <c r="U238">
        <v>1.1187579632760729</v>
      </c>
      <c r="V238">
        <v>3.7958617178939922</v>
      </c>
      <c r="W238">
        <v>1.0707645720764021</v>
      </c>
      <c r="X238">
        <v>3.079803666143861</v>
      </c>
      <c r="Y238">
        <v>1.166692488666087</v>
      </c>
      <c r="Z238">
        <v>5.8701845602917277</v>
      </c>
    </row>
    <row r="239" spans="1:26" x14ac:dyDescent="0.25">
      <c r="A239" s="1">
        <v>44712</v>
      </c>
      <c r="B239">
        <v>6.1596522128000153E-3</v>
      </c>
      <c r="C239">
        <v>-4.7892849912172693E-2</v>
      </c>
      <c r="D239">
        <v>5.8830744113700713E-2</v>
      </c>
      <c r="E239">
        <v>-1.6013772179738539E-2</v>
      </c>
      <c r="F239">
        <v>-4.5535042778477308E-4</v>
      </c>
      <c r="G239">
        <v>-4.7215965028398983E-2</v>
      </c>
      <c r="H239">
        <v>1</v>
      </c>
      <c r="I239">
        <v>-1</v>
      </c>
      <c r="J239">
        <v>5.8830744113700713E-2</v>
      </c>
      <c r="K239">
        <v>0</v>
      </c>
      <c r="L239">
        <v>1.6013772179738539E-2</v>
      </c>
      <c r="M239">
        <v>0</v>
      </c>
      <c r="N239">
        <v>0</v>
      </c>
      <c r="O239">
        <v>4.5535042778477308E-4</v>
      </c>
      <c r="P239">
        <v>0</v>
      </c>
      <c r="Q239">
        <v>-4.7215965028398983E-2</v>
      </c>
      <c r="R239">
        <v>1.118003814328945</v>
      </c>
      <c r="S239">
        <v>6.6920286932625528E-2</v>
      </c>
      <c r="T239">
        <v>-0.27610365077920379</v>
      </c>
      <c r="U239">
        <v>1.1187579632760729</v>
      </c>
      <c r="V239">
        <v>3.7958617178939922</v>
      </c>
      <c r="W239">
        <v>1.0717074956101389</v>
      </c>
      <c r="X239">
        <v>3.079803666143861</v>
      </c>
      <c r="Y239">
        <v>1.0643900118939349</v>
      </c>
      <c r="Z239">
        <v>5.8982684619845527</v>
      </c>
    </row>
    <row r="240" spans="1:26" x14ac:dyDescent="0.25">
      <c r="A240" s="1">
        <v>44742</v>
      </c>
      <c r="B240">
        <v>-8.2369916444750446E-2</v>
      </c>
      <c r="C240">
        <v>-6.4996525714130393E-2</v>
      </c>
      <c r="D240">
        <v>8.405253803335011E-3</v>
      </c>
      <c r="E240">
        <v>1.4893401357551021E-2</v>
      </c>
      <c r="F240">
        <v>7.1803282672533442E-3</v>
      </c>
      <c r="G240">
        <v>-1.042046094497706E-2</v>
      </c>
      <c r="H240">
        <v>1</v>
      </c>
      <c r="I240">
        <v>-1</v>
      </c>
      <c r="J240">
        <v>8.405253803335011E-3</v>
      </c>
      <c r="K240">
        <v>0</v>
      </c>
      <c r="L240">
        <v>-1.4893401357551021E-2</v>
      </c>
      <c r="M240">
        <v>0</v>
      </c>
      <c r="N240">
        <v>0</v>
      </c>
      <c r="O240">
        <v>-7.1803282672533442E-3</v>
      </c>
      <c r="P240">
        <v>0</v>
      </c>
      <c r="Q240">
        <v>-1.042046094497706E-2</v>
      </c>
      <c r="R240">
        <v>1.1358061739448111</v>
      </c>
      <c r="S240">
        <v>6.6920286932625528E-2</v>
      </c>
      <c r="T240">
        <v>-0.28688492964941509</v>
      </c>
      <c r="U240">
        <v>1.1187579632760729</v>
      </c>
      <c r="V240">
        <v>3.7958617178939922</v>
      </c>
      <c r="W240">
        <v>1.056831955717928</v>
      </c>
      <c r="X240">
        <v>3.079803666143861</v>
      </c>
      <c r="Y240">
        <v>1.0428781163997931</v>
      </c>
      <c r="Z240">
        <v>5.8741795252181062</v>
      </c>
    </row>
    <row r="241" spans="1:26" x14ac:dyDescent="0.25">
      <c r="A241" s="1">
        <v>44773</v>
      </c>
      <c r="B241">
        <v>8.9661369191142204E-2</v>
      </c>
      <c r="C241">
        <v>1.2713062954801461E-2</v>
      </c>
      <c r="D241">
        <v>4.2471418051287291E-2</v>
      </c>
      <c r="E241">
        <v>-9.3926352505524502E-3</v>
      </c>
      <c r="F241">
        <v>2.99970225091124E-2</v>
      </c>
      <c r="G241">
        <v>-1.8543659509392851E-2</v>
      </c>
      <c r="H241">
        <v>-1</v>
      </c>
      <c r="I241">
        <v>1</v>
      </c>
      <c r="J241">
        <v>0</v>
      </c>
      <c r="K241">
        <v>-4.2471418051287291E-2</v>
      </c>
      <c r="L241">
        <v>0</v>
      </c>
      <c r="M241">
        <v>-9.3926352505524502E-3</v>
      </c>
      <c r="N241">
        <v>2.99970225091124E-2</v>
      </c>
      <c r="O241">
        <v>0</v>
      </c>
      <c r="P241">
        <v>1.8543659509392851E-2</v>
      </c>
      <c r="Q241">
        <v>0</v>
      </c>
      <c r="R241">
        <v>1.1358061739448111</v>
      </c>
      <c r="S241">
        <v>2.1606669398910761E-2</v>
      </c>
      <c r="T241">
        <v>-0.28688492964941509</v>
      </c>
      <c r="U241">
        <v>1.0988572425428169</v>
      </c>
      <c r="V241">
        <v>3.9397232897962482</v>
      </c>
      <c r="W241">
        <v>1.056831955717928</v>
      </c>
      <c r="X241">
        <v>3.155458156194006</v>
      </c>
      <c r="Y241">
        <v>1.0428781163997931</v>
      </c>
      <c r="Z241">
        <v>5.8708561539347706</v>
      </c>
    </row>
    <row r="242" spans="1:26" x14ac:dyDescent="0.25">
      <c r="A242" s="1">
        <v>44804</v>
      </c>
      <c r="B242">
        <v>-3.9984924177476122E-2</v>
      </c>
      <c r="C242">
        <v>5.9667234169370247E-2</v>
      </c>
      <c r="D242">
        <v>-6.497099850852639E-2</v>
      </c>
      <c r="E242">
        <v>-1.0059121536701739E-2</v>
      </c>
      <c r="F242">
        <v>3.7352302984758889E-3</v>
      </c>
      <c r="G242">
        <v>-5.4701191268771146E-3</v>
      </c>
      <c r="H242">
        <v>-1</v>
      </c>
      <c r="I242">
        <v>1</v>
      </c>
      <c r="J242">
        <v>0</v>
      </c>
      <c r="K242">
        <v>6.497099850852639E-2</v>
      </c>
      <c r="L242">
        <v>0</v>
      </c>
      <c r="M242">
        <v>-1.0059121536701739E-2</v>
      </c>
      <c r="N242">
        <v>3.7352302984758889E-3</v>
      </c>
      <c r="O242">
        <v>0</v>
      </c>
      <c r="P242">
        <v>5.4701191268771146E-3</v>
      </c>
      <c r="Q242">
        <v>0</v>
      </c>
      <c r="R242">
        <v>1.1358061739448111</v>
      </c>
      <c r="S242">
        <v>8.7981474792727887E-2</v>
      </c>
      <c r="T242">
        <v>-0.28688492964941509</v>
      </c>
      <c r="U242">
        <v>1.0777445824518921</v>
      </c>
      <c r="V242">
        <v>3.9581742938943818</v>
      </c>
      <c r="W242">
        <v>1.056831955717928</v>
      </c>
      <c r="X242">
        <v>3.1781890073351402</v>
      </c>
      <c r="Y242">
        <v>1.0428781163997931</v>
      </c>
      <c r="Z242">
        <v>5.9349733803319493</v>
      </c>
    </row>
    <row r="243" spans="1:26" x14ac:dyDescent="0.25">
      <c r="A243" s="1">
        <v>44834</v>
      </c>
      <c r="B243">
        <v>-9.4488324889926312E-2</v>
      </c>
      <c r="C243">
        <v>8.8969145342814304E-3</v>
      </c>
      <c r="D243">
        <v>-4.5876316912540571E-2</v>
      </c>
      <c r="E243">
        <v>-2.5961634410913152E-2</v>
      </c>
      <c r="F243">
        <v>1.3321296261820881E-2</v>
      </c>
      <c r="G243">
        <v>-3.1861920383559061E-2</v>
      </c>
      <c r="H243">
        <v>-1</v>
      </c>
      <c r="I243">
        <v>1</v>
      </c>
      <c r="J243">
        <v>0</v>
      </c>
      <c r="K243">
        <v>4.5876316912540571E-2</v>
      </c>
      <c r="L243">
        <v>0</v>
      </c>
      <c r="M243">
        <v>-2.5961634410913152E-2</v>
      </c>
      <c r="N243">
        <v>1.3321296261820881E-2</v>
      </c>
      <c r="O243">
        <v>0</v>
      </c>
      <c r="P243">
        <v>3.1861920383559061E-2</v>
      </c>
      <c r="Q243">
        <v>0</v>
      </c>
      <c r="R243">
        <v>1.1358061739448111</v>
      </c>
      <c r="S243">
        <v>0.13789405772529231</v>
      </c>
      <c r="T243">
        <v>-0.28688492964941509</v>
      </c>
      <c r="U243">
        <v>1.02380293720302</v>
      </c>
      <c r="V243">
        <v>4.0242236025810936</v>
      </c>
      <c r="W243">
        <v>1.056831955717928</v>
      </c>
      <c r="X243">
        <v>3.3113141328343141</v>
      </c>
      <c r="Y243">
        <v>1.0428781163997931</v>
      </c>
      <c r="Z243">
        <v>6.0000712794789566</v>
      </c>
    </row>
    <row r="244" spans="1:26" x14ac:dyDescent="0.25">
      <c r="A244" s="1">
        <v>44865</v>
      </c>
      <c r="B244">
        <v>8.1360116131054538E-2</v>
      </c>
      <c r="C244">
        <v>0.14106967647911381</v>
      </c>
      <c r="D244">
        <v>3.1898317494376771E-2</v>
      </c>
      <c r="E244">
        <v>3.172398706333035E-2</v>
      </c>
      <c r="F244">
        <v>1.6850081619662279E-2</v>
      </c>
      <c r="G244">
        <v>-1.1731234559498869E-2</v>
      </c>
      <c r="H244">
        <v>-1</v>
      </c>
      <c r="I244">
        <v>1</v>
      </c>
      <c r="J244">
        <v>0</v>
      </c>
      <c r="K244">
        <v>-3.1898317494376771E-2</v>
      </c>
      <c r="L244">
        <v>0</v>
      </c>
      <c r="M244">
        <v>3.172398706333035E-2</v>
      </c>
      <c r="N244">
        <v>1.6850081619662279E-2</v>
      </c>
      <c r="O244">
        <v>0</v>
      </c>
      <c r="P244">
        <v>1.1731234559498869E-2</v>
      </c>
      <c r="Q244">
        <v>0</v>
      </c>
      <c r="R244">
        <v>1.1358061739448111</v>
      </c>
      <c r="S244">
        <v>0.10159715179700619</v>
      </c>
      <c r="T244">
        <v>-0.28688492964941509</v>
      </c>
      <c r="U244">
        <v>1.088006035401579</v>
      </c>
      <c r="V244">
        <v>4.108882180360018</v>
      </c>
      <c r="W244">
        <v>1.056831955717928</v>
      </c>
      <c r="X244">
        <v>3.3618911701862761</v>
      </c>
      <c r="Y244">
        <v>1.0428781163997931</v>
      </c>
      <c r="Z244">
        <v>6.0284782652270712</v>
      </c>
    </row>
    <row r="245" spans="1:26" x14ac:dyDescent="0.25">
      <c r="A245" s="1">
        <v>44895</v>
      </c>
      <c r="B245">
        <v>5.7214681162337189E-2</v>
      </c>
      <c r="C245">
        <v>-2.0391791738768261E-2</v>
      </c>
      <c r="D245">
        <v>3.3360840354196508E-2</v>
      </c>
      <c r="E245">
        <v>2.66903335325227E-2</v>
      </c>
      <c r="F245">
        <v>-1.5810209227001382E-2</v>
      </c>
      <c r="G245">
        <v>-2.7168729445947611E-2</v>
      </c>
      <c r="H245">
        <v>1</v>
      </c>
      <c r="I245">
        <v>-1</v>
      </c>
      <c r="J245">
        <v>3.3360840354196508E-2</v>
      </c>
      <c r="K245">
        <v>0</v>
      </c>
      <c r="L245">
        <v>-2.66903335325227E-2</v>
      </c>
      <c r="M245">
        <v>0</v>
      </c>
      <c r="N245">
        <v>0</v>
      </c>
      <c r="O245">
        <v>1.5810209227001382E-2</v>
      </c>
      <c r="P245">
        <v>0</v>
      </c>
      <c r="Q245">
        <v>-2.7168729445947611E-2</v>
      </c>
      <c r="R245">
        <v>1.207058462741291</v>
      </c>
      <c r="S245">
        <v>0.10159715179700619</v>
      </c>
      <c r="T245">
        <v>-0.30591820872414072</v>
      </c>
      <c r="U245">
        <v>1.088006035401579</v>
      </c>
      <c r="V245">
        <v>4.108882180360018</v>
      </c>
      <c r="W245">
        <v>1.089350899282612</v>
      </c>
      <c r="X245">
        <v>3.3618911701862761</v>
      </c>
      <c r="Y245">
        <v>0.98737571356428022</v>
      </c>
      <c r="Z245">
        <v>6.0237902518297988</v>
      </c>
    </row>
    <row r="246" spans="1:26" x14ac:dyDescent="0.25">
      <c r="A246" s="1">
        <v>44926</v>
      </c>
      <c r="B246">
        <v>-5.7982981481834013E-2</v>
      </c>
      <c r="C246">
        <v>-6.4473025586244459E-2</v>
      </c>
      <c r="D246">
        <v>-9.5188907949149693E-3</v>
      </c>
      <c r="E246">
        <v>-4.0291435427164513E-2</v>
      </c>
      <c r="F246">
        <v>-3.59946469380934E-2</v>
      </c>
      <c r="G246">
        <v>6.6956946376116822E-2</v>
      </c>
      <c r="H246">
        <v>1</v>
      </c>
      <c r="I246">
        <v>-1</v>
      </c>
      <c r="J246">
        <v>-9.5188907949149693E-3</v>
      </c>
      <c r="K246">
        <v>0</v>
      </c>
      <c r="L246">
        <v>4.0291435427164513E-2</v>
      </c>
      <c r="M246">
        <v>0</v>
      </c>
      <c r="N246">
        <v>0</v>
      </c>
      <c r="O246">
        <v>3.59946469380934E-2</v>
      </c>
      <c r="P246">
        <v>0</v>
      </c>
      <c r="Q246">
        <v>6.6956946376116822E-2</v>
      </c>
      <c r="R246">
        <v>1.186049714256463</v>
      </c>
      <c r="S246">
        <v>0.10159715179700619</v>
      </c>
      <c r="T246">
        <v>-0.27795265704977867</v>
      </c>
      <c r="U246">
        <v>1.088006035401579</v>
      </c>
      <c r="V246">
        <v>4.108882180360018</v>
      </c>
      <c r="W246">
        <v>1.164556347232077</v>
      </c>
      <c r="X246">
        <v>3.3618911701862761</v>
      </c>
      <c r="Y246">
        <v>1.120444322646601</v>
      </c>
      <c r="Z246">
        <v>6.1575143897762583</v>
      </c>
    </row>
    <row r="247" spans="1:26" x14ac:dyDescent="0.25">
      <c r="A247" s="1">
        <v>44957</v>
      </c>
      <c r="B247">
        <v>6.2117027200611068E-2</v>
      </c>
      <c r="C247">
        <v>-2.9368092725407521E-2</v>
      </c>
      <c r="D247">
        <v>1.581941671216525E-2</v>
      </c>
      <c r="E247">
        <v>-4.108007920096135E-4</v>
      </c>
      <c r="F247">
        <v>1.446208651665359E-2</v>
      </c>
      <c r="G247">
        <v>6.068557764158955E-2</v>
      </c>
      <c r="H247">
        <v>1</v>
      </c>
      <c r="I247">
        <v>-1</v>
      </c>
      <c r="J247">
        <v>1.581941671216525E-2</v>
      </c>
      <c r="K247">
        <v>0</v>
      </c>
      <c r="L247">
        <v>4.108007920096135E-4</v>
      </c>
      <c r="M247">
        <v>0</v>
      </c>
      <c r="N247">
        <v>0</v>
      </c>
      <c r="O247">
        <v>-1.446208651665359E-2</v>
      </c>
      <c r="P247">
        <v>0</v>
      </c>
      <c r="Q247">
        <v>6.068557764158955E-2</v>
      </c>
      <c r="R247">
        <v>1.2206317456397959</v>
      </c>
      <c r="S247">
        <v>0.10159715179700619</v>
      </c>
      <c r="T247">
        <v>-0.27765603942942629</v>
      </c>
      <c r="U247">
        <v>1.088006035401579</v>
      </c>
      <c r="V247">
        <v>4.108882180360018</v>
      </c>
      <c r="W247">
        <v>1.1332523460682351</v>
      </c>
      <c r="X247">
        <v>3.3618911701862761</v>
      </c>
      <c r="Y247">
        <v>1.2491247112232391</v>
      </c>
      <c r="Z247">
        <v>6.2199680984053689</v>
      </c>
    </row>
    <row r="248" spans="1:26" x14ac:dyDescent="0.25">
      <c r="A248" s="1">
        <v>44985</v>
      </c>
      <c r="B248">
        <v>-2.458039785043065E-2</v>
      </c>
      <c r="C248">
        <v>3.3923558882302252E-2</v>
      </c>
      <c r="D248">
        <v>-5.6531612216031979E-3</v>
      </c>
      <c r="E248">
        <v>4.0872679721615226E-3</v>
      </c>
      <c r="F248">
        <v>2.1522983318670749E-2</v>
      </c>
      <c r="G248">
        <v>-1.707013144743064E-2</v>
      </c>
      <c r="H248">
        <v>-1</v>
      </c>
      <c r="I248">
        <v>1</v>
      </c>
      <c r="J248">
        <v>0</v>
      </c>
      <c r="K248">
        <v>5.6531612216031979E-3</v>
      </c>
      <c r="L248">
        <v>0</v>
      </c>
      <c r="M248">
        <v>4.0872679721615226E-3</v>
      </c>
      <c r="N248">
        <v>2.1522983318670749E-2</v>
      </c>
      <c r="O248">
        <v>0</v>
      </c>
      <c r="P248">
        <v>1.707013144743064E-2</v>
      </c>
      <c r="Q248">
        <v>0</v>
      </c>
      <c r="R248">
        <v>1.2206317456397959</v>
      </c>
      <c r="S248">
        <v>0.1078246580973736</v>
      </c>
      <c r="T248">
        <v>-0.27765603942942629</v>
      </c>
      <c r="U248">
        <v>1.0965402755957561</v>
      </c>
      <c r="V248">
        <v>4.2188405663049613</v>
      </c>
      <c r="W248">
        <v>1.1332523460682351</v>
      </c>
      <c r="X248">
        <v>3.436349225820742</v>
      </c>
      <c r="Y248">
        <v>1.2491247112232391</v>
      </c>
      <c r="Z248">
        <v>6.2683016423652349</v>
      </c>
    </row>
    <row r="249" spans="1:26" x14ac:dyDescent="0.25">
      <c r="A249" s="1">
        <v>45016</v>
      </c>
      <c r="B249">
        <v>3.7874144878225713E-2</v>
      </c>
      <c r="C249">
        <v>-2.43122810906794E-2</v>
      </c>
      <c r="D249">
        <v>2.6329002380827578E-2</v>
      </c>
      <c r="E249">
        <v>1.3466143788745329E-2</v>
      </c>
      <c r="F249">
        <v>5.3431325646574601E-3</v>
      </c>
      <c r="G249">
        <v>2.994378204391301E-3</v>
      </c>
      <c r="H249">
        <v>1</v>
      </c>
      <c r="I249">
        <v>-1</v>
      </c>
      <c r="J249">
        <v>2.6329002380827578E-2</v>
      </c>
      <c r="K249">
        <v>0</v>
      </c>
      <c r="L249">
        <v>-1.3466143788745329E-2</v>
      </c>
      <c r="M249">
        <v>0</v>
      </c>
      <c r="N249">
        <v>0</v>
      </c>
      <c r="O249">
        <v>-5.3431325646574601E-3</v>
      </c>
      <c r="P249">
        <v>0</v>
      </c>
      <c r="Q249">
        <v>2.994378204391301E-3</v>
      </c>
      <c r="R249">
        <v>1.2790987641576881</v>
      </c>
      <c r="S249">
        <v>0.1078246580973736</v>
      </c>
      <c r="T249">
        <v>-0.28738322706740138</v>
      </c>
      <c r="U249">
        <v>1.0965402755957561</v>
      </c>
      <c r="V249">
        <v>4.2188405663049613</v>
      </c>
      <c r="W249">
        <v>1.121854095989326</v>
      </c>
      <c r="X249">
        <v>3.436349225820742</v>
      </c>
      <c r="Y249">
        <v>1.2558594412374831</v>
      </c>
      <c r="Z249">
        <v>6.2788157465970507</v>
      </c>
    </row>
    <row r="250" spans="1:26" x14ac:dyDescent="0.25">
      <c r="A250" s="1">
        <v>45046</v>
      </c>
      <c r="B250">
        <v>1.6372100234773201E-2</v>
      </c>
      <c r="C250">
        <v>1.4107605028674921E-2</v>
      </c>
      <c r="D250">
        <v>8.3336551734677355E-3</v>
      </c>
      <c r="E250">
        <v>1.025448541667473E-2</v>
      </c>
      <c r="F250">
        <v>5.7134553226045881E-4</v>
      </c>
      <c r="G250">
        <v>6.5913795879379844E-3</v>
      </c>
      <c r="H250">
        <v>-1</v>
      </c>
      <c r="I250">
        <v>1</v>
      </c>
      <c r="J250">
        <v>0</v>
      </c>
      <c r="K250">
        <v>-8.3336551734677355E-3</v>
      </c>
      <c r="L250">
        <v>0</v>
      </c>
      <c r="M250">
        <v>1.025448541667473E-2</v>
      </c>
      <c r="N250">
        <v>5.7134553226045881E-4</v>
      </c>
      <c r="O250">
        <v>0</v>
      </c>
      <c r="P250">
        <v>-6.5913795879379844E-3</v>
      </c>
      <c r="Q250">
        <v>0</v>
      </c>
      <c r="R250">
        <v>1.2790987641576881</v>
      </c>
      <c r="S250">
        <v>9.8592429404125381E-2</v>
      </c>
      <c r="T250">
        <v>-0.28738322706740138</v>
      </c>
      <c r="U250">
        <v>1.1180392172773239</v>
      </c>
      <c r="V250">
        <v>4.2218223275460991</v>
      </c>
      <c r="W250">
        <v>1.121854095989326</v>
      </c>
      <c r="X250">
        <v>3.4071075640887041</v>
      </c>
      <c r="Y250">
        <v>1.2558594412374831</v>
      </c>
      <c r="Z250">
        <v>6.2747165427845797</v>
      </c>
    </row>
    <row r="251" spans="1:26" x14ac:dyDescent="0.25">
      <c r="A251" s="1">
        <v>45077</v>
      </c>
      <c r="B251">
        <v>5.2853901796534597E-3</v>
      </c>
      <c r="C251">
        <v>5.4881201483859672E-2</v>
      </c>
      <c r="D251">
        <v>-1.615121884994908E-3</v>
      </c>
      <c r="E251">
        <v>1.8667320105371091E-2</v>
      </c>
      <c r="F251">
        <v>-7.683233810736767E-3</v>
      </c>
      <c r="G251">
        <v>-1.153723989959754E-2</v>
      </c>
      <c r="H251">
        <v>-1</v>
      </c>
      <c r="I251">
        <v>1</v>
      </c>
      <c r="J251">
        <v>0</v>
      </c>
      <c r="K251">
        <v>1.615121884994908E-3</v>
      </c>
      <c r="L251">
        <v>0</v>
      </c>
      <c r="M251">
        <v>1.8667320105371091E-2</v>
      </c>
      <c r="N251">
        <v>-7.683233810736767E-3</v>
      </c>
      <c r="O251">
        <v>0</v>
      </c>
      <c r="P251">
        <v>1.153723989959754E-2</v>
      </c>
      <c r="Q251">
        <v>0</v>
      </c>
      <c r="R251">
        <v>1.2790987641576881</v>
      </c>
      <c r="S251">
        <v>0.1003667900795457</v>
      </c>
      <c r="T251">
        <v>-0.28738322706740138</v>
      </c>
      <c r="U251">
        <v>1.157577333341969</v>
      </c>
      <c r="V251">
        <v>4.1817018456854367</v>
      </c>
      <c r="W251">
        <v>1.121854095989326</v>
      </c>
      <c r="X251">
        <v>3.4579534213189258</v>
      </c>
      <c r="Y251">
        <v>1.2558594412374831</v>
      </c>
      <c r="Z251">
        <v>6.2988529908638062</v>
      </c>
    </row>
    <row r="252" spans="1:26" x14ac:dyDescent="0.25">
      <c r="A252" s="1">
        <v>45107</v>
      </c>
      <c r="B252">
        <v>6.3317298563026925E-2</v>
      </c>
      <c r="C252">
        <v>5.1217226572563328E-2</v>
      </c>
      <c r="D252">
        <v>1.55638823672748E-2</v>
      </c>
      <c r="E252">
        <v>6.4348561220392009E-3</v>
      </c>
      <c r="F252">
        <v>2.0765555428765459E-2</v>
      </c>
      <c r="G252">
        <v>-1.7847501870213001E-2</v>
      </c>
      <c r="H252">
        <v>-1</v>
      </c>
      <c r="I252">
        <v>1</v>
      </c>
      <c r="J252">
        <v>0</v>
      </c>
      <c r="K252">
        <v>-1.55638823672748E-2</v>
      </c>
      <c r="L252">
        <v>0</v>
      </c>
      <c r="M252">
        <v>6.4348561220392009E-3</v>
      </c>
      <c r="N252">
        <v>2.0765555428765459E-2</v>
      </c>
      <c r="O252">
        <v>0</v>
      </c>
      <c r="P252">
        <v>1.7847501870213001E-2</v>
      </c>
      <c r="Q252">
        <v>0</v>
      </c>
      <c r="R252">
        <v>1.2790987641576881</v>
      </c>
      <c r="S252">
        <v>8.3240810797891918E-2</v>
      </c>
      <c r="T252">
        <v>-0.28738322706740138</v>
      </c>
      <c r="U252">
        <v>1.1714610330541979</v>
      </c>
      <c r="V252">
        <v>4.2893027625773543</v>
      </c>
      <c r="W252">
        <v>1.121854095989326</v>
      </c>
      <c r="X252">
        <v>3.537516753343239</v>
      </c>
      <c r="Y252">
        <v>1.2558594412374831</v>
      </c>
      <c r="Z252">
        <v>6.328337021917549</v>
      </c>
    </row>
    <row r="253" spans="1:26" x14ac:dyDescent="0.25">
      <c r="A253" s="1">
        <v>45138</v>
      </c>
      <c r="B253">
        <v>3.2475145130838268E-2</v>
      </c>
      <c r="C253">
        <v>3.6807074454114692E-2</v>
      </c>
      <c r="D253">
        <v>7.9481421312173062E-3</v>
      </c>
      <c r="E253">
        <v>-1.2798472893699399E-2</v>
      </c>
      <c r="F253">
        <v>-8.1609248625801323E-3</v>
      </c>
      <c r="G253">
        <v>-3.4021284009658537E-2</v>
      </c>
      <c r="H253">
        <v>-1</v>
      </c>
      <c r="I253">
        <v>1</v>
      </c>
      <c r="J253">
        <v>0</v>
      </c>
      <c r="K253">
        <v>-7.9481421312173062E-3</v>
      </c>
      <c r="L253">
        <v>0</v>
      </c>
      <c r="M253">
        <v>-1.2798472893699399E-2</v>
      </c>
      <c r="N253">
        <v>-8.1609248625801323E-3</v>
      </c>
      <c r="O253">
        <v>0</v>
      </c>
      <c r="P253">
        <v>3.4021284009658537E-2</v>
      </c>
      <c r="Q253">
        <v>0</v>
      </c>
      <c r="R253">
        <v>1.2790987641576881</v>
      </c>
      <c r="S253">
        <v>7.4631058871335254E-2</v>
      </c>
      <c r="T253">
        <v>-0.28738322706740138</v>
      </c>
      <c r="U253">
        <v>1.1436696478829289</v>
      </c>
      <c r="V253">
        <v>4.2461371601565228</v>
      </c>
      <c r="W253">
        <v>1.121854095989326</v>
      </c>
      <c r="X253">
        <v>3.6918888995073131</v>
      </c>
      <c r="Y253">
        <v>1.2558594412374831</v>
      </c>
      <c r="Z253">
        <v>6.3334507660397108</v>
      </c>
    </row>
    <row r="254" spans="1:26" x14ac:dyDescent="0.25">
      <c r="A254" s="1">
        <v>45169</v>
      </c>
      <c r="B254">
        <v>-1.571836610974808E-2</v>
      </c>
      <c r="C254">
        <v>3.3658852739016032E-2</v>
      </c>
      <c r="D254">
        <v>2.5071369521114991E-2</v>
      </c>
      <c r="E254">
        <v>4.3991001855040013E-2</v>
      </c>
      <c r="F254">
        <v>-1.5432595267901311E-2</v>
      </c>
      <c r="G254">
        <v>-4.2286631196988063E-2</v>
      </c>
      <c r="H254">
        <v>-1</v>
      </c>
      <c r="I254">
        <v>1</v>
      </c>
      <c r="J254">
        <v>0</v>
      </c>
      <c r="K254">
        <v>-2.5071369521114991E-2</v>
      </c>
      <c r="L254">
        <v>0</v>
      </c>
      <c r="M254">
        <v>4.3991001855040013E-2</v>
      </c>
      <c r="N254">
        <v>-1.5432595267901311E-2</v>
      </c>
      <c r="O254">
        <v>0</v>
      </c>
      <c r="P254">
        <v>4.2286631196988063E-2</v>
      </c>
      <c r="Q254">
        <v>0</v>
      </c>
      <c r="R254">
        <v>1.2790987641576881</v>
      </c>
      <c r="S254">
        <v>4.7688586495504781E-2</v>
      </c>
      <c r="T254">
        <v>-0.28738322706740138</v>
      </c>
      <c r="U254">
        <v>1.23797182333954</v>
      </c>
      <c r="V254">
        <v>4.1651756486439302</v>
      </c>
      <c r="W254">
        <v>1.121854095989326</v>
      </c>
      <c r="X254">
        <v>3.8902930750180209</v>
      </c>
      <c r="Y254">
        <v>1.2558594412374831</v>
      </c>
      <c r="Z254">
        <v>6.3792244343027216</v>
      </c>
    </row>
    <row r="255" spans="1:26" x14ac:dyDescent="0.25">
      <c r="A255" s="1">
        <v>45199</v>
      </c>
      <c r="B255">
        <v>-4.8086200904903009E-2</v>
      </c>
      <c r="C255">
        <v>1.031498807700992E-2</v>
      </c>
      <c r="D255">
        <v>-6.7164128467684936E-3</v>
      </c>
      <c r="E255">
        <v>-3.0094240806448399E-2</v>
      </c>
      <c r="F255">
        <v>-1.0743415672330061E-2</v>
      </c>
      <c r="G255">
        <v>-2.05385439895065E-2</v>
      </c>
      <c r="H255">
        <v>-1</v>
      </c>
      <c r="I255">
        <v>1</v>
      </c>
      <c r="J255">
        <v>0</v>
      </c>
      <c r="K255">
        <v>6.7164128467684936E-3</v>
      </c>
      <c r="L255">
        <v>0</v>
      </c>
      <c r="M255">
        <v>-3.0094240806448399E-2</v>
      </c>
      <c r="N255">
        <v>-1.0743415672330061E-2</v>
      </c>
      <c r="O255">
        <v>0</v>
      </c>
      <c r="P255">
        <v>2.05385439895065E-2</v>
      </c>
      <c r="Q255">
        <v>0</v>
      </c>
      <c r="R255">
        <v>1.2790987641576881</v>
      </c>
      <c r="S255">
        <v>5.4725295577255917E-2</v>
      </c>
      <c r="T255">
        <v>-0.28738322706740138</v>
      </c>
      <c r="U255">
        <v>1.1706217603699141</v>
      </c>
      <c r="V255">
        <v>4.1096840196299516</v>
      </c>
      <c r="W255">
        <v>1.121854095989326</v>
      </c>
      <c r="X255">
        <v>3.9907325744608579</v>
      </c>
      <c r="Y255">
        <v>1.2558594412374831</v>
      </c>
      <c r="Z255">
        <v>6.365641734660219</v>
      </c>
    </row>
    <row r="256" spans="1:26" x14ac:dyDescent="0.25">
      <c r="A256" s="1">
        <v>45230</v>
      </c>
      <c r="B256">
        <v>-2.1121228625846981E-2</v>
      </c>
      <c r="C256">
        <v>4.3912183439720809E-2</v>
      </c>
      <c r="D256">
        <v>-6.8173591326821104E-3</v>
      </c>
      <c r="E256">
        <v>4.6333099020748891E-3</v>
      </c>
      <c r="F256">
        <v>4.9941954224604901E-3</v>
      </c>
      <c r="G256">
        <v>-4.1246143274516138E-2</v>
      </c>
      <c r="H256">
        <v>-1</v>
      </c>
      <c r="I256">
        <v>1</v>
      </c>
      <c r="J256">
        <v>0</v>
      </c>
      <c r="K256">
        <v>6.8173591326821104E-3</v>
      </c>
      <c r="L256">
        <v>0</v>
      </c>
      <c r="M256">
        <v>4.6333099020748891E-3</v>
      </c>
      <c r="N256">
        <v>4.9941954224604901E-3</v>
      </c>
      <c r="O256">
        <v>0</v>
      </c>
      <c r="P256">
        <v>4.1246143274516138E-2</v>
      </c>
      <c r="Q256">
        <v>0</v>
      </c>
      <c r="R256">
        <v>1.2790987641576881</v>
      </c>
      <c r="S256">
        <v>6.1915736703530337E-2</v>
      </c>
      <c r="T256">
        <v>-0.28738322706740138</v>
      </c>
      <c r="U256">
        <v>1.180678923665895</v>
      </c>
      <c r="V256">
        <v>4.1352027801710074</v>
      </c>
      <c r="W256">
        <v>1.121854095989326</v>
      </c>
      <c r="X256">
        <v>4.1965810452718646</v>
      </c>
      <c r="Y256">
        <v>1.2558594412374831</v>
      </c>
      <c r="Z256">
        <v>6.4233327423919526</v>
      </c>
    </row>
    <row r="257" spans="1:26" x14ac:dyDescent="0.25">
      <c r="A257" s="1">
        <v>45260</v>
      </c>
      <c r="B257">
        <v>8.8086653188007458E-2</v>
      </c>
      <c r="C257">
        <v>-3.8927575444580591E-3</v>
      </c>
      <c r="D257">
        <v>6.8993651862111482E-3</v>
      </c>
      <c r="E257">
        <v>1.1453905848662351E-2</v>
      </c>
      <c r="F257">
        <v>4.4099030604403573E-2</v>
      </c>
      <c r="G257">
        <v>5.6307117866888912E-2</v>
      </c>
      <c r="H257">
        <v>1</v>
      </c>
      <c r="I257">
        <v>-1</v>
      </c>
      <c r="J257">
        <v>6.8993651862111482E-3</v>
      </c>
      <c r="K257">
        <v>0</v>
      </c>
      <c r="L257">
        <v>-1.1453905848662351E-2</v>
      </c>
      <c r="M257">
        <v>0</v>
      </c>
      <c r="N257">
        <v>0</v>
      </c>
      <c r="O257">
        <v>-4.4099030604403573E-2</v>
      </c>
      <c r="P257">
        <v>0</v>
      </c>
      <c r="Q257">
        <v>5.6307117866888912E-2</v>
      </c>
      <c r="R257">
        <v>1.2948230988270539</v>
      </c>
      <c r="S257">
        <v>6.1915736703530337E-2</v>
      </c>
      <c r="T257">
        <v>-0.29554547249074897</v>
      </c>
      <c r="U257">
        <v>1.180678923665895</v>
      </c>
      <c r="V257">
        <v>4.1352027801710074</v>
      </c>
      <c r="W257">
        <v>1.0282823872722131</v>
      </c>
      <c r="X257">
        <v>4.1965810452718646</v>
      </c>
      <c r="Y257">
        <v>1.3828803846863771</v>
      </c>
      <c r="Z257">
        <v>6.4309862889919867</v>
      </c>
    </row>
    <row r="258" spans="1:26" x14ac:dyDescent="0.25">
      <c r="A258" s="1">
        <v>45291</v>
      </c>
      <c r="B258">
        <v>4.5032545089293108E-2</v>
      </c>
      <c r="C258">
        <v>-4.5535680356017738E-2</v>
      </c>
      <c r="D258">
        <v>5.5230390785299122E-3</v>
      </c>
      <c r="E258">
        <v>-2.6863313969416319E-4</v>
      </c>
      <c r="F258">
        <v>4.070025223268936E-3</v>
      </c>
      <c r="G258">
        <v>4.3921720688097958E-2</v>
      </c>
      <c r="H258">
        <v>1</v>
      </c>
      <c r="I258">
        <v>-1</v>
      </c>
      <c r="J258">
        <v>5.5230390785299122E-3</v>
      </c>
      <c r="K258">
        <v>0</v>
      </c>
      <c r="L258">
        <v>2.6863313969416319E-4</v>
      </c>
      <c r="M258">
        <v>0</v>
      </c>
      <c r="N258">
        <v>0</v>
      </c>
      <c r="O258">
        <v>-4.070025223268936E-3</v>
      </c>
      <c r="P258">
        <v>0</v>
      </c>
      <c r="Q258">
        <v>4.3921720688097958E-2</v>
      </c>
      <c r="R258">
        <v>1.3074974964801891</v>
      </c>
      <c r="S258">
        <v>6.1915736703530337E-2</v>
      </c>
      <c r="T258">
        <v>-0.29535623265925248</v>
      </c>
      <c r="U258">
        <v>1.180678923665895</v>
      </c>
      <c r="V258">
        <v>4.1352027801710074</v>
      </c>
      <c r="W258">
        <v>1.020027226796103</v>
      </c>
      <c r="X258">
        <v>4.1965810452718646</v>
      </c>
      <c r="Y258">
        <v>1.4875405913757189</v>
      </c>
      <c r="Z258">
        <v>6.4766296566750396</v>
      </c>
    </row>
    <row r="259" spans="1:26" x14ac:dyDescent="0.25">
      <c r="A259" s="1">
        <v>45322</v>
      </c>
      <c r="B259">
        <v>1.6302051345134631E-2</v>
      </c>
      <c r="C259">
        <v>7.1347213611507199E-2</v>
      </c>
      <c r="D259">
        <v>-3.9098819824745501E-3</v>
      </c>
      <c r="E259">
        <v>2.9164093503195491E-2</v>
      </c>
      <c r="F259">
        <v>-1.338480390224994E-3</v>
      </c>
      <c r="G259">
        <v>-1.6488420374004661E-2</v>
      </c>
      <c r="H259">
        <v>-1</v>
      </c>
      <c r="I259">
        <v>1</v>
      </c>
      <c r="J259">
        <v>0</v>
      </c>
      <c r="K259">
        <v>3.9098819824745501E-3</v>
      </c>
      <c r="L259">
        <v>0</v>
      </c>
      <c r="M259">
        <v>2.9164093503195491E-2</v>
      </c>
      <c r="N259">
        <v>-1.338480390224994E-3</v>
      </c>
      <c r="O259">
        <v>0</v>
      </c>
      <c r="P259">
        <v>1.6488420374004661E-2</v>
      </c>
      <c r="Q259">
        <v>0</v>
      </c>
      <c r="R259">
        <v>1.3074974964801891</v>
      </c>
      <c r="S259">
        <v>6.6067701909373611E-2</v>
      </c>
      <c r="T259">
        <v>-0.29535623265925248</v>
      </c>
      <c r="U259">
        <v>1.244276447696135</v>
      </c>
      <c r="V259">
        <v>4.1283294119499194</v>
      </c>
      <c r="W259">
        <v>1.020027226796103</v>
      </c>
      <c r="X259">
        <v>4.2822644580538913</v>
      </c>
      <c r="Y259">
        <v>1.4875405913757189</v>
      </c>
      <c r="Z259">
        <v>6.5248535721444894</v>
      </c>
    </row>
    <row r="260" spans="1:26" x14ac:dyDescent="0.25">
      <c r="A260" s="1">
        <v>45351</v>
      </c>
      <c r="B260">
        <v>5.1488685958427927E-2</v>
      </c>
      <c r="C260">
        <v>8.87523830448953E-2</v>
      </c>
      <c r="D260">
        <v>1.1580405556553821E-3</v>
      </c>
      <c r="E260">
        <v>1.6757653500592769E-2</v>
      </c>
      <c r="F260">
        <v>3.1218100307130129E-2</v>
      </c>
      <c r="G260">
        <v>-1.773197542108396E-2</v>
      </c>
      <c r="H260">
        <v>-1</v>
      </c>
      <c r="I260">
        <v>1</v>
      </c>
      <c r="J260">
        <v>0</v>
      </c>
      <c r="K260">
        <v>-1.1580405556553821E-3</v>
      </c>
      <c r="L260">
        <v>0</v>
      </c>
      <c r="M260">
        <v>1.6757653500592769E-2</v>
      </c>
      <c r="N260">
        <v>3.1218100307130129E-2</v>
      </c>
      <c r="O260">
        <v>0</v>
      </c>
      <c r="P260">
        <v>1.773197542108396E-2</v>
      </c>
      <c r="Q260">
        <v>0</v>
      </c>
      <c r="R260">
        <v>1.3074974964801891</v>
      </c>
      <c r="S260">
        <v>6.4833152275488359E-2</v>
      </c>
      <c r="T260">
        <v>-0.29535623265925248</v>
      </c>
      <c r="U260">
        <v>1.281885254766167</v>
      </c>
      <c r="V260">
        <v>4.2884261139401776</v>
      </c>
      <c r="W260">
        <v>1.020027226796103</v>
      </c>
      <c r="X260">
        <v>4.3759294415917687</v>
      </c>
      <c r="Y260">
        <v>1.4875405913757189</v>
      </c>
      <c r="Z260">
        <v>6.5894032608176412</v>
      </c>
    </row>
    <row r="261" spans="1:26" x14ac:dyDescent="0.25">
      <c r="A261" s="1">
        <v>45382</v>
      </c>
      <c r="B261">
        <v>3.2561157180436402E-2</v>
      </c>
      <c r="C261">
        <v>3.9033463812237601E-2</v>
      </c>
      <c r="D261">
        <v>1.707147072790405E-3</v>
      </c>
      <c r="E261">
        <v>1.6412869926522911E-2</v>
      </c>
      <c r="F261">
        <v>1.33154115377887E-2</v>
      </c>
      <c r="G261">
        <v>2.138089887232808E-2</v>
      </c>
      <c r="H261">
        <v>-1</v>
      </c>
      <c r="I261">
        <v>1</v>
      </c>
      <c r="J261">
        <v>0</v>
      </c>
      <c r="K261">
        <v>-1.707147072790405E-3</v>
      </c>
      <c r="L261">
        <v>0</v>
      </c>
      <c r="M261">
        <v>1.6412869926522911E-2</v>
      </c>
      <c r="N261">
        <v>1.33154115377887E-2</v>
      </c>
      <c r="O261">
        <v>0</v>
      </c>
      <c r="P261">
        <v>-2.138089887232808E-2</v>
      </c>
      <c r="Q261">
        <v>0</v>
      </c>
      <c r="R261">
        <v>1.3074974964801891</v>
      </c>
      <c r="S261">
        <v>6.3015325476571071E-2</v>
      </c>
      <c r="T261">
        <v>-0.29535623265925248</v>
      </c>
      <c r="U261">
        <v>1.3193375406398951</v>
      </c>
      <c r="V261">
        <v>4.3588436840344791</v>
      </c>
      <c r="W261">
        <v>1.020027226796103</v>
      </c>
      <c r="X261">
        <v>4.2609872378563232</v>
      </c>
      <c r="Y261">
        <v>1.4875405913757189</v>
      </c>
      <c r="Z261">
        <v>6.5960434963368346</v>
      </c>
    </row>
    <row r="262" spans="1:26" x14ac:dyDescent="0.25">
      <c r="A262" s="1">
        <v>45412</v>
      </c>
      <c r="B262">
        <v>-4.0391543623305333E-2</v>
      </c>
      <c r="C262">
        <v>1.03067571388471E-3</v>
      </c>
      <c r="D262">
        <v>1.397631961722645E-2</v>
      </c>
      <c r="E262">
        <v>-1.0349968267135631E-2</v>
      </c>
      <c r="F262">
        <v>-8.7583704293290321E-3</v>
      </c>
      <c r="G262">
        <v>-3.111525879994426E-2</v>
      </c>
      <c r="H262">
        <v>-1</v>
      </c>
      <c r="I262">
        <v>1</v>
      </c>
      <c r="J262">
        <v>0</v>
      </c>
      <c r="K262">
        <v>-1.397631961722645E-2</v>
      </c>
      <c r="L262">
        <v>0</v>
      </c>
      <c r="M262">
        <v>-1.0349968267135631E-2</v>
      </c>
      <c r="N262">
        <v>-8.7583704293290321E-3</v>
      </c>
      <c r="O262">
        <v>0</v>
      </c>
      <c r="P262">
        <v>3.111525879994426E-2</v>
      </c>
      <c r="Q262">
        <v>0</v>
      </c>
      <c r="R262">
        <v>1.3074974964801891</v>
      </c>
      <c r="S262">
        <v>4.815828352970053E-2</v>
      </c>
      <c r="T262">
        <v>-0.29535623265925248</v>
      </c>
      <c r="U262">
        <v>1.2953324706934961</v>
      </c>
      <c r="V262">
        <v>4.3119089459768336</v>
      </c>
      <c r="W262">
        <v>1.020027226796103</v>
      </c>
      <c r="X262">
        <v>4.424684217305427</v>
      </c>
      <c r="Y262">
        <v>1.4875405913757189</v>
      </c>
      <c r="Z262">
        <v>6.5940740968230873</v>
      </c>
    </row>
    <row r="263" spans="1:26" x14ac:dyDescent="0.25">
      <c r="A263" s="1">
        <v>45443</v>
      </c>
      <c r="B263">
        <v>4.9772287603377929E-2</v>
      </c>
      <c r="C263">
        <v>1.5871341910803971E-2</v>
      </c>
      <c r="D263">
        <v>-7.3964813900097024E-3</v>
      </c>
      <c r="E263">
        <v>-1.225218699057218E-2</v>
      </c>
      <c r="F263">
        <v>2.9931878636019201E-2</v>
      </c>
      <c r="G263">
        <v>3.1775161074674152E-2</v>
      </c>
      <c r="H263">
        <v>-1</v>
      </c>
      <c r="I263">
        <v>1</v>
      </c>
      <c r="J263">
        <v>0</v>
      </c>
      <c r="K263">
        <v>7.3964813900097024E-3</v>
      </c>
      <c r="L263">
        <v>0</v>
      </c>
      <c r="M263">
        <v>-1.225218699057218E-2</v>
      </c>
      <c r="N263">
        <v>2.9931878636019201E-2</v>
      </c>
      <c r="O263">
        <v>0</v>
      </c>
      <c r="P263">
        <v>-3.1775161074674152E-2</v>
      </c>
      <c r="Q263">
        <v>0</v>
      </c>
      <c r="R263">
        <v>1.3074974964801891</v>
      </c>
      <c r="S263">
        <v>5.5910966767612542E-2</v>
      </c>
      <c r="T263">
        <v>-0.29535623265925248</v>
      </c>
      <c r="U263">
        <v>1.2672096280570271</v>
      </c>
      <c r="V263">
        <v>4.4709043598733977</v>
      </c>
      <c r="W263">
        <v>1.020027226796103</v>
      </c>
      <c r="X263">
        <v>4.2523140025213051</v>
      </c>
      <c r="Y263">
        <v>1.4875405913757189</v>
      </c>
      <c r="Z263">
        <v>6.5873751087838697</v>
      </c>
    </row>
    <row r="264" spans="1:26" x14ac:dyDescent="0.25">
      <c r="A264" s="1">
        <v>45473</v>
      </c>
      <c r="B264">
        <v>3.4849085477307813E-2</v>
      </c>
      <c r="C264">
        <v>-1.417329128565081E-2</v>
      </c>
      <c r="D264">
        <v>2.7402782467881299E-3</v>
      </c>
      <c r="E264">
        <v>-2.722314433865014E-2</v>
      </c>
      <c r="F264">
        <v>1.2583856427827439E-2</v>
      </c>
      <c r="G264">
        <v>1.53484025320042E-2</v>
      </c>
      <c r="H264">
        <v>1</v>
      </c>
      <c r="I264">
        <v>-1</v>
      </c>
      <c r="J264">
        <v>2.7402782467881299E-3</v>
      </c>
      <c r="K264">
        <v>0</v>
      </c>
      <c r="L264">
        <v>2.722314433865014E-2</v>
      </c>
      <c r="M264">
        <v>0</v>
      </c>
      <c r="N264">
        <v>0</v>
      </c>
      <c r="O264">
        <v>-1.2583856427827439E-2</v>
      </c>
      <c r="P264">
        <v>0</v>
      </c>
      <c r="Q264">
        <v>1.53484025320042E-2</v>
      </c>
      <c r="R264">
        <v>1.3138206816743121</v>
      </c>
      <c r="S264">
        <v>5.5910966767612542E-2</v>
      </c>
      <c r="T264">
        <v>-0.27617361367360499</v>
      </c>
      <c r="U264">
        <v>1.2672096280570271</v>
      </c>
      <c r="V264">
        <v>4.4709043598733977</v>
      </c>
      <c r="W264">
        <v>0.99460749419379879</v>
      </c>
      <c r="X264">
        <v>4.2523140025213051</v>
      </c>
      <c r="Y264">
        <v>1.525720365686853</v>
      </c>
      <c r="Z264">
        <v>6.6201030774734848</v>
      </c>
    </row>
    <row r="265" spans="1:26" x14ac:dyDescent="0.25">
      <c r="A265" s="1">
        <v>45504</v>
      </c>
      <c r="B265">
        <v>1.290112996253878E-2</v>
      </c>
      <c r="C265">
        <v>6.1670675443979972E-3</v>
      </c>
      <c r="D265">
        <v>-6.4659100909641998E-3</v>
      </c>
      <c r="E265">
        <v>2.3243077816766489E-2</v>
      </c>
      <c r="F265">
        <v>2.0170837668428421E-2</v>
      </c>
      <c r="G265">
        <v>1.4099578465205711E-2</v>
      </c>
      <c r="H265">
        <v>-1</v>
      </c>
      <c r="I265">
        <v>1</v>
      </c>
      <c r="J265">
        <v>0</v>
      </c>
      <c r="K265">
        <v>6.4659100909641998E-3</v>
      </c>
      <c r="L265">
        <v>0</v>
      </c>
      <c r="M265">
        <v>2.3243077816766489E-2</v>
      </c>
      <c r="N265">
        <v>2.0170837668428421E-2</v>
      </c>
      <c r="O265">
        <v>0</v>
      </c>
      <c r="P265">
        <v>-1.4099578465205711E-2</v>
      </c>
      <c r="Q265">
        <v>0</v>
      </c>
      <c r="R265">
        <v>1.3138206816743121</v>
      </c>
      <c r="S265">
        <v>6.2738392142794863E-2</v>
      </c>
      <c r="T265">
        <v>-0.27617361367360499</v>
      </c>
      <c r="U265">
        <v>1.3199065578688789</v>
      </c>
      <c r="V265">
        <v>4.5812570836159017</v>
      </c>
      <c r="W265">
        <v>0.99460749419379879</v>
      </c>
      <c r="X265">
        <v>4.1782585891188582</v>
      </c>
      <c r="Y265">
        <v>1.525720365686853</v>
      </c>
      <c r="Z265">
        <v>6.6558833245844387</v>
      </c>
    </row>
    <row r="266" spans="1:26" x14ac:dyDescent="0.25">
      <c r="A266" s="1">
        <v>45535</v>
      </c>
      <c r="B266">
        <v>2.4635789167188778E-2</v>
      </c>
      <c r="C266">
        <v>-2.5806724954102741E-2</v>
      </c>
      <c r="D266">
        <v>5.596358321752759E-3</v>
      </c>
      <c r="E266">
        <v>-2.2810433083066739E-2</v>
      </c>
      <c r="F266">
        <v>-5.9367355518059939E-2</v>
      </c>
      <c r="G266">
        <v>1.5668761677651081E-2</v>
      </c>
      <c r="H266">
        <v>1</v>
      </c>
      <c r="I266">
        <v>-1</v>
      </c>
      <c r="J266">
        <v>5.596358321752759E-3</v>
      </c>
      <c r="K266">
        <v>0</v>
      </c>
      <c r="L266">
        <v>2.2810433083066739E-2</v>
      </c>
      <c r="M266">
        <v>0</v>
      </c>
      <c r="N266">
        <v>0</v>
      </c>
      <c r="O266">
        <v>5.9367355518059939E-2</v>
      </c>
      <c r="P266">
        <v>0</v>
      </c>
      <c r="Q266">
        <v>1.5668761677651081E-2</v>
      </c>
      <c r="R266">
        <v>1.3267696513012439</v>
      </c>
      <c r="S266">
        <v>6.2738392142794863E-2</v>
      </c>
      <c r="T266">
        <v>-0.25966282032454879</v>
      </c>
      <c r="U266">
        <v>1.3199065578688789</v>
      </c>
      <c r="V266">
        <v>4.5812570836159017</v>
      </c>
      <c r="W266">
        <v>1.113022066420589</v>
      </c>
      <c r="X266">
        <v>4.1782585891188582</v>
      </c>
      <c r="Y266">
        <v>1.56529527616119</v>
      </c>
      <c r="Z266">
        <v>6.7593262331849688</v>
      </c>
    </row>
    <row r="267" spans="1:26" x14ac:dyDescent="0.25">
      <c r="A267" s="1">
        <v>45565</v>
      </c>
      <c r="B267">
        <v>2.1500485992050681E-2</v>
      </c>
      <c r="C267">
        <v>-1.169251631222179E-2</v>
      </c>
      <c r="D267">
        <v>7.1774012114073082E-3</v>
      </c>
      <c r="E267">
        <v>-5.7311348029653866E-3</v>
      </c>
      <c r="F267">
        <v>-3.069188426390768E-2</v>
      </c>
      <c r="G267">
        <v>3.9119711694843518E-2</v>
      </c>
      <c r="H267">
        <v>1</v>
      </c>
      <c r="I267">
        <v>-1</v>
      </c>
      <c r="J267">
        <v>7.1774012114073082E-3</v>
      </c>
      <c r="K267">
        <v>0</v>
      </c>
      <c r="L267">
        <v>5.7311348029653866E-3</v>
      </c>
      <c r="M267">
        <v>0</v>
      </c>
      <c r="N267">
        <v>0</v>
      </c>
      <c r="O267">
        <v>3.069188426390768E-2</v>
      </c>
      <c r="P267">
        <v>0</v>
      </c>
      <c r="Q267">
        <v>3.9119711694843518E-2</v>
      </c>
      <c r="R267">
        <v>1.343469810615159</v>
      </c>
      <c r="S267">
        <v>6.2738392142794863E-2</v>
      </c>
      <c r="T267">
        <v>-0.25541984814818158</v>
      </c>
      <c r="U267">
        <v>1.3199065578688789</v>
      </c>
      <c r="V267">
        <v>4.5812570836159017</v>
      </c>
      <c r="W267">
        <v>1.177874695130253</v>
      </c>
      <c r="X267">
        <v>4.1782585891188582</v>
      </c>
      <c r="Y267">
        <v>1.6656488877767599</v>
      </c>
      <c r="Z267">
        <v>6.8420463651580929</v>
      </c>
    </row>
    <row r="268" spans="1:26" x14ac:dyDescent="0.25">
      <c r="A268" s="1">
        <v>45596</v>
      </c>
      <c r="B268">
        <v>-8.4199511475034905E-3</v>
      </c>
      <c r="C268">
        <v>7.5216613616825523E-2</v>
      </c>
      <c r="D268">
        <v>-2.5769763389014929E-2</v>
      </c>
      <c r="E268">
        <v>2.433571776447208E-3</v>
      </c>
      <c r="F268">
        <v>-1.031769020751694E-2</v>
      </c>
      <c r="G268">
        <v>-3.0463921240821649E-2</v>
      </c>
      <c r="H268">
        <v>-1</v>
      </c>
      <c r="I268">
        <v>1</v>
      </c>
      <c r="J268">
        <v>0</v>
      </c>
      <c r="K268">
        <v>2.5769763389014929E-2</v>
      </c>
      <c r="L268">
        <v>0</v>
      </c>
      <c r="M268">
        <v>2.433571776447208E-3</v>
      </c>
      <c r="N268">
        <v>-1.031769020751694E-2</v>
      </c>
      <c r="O268">
        <v>0</v>
      </c>
      <c r="P268">
        <v>3.0463921240821649E-2</v>
      </c>
      <c r="Q268">
        <v>0</v>
      </c>
      <c r="R268">
        <v>1.343469810615159</v>
      </c>
      <c r="S268">
        <v>9.0124909052736957E-2</v>
      </c>
      <c r="T268">
        <v>-0.25541984814818158</v>
      </c>
      <c r="U268">
        <v>1.325552216992103</v>
      </c>
      <c r="V268">
        <v>4.5236714020586426</v>
      </c>
      <c r="W268">
        <v>1.177874695130253</v>
      </c>
      <c r="X268">
        <v>4.3360086509423823</v>
      </c>
      <c r="Y268">
        <v>1.6656488877767599</v>
      </c>
      <c r="Z268">
        <v>6.8903959313568599</v>
      </c>
    </row>
    <row r="269" spans="1:26" x14ac:dyDescent="0.25">
      <c r="A269" s="1">
        <v>45626</v>
      </c>
      <c r="B269">
        <v>5.8536324305337062E-2</v>
      </c>
      <c r="C269">
        <v>6.2374930260179817E-2</v>
      </c>
      <c r="D269">
        <v>1.4895143461754251E-2</v>
      </c>
      <c r="E269">
        <v>3.9809203918380047E-2</v>
      </c>
      <c r="F269">
        <v>4.6756035998292811E-2</v>
      </c>
      <c r="G269">
        <v>-8.1257121523676812E-3</v>
      </c>
      <c r="H269">
        <v>-1</v>
      </c>
      <c r="I269">
        <v>1</v>
      </c>
      <c r="J269">
        <v>0</v>
      </c>
      <c r="K269">
        <v>-1.4895143461754251E-2</v>
      </c>
      <c r="L269">
        <v>0</v>
      </c>
      <c r="M269">
        <v>3.9809203918380047E-2</v>
      </c>
      <c r="N269">
        <v>4.6756035998292811E-2</v>
      </c>
      <c r="O269">
        <v>0</v>
      </c>
      <c r="P269">
        <v>8.1257121523676812E-3</v>
      </c>
      <c r="Q269">
        <v>0</v>
      </c>
      <c r="R269">
        <v>1.343469810615159</v>
      </c>
      <c r="S269">
        <v>7.3887342141164547E-2</v>
      </c>
      <c r="T269">
        <v>-0.25541984814818158</v>
      </c>
      <c r="U269">
        <v>1.418130599421183</v>
      </c>
      <c r="V269">
        <v>4.7819363809760382</v>
      </c>
      <c r="W269">
        <v>1.177874695130253</v>
      </c>
      <c r="X269">
        <v>4.3793675212824832</v>
      </c>
      <c r="Y269">
        <v>1.6656488877767599</v>
      </c>
      <c r="Z269">
        <v>6.9701917399641466</v>
      </c>
    </row>
    <row r="270" spans="1:26" x14ac:dyDescent="0.25">
      <c r="A270" s="1">
        <v>45657</v>
      </c>
      <c r="B270">
        <v>-2.3519459040849951E-2</v>
      </c>
      <c r="C270">
        <v>3.9119887168514222E-2</v>
      </c>
      <c r="D270">
        <v>-8.4062371429407534E-3</v>
      </c>
      <c r="E270">
        <v>-1.102747714301355E-2</v>
      </c>
      <c r="F270">
        <v>8.7156735189566348E-3</v>
      </c>
      <c r="G270">
        <v>8.024797962298269E-3</v>
      </c>
      <c r="H270">
        <v>-1</v>
      </c>
      <c r="I270">
        <v>1</v>
      </c>
      <c r="J270">
        <v>0</v>
      </c>
      <c r="K270">
        <v>8.4062371429407534E-3</v>
      </c>
      <c r="L270">
        <v>0</v>
      </c>
      <c r="M270">
        <v>-1.102747714301355E-2</v>
      </c>
      <c r="N270">
        <v>8.7156735189566348E-3</v>
      </c>
      <c r="O270">
        <v>0</v>
      </c>
      <c r="P270">
        <v>-8.024797962298269E-3</v>
      </c>
      <c r="Q270">
        <v>0</v>
      </c>
      <c r="R270">
        <v>1.343469810615159</v>
      </c>
      <c r="S270">
        <v>8.2914693804005513E-2</v>
      </c>
      <c r="T270">
        <v>-0.25541984814818158</v>
      </c>
      <c r="U270">
        <v>1.391464719507244</v>
      </c>
      <c r="V270">
        <v>4.8323298507800034</v>
      </c>
      <c r="W270">
        <v>1.177874695130253</v>
      </c>
      <c r="X270">
        <v>4.3361991837592422</v>
      </c>
      <c r="Y270">
        <v>1.6656488877767599</v>
      </c>
      <c r="Z270">
        <v>6.9682613755207319</v>
      </c>
    </row>
    <row r="271" spans="1:26" x14ac:dyDescent="0.25">
      <c r="A271" s="1">
        <v>45688</v>
      </c>
      <c r="B271">
        <v>2.725271034766941E-2</v>
      </c>
      <c r="C271">
        <v>3.814926374418115E-2</v>
      </c>
      <c r="D271">
        <v>-9.9907577601182629E-3</v>
      </c>
      <c r="E271">
        <v>6.2722888061822468E-3</v>
      </c>
      <c r="F271">
        <v>5.9637515451509424E-3</v>
      </c>
      <c r="G271">
        <v>-1.491411502852491E-2</v>
      </c>
      <c r="H271">
        <v>-1</v>
      </c>
      <c r="I271">
        <v>1</v>
      </c>
      <c r="J271">
        <v>0</v>
      </c>
      <c r="K271">
        <v>9.9907577601182629E-3</v>
      </c>
      <c r="L271">
        <v>0</v>
      </c>
      <c r="M271">
        <v>6.2722888061822468E-3</v>
      </c>
      <c r="N271">
        <v>5.9637515451509424E-3</v>
      </c>
      <c r="O271">
        <v>0</v>
      </c>
      <c r="P271">
        <v>1.491411502852491E-2</v>
      </c>
      <c r="Q271">
        <v>0</v>
      </c>
      <c r="R271">
        <v>1.343469810615159</v>
      </c>
      <c r="S271">
        <v>9.3733832184673904E-2</v>
      </c>
      <c r="T271">
        <v>-0.25541984814818158</v>
      </c>
      <c r="U271">
        <v>1.4064646768977891</v>
      </c>
      <c r="V271">
        <v>4.8671124169394231</v>
      </c>
      <c r="W271">
        <v>1.177874695130253</v>
      </c>
      <c r="X271">
        <v>4.4157838722009473</v>
      </c>
      <c r="Y271">
        <v>1.6656488877767599</v>
      </c>
      <c r="Z271">
        <v>7.0054022886607079</v>
      </c>
    </row>
    <row r="272" spans="1:26" x14ac:dyDescent="0.25">
      <c r="A272" s="1">
        <v>45716</v>
      </c>
      <c r="B272">
        <v>-1.2154921107618399E-2</v>
      </c>
      <c r="C272">
        <v>-3.5266640656696928E-2</v>
      </c>
      <c r="D272">
        <v>-4.8247612886962443E-3</v>
      </c>
      <c r="E272">
        <v>2.8351640272008091E-2</v>
      </c>
      <c r="F272">
        <v>-1.6448356387107621E-3</v>
      </c>
      <c r="G272">
        <v>2.0814642095452252E-2</v>
      </c>
      <c r="H272">
        <v>1</v>
      </c>
      <c r="I272">
        <v>-1</v>
      </c>
      <c r="J272">
        <v>-4.8247612886962443E-3</v>
      </c>
      <c r="K272">
        <v>0</v>
      </c>
      <c r="L272">
        <v>-2.8351640272008091E-2</v>
      </c>
      <c r="M272">
        <v>0</v>
      </c>
      <c r="N272">
        <v>0</v>
      </c>
      <c r="O272">
        <v>1.6448356387107621E-3</v>
      </c>
      <c r="P272">
        <v>0</v>
      </c>
      <c r="Q272">
        <v>2.0814642095452252E-2</v>
      </c>
      <c r="R272">
        <v>1.332163128191675</v>
      </c>
      <c r="S272">
        <v>9.3733832184673904E-2</v>
      </c>
      <c r="T272">
        <v>-0.27652991676716149</v>
      </c>
      <c r="U272">
        <v>1.4064646768977891</v>
      </c>
      <c r="V272">
        <v>4.8671124169394231</v>
      </c>
      <c r="W272">
        <v>1.181456941045449</v>
      </c>
      <c r="X272">
        <v>4.4157838722009473</v>
      </c>
      <c r="Y272">
        <v>1.721133415327974</v>
      </c>
      <c r="Z272">
        <v>6.9946853648341669</v>
      </c>
    </row>
    <row r="273" spans="1:26" x14ac:dyDescent="0.25">
      <c r="A273" s="1">
        <v>45747</v>
      </c>
      <c r="B273">
        <v>-5.5547094536999797E-2</v>
      </c>
      <c r="C273">
        <v>-3.241220793420152E-2</v>
      </c>
      <c r="D273">
        <v>-7.7071332159225348E-3</v>
      </c>
      <c r="E273">
        <v>3.853838981316748E-3</v>
      </c>
      <c r="F273">
        <v>-3.0755288077179529E-2</v>
      </c>
      <c r="G273">
        <v>-2.2147999580250381E-2</v>
      </c>
      <c r="H273">
        <v>1</v>
      </c>
      <c r="I273">
        <v>-1</v>
      </c>
      <c r="J273">
        <v>-7.7071332159225348E-3</v>
      </c>
      <c r="K273">
        <v>0</v>
      </c>
      <c r="L273">
        <v>-3.853838981316748E-3</v>
      </c>
      <c r="M273">
        <v>0</v>
      </c>
      <c r="N273">
        <v>0</v>
      </c>
      <c r="O273">
        <v>3.0755288077179529E-2</v>
      </c>
      <c r="P273">
        <v>0</v>
      </c>
      <c r="Q273">
        <v>-2.2147999580250381E-2</v>
      </c>
      <c r="R273">
        <v>1.314188836281438</v>
      </c>
      <c r="S273">
        <v>9.3733832184673904E-2</v>
      </c>
      <c r="T273">
        <v>-0.27931805397574072</v>
      </c>
      <c r="U273">
        <v>1.4064646768977891</v>
      </c>
      <c r="V273">
        <v>4.8671124169394231</v>
      </c>
      <c r="W273">
        <v>1.248548277695265</v>
      </c>
      <c r="X273">
        <v>4.4157838722009473</v>
      </c>
      <c r="Y273">
        <v>1.6608657535874849</v>
      </c>
      <c r="Z273">
        <v>6.9917316811338566</v>
      </c>
    </row>
    <row r="274" spans="1:26" x14ac:dyDescent="0.25">
      <c r="A274" s="1">
        <v>45777</v>
      </c>
      <c r="B274">
        <v>2.0899292979963402E-3</v>
      </c>
      <c r="C274">
        <v>-2.496191906138145E-3</v>
      </c>
      <c r="D274">
        <v>5.0847313003916213E-2</v>
      </c>
      <c r="E274">
        <v>3.4206740240137153E-2</v>
      </c>
      <c r="F274">
        <v>-0.10045214054978201</v>
      </c>
      <c r="G274">
        <v>-6.6653220595677132E-3</v>
      </c>
      <c r="H274">
        <v>1</v>
      </c>
      <c r="I274">
        <v>-1</v>
      </c>
      <c r="J274">
        <v>5.0847313003916213E-2</v>
      </c>
      <c r="K274">
        <v>0</v>
      </c>
      <c r="L274">
        <v>-3.4206740240137153E-2</v>
      </c>
      <c r="M274">
        <v>0</v>
      </c>
      <c r="N274">
        <v>0</v>
      </c>
      <c r="O274">
        <v>0.10045214054978201</v>
      </c>
      <c r="P274">
        <v>0</v>
      </c>
      <c r="Q274">
        <v>-6.6653220595677132E-3</v>
      </c>
      <c r="R274">
        <v>1.4318591203900091</v>
      </c>
      <c r="S274">
        <v>9.3733832184673904E-2</v>
      </c>
      <c r="T274">
        <v>-0.30397023409914908</v>
      </c>
      <c r="U274">
        <v>1.4064646768977891</v>
      </c>
      <c r="V274">
        <v>4.8671124169394231</v>
      </c>
      <c r="W274">
        <v>1.4744197653192801</v>
      </c>
      <c r="X274">
        <v>4.4157838722009473</v>
      </c>
      <c r="Y274">
        <v>1.6431302263825489</v>
      </c>
      <c r="Z274">
        <v>7.1021590723878498</v>
      </c>
    </row>
    <row r="275" spans="1:26" x14ac:dyDescent="0.25">
      <c r="A275" s="1">
        <v>45808</v>
      </c>
      <c r="B275">
        <v>6.2169052845271078E-2</v>
      </c>
      <c r="C275">
        <v>0.1100775769118956</v>
      </c>
      <c r="D275">
        <v>1.1402910569974001E-2</v>
      </c>
      <c r="E275">
        <v>2.730297605728493E-2</v>
      </c>
      <c r="F275">
        <v>1.204379430636404E-2</v>
      </c>
      <c r="G275">
        <v>-1.392876045196423E-2</v>
      </c>
      <c r="H275">
        <v>-1</v>
      </c>
      <c r="I275">
        <v>1</v>
      </c>
      <c r="J275">
        <v>0</v>
      </c>
      <c r="K275">
        <v>-1.1402910569974001E-2</v>
      </c>
      <c r="L275">
        <v>0</v>
      </c>
      <c r="M275">
        <v>2.730297605728493E-2</v>
      </c>
      <c r="N275">
        <v>1.204379430636404E-2</v>
      </c>
      <c r="O275">
        <v>0</v>
      </c>
      <c r="P275">
        <v>1.392876045196423E-2</v>
      </c>
      <c r="Q275">
        <v>0</v>
      </c>
      <c r="R275">
        <v>1.4318591203900091</v>
      </c>
      <c r="S275">
        <v>8.1262083108917249E-2</v>
      </c>
      <c r="T275">
        <v>-0.30397023409914908</v>
      </c>
      <c r="U275">
        <v>1.472168324353831</v>
      </c>
      <c r="V275">
        <v>4.9377747120613567</v>
      </c>
      <c r="W275">
        <v>1.4744197653192801</v>
      </c>
      <c r="X275">
        <v>4.4912190284164453</v>
      </c>
      <c r="Y275">
        <v>1.6431302263825489</v>
      </c>
      <c r="Z275">
        <v>7.1440316926334892</v>
      </c>
    </row>
    <row r="276" spans="1:26" x14ac:dyDescent="0.25">
      <c r="A276" s="1">
        <v>45838</v>
      </c>
      <c r="B276">
        <v>5.0544778179984262E-2</v>
      </c>
      <c r="C276">
        <v>1.1458722227251529E-2</v>
      </c>
      <c r="D276">
        <v>2.9180958003939491E-2</v>
      </c>
      <c r="E276">
        <v>1.7020835901391251E-2</v>
      </c>
      <c r="F276">
        <v>1.6503335429217669E-2</v>
      </c>
      <c r="G276">
        <v>-6.86437527811945E-3</v>
      </c>
      <c r="H276">
        <v>-1</v>
      </c>
      <c r="I276">
        <v>1</v>
      </c>
      <c r="J276">
        <v>0</v>
      </c>
      <c r="K276">
        <v>-2.9180958003939491E-2</v>
      </c>
      <c r="L276">
        <v>0</v>
      </c>
      <c r="M276">
        <v>1.7020835901391251E-2</v>
      </c>
      <c r="N276">
        <v>1.6503335429217669E-2</v>
      </c>
      <c r="O276">
        <v>0</v>
      </c>
      <c r="P276">
        <v>6.86437527811945E-3</v>
      </c>
      <c r="Q276">
        <v>0</v>
      </c>
      <c r="R276">
        <v>1.4318591203900091</v>
      </c>
      <c r="S276">
        <v>4.9709819670463729E-2</v>
      </c>
      <c r="T276">
        <v>-0.30397023409914908</v>
      </c>
      <c r="U276">
        <v>1.514246695723275</v>
      </c>
      <c r="V276">
        <v>5.0357677998376307</v>
      </c>
      <c r="W276">
        <v>1.4744197653192801</v>
      </c>
      <c r="X276">
        <v>4.5289128165618466</v>
      </c>
      <c r="Y276">
        <v>1.6431302263825489</v>
      </c>
      <c r="Z276">
        <v>7.1552392812382779</v>
      </c>
    </row>
    <row r="277" spans="1:26" x14ac:dyDescent="0.25">
      <c r="A277" s="1">
        <v>45869</v>
      </c>
      <c r="B277">
        <v>2.2961178223050101E-2</v>
      </c>
      <c r="C277">
        <v>3.3540215331366752E-2</v>
      </c>
      <c r="D277">
        <v>5.1636496140897714E-3</v>
      </c>
      <c r="E277">
        <v>4.8247699480523654E-3</v>
      </c>
      <c r="F277">
        <v>4.0913142780306666E-3</v>
      </c>
      <c r="G277">
        <v>-2.165949715782689E-2</v>
      </c>
      <c r="H277">
        <v>-1</v>
      </c>
      <c r="I277">
        <v>1</v>
      </c>
      <c r="J277">
        <v>0</v>
      </c>
      <c r="K277">
        <v>-5.1636496140897714E-3</v>
      </c>
      <c r="L277">
        <v>0</v>
      </c>
      <c r="M277">
        <v>4.8247699480523654E-3</v>
      </c>
      <c r="N277">
        <v>4.0913142780306666E-3</v>
      </c>
      <c r="O277">
        <v>0</v>
      </c>
      <c r="P277">
        <v>2.165949715782689E-2</v>
      </c>
      <c r="Q277">
        <v>0</v>
      </c>
      <c r="R277">
        <v>1.4318591203900091</v>
      </c>
      <c r="S277">
        <v>4.4289485965216091E-2</v>
      </c>
      <c r="T277">
        <v>-0.30397023409914908</v>
      </c>
      <c r="U277">
        <v>1.526377357622791</v>
      </c>
      <c r="V277">
        <v>5.0604620228159849</v>
      </c>
      <c r="W277">
        <v>1.4744197653192801</v>
      </c>
      <c r="X277">
        <v>4.6486662879980409</v>
      </c>
      <c r="Y277">
        <v>1.6431302263825489</v>
      </c>
      <c r="Z277">
        <v>7.1806512130080984</v>
      </c>
    </row>
    <row r="278" spans="1:26" x14ac:dyDescent="0.25">
      <c r="A278" s="1">
        <v>45900</v>
      </c>
      <c r="B278">
        <v>2.0889813545132089E-2</v>
      </c>
      <c r="C278">
        <v>7.6877222818747537E-3</v>
      </c>
      <c r="D278">
        <v>1.4998977325476731E-2</v>
      </c>
      <c r="E278">
        <v>2.2755624742171192E-3</v>
      </c>
      <c r="F278">
        <v>5.6146303123538743E-4</v>
      </c>
      <c r="G278">
        <v>1.2533650032248709E-2</v>
      </c>
      <c r="H278">
        <v>-1</v>
      </c>
      <c r="I278">
        <v>1</v>
      </c>
      <c r="J278">
        <v>0</v>
      </c>
      <c r="K278">
        <v>-1.4998977325476731E-2</v>
      </c>
      <c r="L278">
        <v>0</v>
      </c>
      <c r="M278">
        <v>2.2755624742171192E-3</v>
      </c>
      <c r="N278">
        <v>5.6146303123538743E-4</v>
      </c>
      <c r="O278">
        <v>0</v>
      </c>
      <c r="P278">
        <v>-1.2533650032248709E-2</v>
      </c>
      <c r="Q278">
        <v>0</v>
      </c>
      <c r="R278">
        <v>1.4318591203900091</v>
      </c>
      <c r="S278">
        <v>2.8626211643990152E-2</v>
      </c>
      <c r="T278">
        <v>-0.30397023409914908</v>
      </c>
      <c r="U278">
        <v>1.5321262871335091</v>
      </c>
      <c r="V278">
        <v>5.0638647481940016</v>
      </c>
      <c r="W278">
        <v>1.4744197653192801</v>
      </c>
      <c r="X278">
        <v>4.5778678815953118</v>
      </c>
      <c r="Y278">
        <v>1.6431302263825489</v>
      </c>
      <c r="Z278">
        <v>7.1559556111558251</v>
      </c>
    </row>
    <row r="279" spans="1:26" x14ac:dyDescent="0.25">
      <c r="A279" s="1">
        <v>45930</v>
      </c>
      <c r="B279">
        <v>3.5234129077121527E-2</v>
      </c>
      <c r="C279">
        <v>7.9579289271687337E-3</v>
      </c>
      <c r="D279">
        <v>-9.3229923692028649E-4</v>
      </c>
      <c r="E279">
        <v>7.5949279027813787E-3</v>
      </c>
      <c r="F279">
        <v>5.9270498663542837E-3</v>
      </c>
      <c r="G279">
        <v>3.9731034406965238E-2</v>
      </c>
      <c r="H279">
        <v>-1</v>
      </c>
      <c r="I279">
        <v>1</v>
      </c>
      <c r="J279">
        <v>0</v>
      </c>
      <c r="K279">
        <v>9.3229923692028649E-4</v>
      </c>
      <c r="L279">
        <v>0</v>
      </c>
      <c r="M279">
        <v>7.5949279027813787E-3</v>
      </c>
      <c r="N279">
        <v>5.9270498663542837E-3</v>
      </c>
      <c r="O279">
        <v>0</v>
      </c>
      <c r="P279">
        <v>-3.9731034406965238E-2</v>
      </c>
      <c r="Q279">
        <v>0</v>
      </c>
      <c r="R279">
        <v>1.4318591203900091</v>
      </c>
      <c r="S279">
        <v>2.958519907618196E-2</v>
      </c>
      <c r="T279">
        <v>-0.30397023409914908</v>
      </c>
      <c r="U279">
        <v>1.551357603725025</v>
      </c>
      <c r="V279">
        <v>5.0998055769393762</v>
      </c>
      <c r="W279">
        <v>1.4744197653192801</v>
      </c>
      <c r="X279">
        <v>4.3562534208741424</v>
      </c>
      <c r="Y279">
        <v>1.6431302263825489</v>
      </c>
      <c r="Z279">
        <v>7.1306788537549162</v>
      </c>
    </row>
    <row r="280" spans="1:26" x14ac:dyDescent="0.25">
      <c r="A280" s="1">
        <v>45961</v>
      </c>
      <c r="B280">
        <v>3.2112721085071572E-2</v>
      </c>
      <c r="C280">
        <v>-2.4446595011495709E-2</v>
      </c>
      <c r="D280">
        <v>2.3837611832715381E-2</v>
      </c>
      <c r="E280">
        <v>-9.8561969584142206E-3</v>
      </c>
      <c r="F280">
        <v>4.4232761626460393E-3</v>
      </c>
      <c r="G280">
        <v>1.4040911784762859E-3</v>
      </c>
      <c r="H280">
        <v>1</v>
      </c>
      <c r="I280">
        <v>-1</v>
      </c>
      <c r="J280">
        <v>2.3837611832715381E-2</v>
      </c>
      <c r="K280">
        <v>0</v>
      </c>
      <c r="L280">
        <v>9.8561969584142206E-3</v>
      </c>
      <c r="M280">
        <v>0</v>
      </c>
      <c r="N280">
        <v>0</v>
      </c>
      <c r="O280">
        <v>-4.4232761626460393E-3</v>
      </c>
      <c r="P280">
        <v>0</v>
      </c>
      <c r="Q280">
        <v>1.4040911784762859E-3</v>
      </c>
      <c r="R280">
        <v>1.4898288341337149</v>
      </c>
      <c r="S280">
        <v>2.958519907618196E-2</v>
      </c>
      <c r="T280">
        <v>-0.29711002763751138</v>
      </c>
      <c r="U280">
        <v>1.551357603725025</v>
      </c>
      <c r="V280">
        <v>5.0998055769393762</v>
      </c>
      <c r="W280">
        <v>1.463474723354963</v>
      </c>
      <c r="X280">
        <v>4.3562534208741424</v>
      </c>
      <c r="Y280">
        <v>1.646841422216978</v>
      </c>
      <c r="Z280">
        <v>7.1613534775618763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8F78-7804-4842-A7E6-CA7FC5FBF145}">
  <dimension ref="A1:AB298"/>
  <sheetViews>
    <sheetView tabSelected="1" topLeftCell="L1" zoomScale="55" zoomScaleNormal="55" workbookViewId="0">
      <selection activeCell="W20" sqref="A1:Y280"/>
    </sheetView>
  </sheetViews>
  <sheetFormatPr defaultRowHeight="15" x14ac:dyDescent="0.25"/>
  <cols>
    <col min="1" max="1" width="10.85546875" style="4" bestFit="1" customWidth="1"/>
    <col min="2" max="2" width="14.42578125" style="4" bestFit="1" customWidth="1"/>
    <col min="3" max="4" width="12.85546875" style="4" bestFit="1" customWidth="1"/>
    <col min="5" max="5" width="14.42578125" style="4" bestFit="1" customWidth="1"/>
    <col min="6" max="6" width="12.5703125" style="4" bestFit="1" customWidth="1"/>
    <col min="7" max="7" width="12.140625" style="4" bestFit="1" customWidth="1"/>
    <col min="8" max="8" width="11.140625" style="4" bestFit="1" customWidth="1"/>
    <col min="9" max="9" width="11.5703125" style="4" bestFit="1" customWidth="1"/>
    <col min="10" max="10" width="28.42578125" style="4" bestFit="1" customWidth="1"/>
    <col min="11" max="11" width="29" style="4" bestFit="1" customWidth="1"/>
    <col min="12" max="12" width="28.140625" style="4" bestFit="1" customWidth="1"/>
    <col min="13" max="13" width="27.5703125" style="4" bestFit="1" customWidth="1"/>
    <col min="14" max="14" width="29.28515625" style="4" bestFit="1" customWidth="1"/>
    <col min="15" max="15" width="30" style="4" bestFit="1" customWidth="1"/>
    <col min="16" max="16" width="29" style="4" bestFit="1" customWidth="1"/>
    <col min="17" max="17" width="28.42578125" style="4" bestFit="1" customWidth="1"/>
    <col min="18" max="18" width="32.140625" style="4" bestFit="1" customWidth="1"/>
    <col min="19" max="19" width="32.7109375" style="4" bestFit="1" customWidth="1"/>
    <col min="20" max="20" width="31.85546875" style="4" bestFit="1" customWidth="1"/>
    <col min="21" max="21" width="31.28515625" style="4" bestFit="1" customWidth="1"/>
    <col min="22" max="22" width="33" style="4" bestFit="1" customWidth="1"/>
    <col min="23" max="23" width="33.5703125" style="4" bestFit="1" customWidth="1"/>
    <col min="24" max="24" width="32.7109375" style="4" bestFit="1" customWidth="1"/>
    <col min="25" max="25" width="32.140625" style="4" bestFit="1" customWidth="1"/>
    <col min="26" max="26" width="9.140625" style="4"/>
    <col min="27" max="27" width="8.140625" style="4" bestFit="1" customWidth="1"/>
    <col min="28" max="28" width="10.7109375" style="4" bestFit="1" customWidth="1"/>
    <col min="29" max="16384" width="9.140625" style="4"/>
  </cols>
  <sheetData>
    <row r="1" spans="1:28" ht="15.75" thickBot="1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</row>
    <row r="2" spans="1:28" x14ac:dyDescent="0.25">
      <c r="A2" s="6">
        <f>[1]Data!A5</f>
        <v>37469</v>
      </c>
      <c r="B2" s="7">
        <f>[1]Data!B5</f>
        <v>6.7786154352028833E-3</v>
      </c>
      <c r="C2" s="7">
        <f>[1]Data!C5</f>
        <v>1.0151052696173293E-2</v>
      </c>
      <c r="D2" s="8">
        <f>[1]Data!F5</f>
        <v>-4.2345772443368498E-2</v>
      </c>
      <c r="E2" s="9">
        <f>[1]Data!G5</f>
        <v>1.469165253014592E-2</v>
      </c>
      <c r="F2" s="8">
        <f>[1]Data!H5</f>
        <v>-3.414351278145604E-2</v>
      </c>
      <c r="G2" s="9">
        <f>[1]Data!I5</f>
        <v>1.4075972845321685E-2</v>
      </c>
      <c r="H2" s="10">
        <f t="shared" ref="H2:H65" si="0">IF(C2&gt;0,-1,1)</f>
        <v>-1</v>
      </c>
      <c r="I2" s="11">
        <v>0</v>
      </c>
      <c r="J2" s="12">
        <f t="shared" ref="J2:J65" si="1">IF(H2=1,D2,0)</f>
        <v>0</v>
      </c>
      <c r="K2" s="12">
        <f t="shared" ref="K2:K65" si="2">IF(H2=-1,-D2,0)</f>
        <v>4.2345772443368498E-2</v>
      </c>
      <c r="L2" s="12">
        <f t="shared" ref="L2:L65" si="3">IF(H2=1,-E2,0)</f>
        <v>0</v>
      </c>
      <c r="M2" s="12">
        <f t="shared" ref="M2:M65" si="4">IF(H2=-1,E2,0)</f>
        <v>1.469165253014592E-2</v>
      </c>
      <c r="N2" s="12">
        <f t="shared" ref="N2:N65" si="5">IF(I2=1,F2,0)</f>
        <v>0</v>
      </c>
      <c r="O2" s="12">
        <f t="shared" ref="O2:O65" si="6">IF(I2=-1,-F2,0)</f>
        <v>0</v>
      </c>
      <c r="P2" s="12">
        <f t="shared" ref="P2:P65" si="7">IF(I2=1,-G2,0)</f>
        <v>0</v>
      </c>
      <c r="Q2" s="12">
        <f t="shared" ref="Q2:Q65" si="8">IF(I2=-1,G2,0)</f>
        <v>0</v>
      </c>
      <c r="R2" s="12">
        <f t="shared" ref="R2:Y2" si="9">J2</f>
        <v>0</v>
      </c>
      <c r="S2" s="12">
        <f t="shared" si="9"/>
        <v>4.2345772443368498E-2</v>
      </c>
      <c r="T2" s="12">
        <f t="shared" si="9"/>
        <v>0</v>
      </c>
      <c r="U2" s="12">
        <f t="shared" si="9"/>
        <v>1.469165253014592E-2</v>
      </c>
      <c r="V2" s="12">
        <f t="shared" si="9"/>
        <v>0</v>
      </c>
      <c r="W2" s="12">
        <f t="shared" si="9"/>
        <v>0</v>
      </c>
      <c r="X2" s="12">
        <f t="shared" si="9"/>
        <v>0</v>
      </c>
      <c r="Y2" s="12">
        <f t="shared" si="9"/>
        <v>0</v>
      </c>
      <c r="AA2" s="12">
        <f>SUM(J2:Q2)</f>
        <v>5.7037424973514418E-2</v>
      </c>
      <c r="AB2" s="12">
        <f>B2</f>
        <v>6.7786154352028833E-3</v>
      </c>
    </row>
    <row r="3" spans="1:28" x14ac:dyDescent="0.25">
      <c r="A3" s="13">
        <f>[1]Data!A6</f>
        <v>37500</v>
      </c>
      <c r="B3" s="14">
        <f>[1]Data!B6</f>
        <v>-0.11076677231132262</v>
      </c>
      <c r="C3" s="14">
        <f>[1]Data!C6</f>
        <v>-0.12654670885184757</v>
      </c>
      <c r="D3" s="15">
        <f>[1]Data!F6</f>
        <v>-2.2605263607593816E-2</v>
      </c>
      <c r="E3" s="16">
        <f>[1]Data!G6</f>
        <v>3.3248630832344141E-3</v>
      </c>
      <c r="F3" s="15">
        <f>[1]Data!H6</f>
        <v>-1.2278930521347042E-2</v>
      </c>
      <c r="G3" s="16">
        <f>[1]Data!I6</f>
        <v>7.1598070258672257E-3</v>
      </c>
      <c r="H3" s="17">
        <f t="shared" si="0"/>
        <v>1</v>
      </c>
      <c r="I3" s="18">
        <f t="shared" ref="I3:I66" si="10">IF(C2&gt;0,1,-1)</f>
        <v>1</v>
      </c>
      <c r="J3" s="19">
        <f t="shared" si="1"/>
        <v>-2.2605263607593816E-2</v>
      </c>
      <c r="K3" s="19">
        <f t="shared" si="2"/>
        <v>0</v>
      </c>
      <c r="L3" s="19">
        <f t="shared" si="3"/>
        <v>-3.3248630832344141E-3</v>
      </c>
      <c r="M3" s="19">
        <f t="shared" si="4"/>
        <v>0</v>
      </c>
      <c r="N3" s="19">
        <f t="shared" si="5"/>
        <v>-1.2278930521347042E-2</v>
      </c>
      <c r="O3" s="19">
        <f t="shared" si="6"/>
        <v>0</v>
      </c>
      <c r="P3" s="19">
        <f t="shared" si="7"/>
        <v>-7.1598070258672257E-3</v>
      </c>
      <c r="Q3" s="19">
        <f t="shared" si="8"/>
        <v>0</v>
      </c>
      <c r="R3" s="19">
        <f t="shared" ref="R3:R66" si="11">J3+R2</f>
        <v>-2.2605263607593816E-2</v>
      </c>
      <c r="S3" s="19">
        <f t="shared" ref="S3:S66" si="12">K3+S2</f>
        <v>4.2345772443368498E-2</v>
      </c>
      <c r="T3" s="19">
        <f t="shared" ref="T3:T66" si="13">L3+T2</f>
        <v>-3.3248630832344141E-3</v>
      </c>
      <c r="U3" s="19">
        <f t="shared" ref="U3:U66" si="14">M3+U2</f>
        <v>1.469165253014592E-2</v>
      </c>
      <c r="V3" s="19">
        <f t="shared" ref="V3:V66" si="15">N3+V2</f>
        <v>-1.2278930521347042E-2</v>
      </c>
      <c r="W3" s="19">
        <f t="shared" ref="W3:W66" si="16">O3+W2</f>
        <v>0</v>
      </c>
      <c r="X3" s="19">
        <f t="shared" ref="X3:X66" si="17">P3+X2</f>
        <v>-7.1598070258672257E-3</v>
      </c>
      <c r="Y3" s="19">
        <f t="shared" ref="Y3:Y66" si="18">Q3+Y2</f>
        <v>0</v>
      </c>
      <c r="AA3" s="19">
        <f t="shared" ref="AA3:AA66" si="19">SUM(J3:Q3)+AA2</f>
        <v>1.1668560735471921E-2</v>
      </c>
      <c r="AB3" s="19">
        <f t="shared" ref="AB3:AB66" si="20">B3+AB2</f>
        <v>-0.10398815687611973</v>
      </c>
    </row>
    <row r="4" spans="1:28" x14ac:dyDescent="0.25">
      <c r="A4" s="13">
        <f>[1]Data!A7</f>
        <v>37530</v>
      </c>
      <c r="B4" s="14">
        <f>[1]Data!B7</f>
        <v>7.9072556471592031E-2</v>
      </c>
      <c r="C4" s="14">
        <f>[1]Data!C7</f>
        <v>0.16075988880458544</v>
      </c>
      <c r="D4" s="15">
        <f>[1]Data!F7</f>
        <v>-1.8468757302789001E-2</v>
      </c>
      <c r="E4" s="16">
        <f>[1]Data!G7</f>
        <v>2.5574892630438432E-2</v>
      </c>
      <c r="F4" s="15">
        <f>[1]Data!H7</f>
        <v>-3.3063528520603847E-2</v>
      </c>
      <c r="G4" s="16">
        <f>[1]Data!I7</f>
        <v>-4.4185292609520352E-3</v>
      </c>
      <c r="H4" s="17">
        <f t="shared" si="0"/>
        <v>-1</v>
      </c>
      <c r="I4" s="18">
        <f t="shared" si="10"/>
        <v>-1</v>
      </c>
      <c r="J4" s="19">
        <f t="shared" si="1"/>
        <v>0</v>
      </c>
      <c r="K4" s="19">
        <f t="shared" si="2"/>
        <v>1.8468757302789001E-2</v>
      </c>
      <c r="L4" s="19">
        <f t="shared" si="3"/>
        <v>0</v>
      </c>
      <c r="M4" s="19">
        <f t="shared" si="4"/>
        <v>2.5574892630438432E-2</v>
      </c>
      <c r="N4" s="19">
        <f t="shared" si="5"/>
        <v>0</v>
      </c>
      <c r="O4" s="19">
        <f t="shared" si="6"/>
        <v>3.3063528520603847E-2</v>
      </c>
      <c r="P4" s="19">
        <f t="shared" si="7"/>
        <v>0</v>
      </c>
      <c r="Q4" s="19">
        <f t="shared" si="8"/>
        <v>-4.4185292609520352E-3</v>
      </c>
      <c r="R4" s="19">
        <f t="shared" si="11"/>
        <v>-2.2605263607593816E-2</v>
      </c>
      <c r="S4" s="19">
        <f t="shared" si="12"/>
        <v>6.0814529746157503E-2</v>
      </c>
      <c r="T4" s="19">
        <f t="shared" si="13"/>
        <v>-3.3248630832344141E-3</v>
      </c>
      <c r="U4" s="19">
        <f t="shared" si="14"/>
        <v>4.0266545160584352E-2</v>
      </c>
      <c r="V4" s="19">
        <f t="shared" si="15"/>
        <v>-1.2278930521347042E-2</v>
      </c>
      <c r="W4" s="19">
        <f t="shared" si="16"/>
        <v>3.3063528520603847E-2</v>
      </c>
      <c r="X4" s="19">
        <f t="shared" si="17"/>
        <v>-7.1598070258672257E-3</v>
      </c>
      <c r="Y4" s="19">
        <f t="shared" si="18"/>
        <v>-4.4185292609520352E-3</v>
      </c>
      <c r="AA4" s="19">
        <f t="shared" si="19"/>
        <v>8.4357209928351162E-2</v>
      </c>
      <c r="AB4" s="19">
        <f t="shared" si="20"/>
        <v>-2.4915600404527699E-2</v>
      </c>
    </row>
    <row r="5" spans="1:28" x14ac:dyDescent="0.25">
      <c r="A5" s="13">
        <f>[1]Data!A8</f>
        <v>37561</v>
      </c>
      <c r="B5" s="14">
        <f>[1]Data!B8</f>
        <v>5.9854092957559765E-2</v>
      </c>
      <c r="C5" s="14">
        <f>[1]Data!C8</f>
        <v>6.3586580985996705E-2</v>
      </c>
      <c r="D5" s="15">
        <f>[1]Data!F8</f>
        <v>-1.1693546525228817E-3</v>
      </c>
      <c r="E5" s="16">
        <f>[1]Data!G8</f>
        <v>-6.6405285442990448E-3</v>
      </c>
      <c r="F5" s="15">
        <f>[1]Data!H8</f>
        <v>2.4990820097527615E-2</v>
      </c>
      <c r="G5" s="16">
        <f>[1]Data!I8</f>
        <v>1.5959440241275595E-2</v>
      </c>
      <c r="H5" s="17">
        <f t="shared" si="0"/>
        <v>-1</v>
      </c>
      <c r="I5" s="18">
        <f t="shared" si="10"/>
        <v>1</v>
      </c>
      <c r="J5" s="19">
        <f t="shared" si="1"/>
        <v>0</v>
      </c>
      <c r="K5" s="19">
        <f t="shared" si="2"/>
        <v>1.1693546525228817E-3</v>
      </c>
      <c r="L5" s="19">
        <f t="shared" si="3"/>
        <v>0</v>
      </c>
      <c r="M5" s="19">
        <f t="shared" si="4"/>
        <v>-6.6405285442990448E-3</v>
      </c>
      <c r="N5" s="19">
        <f t="shared" si="5"/>
        <v>2.4990820097527615E-2</v>
      </c>
      <c r="O5" s="19">
        <f t="shared" si="6"/>
        <v>0</v>
      </c>
      <c r="P5" s="19">
        <f t="shared" si="7"/>
        <v>-1.5959440241275595E-2</v>
      </c>
      <c r="Q5" s="19">
        <f t="shared" si="8"/>
        <v>0</v>
      </c>
      <c r="R5" s="19">
        <f t="shared" si="11"/>
        <v>-2.2605263607593816E-2</v>
      </c>
      <c r="S5" s="19">
        <f t="shared" si="12"/>
        <v>6.1983884398680383E-2</v>
      </c>
      <c r="T5" s="19">
        <f t="shared" si="13"/>
        <v>-3.3248630832344141E-3</v>
      </c>
      <c r="U5" s="19">
        <f t="shared" si="14"/>
        <v>3.3626016616285309E-2</v>
      </c>
      <c r="V5" s="19">
        <f t="shared" si="15"/>
        <v>1.2711889576180573E-2</v>
      </c>
      <c r="W5" s="19">
        <f t="shared" si="16"/>
        <v>3.3063528520603847E-2</v>
      </c>
      <c r="X5" s="19">
        <f t="shared" si="17"/>
        <v>-2.3119247267142821E-2</v>
      </c>
      <c r="Y5" s="19">
        <f t="shared" si="18"/>
        <v>-4.4185292609520352E-3</v>
      </c>
      <c r="AA5" s="19">
        <f t="shared" si="19"/>
        <v>8.7917415892827019E-2</v>
      </c>
      <c r="AB5" s="19">
        <f t="shared" si="20"/>
        <v>3.4938492553032066E-2</v>
      </c>
    </row>
    <row r="6" spans="1:28" x14ac:dyDescent="0.25">
      <c r="A6" s="13">
        <f>[1]Data!A9</f>
        <v>37591</v>
      </c>
      <c r="B6" s="14">
        <f>[1]Data!B9</f>
        <v>-5.823252946503793E-2</v>
      </c>
      <c r="C6" s="14">
        <f>[1]Data!C9</f>
        <v>-6.4204942347053789E-2</v>
      </c>
      <c r="D6" s="15">
        <f>[1]Data!F9</f>
        <v>-1.975141288916684E-2</v>
      </c>
      <c r="E6" s="16">
        <f>[1]Data!G9</f>
        <v>1.8537161373992306E-2</v>
      </c>
      <c r="F6" s="15">
        <f>[1]Data!H9</f>
        <v>-2.0967368053873555E-2</v>
      </c>
      <c r="G6" s="16">
        <f>[1]Data!I9</f>
        <v>1.1778490418373625E-2</v>
      </c>
      <c r="H6" s="17">
        <f t="shared" si="0"/>
        <v>1</v>
      </c>
      <c r="I6" s="18">
        <f t="shared" si="10"/>
        <v>1</v>
      </c>
      <c r="J6" s="19">
        <f t="shared" si="1"/>
        <v>-1.975141288916684E-2</v>
      </c>
      <c r="K6" s="19">
        <f t="shared" si="2"/>
        <v>0</v>
      </c>
      <c r="L6" s="19">
        <f t="shared" si="3"/>
        <v>-1.8537161373992306E-2</v>
      </c>
      <c r="M6" s="19">
        <f t="shared" si="4"/>
        <v>0</v>
      </c>
      <c r="N6" s="19">
        <f t="shared" si="5"/>
        <v>-2.0967368053873555E-2</v>
      </c>
      <c r="O6" s="19">
        <f t="shared" si="6"/>
        <v>0</v>
      </c>
      <c r="P6" s="19">
        <f t="shared" si="7"/>
        <v>-1.1778490418373625E-2</v>
      </c>
      <c r="Q6" s="19">
        <f t="shared" si="8"/>
        <v>0</v>
      </c>
      <c r="R6" s="19">
        <f t="shared" si="11"/>
        <v>-4.2356676496760656E-2</v>
      </c>
      <c r="S6" s="19">
        <f t="shared" si="12"/>
        <v>6.1983884398680383E-2</v>
      </c>
      <c r="T6" s="19">
        <f t="shared" si="13"/>
        <v>-2.1862024457226719E-2</v>
      </c>
      <c r="U6" s="19">
        <f t="shared" si="14"/>
        <v>3.3626016616285309E-2</v>
      </c>
      <c r="V6" s="19">
        <f t="shared" si="15"/>
        <v>-8.2554784776929825E-3</v>
      </c>
      <c r="W6" s="19">
        <f t="shared" si="16"/>
        <v>3.3063528520603847E-2</v>
      </c>
      <c r="X6" s="19">
        <f t="shared" si="17"/>
        <v>-3.4897737685516447E-2</v>
      </c>
      <c r="Y6" s="19">
        <f t="shared" si="18"/>
        <v>-4.4185292609520352E-3</v>
      </c>
      <c r="AA6" s="19">
        <f t="shared" si="19"/>
        <v>1.6882983157420692E-2</v>
      </c>
      <c r="AB6" s="19">
        <f t="shared" si="20"/>
        <v>-2.3294036912005864E-2</v>
      </c>
    </row>
    <row r="7" spans="1:28" x14ac:dyDescent="0.25">
      <c r="A7" s="13">
        <f>[1]Data!A10</f>
        <v>37622</v>
      </c>
      <c r="B7" s="14">
        <f>[1]Data!B10</f>
        <v>-2.4902965529687425E-2</v>
      </c>
      <c r="C7" s="14">
        <f>[1]Data!C10</f>
        <v>1.8151719234693674E-2</v>
      </c>
      <c r="D7" s="15">
        <f>[1]Data!F10</f>
        <v>-3.0328305801601459E-2</v>
      </c>
      <c r="E7" s="16">
        <f>[1]Data!G10</f>
        <v>6.9506100607132654E-3</v>
      </c>
      <c r="F7" s="15">
        <f>[1]Data!H10</f>
        <v>3.5188717539179765E-2</v>
      </c>
      <c r="G7" s="16">
        <f>[1]Data!I10</f>
        <v>-1.8000451301945945E-2</v>
      </c>
      <c r="H7" s="17">
        <f t="shared" si="0"/>
        <v>-1</v>
      </c>
      <c r="I7" s="18">
        <f t="shared" si="10"/>
        <v>-1</v>
      </c>
      <c r="J7" s="19">
        <f t="shared" si="1"/>
        <v>0</v>
      </c>
      <c r="K7" s="19">
        <f t="shared" si="2"/>
        <v>3.0328305801601459E-2</v>
      </c>
      <c r="L7" s="19">
        <f t="shared" si="3"/>
        <v>0</v>
      </c>
      <c r="M7" s="19">
        <f t="shared" si="4"/>
        <v>6.9506100607132654E-3</v>
      </c>
      <c r="N7" s="19">
        <f t="shared" si="5"/>
        <v>0</v>
      </c>
      <c r="O7" s="19">
        <f t="shared" si="6"/>
        <v>-3.5188717539179765E-2</v>
      </c>
      <c r="P7" s="19">
        <f t="shared" si="7"/>
        <v>0</v>
      </c>
      <c r="Q7" s="19">
        <f t="shared" si="8"/>
        <v>-1.8000451301945945E-2</v>
      </c>
      <c r="R7" s="19">
        <f t="shared" si="11"/>
        <v>-4.2356676496760656E-2</v>
      </c>
      <c r="S7" s="19">
        <f t="shared" si="12"/>
        <v>9.2312190200281835E-2</v>
      </c>
      <c r="T7" s="19">
        <f t="shared" si="13"/>
        <v>-2.1862024457226719E-2</v>
      </c>
      <c r="U7" s="19">
        <f t="shared" si="14"/>
        <v>4.0576626676998573E-2</v>
      </c>
      <c r="V7" s="19">
        <f t="shared" si="15"/>
        <v>-8.2554784776929825E-3</v>
      </c>
      <c r="W7" s="19">
        <f t="shared" si="16"/>
        <v>-2.1251890185759181E-3</v>
      </c>
      <c r="X7" s="19">
        <f t="shared" si="17"/>
        <v>-3.4897737685516447E-2</v>
      </c>
      <c r="Y7" s="19">
        <f t="shared" si="18"/>
        <v>-2.241898056289798E-2</v>
      </c>
      <c r="AA7" s="19">
        <f t="shared" si="19"/>
        <v>9.7273017860970493E-4</v>
      </c>
      <c r="AB7" s="19">
        <f t="shared" si="20"/>
        <v>-4.8197002441693289E-2</v>
      </c>
    </row>
    <row r="8" spans="1:28" x14ac:dyDescent="0.25">
      <c r="A8" s="13">
        <f>[1]Data!A11</f>
        <v>37653</v>
      </c>
      <c r="B8" s="14">
        <f>[1]Data!B11</f>
        <v>-1.3570614197984544E-2</v>
      </c>
      <c r="C8" s="14">
        <f>[1]Data!C11</f>
        <v>-3.7582425932882781E-2</v>
      </c>
      <c r="D8" s="15">
        <f>[1]Data!F11</f>
        <v>1.3040803122683371E-2</v>
      </c>
      <c r="E8" s="16">
        <f>[1]Data!G11</f>
        <v>1.9532753075675407E-2</v>
      </c>
      <c r="F8" s="15">
        <f>[1]Data!H11</f>
        <v>-3.1156082648895776E-2</v>
      </c>
      <c r="G8" s="16">
        <f>[1]Data!I11</f>
        <v>7.5842026835619726E-3</v>
      </c>
      <c r="H8" s="17">
        <f t="shared" si="0"/>
        <v>1</v>
      </c>
      <c r="I8" s="18">
        <f t="shared" si="10"/>
        <v>1</v>
      </c>
      <c r="J8" s="19">
        <f t="shared" si="1"/>
        <v>1.3040803122683371E-2</v>
      </c>
      <c r="K8" s="19">
        <f t="shared" si="2"/>
        <v>0</v>
      </c>
      <c r="L8" s="19">
        <f t="shared" si="3"/>
        <v>-1.9532753075675407E-2</v>
      </c>
      <c r="M8" s="19">
        <f t="shared" si="4"/>
        <v>0</v>
      </c>
      <c r="N8" s="19">
        <f t="shared" si="5"/>
        <v>-3.1156082648895776E-2</v>
      </c>
      <c r="O8" s="19">
        <f t="shared" si="6"/>
        <v>0</v>
      </c>
      <c r="P8" s="19">
        <f t="shared" si="7"/>
        <v>-7.5842026835619726E-3</v>
      </c>
      <c r="Q8" s="19">
        <f t="shared" si="8"/>
        <v>0</v>
      </c>
      <c r="R8" s="19">
        <f t="shared" si="11"/>
        <v>-2.9315873374077286E-2</v>
      </c>
      <c r="S8" s="19">
        <f t="shared" si="12"/>
        <v>9.2312190200281835E-2</v>
      </c>
      <c r="T8" s="19">
        <f t="shared" si="13"/>
        <v>-4.1394777532902126E-2</v>
      </c>
      <c r="U8" s="19">
        <f t="shared" si="14"/>
        <v>4.0576626676998573E-2</v>
      </c>
      <c r="V8" s="19">
        <f t="shared" si="15"/>
        <v>-3.9411561126588758E-2</v>
      </c>
      <c r="W8" s="19">
        <f t="shared" si="16"/>
        <v>-2.1251890185759181E-3</v>
      </c>
      <c r="X8" s="19">
        <f t="shared" si="17"/>
        <v>-4.2481940369078416E-2</v>
      </c>
      <c r="Y8" s="19">
        <f t="shared" si="18"/>
        <v>-2.241898056289798E-2</v>
      </c>
      <c r="AA8" s="19">
        <f t="shared" si="19"/>
        <v>-4.4259505106840083E-2</v>
      </c>
      <c r="AB8" s="19">
        <f t="shared" si="20"/>
        <v>-6.1767616639677836E-2</v>
      </c>
    </row>
    <row r="9" spans="1:28" x14ac:dyDescent="0.25">
      <c r="A9" s="13">
        <f>[1]Data!A12</f>
        <v>37681</v>
      </c>
      <c r="B9" s="14">
        <f>[1]Data!B12</f>
        <v>2.1372549105130832E-3</v>
      </c>
      <c r="C9" s="14">
        <f>[1]Data!C12</f>
        <v>0.10501108443958183</v>
      </c>
      <c r="D9" s="15">
        <f>[1]Data!F12</f>
        <v>-5.6549706399883812E-2</v>
      </c>
      <c r="E9" s="16">
        <f>[1]Data!G12</f>
        <v>3.2583379175479654E-2</v>
      </c>
      <c r="F9" s="15">
        <f>[1]Data!H12</f>
        <v>-1.8785634688455129E-2</v>
      </c>
      <c r="G9" s="16">
        <f>[1]Data!I12</f>
        <v>4.7606175207964068E-3</v>
      </c>
      <c r="H9" s="17">
        <f t="shared" si="0"/>
        <v>-1</v>
      </c>
      <c r="I9" s="18">
        <f t="shared" si="10"/>
        <v>-1</v>
      </c>
      <c r="J9" s="19">
        <f t="shared" si="1"/>
        <v>0</v>
      </c>
      <c r="K9" s="19">
        <f t="shared" si="2"/>
        <v>5.6549706399883812E-2</v>
      </c>
      <c r="L9" s="19">
        <f t="shared" si="3"/>
        <v>0</v>
      </c>
      <c r="M9" s="19">
        <f t="shared" si="4"/>
        <v>3.2583379175479654E-2</v>
      </c>
      <c r="N9" s="19">
        <f t="shared" si="5"/>
        <v>0</v>
      </c>
      <c r="O9" s="19">
        <f t="shared" si="6"/>
        <v>1.8785634688455129E-2</v>
      </c>
      <c r="P9" s="19">
        <f t="shared" si="7"/>
        <v>0</v>
      </c>
      <c r="Q9" s="19">
        <f t="shared" si="8"/>
        <v>4.7606175207964068E-3</v>
      </c>
      <c r="R9" s="19">
        <f t="shared" si="11"/>
        <v>-2.9315873374077286E-2</v>
      </c>
      <c r="S9" s="19">
        <f t="shared" si="12"/>
        <v>0.14886189660016563</v>
      </c>
      <c r="T9" s="19">
        <f t="shared" si="13"/>
        <v>-4.1394777532902126E-2</v>
      </c>
      <c r="U9" s="19">
        <f t="shared" si="14"/>
        <v>7.3160005852478227E-2</v>
      </c>
      <c r="V9" s="19">
        <f t="shared" si="15"/>
        <v>-3.9411561126588758E-2</v>
      </c>
      <c r="W9" s="19">
        <f t="shared" si="16"/>
        <v>1.6660445669879211E-2</v>
      </c>
      <c r="X9" s="19">
        <f t="shared" si="17"/>
        <v>-4.2481940369078416E-2</v>
      </c>
      <c r="Y9" s="19">
        <f t="shared" si="18"/>
        <v>-1.7658363042101572E-2</v>
      </c>
      <c r="AA9" s="19">
        <f t="shared" si="19"/>
        <v>6.8419832677774919E-2</v>
      </c>
      <c r="AB9" s="19">
        <f t="shared" si="20"/>
        <v>-5.9630361729164749E-2</v>
      </c>
    </row>
    <row r="10" spans="1:28" x14ac:dyDescent="0.25">
      <c r="A10" s="13">
        <f>[1]Data!A13</f>
        <v>37712</v>
      </c>
      <c r="B10" s="14">
        <f>[1]Data!B13</f>
        <v>8.1223226482743216E-2</v>
      </c>
      <c r="C10" s="14">
        <f>[1]Data!C13</f>
        <v>8.3760679445333275E-2</v>
      </c>
      <c r="D10" s="15">
        <f>[1]Data!F13</f>
        <v>6.2214800188667239E-3</v>
      </c>
      <c r="E10" s="16">
        <f>[1]Data!G13</f>
        <v>1.9188037405920927E-2</v>
      </c>
      <c r="F10" s="15">
        <f>[1]Data!H13</f>
        <v>3.831759761064675E-2</v>
      </c>
      <c r="G10" s="16">
        <f>[1]Data!I13</f>
        <v>-1.9068062442549067E-2</v>
      </c>
      <c r="H10" s="17">
        <f t="shared" si="0"/>
        <v>-1</v>
      </c>
      <c r="I10" s="18">
        <f t="shared" si="10"/>
        <v>1</v>
      </c>
      <c r="J10" s="19">
        <f t="shared" si="1"/>
        <v>0</v>
      </c>
      <c r="K10" s="19">
        <f t="shared" si="2"/>
        <v>-6.2214800188667239E-3</v>
      </c>
      <c r="L10" s="19">
        <f t="shared" si="3"/>
        <v>0</v>
      </c>
      <c r="M10" s="19">
        <f t="shared" si="4"/>
        <v>1.9188037405920927E-2</v>
      </c>
      <c r="N10" s="19">
        <f t="shared" si="5"/>
        <v>3.831759761064675E-2</v>
      </c>
      <c r="O10" s="19">
        <f t="shared" si="6"/>
        <v>0</v>
      </c>
      <c r="P10" s="19">
        <f t="shared" si="7"/>
        <v>1.9068062442549067E-2</v>
      </c>
      <c r="Q10" s="19">
        <f t="shared" si="8"/>
        <v>0</v>
      </c>
      <c r="R10" s="19">
        <f t="shared" si="11"/>
        <v>-2.9315873374077286E-2</v>
      </c>
      <c r="S10" s="19">
        <f t="shared" si="12"/>
        <v>0.14264041658129892</v>
      </c>
      <c r="T10" s="19">
        <f t="shared" si="13"/>
        <v>-4.1394777532902126E-2</v>
      </c>
      <c r="U10" s="19">
        <f t="shared" si="14"/>
        <v>9.2348043258399154E-2</v>
      </c>
      <c r="V10" s="19">
        <f t="shared" si="15"/>
        <v>-1.0939635159420077E-3</v>
      </c>
      <c r="W10" s="19">
        <f t="shared" si="16"/>
        <v>1.6660445669879211E-2</v>
      </c>
      <c r="X10" s="19">
        <f t="shared" si="17"/>
        <v>-2.3413877926529349E-2</v>
      </c>
      <c r="Y10" s="19">
        <f t="shared" si="18"/>
        <v>-1.7658363042101572E-2</v>
      </c>
      <c r="AA10" s="19">
        <f t="shared" si="19"/>
        <v>0.13877205011802496</v>
      </c>
      <c r="AB10" s="19">
        <f t="shared" si="20"/>
        <v>2.1592864753578467E-2</v>
      </c>
    </row>
    <row r="11" spans="1:28" x14ac:dyDescent="0.25">
      <c r="A11" s="13">
        <f>[1]Data!A14</f>
        <v>37742</v>
      </c>
      <c r="B11" s="14">
        <f>[1]Data!B14</f>
        <v>5.3384245512395956E-2</v>
      </c>
      <c r="C11" s="14">
        <f>[1]Data!C14</f>
        <v>-5.5054602565912339E-2</v>
      </c>
      <c r="D11" s="15">
        <f>[1]Data!F14</f>
        <v>4.5364642152558296E-2</v>
      </c>
      <c r="E11" s="16">
        <f>[1]Data!G14</f>
        <v>-1.7950653737101154E-3</v>
      </c>
      <c r="F11" s="15">
        <f>[1]Data!H14</f>
        <v>1.597342757041828E-2</v>
      </c>
      <c r="G11" s="16">
        <f>[1]Data!I14</f>
        <v>1.442703785556722E-2</v>
      </c>
      <c r="H11" s="17">
        <f t="shared" si="0"/>
        <v>1</v>
      </c>
      <c r="I11" s="18">
        <f t="shared" si="10"/>
        <v>1</v>
      </c>
      <c r="J11" s="19">
        <f t="shared" si="1"/>
        <v>4.5364642152558296E-2</v>
      </c>
      <c r="K11" s="19">
        <f t="shared" si="2"/>
        <v>0</v>
      </c>
      <c r="L11" s="19">
        <f t="shared" si="3"/>
        <v>1.7950653737101154E-3</v>
      </c>
      <c r="M11" s="19">
        <f t="shared" si="4"/>
        <v>0</v>
      </c>
      <c r="N11" s="19">
        <f t="shared" si="5"/>
        <v>1.597342757041828E-2</v>
      </c>
      <c r="O11" s="19">
        <f t="shared" si="6"/>
        <v>0</v>
      </c>
      <c r="P11" s="19">
        <f t="shared" si="7"/>
        <v>-1.442703785556722E-2</v>
      </c>
      <c r="Q11" s="19">
        <f t="shared" si="8"/>
        <v>0</v>
      </c>
      <c r="R11" s="19">
        <f t="shared" si="11"/>
        <v>1.604876877848101E-2</v>
      </c>
      <c r="S11" s="19">
        <f t="shared" si="12"/>
        <v>0.14264041658129892</v>
      </c>
      <c r="T11" s="19">
        <f t="shared" si="13"/>
        <v>-3.9599712159192009E-2</v>
      </c>
      <c r="U11" s="19">
        <f t="shared" si="14"/>
        <v>9.2348043258399154E-2</v>
      </c>
      <c r="V11" s="19">
        <f t="shared" si="15"/>
        <v>1.4879464054476273E-2</v>
      </c>
      <c r="W11" s="19">
        <f t="shared" si="16"/>
        <v>1.6660445669879211E-2</v>
      </c>
      <c r="X11" s="19">
        <f t="shared" si="17"/>
        <v>-3.7840915782096571E-2</v>
      </c>
      <c r="Y11" s="19">
        <f t="shared" si="18"/>
        <v>-1.7658363042101572E-2</v>
      </c>
      <c r="AA11" s="19">
        <f t="shared" si="19"/>
        <v>0.18747814735914442</v>
      </c>
      <c r="AB11" s="19">
        <f t="shared" si="20"/>
        <v>7.4977110265974423E-2</v>
      </c>
    </row>
    <row r="12" spans="1:28" x14ac:dyDescent="0.25">
      <c r="A12" s="13">
        <f>[1]Data!A15</f>
        <v>37773</v>
      </c>
      <c r="B12" s="14">
        <f>[1]Data!B15</f>
        <v>1.0596063862264466E-2</v>
      </c>
      <c r="C12" s="14">
        <f>[1]Data!C15</f>
        <v>3.3775056393808359E-2</v>
      </c>
      <c r="D12" s="15">
        <f>[1]Data!F15</f>
        <v>-1.8369472849866106E-2</v>
      </c>
      <c r="E12" s="16">
        <f>[1]Data!G15</f>
        <v>-1.3423260708564914E-2</v>
      </c>
      <c r="F12" s="15">
        <f>[1]Data!H15</f>
        <v>2.3548221525163844E-2</v>
      </c>
      <c r="G12" s="16">
        <f>[1]Data!I15</f>
        <v>-6.5859764806690951E-4</v>
      </c>
      <c r="H12" s="17">
        <f t="shared" si="0"/>
        <v>-1</v>
      </c>
      <c r="I12" s="18">
        <f t="shared" si="10"/>
        <v>-1</v>
      </c>
      <c r="J12" s="19">
        <f t="shared" si="1"/>
        <v>0</v>
      </c>
      <c r="K12" s="19">
        <f t="shared" si="2"/>
        <v>1.8369472849866106E-2</v>
      </c>
      <c r="L12" s="19">
        <f t="shared" si="3"/>
        <v>0</v>
      </c>
      <c r="M12" s="19">
        <f t="shared" si="4"/>
        <v>-1.3423260708564914E-2</v>
      </c>
      <c r="N12" s="19">
        <f t="shared" si="5"/>
        <v>0</v>
      </c>
      <c r="O12" s="19">
        <f t="shared" si="6"/>
        <v>-2.3548221525163844E-2</v>
      </c>
      <c r="P12" s="19">
        <f t="shared" si="7"/>
        <v>0</v>
      </c>
      <c r="Q12" s="19">
        <f t="shared" si="8"/>
        <v>-6.5859764806690951E-4</v>
      </c>
      <c r="R12" s="19">
        <f t="shared" si="11"/>
        <v>1.604876877848101E-2</v>
      </c>
      <c r="S12" s="19">
        <f t="shared" si="12"/>
        <v>0.16100988943116501</v>
      </c>
      <c r="T12" s="19">
        <f t="shared" si="13"/>
        <v>-3.9599712159192009E-2</v>
      </c>
      <c r="U12" s="19">
        <f t="shared" si="14"/>
        <v>7.8924782549834233E-2</v>
      </c>
      <c r="V12" s="19">
        <f t="shared" si="15"/>
        <v>1.4879464054476273E-2</v>
      </c>
      <c r="W12" s="19">
        <f t="shared" si="16"/>
        <v>-6.8877758552846335E-3</v>
      </c>
      <c r="X12" s="19">
        <f t="shared" si="17"/>
        <v>-3.7840915782096571E-2</v>
      </c>
      <c r="Y12" s="19">
        <f t="shared" si="18"/>
        <v>-1.8316960690168482E-2</v>
      </c>
      <c r="AA12" s="19">
        <f t="shared" si="19"/>
        <v>0.16821754032721487</v>
      </c>
      <c r="AB12" s="19">
        <f t="shared" si="20"/>
        <v>8.5573174128238894E-2</v>
      </c>
    </row>
    <row r="13" spans="1:28" x14ac:dyDescent="0.25">
      <c r="A13" s="13">
        <f>[1]Data!A16</f>
        <v>37803</v>
      </c>
      <c r="B13" s="14">
        <f>[1]Data!B16</f>
        <v>1.7866740475004139E-2</v>
      </c>
      <c r="C13" s="14">
        <f>[1]Data!C16</f>
        <v>8.1669580238746195E-2</v>
      </c>
      <c r="D13" s="15">
        <f>[1]Data!F16</f>
        <v>2.216397670015548E-3</v>
      </c>
      <c r="E13" s="16">
        <f>[1]Data!G16</f>
        <v>-3.9127789601589372E-2</v>
      </c>
      <c r="F13" s="15">
        <f>[1]Data!H16</f>
        <v>3.5419742157082566E-2</v>
      </c>
      <c r="G13" s="16">
        <f>[1]Data!I16</f>
        <v>-2.2465039596315295E-2</v>
      </c>
      <c r="H13" s="17">
        <f t="shared" si="0"/>
        <v>-1</v>
      </c>
      <c r="I13" s="18">
        <f t="shared" si="10"/>
        <v>1</v>
      </c>
      <c r="J13" s="19">
        <f t="shared" si="1"/>
        <v>0</v>
      </c>
      <c r="K13" s="19">
        <f t="shared" si="2"/>
        <v>-2.216397670015548E-3</v>
      </c>
      <c r="L13" s="19">
        <f t="shared" si="3"/>
        <v>0</v>
      </c>
      <c r="M13" s="19">
        <f t="shared" si="4"/>
        <v>-3.9127789601589372E-2</v>
      </c>
      <c r="N13" s="19">
        <f t="shared" si="5"/>
        <v>3.5419742157082566E-2</v>
      </c>
      <c r="O13" s="19">
        <f t="shared" si="6"/>
        <v>0</v>
      </c>
      <c r="P13" s="19">
        <f t="shared" si="7"/>
        <v>2.2465039596315295E-2</v>
      </c>
      <c r="Q13" s="19">
        <f t="shared" si="8"/>
        <v>0</v>
      </c>
      <c r="R13" s="19">
        <f t="shared" si="11"/>
        <v>1.604876877848101E-2</v>
      </c>
      <c r="S13" s="19">
        <f t="shared" si="12"/>
        <v>0.15879349176114946</v>
      </c>
      <c r="T13" s="19">
        <f t="shared" si="13"/>
        <v>-3.9599712159192009E-2</v>
      </c>
      <c r="U13" s="19">
        <f t="shared" si="14"/>
        <v>3.9796992948244861E-2</v>
      </c>
      <c r="V13" s="19">
        <f t="shared" si="15"/>
        <v>5.0299206211558839E-2</v>
      </c>
      <c r="W13" s="19">
        <f t="shared" si="16"/>
        <v>-6.8877758552846335E-3</v>
      </c>
      <c r="X13" s="19">
        <f t="shared" si="17"/>
        <v>-1.5375876185781276E-2</v>
      </c>
      <c r="Y13" s="19">
        <f t="shared" si="18"/>
        <v>-1.8316960690168482E-2</v>
      </c>
      <c r="AA13" s="19">
        <f t="shared" si="19"/>
        <v>0.18475813480900782</v>
      </c>
      <c r="AB13" s="19">
        <f t="shared" si="20"/>
        <v>0.10343991460324303</v>
      </c>
    </row>
    <row r="14" spans="1:28" x14ac:dyDescent="0.25">
      <c r="A14" s="13">
        <f>[1]Data!A17</f>
        <v>37834</v>
      </c>
      <c r="B14" s="14">
        <f>[1]Data!B17</f>
        <v>2.0415823630765294E-2</v>
      </c>
      <c r="C14" s="14">
        <f>[1]Data!C17</f>
        <v>8.6189233696981997E-3</v>
      </c>
      <c r="D14" s="15">
        <f>[1]Data!F17</f>
        <v>6.6266254038208159E-3</v>
      </c>
      <c r="E14" s="16">
        <f>[1]Data!G17</f>
        <v>7.8013612977776373E-3</v>
      </c>
      <c r="F14" s="15">
        <f>[1]Data!H17</f>
        <v>-1.4084041863477519E-2</v>
      </c>
      <c r="G14" s="16">
        <f>[1]Data!I17</f>
        <v>1.7146179916123636E-2</v>
      </c>
      <c r="H14" s="17">
        <f t="shared" si="0"/>
        <v>-1</v>
      </c>
      <c r="I14" s="18">
        <f t="shared" si="10"/>
        <v>1</v>
      </c>
      <c r="J14" s="19">
        <f t="shared" si="1"/>
        <v>0</v>
      </c>
      <c r="K14" s="19">
        <f t="shared" si="2"/>
        <v>-6.6266254038208159E-3</v>
      </c>
      <c r="L14" s="19">
        <f t="shared" si="3"/>
        <v>0</v>
      </c>
      <c r="M14" s="19">
        <f t="shared" si="4"/>
        <v>7.8013612977776373E-3</v>
      </c>
      <c r="N14" s="19">
        <f t="shared" si="5"/>
        <v>-1.4084041863477519E-2</v>
      </c>
      <c r="O14" s="19">
        <f t="shared" si="6"/>
        <v>0</v>
      </c>
      <c r="P14" s="19">
        <f t="shared" si="7"/>
        <v>-1.7146179916123636E-2</v>
      </c>
      <c r="Q14" s="19">
        <f t="shared" si="8"/>
        <v>0</v>
      </c>
      <c r="R14" s="19">
        <f t="shared" si="11"/>
        <v>1.604876877848101E-2</v>
      </c>
      <c r="S14" s="19">
        <f t="shared" si="12"/>
        <v>0.15216686635732865</v>
      </c>
      <c r="T14" s="19">
        <f t="shared" si="13"/>
        <v>-3.9599712159192009E-2</v>
      </c>
      <c r="U14" s="19">
        <f t="shared" si="14"/>
        <v>4.7598354246022496E-2</v>
      </c>
      <c r="V14" s="19">
        <f t="shared" si="15"/>
        <v>3.6215164348081322E-2</v>
      </c>
      <c r="W14" s="19">
        <f t="shared" si="16"/>
        <v>-6.8877758552846335E-3</v>
      </c>
      <c r="X14" s="19">
        <f t="shared" si="17"/>
        <v>-3.2522056101904909E-2</v>
      </c>
      <c r="Y14" s="19">
        <f t="shared" si="18"/>
        <v>-1.8316960690168482E-2</v>
      </c>
      <c r="AA14" s="19">
        <f t="shared" si="19"/>
        <v>0.15470264892336349</v>
      </c>
      <c r="AB14" s="19">
        <f t="shared" si="20"/>
        <v>0.12385573823400833</v>
      </c>
    </row>
    <row r="15" spans="1:28" x14ac:dyDescent="0.25">
      <c r="A15" s="13">
        <f>[1]Data!A18</f>
        <v>37865</v>
      </c>
      <c r="B15" s="14">
        <f>[1]Data!B18</f>
        <v>-1.0966089333232471E-2</v>
      </c>
      <c r="C15" s="14">
        <f>[1]Data!C18</f>
        <v>-5.1631716224384014E-3</v>
      </c>
      <c r="D15" s="15">
        <f>[1]Data!F18</f>
        <v>-2.5680352408644094E-2</v>
      </c>
      <c r="E15" s="16">
        <f>[1]Data!G18</f>
        <v>3.7771205546862821E-2</v>
      </c>
      <c r="F15" s="15">
        <f>[1]Data!H18</f>
        <v>2.1841664622560132E-2</v>
      </c>
      <c r="G15" s="16">
        <f>[1]Data!I18</f>
        <v>-9.3762190842890634E-4</v>
      </c>
      <c r="H15" s="17">
        <f t="shared" si="0"/>
        <v>1</v>
      </c>
      <c r="I15" s="18">
        <f t="shared" si="10"/>
        <v>1</v>
      </c>
      <c r="J15" s="19">
        <f t="shared" si="1"/>
        <v>-2.5680352408644094E-2</v>
      </c>
      <c r="K15" s="19">
        <f t="shared" si="2"/>
        <v>0</v>
      </c>
      <c r="L15" s="19">
        <f t="shared" si="3"/>
        <v>-3.7771205546862821E-2</v>
      </c>
      <c r="M15" s="19">
        <f t="shared" si="4"/>
        <v>0</v>
      </c>
      <c r="N15" s="19">
        <f t="shared" si="5"/>
        <v>2.1841664622560132E-2</v>
      </c>
      <c r="O15" s="19">
        <f t="shared" si="6"/>
        <v>0</v>
      </c>
      <c r="P15" s="19">
        <f t="shared" si="7"/>
        <v>9.3762190842890634E-4</v>
      </c>
      <c r="Q15" s="19">
        <f t="shared" si="8"/>
        <v>0</v>
      </c>
      <c r="R15" s="19">
        <f t="shared" si="11"/>
        <v>-9.631583630163084E-3</v>
      </c>
      <c r="S15" s="19">
        <f t="shared" si="12"/>
        <v>0.15216686635732865</v>
      </c>
      <c r="T15" s="19">
        <f t="shared" si="13"/>
        <v>-7.7370917706054837E-2</v>
      </c>
      <c r="U15" s="19">
        <f t="shared" si="14"/>
        <v>4.7598354246022496E-2</v>
      </c>
      <c r="V15" s="19">
        <f t="shared" si="15"/>
        <v>5.8056828970641454E-2</v>
      </c>
      <c r="W15" s="19">
        <f t="shared" si="16"/>
        <v>-6.8877758552846335E-3</v>
      </c>
      <c r="X15" s="19">
        <f t="shared" si="17"/>
        <v>-3.1584434193476001E-2</v>
      </c>
      <c r="Y15" s="19">
        <f t="shared" si="18"/>
        <v>-1.8316960690168482E-2</v>
      </c>
      <c r="AA15" s="19">
        <f t="shared" si="19"/>
        <v>0.11403037749884562</v>
      </c>
      <c r="AB15" s="19">
        <f t="shared" si="20"/>
        <v>0.11288964890077587</v>
      </c>
    </row>
    <row r="16" spans="1:28" x14ac:dyDescent="0.25">
      <c r="A16" s="13">
        <f>[1]Data!A19</f>
        <v>37895</v>
      </c>
      <c r="B16" s="14">
        <f>[1]Data!B19</f>
        <v>5.2144139912676593E-2</v>
      </c>
      <c r="C16" s="14">
        <f>[1]Data!C19</f>
        <v>9.1258810603082163E-2</v>
      </c>
      <c r="D16" s="15">
        <f>[1]Data!F19</f>
        <v>4.187473498823085E-3</v>
      </c>
      <c r="E16" s="16">
        <f>[1]Data!G19</f>
        <v>1.2520683132503714E-2</v>
      </c>
      <c r="F16" s="15">
        <f>[1]Data!H19</f>
        <v>4.221811855834802E-2</v>
      </c>
      <c r="G16" s="16">
        <f>[1]Data!I19</f>
        <v>-3.6904121899701381E-2</v>
      </c>
      <c r="H16" s="17">
        <f t="shared" si="0"/>
        <v>-1</v>
      </c>
      <c r="I16" s="18">
        <f t="shared" si="10"/>
        <v>-1</v>
      </c>
      <c r="J16" s="19">
        <f t="shared" si="1"/>
        <v>0</v>
      </c>
      <c r="K16" s="19">
        <f t="shared" si="2"/>
        <v>-4.187473498823085E-3</v>
      </c>
      <c r="L16" s="19">
        <f t="shared" si="3"/>
        <v>0</v>
      </c>
      <c r="M16" s="19">
        <f t="shared" si="4"/>
        <v>1.2520683132503714E-2</v>
      </c>
      <c r="N16" s="19">
        <f t="shared" si="5"/>
        <v>0</v>
      </c>
      <c r="O16" s="19">
        <f t="shared" si="6"/>
        <v>-4.221811855834802E-2</v>
      </c>
      <c r="P16" s="19">
        <f t="shared" si="7"/>
        <v>0</v>
      </c>
      <c r="Q16" s="19">
        <f t="shared" si="8"/>
        <v>-3.6904121899701381E-2</v>
      </c>
      <c r="R16" s="19">
        <f t="shared" si="11"/>
        <v>-9.631583630163084E-3</v>
      </c>
      <c r="S16" s="19">
        <f t="shared" si="12"/>
        <v>0.14797939285850556</v>
      </c>
      <c r="T16" s="19">
        <f t="shared" si="13"/>
        <v>-7.7370917706054837E-2</v>
      </c>
      <c r="U16" s="19">
        <f t="shared" si="14"/>
        <v>6.0119037378526211E-2</v>
      </c>
      <c r="V16" s="19">
        <f t="shared" si="15"/>
        <v>5.8056828970641454E-2</v>
      </c>
      <c r="W16" s="19">
        <f t="shared" si="16"/>
        <v>-4.9105894413632653E-2</v>
      </c>
      <c r="X16" s="19">
        <f t="shared" si="17"/>
        <v>-3.1584434193476001E-2</v>
      </c>
      <c r="Y16" s="19">
        <f t="shared" si="18"/>
        <v>-5.5221082589869866E-2</v>
      </c>
      <c r="AA16" s="19">
        <f t="shared" si="19"/>
        <v>4.3241346674476849E-2</v>
      </c>
      <c r="AB16" s="19">
        <f t="shared" si="20"/>
        <v>0.16503378881345246</v>
      </c>
    </row>
    <row r="17" spans="1:28" x14ac:dyDescent="0.25">
      <c r="A17" s="13">
        <f>[1]Data!A20</f>
        <v>37926</v>
      </c>
      <c r="B17" s="14">
        <f>[1]Data!B20</f>
        <v>1.0861449368547426E-2</v>
      </c>
      <c r="C17" s="14">
        <f>[1]Data!C20</f>
        <v>-2.9759385248789294E-2</v>
      </c>
      <c r="D17" s="15">
        <f>[1]Data!F20</f>
        <v>2.1266989697093914E-2</v>
      </c>
      <c r="E17" s="16">
        <f>[1]Data!G20</f>
        <v>-1.5965120188949303E-2</v>
      </c>
      <c r="F17" s="15">
        <f>[1]Data!H20</f>
        <v>2.9385173054028513E-3</v>
      </c>
      <c r="G17" s="16">
        <f>[1]Data!I20</f>
        <v>-1.594344880559977E-2</v>
      </c>
      <c r="H17" s="17">
        <f t="shared" si="0"/>
        <v>1</v>
      </c>
      <c r="I17" s="18">
        <f t="shared" si="10"/>
        <v>1</v>
      </c>
      <c r="J17" s="19">
        <f t="shared" si="1"/>
        <v>2.1266989697093914E-2</v>
      </c>
      <c r="K17" s="19">
        <f t="shared" si="2"/>
        <v>0</v>
      </c>
      <c r="L17" s="19">
        <f t="shared" si="3"/>
        <v>1.5965120188949303E-2</v>
      </c>
      <c r="M17" s="19">
        <f t="shared" si="4"/>
        <v>0</v>
      </c>
      <c r="N17" s="19">
        <f t="shared" si="5"/>
        <v>2.9385173054028513E-3</v>
      </c>
      <c r="O17" s="19">
        <f t="shared" si="6"/>
        <v>0</v>
      </c>
      <c r="P17" s="19">
        <f t="shared" si="7"/>
        <v>1.594344880559977E-2</v>
      </c>
      <c r="Q17" s="19">
        <f t="shared" si="8"/>
        <v>0</v>
      </c>
      <c r="R17" s="19">
        <f t="shared" si="11"/>
        <v>1.163540606693083E-2</v>
      </c>
      <c r="S17" s="19">
        <f t="shared" si="12"/>
        <v>0.14797939285850556</v>
      </c>
      <c r="T17" s="19">
        <f t="shared" si="13"/>
        <v>-6.1405797517105537E-2</v>
      </c>
      <c r="U17" s="19">
        <f t="shared" si="14"/>
        <v>6.0119037378526211E-2</v>
      </c>
      <c r="V17" s="19">
        <f t="shared" si="15"/>
        <v>6.0995346276044304E-2</v>
      </c>
      <c r="W17" s="19">
        <f t="shared" si="16"/>
        <v>-4.9105894413632653E-2</v>
      </c>
      <c r="X17" s="19">
        <f t="shared" si="17"/>
        <v>-1.5640985387876231E-2</v>
      </c>
      <c r="Y17" s="19">
        <f t="shared" si="18"/>
        <v>-5.5221082589869866E-2</v>
      </c>
      <c r="AA17" s="19">
        <f t="shared" si="19"/>
        <v>9.9355422671522683E-2</v>
      </c>
      <c r="AB17" s="19">
        <f t="shared" si="20"/>
        <v>0.1758952381819999</v>
      </c>
    </row>
    <row r="18" spans="1:28" x14ac:dyDescent="0.25">
      <c r="A18" s="13">
        <f>[1]Data!A21</f>
        <v>37956</v>
      </c>
      <c r="B18" s="14">
        <f>[1]Data!B21</f>
        <v>4.9087898099312438E-2</v>
      </c>
      <c r="C18" s="14">
        <f>[1]Data!C21</f>
        <v>1.3271875247031131E-5</v>
      </c>
      <c r="D18" s="15">
        <f>[1]Data!F21</f>
        <v>2.1619299732725618E-2</v>
      </c>
      <c r="E18" s="16">
        <f>[1]Data!G21</f>
        <v>-1.411171926405454E-2</v>
      </c>
      <c r="F18" s="15">
        <f>[1]Data!H21</f>
        <v>3.7503646150602258E-3</v>
      </c>
      <c r="G18" s="16">
        <f>[1]Data!I21</f>
        <v>1.2761996920309574E-2</v>
      </c>
      <c r="H18" s="17">
        <f t="shared" si="0"/>
        <v>-1</v>
      </c>
      <c r="I18" s="18">
        <f t="shared" si="10"/>
        <v>-1</v>
      </c>
      <c r="J18" s="19">
        <f t="shared" si="1"/>
        <v>0</v>
      </c>
      <c r="K18" s="19">
        <f t="shared" si="2"/>
        <v>-2.1619299732725618E-2</v>
      </c>
      <c r="L18" s="19">
        <f t="shared" si="3"/>
        <v>0</v>
      </c>
      <c r="M18" s="19">
        <f t="shared" si="4"/>
        <v>-1.411171926405454E-2</v>
      </c>
      <c r="N18" s="19">
        <f t="shared" si="5"/>
        <v>0</v>
      </c>
      <c r="O18" s="19">
        <f t="shared" si="6"/>
        <v>-3.7503646150602258E-3</v>
      </c>
      <c r="P18" s="19">
        <f t="shared" si="7"/>
        <v>0</v>
      </c>
      <c r="Q18" s="19">
        <f t="shared" si="8"/>
        <v>1.2761996920309574E-2</v>
      </c>
      <c r="R18" s="19">
        <f t="shared" si="11"/>
        <v>1.163540606693083E-2</v>
      </c>
      <c r="S18" s="19">
        <f t="shared" si="12"/>
        <v>0.12636009312577995</v>
      </c>
      <c r="T18" s="19">
        <f t="shared" si="13"/>
        <v>-6.1405797517105537E-2</v>
      </c>
      <c r="U18" s="19">
        <f t="shared" si="14"/>
        <v>4.6007318114471674E-2</v>
      </c>
      <c r="V18" s="19">
        <f t="shared" si="15"/>
        <v>6.0995346276044304E-2</v>
      </c>
      <c r="W18" s="19">
        <f t="shared" si="16"/>
        <v>-5.2856259028692877E-2</v>
      </c>
      <c r="X18" s="19">
        <f t="shared" si="17"/>
        <v>-1.5640985387876231E-2</v>
      </c>
      <c r="Y18" s="19">
        <f t="shared" si="18"/>
        <v>-4.245908566956029E-2</v>
      </c>
      <c r="AA18" s="19">
        <f t="shared" si="19"/>
        <v>7.2636035979991881E-2</v>
      </c>
      <c r="AB18" s="19">
        <f t="shared" si="20"/>
        <v>0.22498313628131233</v>
      </c>
    </row>
    <row r="19" spans="1:28" x14ac:dyDescent="0.25">
      <c r="A19" s="13">
        <f>[1]Data!A22</f>
        <v>37987</v>
      </c>
      <c r="B19" s="14">
        <f>[1]Data!B22</f>
        <v>1.9577025972393632E-2</v>
      </c>
      <c r="C19" s="14">
        <f>[1]Data!C22</f>
        <v>5.5776224237058785E-3</v>
      </c>
      <c r="D19" s="15">
        <f>[1]Data!F22</f>
        <v>-8.3370962572605293E-3</v>
      </c>
      <c r="E19" s="16">
        <f>[1]Data!G22</f>
        <v>-3.8998462570735415E-3</v>
      </c>
      <c r="F19" s="15">
        <f>[1]Data!H22</f>
        <v>1.8695655003773966E-2</v>
      </c>
      <c r="G19" s="16">
        <f>[1]Data!I22</f>
        <v>1.1744042368061811E-4</v>
      </c>
      <c r="H19" s="17">
        <f t="shared" si="0"/>
        <v>-1</v>
      </c>
      <c r="I19" s="18">
        <f t="shared" si="10"/>
        <v>1</v>
      </c>
      <c r="J19" s="19">
        <f t="shared" si="1"/>
        <v>0</v>
      </c>
      <c r="K19" s="19">
        <f t="shared" si="2"/>
        <v>8.3370962572605293E-3</v>
      </c>
      <c r="L19" s="19">
        <f t="shared" si="3"/>
        <v>0</v>
      </c>
      <c r="M19" s="19">
        <f t="shared" si="4"/>
        <v>-3.8998462570735415E-3</v>
      </c>
      <c r="N19" s="19">
        <f t="shared" si="5"/>
        <v>1.8695655003773966E-2</v>
      </c>
      <c r="O19" s="19">
        <f t="shared" si="6"/>
        <v>0</v>
      </c>
      <c r="P19" s="19">
        <f t="shared" si="7"/>
        <v>-1.1744042368061811E-4</v>
      </c>
      <c r="Q19" s="19">
        <f t="shared" si="8"/>
        <v>0</v>
      </c>
      <c r="R19" s="19">
        <f t="shared" si="11"/>
        <v>1.163540606693083E-2</v>
      </c>
      <c r="S19" s="19">
        <f t="shared" si="12"/>
        <v>0.13469718938304048</v>
      </c>
      <c r="T19" s="19">
        <f t="shared" si="13"/>
        <v>-6.1405797517105537E-2</v>
      </c>
      <c r="U19" s="19">
        <f t="shared" si="14"/>
        <v>4.2107471857398132E-2</v>
      </c>
      <c r="V19" s="19">
        <f t="shared" si="15"/>
        <v>7.9691001279818263E-2</v>
      </c>
      <c r="W19" s="19">
        <f t="shared" si="16"/>
        <v>-5.2856259028692877E-2</v>
      </c>
      <c r="X19" s="19">
        <f t="shared" si="17"/>
        <v>-1.5758425811556849E-2</v>
      </c>
      <c r="Y19" s="19">
        <f t="shared" si="18"/>
        <v>-4.245908566956029E-2</v>
      </c>
      <c r="AA19" s="19">
        <f t="shared" si="19"/>
        <v>9.5651500560272218E-2</v>
      </c>
      <c r="AB19" s="19">
        <f t="shared" si="20"/>
        <v>0.24456016225370597</v>
      </c>
    </row>
    <row r="20" spans="1:28" x14ac:dyDescent="0.25">
      <c r="A20" s="13">
        <f>[1]Data!A23</f>
        <v>38018</v>
      </c>
      <c r="B20" s="14">
        <f>[1]Data!B23</f>
        <v>1.3479708802168621E-2</v>
      </c>
      <c r="C20" s="14">
        <f>[1]Data!C23</f>
        <v>-3.9915077704742391E-3</v>
      </c>
      <c r="D20" s="15">
        <f>[1]Data!F23</f>
        <v>3.7455402371840744E-3</v>
      </c>
      <c r="E20" s="16">
        <f>[1]Data!G23</f>
        <v>8.837824589380738E-3</v>
      </c>
      <c r="F20" s="15">
        <f>[1]Data!H23</f>
        <v>8.5113765150951239E-3</v>
      </c>
      <c r="G20" s="16">
        <f>[1]Data!I23</f>
        <v>8.021269081473081E-3</v>
      </c>
      <c r="H20" s="17">
        <f t="shared" si="0"/>
        <v>1</v>
      </c>
      <c r="I20" s="18">
        <f t="shared" si="10"/>
        <v>1</v>
      </c>
      <c r="J20" s="19">
        <f t="shared" si="1"/>
        <v>3.7455402371840744E-3</v>
      </c>
      <c r="K20" s="19">
        <f t="shared" si="2"/>
        <v>0</v>
      </c>
      <c r="L20" s="19">
        <f t="shared" si="3"/>
        <v>-8.837824589380738E-3</v>
      </c>
      <c r="M20" s="19">
        <f t="shared" si="4"/>
        <v>0</v>
      </c>
      <c r="N20" s="19">
        <f t="shared" si="5"/>
        <v>8.5113765150951239E-3</v>
      </c>
      <c r="O20" s="19">
        <f t="shared" si="6"/>
        <v>0</v>
      </c>
      <c r="P20" s="19">
        <f t="shared" si="7"/>
        <v>-8.021269081473081E-3</v>
      </c>
      <c r="Q20" s="19">
        <f t="shared" si="8"/>
        <v>0</v>
      </c>
      <c r="R20" s="19">
        <f t="shared" si="11"/>
        <v>1.5380946304114905E-2</v>
      </c>
      <c r="S20" s="19">
        <f t="shared" si="12"/>
        <v>0.13469718938304048</v>
      </c>
      <c r="T20" s="19">
        <f t="shared" si="13"/>
        <v>-7.024362210648627E-2</v>
      </c>
      <c r="U20" s="19">
        <f t="shared" si="14"/>
        <v>4.2107471857398132E-2</v>
      </c>
      <c r="V20" s="19">
        <f t="shared" si="15"/>
        <v>8.8202377794913384E-2</v>
      </c>
      <c r="W20" s="19">
        <f t="shared" si="16"/>
        <v>-5.2856259028692877E-2</v>
      </c>
      <c r="X20" s="19">
        <f t="shared" si="17"/>
        <v>-2.3779694893029932E-2</v>
      </c>
      <c r="Y20" s="19">
        <f t="shared" si="18"/>
        <v>-4.245908566956029E-2</v>
      </c>
      <c r="AA20" s="19">
        <f t="shared" si="19"/>
        <v>9.1049323641697599E-2</v>
      </c>
      <c r="AB20" s="19">
        <f t="shared" si="20"/>
        <v>0.25803987105587461</v>
      </c>
    </row>
    <row r="21" spans="1:28" x14ac:dyDescent="0.25">
      <c r="A21" s="13">
        <f>[1]Data!A24</f>
        <v>38047</v>
      </c>
      <c r="B21" s="14">
        <f>[1]Data!B24</f>
        <v>-1.3334294966489475E-2</v>
      </c>
      <c r="C21" s="14">
        <f>[1]Data!C24</f>
        <v>-5.5326873150173414E-2</v>
      </c>
      <c r="D21" s="15">
        <f>[1]Data!F24</f>
        <v>1.8201990800118098E-2</v>
      </c>
      <c r="E21" s="16">
        <f>[1]Data!G24</f>
        <v>-9.7793502857180283E-3</v>
      </c>
      <c r="F21" s="15">
        <f>[1]Data!H24</f>
        <v>1.1754441496936219E-2</v>
      </c>
      <c r="G21" s="16">
        <f>[1]Data!I24</f>
        <v>1.5015637139404094E-2</v>
      </c>
      <c r="H21" s="17">
        <f t="shared" si="0"/>
        <v>1</v>
      </c>
      <c r="I21" s="18">
        <f t="shared" si="10"/>
        <v>-1</v>
      </c>
      <c r="J21" s="19">
        <f t="shared" si="1"/>
        <v>1.8201990800118098E-2</v>
      </c>
      <c r="K21" s="19">
        <f t="shared" si="2"/>
        <v>0</v>
      </c>
      <c r="L21" s="19">
        <f t="shared" si="3"/>
        <v>9.7793502857180283E-3</v>
      </c>
      <c r="M21" s="19">
        <f t="shared" si="4"/>
        <v>0</v>
      </c>
      <c r="N21" s="19">
        <f t="shared" si="5"/>
        <v>0</v>
      </c>
      <c r="O21" s="19">
        <f t="shared" si="6"/>
        <v>-1.1754441496936219E-2</v>
      </c>
      <c r="P21" s="19">
        <f t="shared" si="7"/>
        <v>0</v>
      </c>
      <c r="Q21" s="19">
        <f t="shared" si="8"/>
        <v>1.5015637139404094E-2</v>
      </c>
      <c r="R21" s="19">
        <f t="shared" si="11"/>
        <v>3.3582937104233004E-2</v>
      </c>
      <c r="S21" s="19">
        <f t="shared" si="12"/>
        <v>0.13469718938304048</v>
      </c>
      <c r="T21" s="19">
        <f t="shared" si="13"/>
        <v>-6.0464271820768245E-2</v>
      </c>
      <c r="U21" s="19">
        <f t="shared" si="14"/>
        <v>4.2107471857398132E-2</v>
      </c>
      <c r="V21" s="19">
        <f t="shared" si="15"/>
        <v>8.8202377794913384E-2</v>
      </c>
      <c r="W21" s="19">
        <f t="shared" si="16"/>
        <v>-6.4610700525629089E-2</v>
      </c>
      <c r="X21" s="19">
        <f t="shared" si="17"/>
        <v>-2.3779694893029932E-2</v>
      </c>
      <c r="Y21" s="19">
        <f t="shared" si="18"/>
        <v>-2.7443448530156195E-2</v>
      </c>
      <c r="AA21" s="19">
        <f t="shared" si="19"/>
        <v>0.1222918603700016</v>
      </c>
      <c r="AB21" s="19">
        <f t="shared" si="20"/>
        <v>0.24470557608938515</v>
      </c>
    </row>
    <row r="22" spans="1:28" x14ac:dyDescent="0.25">
      <c r="A22" s="13">
        <f>[1]Data!A25</f>
        <v>38078</v>
      </c>
      <c r="B22" s="14">
        <f>[1]Data!B25</f>
        <v>-1.9102805722503481E-2</v>
      </c>
      <c r="C22" s="14">
        <f>[1]Data!C25</f>
        <v>6.4031392450913854E-2</v>
      </c>
      <c r="D22" s="15">
        <f>[1]Data!F25</f>
        <v>-2.9219346069354106E-2</v>
      </c>
      <c r="E22" s="16">
        <f>[1]Data!G25</f>
        <v>-1.0466084980112988E-2</v>
      </c>
      <c r="F22" s="15">
        <f>[1]Data!H25</f>
        <v>1.3437141486775382E-2</v>
      </c>
      <c r="G22" s="16">
        <f>[1]Data!I25</f>
        <v>-3.3073193219356839E-2</v>
      </c>
      <c r="H22" s="17">
        <f t="shared" si="0"/>
        <v>-1</v>
      </c>
      <c r="I22" s="18">
        <f t="shared" si="10"/>
        <v>-1</v>
      </c>
      <c r="J22" s="19">
        <f t="shared" si="1"/>
        <v>0</v>
      </c>
      <c r="K22" s="19">
        <f t="shared" si="2"/>
        <v>2.9219346069354106E-2</v>
      </c>
      <c r="L22" s="19">
        <f t="shared" si="3"/>
        <v>0</v>
      </c>
      <c r="M22" s="19">
        <f t="shared" si="4"/>
        <v>-1.0466084980112988E-2</v>
      </c>
      <c r="N22" s="19">
        <f t="shared" si="5"/>
        <v>0</v>
      </c>
      <c r="O22" s="19">
        <f t="shared" si="6"/>
        <v>-1.3437141486775382E-2</v>
      </c>
      <c r="P22" s="19">
        <f t="shared" si="7"/>
        <v>0</v>
      </c>
      <c r="Q22" s="19">
        <f t="shared" si="8"/>
        <v>-3.3073193219356839E-2</v>
      </c>
      <c r="R22" s="19">
        <f t="shared" si="11"/>
        <v>3.3582937104233004E-2</v>
      </c>
      <c r="S22" s="19">
        <f t="shared" si="12"/>
        <v>0.1639165354523946</v>
      </c>
      <c r="T22" s="19">
        <f t="shared" si="13"/>
        <v>-6.0464271820768245E-2</v>
      </c>
      <c r="U22" s="19">
        <f t="shared" si="14"/>
        <v>3.1641386877285141E-2</v>
      </c>
      <c r="V22" s="19">
        <f t="shared" si="15"/>
        <v>8.8202377794913384E-2</v>
      </c>
      <c r="W22" s="19">
        <f t="shared" si="16"/>
        <v>-7.8047842012404473E-2</v>
      </c>
      <c r="X22" s="19">
        <f t="shared" si="17"/>
        <v>-2.3779694893029932E-2</v>
      </c>
      <c r="Y22" s="19">
        <f t="shared" si="18"/>
        <v>-6.0516641749513031E-2</v>
      </c>
      <c r="AA22" s="19">
        <f t="shared" si="19"/>
        <v>9.45347867531105E-2</v>
      </c>
      <c r="AB22" s="19">
        <f t="shared" si="20"/>
        <v>0.22560277036688167</v>
      </c>
    </row>
    <row r="23" spans="1:28" x14ac:dyDescent="0.25">
      <c r="A23" s="13">
        <f>[1]Data!A26</f>
        <v>38108</v>
      </c>
      <c r="B23" s="14">
        <f>[1]Data!B26</f>
        <v>1.6979050250249192E-2</v>
      </c>
      <c r="C23" s="14">
        <f>[1]Data!C26</f>
        <v>8.6682691255538097E-3</v>
      </c>
      <c r="D23" s="15">
        <f>[1]Data!F26</f>
        <v>2.7396704422756032E-2</v>
      </c>
      <c r="E23" s="16">
        <f>[1]Data!G26</f>
        <v>1.6501478291470945E-2</v>
      </c>
      <c r="F23" s="15">
        <f>[1]Data!H26</f>
        <v>-9.0526502395397168E-3</v>
      </c>
      <c r="G23" s="16">
        <f>[1]Data!I26</f>
        <v>-2.4236662573878066E-2</v>
      </c>
      <c r="H23" s="17">
        <f t="shared" si="0"/>
        <v>-1</v>
      </c>
      <c r="I23" s="18">
        <f t="shared" si="10"/>
        <v>1</v>
      </c>
      <c r="J23" s="19">
        <f t="shared" si="1"/>
        <v>0</v>
      </c>
      <c r="K23" s="19">
        <f t="shared" si="2"/>
        <v>-2.7396704422756032E-2</v>
      </c>
      <c r="L23" s="19">
        <f t="shared" si="3"/>
        <v>0</v>
      </c>
      <c r="M23" s="19">
        <f t="shared" si="4"/>
        <v>1.6501478291470945E-2</v>
      </c>
      <c r="N23" s="19">
        <f t="shared" si="5"/>
        <v>-9.0526502395397168E-3</v>
      </c>
      <c r="O23" s="19">
        <f t="shared" si="6"/>
        <v>0</v>
      </c>
      <c r="P23" s="19">
        <f t="shared" si="7"/>
        <v>2.4236662573878066E-2</v>
      </c>
      <c r="Q23" s="19">
        <f t="shared" si="8"/>
        <v>0</v>
      </c>
      <c r="R23" s="19">
        <f t="shared" si="11"/>
        <v>3.3582937104233004E-2</v>
      </c>
      <c r="S23" s="19">
        <f t="shared" si="12"/>
        <v>0.13651983102963855</v>
      </c>
      <c r="T23" s="19">
        <f t="shared" si="13"/>
        <v>-6.0464271820768245E-2</v>
      </c>
      <c r="U23" s="19">
        <f t="shared" si="14"/>
        <v>4.8142865168756085E-2</v>
      </c>
      <c r="V23" s="19">
        <f t="shared" si="15"/>
        <v>7.9149727555373667E-2</v>
      </c>
      <c r="W23" s="19">
        <f t="shared" si="16"/>
        <v>-7.8047842012404473E-2</v>
      </c>
      <c r="X23" s="19">
        <f t="shared" si="17"/>
        <v>4.5696768084813391E-4</v>
      </c>
      <c r="Y23" s="19">
        <f t="shared" si="18"/>
        <v>-6.0516641749513031E-2</v>
      </c>
      <c r="AA23" s="19">
        <f t="shared" si="19"/>
        <v>9.8823572956163758E-2</v>
      </c>
      <c r="AB23" s="19">
        <f t="shared" si="20"/>
        <v>0.24258182061713085</v>
      </c>
    </row>
    <row r="24" spans="1:28" x14ac:dyDescent="0.25">
      <c r="A24" s="13">
        <f>[1]Data!A27</f>
        <v>38139</v>
      </c>
      <c r="B24" s="14">
        <f>[1]Data!B27</f>
        <v>1.8331885030361789E-2</v>
      </c>
      <c r="C24" s="14">
        <f>[1]Data!C27</f>
        <v>1.6372054357472281E-2</v>
      </c>
      <c r="D24" s="15">
        <f>[1]Data!F27</f>
        <v>6.6580648753345774E-3</v>
      </c>
      <c r="E24" s="16">
        <f>[1]Data!G27</f>
        <v>1.5177840048565337E-2</v>
      </c>
      <c r="F24" s="15">
        <f>[1]Data!H27</f>
        <v>1.617131804322568E-2</v>
      </c>
      <c r="G24" s="16">
        <f>[1]Data!I27</f>
        <v>-1.5313748195601428E-2</v>
      </c>
      <c r="H24" s="17">
        <f t="shared" si="0"/>
        <v>-1</v>
      </c>
      <c r="I24" s="18">
        <f t="shared" si="10"/>
        <v>1</v>
      </c>
      <c r="J24" s="19">
        <f t="shared" si="1"/>
        <v>0</v>
      </c>
      <c r="K24" s="19">
        <f t="shared" si="2"/>
        <v>-6.6580648753345774E-3</v>
      </c>
      <c r="L24" s="19">
        <f t="shared" si="3"/>
        <v>0</v>
      </c>
      <c r="M24" s="19">
        <f t="shared" si="4"/>
        <v>1.5177840048565337E-2</v>
      </c>
      <c r="N24" s="19">
        <f t="shared" si="5"/>
        <v>1.617131804322568E-2</v>
      </c>
      <c r="O24" s="19">
        <f t="shared" si="6"/>
        <v>0</v>
      </c>
      <c r="P24" s="19">
        <f t="shared" si="7"/>
        <v>1.5313748195601428E-2</v>
      </c>
      <c r="Q24" s="19">
        <f t="shared" si="8"/>
        <v>0</v>
      </c>
      <c r="R24" s="19">
        <f t="shared" si="11"/>
        <v>3.3582937104233004E-2</v>
      </c>
      <c r="S24" s="19">
        <f t="shared" si="12"/>
        <v>0.12986176615430398</v>
      </c>
      <c r="T24" s="19">
        <f t="shared" si="13"/>
        <v>-6.0464271820768245E-2</v>
      </c>
      <c r="U24" s="19">
        <f t="shared" si="14"/>
        <v>6.3320705217321416E-2</v>
      </c>
      <c r="V24" s="19">
        <f t="shared" si="15"/>
        <v>9.5321045598599344E-2</v>
      </c>
      <c r="W24" s="19">
        <f t="shared" si="16"/>
        <v>-7.8047842012404473E-2</v>
      </c>
      <c r="X24" s="19">
        <f t="shared" si="17"/>
        <v>1.5770715876449563E-2</v>
      </c>
      <c r="Y24" s="19">
        <f t="shared" si="18"/>
        <v>-6.0516641749513031E-2</v>
      </c>
      <c r="AA24" s="19">
        <f t="shared" si="19"/>
        <v>0.13882841436822163</v>
      </c>
      <c r="AB24" s="19">
        <f t="shared" si="20"/>
        <v>0.26091370564749261</v>
      </c>
    </row>
    <row r="25" spans="1:28" x14ac:dyDescent="0.25">
      <c r="A25" s="13">
        <f>[1]Data!A28</f>
        <v>38169</v>
      </c>
      <c r="B25" s="14">
        <f>[1]Data!B28</f>
        <v>-3.2749449777161849E-2</v>
      </c>
      <c r="C25" s="14">
        <f>[1]Data!C28</f>
        <v>-5.7592268858129694E-2</v>
      </c>
      <c r="D25" s="15">
        <f>[1]Data!F28</f>
        <v>8.6987554498197672E-3</v>
      </c>
      <c r="E25" s="16">
        <f>[1]Data!G28</f>
        <v>-9.4552811160753848E-4</v>
      </c>
      <c r="F25" s="15">
        <f>[1]Data!H28</f>
        <v>-2.7350142406960161E-2</v>
      </c>
      <c r="G25" s="16">
        <f>[1]Data!I28</f>
        <v>1.1646994998757954E-2</v>
      </c>
      <c r="H25" s="17">
        <f t="shared" si="0"/>
        <v>1</v>
      </c>
      <c r="I25" s="18">
        <f t="shared" si="10"/>
        <v>1</v>
      </c>
      <c r="J25" s="19">
        <f t="shared" si="1"/>
        <v>8.6987554498197672E-3</v>
      </c>
      <c r="K25" s="19">
        <f t="shared" si="2"/>
        <v>0</v>
      </c>
      <c r="L25" s="19">
        <f t="shared" si="3"/>
        <v>9.4552811160753848E-4</v>
      </c>
      <c r="M25" s="19">
        <f t="shared" si="4"/>
        <v>0</v>
      </c>
      <c r="N25" s="19">
        <f t="shared" si="5"/>
        <v>-2.7350142406960161E-2</v>
      </c>
      <c r="O25" s="19">
        <f t="shared" si="6"/>
        <v>0</v>
      </c>
      <c r="P25" s="19">
        <f t="shared" si="7"/>
        <v>-1.1646994998757954E-2</v>
      </c>
      <c r="Q25" s="19">
        <f t="shared" si="8"/>
        <v>0</v>
      </c>
      <c r="R25" s="19">
        <f t="shared" si="11"/>
        <v>4.2281692554052772E-2</v>
      </c>
      <c r="S25" s="19">
        <f t="shared" si="12"/>
        <v>0.12986176615430398</v>
      </c>
      <c r="T25" s="19">
        <f t="shared" si="13"/>
        <v>-5.9518743709160708E-2</v>
      </c>
      <c r="U25" s="19">
        <f t="shared" si="14"/>
        <v>6.3320705217321416E-2</v>
      </c>
      <c r="V25" s="19">
        <f t="shared" si="15"/>
        <v>6.7970903191639176E-2</v>
      </c>
      <c r="W25" s="19">
        <f t="shared" si="16"/>
        <v>-7.8047842012404473E-2</v>
      </c>
      <c r="X25" s="19">
        <f t="shared" si="17"/>
        <v>4.1237208776916095E-3</v>
      </c>
      <c r="Y25" s="19">
        <f t="shared" si="18"/>
        <v>-6.0516641749513031E-2</v>
      </c>
      <c r="AA25" s="19">
        <f t="shared" si="19"/>
        <v>0.10947556052393081</v>
      </c>
      <c r="AB25" s="19">
        <f t="shared" si="20"/>
        <v>0.22816425587033076</v>
      </c>
    </row>
    <row r="26" spans="1:28" x14ac:dyDescent="0.25">
      <c r="A26" s="13">
        <f>[1]Data!A29</f>
        <v>38200</v>
      </c>
      <c r="B26" s="14">
        <f>[1]Data!B29</f>
        <v>2.4332456643171877E-3</v>
      </c>
      <c r="C26" s="14">
        <f>[1]Data!C29</f>
        <v>-2.9952560431180792E-2</v>
      </c>
      <c r="D26" s="15">
        <f>[1]Data!F29</f>
        <v>5.6859571158404927E-3</v>
      </c>
      <c r="E26" s="16">
        <f>[1]Data!G29</f>
        <v>1.4113410125157998E-2</v>
      </c>
      <c r="F26" s="15">
        <f>[1]Data!H29</f>
        <v>-3.6661442255212291E-2</v>
      </c>
      <c r="G26" s="16">
        <f>[1]Data!I29</f>
        <v>2.5311785646998028E-2</v>
      </c>
      <c r="H26" s="17">
        <f t="shared" si="0"/>
        <v>1</v>
      </c>
      <c r="I26" s="18">
        <f t="shared" si="10"/>
        <v>-1</v>
      </c>
      <c r="J26" s="19">
        <f t="shared" si="1"/>
        <v>5.6859571158404927E-3</v>
      </c>
      <c r="K26" s="19">
        <f t="shared" si="2"/>
        <v>0</v>
      </c>
      <c r="L26" s="19">
        <f t="shared" si="3"/>
        <v>-1.4113410125157998E-2</v>
      </c>
      <c r="M26" s="19">
        <f t="shared" si="4"/>
        <v>0</v>
      </c>
      <c r="N26" s="19">
        <f t="shared" si="5"/>
        <v>0</v>
      </c>
      <c r="O26" s="19">
        <f t="shared" si="6"/>
        <v>3.6661442255212291E-2</v>
      </c>
      <c r="P26" s="19">
        <f t="shared" si="7"/>
        <v>0</v>
      </c>
      <c r="Q26" s="19">
        <f t="shared" si="8"/>
        <v>2.5311785646998028E-2</v>
      </c>
      <c r="R26" s="19">
        <f t="shared" si="11"/>
        <v>4.7967649669893267E-2</v>
      </c>
      <c r="S26" s="19">
        <f t="shared" si="12"/>
        <v>0.12986176615430398</v>
      </c>
      <c r="T26" s="19">
        <f t="shared" si="13"/>
        <v>-7.3632153834318703E-2</v>
      </c>
      <c r="U26" s="19">
        <f t="shared" si="14"/>
        <v>6.3320705217321416E-2</v>
      </c>
      <c r="V26" s="19">
        <f t="shared" si="15"/>
        <v>6.7970903191639176E-2</v>
      </c>
      <c r="W26" s="19">
        <f t="shared" si="16"/>
        <v>-4.1386399757192181E-2</v>
      </c>
      <c r="X26" s="19">
        <f t="shared" si="17"/>
        <v>4.1237208776916095E-3</v>
      </c>
      <c r="Y26" s="19">
        <f t="shared" si="18"/>
        <v>-3.5204856102515003E-2</v>
      </c>
      <c r="AA26" s="19">
        <f t="shared" si="19"/>
        <v>0.16302133541682362</v>
      </c>
      <c r="AB26" s="19">
        <f t="shared" si="20"/>
        <v>0.23059750153464795</v>
      </c>
    </row>
    <row r="27" spans="1:28" x14ac:dyDescent="0.25">
      <c r="A27" s="13">
        <f>[1]Data!A30</f>
        <v>38231</v>
      </c>
      <c r="B27" s="14">
        <f>[1]Data!B30</f>
        <v>9.9866287756100423E-3</v>
      </c>
      <c r="C27" s="14">
        <f>[1]Data!C30</f>
        <v>-1.7417315802490854E-2</v>
      </c>
      <c r="D27" s="15">
        <f>[1]Data!F30</f>
        <v>1.8801533055461802E-3</v>
      </c>
      <c r="E27" s="16">
        <f>[1]Data!G30</f>
        <v>-1.6073671783751298E-2</v>
      </c>
      <c r="F27" s="15">
        <f>[1]Data!H30</f>
        <v>1.314340904362583E-2</v>
      </c>
      <c r="G27" s="16">
        <f>[1]Data!I30</f>
        <v>-1.3740926279097662E-3</v>
      </c>
      <c r="H27" s="17">
        <f t="shared" si="0"/>
        <v>1</v>
      </c>
      <c r="I27" s="18">
        <f t="shared" si="10"/>
        <v>-1</v>
      </c>
      <c r="J27" s="19">
        <f t="shared" si="1"/>
        <v>1.8801533055461802E-3</v>
      </c>
      <c r="K27" s="19">
        <f t="shared" si="2"/>
        <v>0</v>
      </c>
      <c r="L27" s="19">
        <f t="shared" si="3"/>
        <v>1.6073671783751298E-2</v>
      </c>
      <c r="M27" s="19">
        <f t="shared" si="4"/>
        <v>0</v>
      </c>
      <c r="N27" s="19">
        <f t="shared" si="5"/>
        <v>0</v>
      </c>
      <c r="O27" s="19">
        <f t="shared" si="6"/>
        <v>-1.314340904362583E-2</v>
      </c>
      <c r="P27" s="19">
        <f t="shared" si="7"/>
        <v>0</v>
      </c>
      <c r="Q27" s="19">
        <f t="shared" si="8"/>
        <v>-1.3740926279097662E-3</v>
      </c>
      <c r="R27" s="19">
        <f t="shared" si="11"/>
        <v>4.9847802975439448E-2</v>
      </c>
      <c r="S27" s="19">
        <f t="shared" si="12"/>
        <v>0.12986176615430398</v>
      </c>
      <c r="T27" s="19">
        <f t="shared" si="13"/>
        <v>-5.7558482050567406E-2</v>
      </c>
      <c r="U27" s="19">
        <f t="shared" si="14"/>
        <v>6.3320705217321416E-2</v>
      </c>
      <c r="V27" s="19">
        <f t="shared" si="15"/>
        <v>6.7970903191639176E-2</v>
      </c>
      <c r="W27" s="19">
        <f t="shared" si="16"/>
        <v>-5.4529808800818008E-2</v>
      </c>
      <c r="X27" s="19">
        <f t="shared" si="17"/>
        <v>4.1237208776916095E-3</v>
      </c>
      <c r="Y27" s="19">
        <f t="shared" si="18"/>
        <v>-3.6578948730424769E-2</v>
      </c>
      <c r="AA27" s="19">
        <f t="shared" si="19"/>
        <v>0.16645765883458549</v>
      </c>
      <c r="AB27" s="19">
        <f t="shared" si="20"/>
        <v>0.24058413031025799</v>
      </c>
    </row>
    <row r="28" spans="1:28" x14ac:dyDescent="0.25">
      <c r="A28" s="13">
        <f>[1]Data!A31</f>
        <v>38261</v>
      </c>
      <c r="B28" s="14">
        <f>[1]Data!B31</f>
        <v>1.2802230986665466E-2</v>
      </c>
      <c r="C28" s="14">
        <f>[1]Data!C31</f>
        <v>-2.4055554186821974E-2</v>
      </c>
      <c r="D28" s="15">
        <f>[1]Data!F31</f>
        <v>1.7465748553655909E-2</v>
      </c>
      <c r="E28" s="16">
        <f>[1]Data!G31</f>
        <v>-1.8990809668799555E-3</v>
      </c>
      <c r="F28" s="15">
        <f>[1]Data!H31</f>
        <v>1.5008879658332905E-2</v>
      </c>
      <c r="G28" s="16">
        <f>[1]Data!I31</f>
        <v>-1.2468756187064008E-2</v>
      </c>
      <c r="H28" s="17">
        <f t="shared" si="0"/>
        <v>1</v>
      </c>
      <c r="I28" s="18">
        <f t="shared" si="10"/>
        <v>-1</v>
      </c>
      <c r="J28" s="19">
        <f t="shared" si="1"/>
        <v>1.7465748553655909E-2</v>
      </c>
      <c r="K28" s="19">
        <f t="shared" si="2"/>
        <v>0</v>
      </c>
      <c r="L28" s="19">
        <f t="shared" si="3"/>
        <v>1.8990809668799555E-3</v>
      </c>
      <c r="M28" s="19">
        <f t="shared" si="4"/>
        <v>0</v>
      </c>
      <c r="N28" s="19">
        <f t="shared" si="5"/>
        <v>0</v>
      </c>
      <c r="O28" s="19">
        <f t="shared" si="6"/>
        <v>-1.5008879658332905E-2</v>
      </c>
      <c r="P28" s="19">
        <f t="shared" si="7"/>
        <v>0</v>
      </c>
      <c r="Q28" s="19">
        <f t="shared" si="8"/>
        <v>-1.2468756187064008E-2</v>
      </c>
      <c r="R28" s="19">
        <f t="shared" si="11"/>
        <v>6.731355152909535E-2</v>
      </c>
      <c r="S28" s="19">
        <f t="shared" si="12"/>
        <v>0.12986176615430398</v>
      </c>
      <c r="T28" s="19">
        <f t="shared" si="13"/>
        <v>-5.565940108368745E-2</v>
      </c>
      <c r="U28" s="19">
        <f t="shared" si="14"/>
        <v>6.3320705217321416E-2</v>
      </c>
      <c r="V28" s="19">
        <f t="shared" si="15"/>
        <v>6.7970903191639176E-2</v>
      </c>
      <c r="W28" s="19">
        <f t="shared" si="16"/>
        <v>-6.9538688459150913E-2</v>
      </c>
      <c r="X28" s="19">
        <f t="shared" si="17"/>
        <v>4.1237208776916095E-3</v>
      </c>
      <c r="Y28" s="19">
        <f t="shared" si="18"/>
        <v>-4.9047704917488777E-2</v>
      </c>
      <c r="AA28" s="19">
        <f t="shared" si="19"/>
        <v>0.15834485250972444</v>
      </c>
      <c r="AB28" s="19">
        <f t="shared" si="20"/>
        <v>0.25338636129692343</v>
      </c>
    </row>
    <row r="29" spans="1:28" x14ac:dyDescent="0.25">
      <c r="A29" s="13">
        <f>[1]Data!A32</f>
        <v>38292</v>
      </c>
      <c r="B29" s="14">
        <f>[1]Data!B32</f>
        <v>4.355541838229525E-2</v>
      </c>
      <c r="C29" s="14">
        <f>[1]Data!C32</f>
        <v>4.874141950004432E-2</v>
      </c>
      <c r="D29" s="15">
        <f>[1]Data!F32</f>
        <v>3.9945171430488188E-3</v>
      </c>
      <c r="E29" s="16">
        <f>[1]Data!G32</f>
        <v>-1.5068680556364556E-2</v>
      </c>
      <c r="F29" s="15">
        <f>[1]Data!H32</f>
        <v>3.5408743949253405E-2</v>
      </c>
      <c r="G29" s="16">
        <f>[1]Data!I32</f>
        <v>-1.429184381447136E-2</v>
      </c>
      <c r="H29" s="17">
        <f t="shared" si="0"/>
        <v>-1</v>
      </c>
      <c r="I29" s="18">
        <f t="shared" si="10"/>
        <v>-1</v>
      </c>
      <c r="J29" s="19">
        <f t="shared" si="1"/>
        <v>0</v>
      </c>
      <c r="K29" s="19">
        <f t="shared" si="2"/>
        <v>-3.9945171430488188E-3</v>
      </c>
      <c r="L29" s="19">
        <f t="shared" si="3"/>
        <v>0</v>
      </c>
      <c r="M29" s="19">
        <f t="shared" si="4"/>
        <v>-1.5068680556364556E-2</v>
      </c>
      <c r="N29" s="19">
        <f t="shared" si="5"/>
        <v>0</v>
      </c>
      <c r="O29" s="19">
        <f t="shared" si="6"/>
        <v>-3.5408743949253405E-2</v>
      </c>
      <c r="P29" s="19">
        <f t="shared" si="7"/>
        <v>0</v>
      </c>
      <c r="Q29" s="19">
        <f t="shared" si="8"/>
        <v>-1.429184381447136E-2</v>
      </c>
      <c r="R29" s="19">
        <f t="shared" si="11"/>
        <v>6.731355152909535E-2</v>
      </c>
      <c r="S29" s="19">
        <f t="shared" si="12"/>
        <v>0.12586724901125515</v>
      </c>
      <c r="T29" s="19">
        <f t="shared" si="13"/>
        <v>-5.565940108368745E-2</v>
      </c>
      <c r="U29" s="19">
        <f t="shared" si="14"/>
        <v>4.8252024660956863E-2</v>
      </c>
      <c r="V29" s="19">
        <f t="shared" si="15"/>
        <v>6.7970903191639176E-2</v>
      </c>
      <c r="W29" s="19">
        <f t="shared" si="16"/>
        <v>-0.10494743240840432</v>
      </c>
      <c r="X29" s="19">
        <f t="shared" si="17"/>
        <v>4.1237208776916095E-3</v>
      </c>
      <c r="Y29" s="19">
        <f t="shared" si="18"/>
        <v>-6.3339548731960141E-2</v>
      </c>
      <c r="AA29" s="19">
        <f t="shared" si="19"/>
        <v>8.9581067046586291E-2</v>
      </c>
      <c r="AB29" s="19">
        <f t="shared" si="20"/>
        <v>0.2969417796792187</v>
      </c>
    </row>
    <row r="30" spans="1:28" x14ac:dyDescent="0.25">
      <c r="A30" s="13">
        <f>[1]Data!A33</f>
        <v>38322</v>
      </c>
      <c r="B30" s="14">
        <f>[1]Data!B33</f>
        <v>2.9676404633139329E-2</v>
      </c>
      <c r="C30" s="14">
        <f>[1]Data!C33</f>
        <v>-3.8337068155050351E-3</v>
      </c>
      <c r="D30" s="15">
        <f>[1]Data!F33</f>
        <v>3.9793821301403586E-3</v>
      </c>
      <c r="E30" s="16">
        <f>[1]Data!G33</f>
        <v>-3.2904806428732851E-3</v>
      </c>
      <c r="F30" s="15">
        <f>[1]Data!H33</f>
        <v>1.7799677396180876E-3</v>
      </c>
      <c r="G30" s="16">
        <f>[1]Data!I33</f>
        <v>1.4504216616743846E-2</v>
      </c>
      <c r="H30" s="17">
        <f t="shared" si="0"/>
        <v>1</v>
      </c>
      <c r="I30" s="18">
        <f t="shared" si="10"/>
        <v>1</v>
      </c>
      <c r="J30" s="19">
        <f t="shared" si="1"/>
        <v>3.9793821301403586E-3</v>
      </c>
      <c r="K30" s="19">
        <f t="shared" si="2"/>
        <v>0</v>
      </c>
      <c r="L30" s="19">
        <f t="shared" si="3"/>
        <v>3.2904806428732851E-3</v>
      </c>
      <c r="M30" s="19">
        <f t="shared" si="4"/>
        <v>0</v>
      </c>
      <c r="N30" s="19">
        <f t="shared" si="5"/>
        <v>1.7799677396180876E-3</v>
      </c>
      <c r="O30" s="19">
        <f t="shared" si="6"/>
        <v>0</v>
      </c>
      <c r="P30" s="19">
        <f t="shared" si="7"/>
        <v>-1.4504216616743846E-2</v>
      </c>
      <c r="Q30" s="19">
        <f t="shared" si="8"/>
        <v>0</v>
      </c>
      <c r="R30" s="19">
        <f t="shared" si="11"/>
        <v>7.129293365923571E-2</v>
      </c>
      <c r="S30" s="19">
        <f t="shared" si="12"/>
        <v>0.12586724901125515</v>
      </c>
      <c r="T30" s="19">
        <f t="shared" si="13"/>
        <v>-5.2368920440814162E-2</v>
      </c>
      <c r="U30" s="19">
        <f t="shared" si="14"/>
        <v>4.8252024660956863E-2</v>
      </c>
      <c r="V30" s="19">
        <f t="shared" si="15"/>
        <v>6.9750870931257258E-2</v>
      </c>
      <c r="W30" s="19">
        <f t="shared" si="16"/>
        <v>-0.10494743240840432</v>
      </c>
      <c r="X30" s="19">
        <f t="shared" si="17"/>
        <v>-1.0380495739052236E-2</v>
      </c>
      <c r="Y30" s="19">
        <f t="shared" si="18"/>
        <v>-6.3339548731960141E-2</v>
      </c>
      <c r="AA30" s="19">
        <f t="shared" si="19"/>
        <v>8.4126680942474177E-2</v>
      </c>
      <c r="AB30" s="19">
        <f t="shared" si="20"/>
        <v>0.32661818431235801</v>
      </c>
    </row>
    <row r="31" spans="1:28" x14ac:dyDescent="0.25">
      <c r="A31" s="13">
        <f>[1]Data!A34</f>
        <v>38353</v>
      </c>
      <c r="B31" s="14">
        <f>[1]Data!B34</f>
        <v>-2.2676157800578019E-2</v>
      </c>
      <c r="C31" s="14">
        <f>[1]Data!C34</f>
        <v>-6.807434997875153E-2</v>
      </c>
      <c r="D31" s="15">
        <f>[1]Data!F34</f>
        <v>1.371934186058742E-2</v>
      </c>
      <c r="E31" s="16">
        <f>[1]Data!G34</f>
        <v>3.3852755500740927E-3</v>
      </c>
      <c r="F31" s="15">
        <f>[1]Data!H34</f>
        <v>-2.0308677511837452E-2</v>
      </c>
      <c r="G31" s="16">
        <f>[1]Data!I34</f>
        <v>-1.1279635504883459E-4</v>
      </c>
      <c r="H31" s="17">
        <f t="shared" si="0"/>
        <v>1</v>
      </c>
      <c r="I31" s="18">
        <f t="shared" si="10"/>
        <v>-1</v>
      </c>
      <c r="J31" s="19">
        <f t="shared" si="1"/>
        <v>1.371934186058742E-2</v>
      </c>
      <c r="K31" s="19">
        <f t="shared" si="2"/>
        <v>0</v>
      </c>
      <c r="L31" s="19">
        <f t="shared" si="3"/>
        <v>-3.3852755500740927E-3</v>
      </c>
      <c r="M31" s="19">
        <f t="shared" si="4"/>
        <v>0</v>
      </c>
      <c r="N31" s="19">
        <f t="shared" si="5"/>
        <v>0</v>
      </c>
      <c r="O31" s="19">
        <f t="shared" si="6"/>
        <v>2.0308677511837452E-2</v>
      </c>
      <c r="P31" s="19">
        <f t="shared" si="7"/>
        <v>0</v>
      </c>
      <c r="Q31" s="19">
        <f t="shared" si="8"/>
        <v>-1.1279635504883459E-4</v>
      </c>
      <c r="R31" s="19">
        <f t="shared" si="11"/>
        <v>8.5012275519823127E-2</v>
      </c>
      <c r="S31" s="19">
        <f t="shared" si="12"/>
        <v>0.12586724901125515</v>
      </c>
      <c r="T31" s="19">
        <f t="shared" si="13"/>
        <v>-5.5754195990888253E-2</v>
      </c>
      <c r="U31" s="19">
        <f t="shared" si="14"/>
        <v>4.8252024660956863E-2</v>
      </c>
      <c r="V31" s="19">
        <f t="shared" si="15"/>
        <v>6.9750870931257258E-2</v>
      </c>
      <c r="W31" s="19">
        <f t="shared" si="16"/>
        <v>-8.4638754896566859E-2</v>
      </c>
      <c r="X31" s="19">
        <f t="shared" si="17"/>
        <v>-1.0380495739052236E-2</v>
      </c>
      <c r="Y31" s="19">
        <f t="shared" si="18"/>
        <v>-6.3452345087008977E-2</v>
      </c>
      <c r="AA31" s="19">
        <f t="shared" si="19"/>
        <v>0.11465662840977611</v>
      </c>
      <c r="AB31" s="19">
        <f t="shared" si="20"/>
        <v>0.30394202651177998</v>
      </c>
    </row>
    <row r="32" spans="1:28" x14ac:dyDescent="0.25">
      <c r="A32" s="13">
        <f>[1]Data!A35</f>
        <v>38384</v>
      </c>
      <c r="B32" s="14">
        <f>[1]Data!B35</f>
        <v>2.0688724278982062E-2</v>
      </c>
      <c r="C32" s="14">
        <f>[1]Data!C35</f>
        <v>1.3671822992324192E-2</v>
      </c>
      <c r="D32" s="15">
        <f>[1]Data!F35</f>
        <v>1.6971610815911909E-2</v>
      </c>
      <c r="E32" s="16">
        <f>[1]Data!G35</f>
        <v>-4.8764277817778066E-3</v>
      </c>
      <c r="F32" s="15">
        <f>[1]Data!H35</f>
        <v>1.6035526165009389E-2</v>
      </c>
      <c r="G32" s="16">
        <f>[1]Data!I35</f>
        <v>2.1386087064852059E-2</v>
      </c>
      <c r="H32" s="17">
        <f t="shared" si="0"/>
        <v>-1</v>
      </c>
      <c r="I32" s="18">
        <f t="shared" si="10"/>
        <v>-1</v>
      </c>
      <c r="J32" s="19">
        <f t="shared" si="1"/>
        <v>0</v>
      </c>
      <c r="K32" s="19">
        <f t="shared" si="2"/>
        <v>-1.6971610815911909E-2</v>
      </c>
      <c r="L32" s="19">
        <f t="shared" si="3"/>
        <v>0</v>
      </c>
      <c r="M32" s="19">
        <f t="shared" si="4"/>
        <v>-4.8764277817778066E-3</v>
      </c>
      <c r="N32" s="19">
        <f t="shared" si="5"/>
        <v>0</v>
      </c>
      <c r="O32" s="19">
        <f t="shared" si="6"/>
        <v>-1.6035526165009389E-2</v>
      </c>
      <c r="P32" s="19">
        <f t="shared" si="7"/>
        <v>0</v>
      </c>
      <c r="Q32" s="19">
        <f t="shared" si="8"/>
        <v>2.1386087064852059E-2</v>
      </c>
      <c r="R32" s="19">
        <f t="shared" si="11"/>
        <v>8.5012275519823127E-2</v>
      </c>
      <c r="S32" s="19">
        <f t="shared" si="12"/>
        <v>0.10889563819534324</v>
      </c>
      <c r="T32" s="19">
        <f t="shared" si="13"/>
        <v>-5.5754195990888253E-2</v>
      </c>
      <c r="U32" s="19">
        <f t="shared" si="14"/>
        <v>4.3375596879179058E-2</v>
      </c>
      <c r="V32" s="19">
        <f t="shared" si="15"/>
        <v>6.9750870931257258E-2</v>
      </c>
      <c r="W32" s="19">
        <f t="shared" si="16"/>
        <v>-0.10067428106157625</v>
      </c>
      <c r="X32" s="19">
        <f t="shared" si="17"/>
        <v>-1.0380495739052236E-2</v>
      </c>
      <c r="Y32" s="19">
        <f t="shared" si="18"/>
        <v>-4.2066258022156917E-2</v>
      </c>
      <c r="AA32" s="19">
        <f t="shared" si="19"/>
        <v>9.8159150711929072E-2</v>
      </c>
      <c r="AB32" s="19">
        <f t="shared" si="20"/>
        <v>0.32463075079076203</v>
      </c>
    </row>
    <row r="33" spans="1:28" x14ac:dyDescent="0.25">
      <c r="A33" s="13">
        <f>[1]Data!A36</f>
        <v>38412</v>
      </c>
      <c r="B33" s="14">
        <f>[1]Data!B36</f>
        <v>-1.8462502172189858E-2</v>
      </c>
      <c r="C33" s="14">
        <f>[1]Data!C36</f>
        <v>-2.4812336581095905E-3</v>
      </c>
      <c r="D33" s="15">
        <f>[1]Data!F36</f>
        <v>-1.1862885700992623E-3</v>
      </c>
      <c r="E33" s="16">
        <f>[1]Data!G36</f>
        <v>1.0237580699193637E-2</v>
      </c>
      <c r="F33" s="15">
        <f>[1]Data!H36</f>
        <v>1.7747835247511494E-2</v>
      </c>
      <c r="G33" s="16">
        <f>[1]Data!I36</f>
        <v>1.2535334232020304E-2</v>
      </c>
      <c r="H33" s="17">
        <f t="shared" si="0"/>
        <v>1</v>
      </c>
      <c r="I33" s="18">
        <f t="shared" si="10"/>
        <v>1</v>
      </c>
      <c r="J33" s="19">
        <f t="shared" si="1"/>
        <v>-1.1862885700992623E-3</v>
      </c>
      <c r="K33" s="19">
        <f t="shared" si="2"/>
        <v>0</v>
      </c>
      <c r="L33" s="19">
        <f t="shared" si="3"/>
        <v>-1.0237580699193637E-2</v>
      </c>
      <c r="M33" s="19">
        <f t="shared" si="4"/>
        <v>0</v>
      </c>
      <c r="N33" s="19">
        <f t="shared" si="5"/>
        <v>1.7747835247511494E-2</v>
      </c>
      <c r="O33" s="19">
        <f t="shared" si="6"/>
        <v>0</v>
      </c>
      <c r="P33" s="19">
        <f t="shared" si="7"/>
        <v>-1.2535334232020304E-2</v>
      </c>
      <c r="Q33" s="19">
        <f t="shared" si="8"/>
        <v>0</v>
      </c>
      <c r="R33" s="19">
        <f t="shared" si="11"/>
        <v>8.382598694972386E-2</v>
      </c>
      <c r="S33" s="19">
        <f t="shared" si="12"/>
        <v>0.10889563819534324</v>
      </c>
      <c r="T33" s="19">
        <f t="shared" si="13"/>
        <v>-6.5991776690081883E-2</v>
      </c>
      <c r="U33" s="19">
        <f t="shared" si="14"/>
        <v>4.3375596879179058E-2</v>
      </c>
      <c r="V33" s="19">
        <f t="shared" si="15"/>
        <v>8.7498706178768759E-2</v>
      </c>
      <c r="W33" s="19">
        <f t="shared" si="16"/>
        <v>-0.10067428106157625</v>
      </c>
      <c r="X33" s="19">
        <f t="shared" si="17"/>
        <v>-2.291582997107254E-2</v>
      </c>
      <c r="Y33" s="19">
        <f t="shared" si="18"/>
        <v>-4.2066258022156917E-2</v>
      </c>
      <c r="AA33" s="19">
        <f t="shared" si="19"/>
        <v>9.1947782458127361E-2</v>
      </c>
      <c r="AB33" s="19">
        <f t="shared" si="20"/>
        <v>0.30616824861857217</v>
      </c>
    </row>
    <row r="34" spans="1:28" x14ac:dyDescent="0.25">
      <c r="A34" s="13">
        <f>[1]Data!A37</f>
        <v>38443</v>
      </c>
      <c r="B34" s="14">
        <f>[1]Data!B37</f>
        <v>-1.8912752545091678E-2</v>
      </c>
      <c r="C34" s="14">
        <f>[1]Data!C37</f>
        <v>-3.5700334724594038E-2</v>
      </c>
      <c r="D34" s="15">
        <f>[1]Data!F37</f>
        <v>-2.2443399410768516E-3</v>
      </c>
      <c r="E34" s="16">
        <f>[1]Data!G37</f>
        <v>1.8892977603744671E-2</v>
      </c>
      <c r="F34" s="15">
        <f>[1]Data!H37</f>
        <v>1.0792942654148012E-2</v>
      </c>
      <c r="G34" s="16">
        <f>[1]Data!I37</f>
        <v>-4.05231105981758E-3</v>
      </c>
      <c r="H34" s="17">
        <f t="shared" si="0"/>
        <v>1</v>
      </c>
      <c r="I34" s="18">
        <f t="shared" si="10"/>
        <v>-1</v>
      </c>
      <c r="J34" s="19">
        <f t="shared" si="1"/>
        <v>-2.2443399410768516E-3</v>
      </c>
      <c r="K34" s="19">
        <f t="shared" si="2"/>
        <v>0</v>
      </c>
      <c r="L34" s="19">
        <f t="shared" si="3"/>
        <v>-1.8892977603744671E-2</v>
      </c>
      <c r="M34" s="19">
        <f t="shared" si="4"/>
        <v>0</v>
      </c>
      <c r="N34" s="19">
        <f t="shared" si="5"/>
        <v>0</v>
      </c>
      <c r="O34" s="19">
        <f t="shared" si="6"/>
        <v>-1.0792942654148012E-2</v>
      </c>
      <c r="P34" s="19">
        <f t="shared" si="7"/>
        <v>0</v>
      </c>
      <c r="Q34" s="19">
        <f t="shared" si="8"/>
        <v>-4.05231105981758E-3</v>
      </c>
      <c r="R34" s="19">
        <f t="shared" si="11"/>
        <v>8.1581647008647007E-2</v>
      </c>
      <c r="S34" s="19">
        <f t="shared" si="12"/>
        <v>0.10889563819534324</v>
      </c>
      <c r="T34" s="19">
        <f t="shared" si="13"/>
        <v>-8.4884754293826553E-2</v>
      </c>
      <c r="U34" s="19">
        <f t="shared" si="14"/>
        <v>4.3375596879179058E-2</v>
      </c>
      <c r="V34" s="19">
        <f t="shared" si="15"/>
        <v>8.7498706178768759E-2</v>
      </c>
      <c r="W34" s="19">
        <f t="shared" si="16"/>
        <v>-0.11146722371572426</v>
      </c>
      <c r="X34" s="19">
        <f t="shared" si="17"/>
        <v>-2.291582997107254E-2</v>
      </c>
      <c r="Y34" s="19">
        <f t="shared" si="18"/>
        <v>-4.6118569081974495E-2</v>
      </c>
      <c r="AA34" s="19">
        <f t="shared" si="19"/>
        <v>5.5965211199340247E-2</v>
      </c>
      <c r="AB34" s="19">
        <f t="shared" si="20"/>
        <v>0.2872554960734805</v>
      </c>
    </row>
    <row r="35" spans="1:28" x14ac:dyDescent="0.25">
      <c r="A35" s="13">
        <f>[1]Data!A38</f>
        <v>38473</v>
      </c>
      <c r="B35" s="14">
        <f>[1]Data!B38</f>
        <v>3.1716339268027298E-2</v>
      </c>
      <c r="C35" s="14">
        <f>[1]Data!C38</f>
        <v>1.4363283865139239E-2</v>
      </c>
      <c r="D35" s="15">
        <f>[1]Data!F38</f>
        <v>3.0175309021802576E-3</v>
      </c>
      <c r="E35" s="16">
        <f>[1]Data!G38</f>
        <v>1.6557043536769383E-2</v>
      </c>
      <c r="F35" s="15">
        <f>[1]Data!H38</f>
        <v>1.1510013127153601E-2</v>
      </c>
      <c r="G35" s="16">
        <f>[1]Data!I38</f>
        <v>-1.1465711361094623E-2</v>
      </c>
      <c r="H35" s="17">
        <f t="shared" si="0"/>
        <v>-1</v>
      </c>
      <c r="I35" s="18">
        <f t="shared" si="10"/>
        <v>-1</v>
      </c>
      <c r="J35" s="19">
        <f t="shared" si="1"/>
        <v>0</v>
      </c>
      <c r="K35" s="19">
        <f t="shared" si="2"/>
        <v>-3.0175309021802576E-3</v>
      </c>
      <c r="L35" s="19">
        <f t="shared" si="3"/>
        <v>0</v>
      </c>
      <c r="M35" s="19">
        <f t="shared" si="4"/>
        <v>1.6557043536769383E-2</v>
      </c>
      <c r="N35" s="19">
        <f t="shared" si="5"/>
        <v>0</v>
      </c>
      <c r="O35" s="19">
        <f t="shared" si="6"/>
        <v>-1.1510013127153601E-2</v>
      </c>
      <c r="P35" s="19">
        <f t="shared" si="7"/>
        <v>0</v>
      </c>
      <c r="Q35" s="19">
        <f t="shared" si="8"/>
        <v>-1.1465711361094623E-2</v>
      </c>
      <c r="R35" s="19">
        <f t="shared" si="11"/>
        <v>8.1581647008647007E-2</v>
      </c>
      <c r="S35" s="19">
        <f t="shared" si="12"/>
        <v>0.10587810729316299</v>
      </c>
      <c r="T35" s="19">
        <f t="shared" si="13"/>
        <v>-8.4884754293826553E-2</v>
      </c>
      <c r="U35" s="19">
        <f t="shared" si="14"/>
        <v>5.9932640415948438E-2</v>
      </c>
      <c r="V35" s="19">
        <f t="shared" si="15"/>
        <v>8.7498706178768759E-2</v>
      </c>
      <c r="W35" s="19">
        <f t="shared" si="16"/>
        <v>-0.12297723684287787</v>
      </c>
      <c r="X35" s="19">
        <f t="shared" si="17"/>
        <v>-2.291582997107254E-2</v>
      </c>
      <c r="Y35" s="19">
        <f t="shared" si="18"/>
        <v>-5.7584280443069118E-2</v>
      </c>
      <c r="AA35" s="19">
        <f t="shared" si="19"/>
        <v>4.6528999345681145E-2</v>
      </c>
      <c r="AB35" s="19">
        <f t="shared" si="20"/>
        <v>0.3189718353415078</v>
      </c>
    </row>
    <row r="36" spans="1:28" x14ac:dyDescent="0.25">
      <c r="A36" s="13">
        <f>[1]Data!A39</f>
        <v>38504</v>
      </c>
      <c r="B36" s="14">
        <f>[1]Data!B39</f>
        <v>1.5138288098725198E-3</v>
      </c>
      <c r="C36" s="14">
        <f>[1]Data!C39</f>
        <v>1.8341199277175608E-2</v>
      </c>
      <c r="D36" s="15">
        <f>[1]Data!F39</f>
        <v>-1.903262277125322E-2</v>
      </c>
      <c r="E36" s="16">
        <f>[1]Data!G39</f>
        <v>1.9212293525328328E-2</v>
      </c>
      <c r="F36" s="15">
        <f>[1]Data!H39</f>
        <v>5.4255543732965568E-3</v>
      </c>
      <c r="G36" s="16">
        <f>[1]Data!I39</f>
        <v>1.9450649407346574E-2</v>
      </c>
      <c r="H36" s="17">
        <f t="shared" si="0"/>
        <v>-1</v>
      </c>
      <c r="I36" s="18">
        <f t="shared" si="10"/>
        <v>1</v>
      </c>
      <c r="J36" s="19">
        <f t="shared" si="1"/>
        <v>0</v>
      </c>
      <c r="K36" s="19">
        <f t="shared" si="2"/>
        <v>1.903262277125322E-2</v>
      </c>
      <c r="L36" s="19">
        <f t="shared" si="3"/>
        <v>0</v>
      </c>
      <c r="M36" s="19">
        <f t="shared" si="4"/>
        <v>1.9212293525328328E-2</v>
      </c>
      <c r="N36" s="19">
        <f t="shared" si="5"/>
        <v>5.4255543732965568E-3</v>
      </c>
      <c r="O36" s="19">
        <f t="shared" si="6"/>
        <v>0</v>
      </c>
      <c r="P36" s="19">
        <f t="shared" si="7"/>
        <v>-1.9450649407346574E-2</v>
      </c>
      <c r="Q36" s="19">
        <f t="shared" si="8"/>
        <v>0</v>
      </c>
      <c r="R36" s="19">
        <f t="shared" si="11"/>
        <v>8.1581647008647007E-2</v>
      </c>
      <c r="S36" s="19">
        <f t="shared" si="12"/>
        <v>0.12491073006441622</v>
      </c>
      <c r="T36" s="19">
        <f t="shared" si="13"/>
        <v>-8.4884754293826553E-2</v>
      </c>
      <c r="U36" s="19">
        <f t="shared" si="14"/>
        <v>7.9144933941276766E-2</v>
      </c>
      <c r="V36" s="19">
        <f t="shared" si="15"/>
        <v>9.2924260552065319E-2</v>
      </c>
      <c r="W36" s="19">
        <f t="shared" si="16"/>
        <v>-0.12297723684287787</v>
      </c>
      <c r="X36" s="19">
        <f t="shared" si="17"/>
        <v>-4.2366479378419114E-2</v>
      </c>
      <c r="Y36" s="19">
        <f t="shared" si="18"/>
        <v>-5.7584280443069118E-2</v>
      </c>
      <c r="AA36" s="19">
        <f t="shared" si="19"/>
        <v>7.0748820608212679E-2</v>
      </c>
      <c r="AB36" s="19">
        <f t="shared" si="20"/>
        <v>0.3204856641513803</v>
      </c>
    </row>
    <row r="37" spans="1:28" x14ac:dyDescent="0.25">
      <c r="A37" s="13">
        <f>[1]Data!A40</f>
        <v>38534</v>
      </c>
      <c r="B37" s="14">
        <f>[1]Data!B40</f>
        <v>3.7547313345992178E-2</v>
      </c>
      <c r="C37" s="14">
        <f>[1]Data!C40</f>
        <v>6.5608487152724493E-2</v>
      </c>
      <c r="D37" s="15">
        <f>[1]Data!F40</f>
        <v>1.6172994952600986E-3</v>
      </c>
      <c r="E37" s="16">
        <f>[1]Data!G40</f>
        <v>-4.7140262993998422E-3</v>
      </c>
      <c r="F37" s="15">
        <f>[1]Data!H40</f>
        <v>1.7796759743278781E-2</v>
      </c>
      <c r="G37" s="16">
        <f>[1]Data!I40</f>
        <v>-1.8200037770397685E-2</v>
      </c>
      <c r="H37" s="17">
        <f t="shared" si="0"/>
        <v>-1</v>
      </c>
      <c r="I37" s="18">
        <f t="shared" si="10"/>
        <v>1</v>
      </c>
      <c r="J37" s="19">
        <f t="shared" si="1"/>
        <v>0</v>
      </c>
      <c r="K37" s="19">
        <f t="shared" si="2"/>
        <v>-1.6172994952600986E-3</v>
      </c>
      <c r="L37" s="19">
        <f t="shared" si="3"/>
        <v>0</v>
      </c>
      <c r="M37" s="19">
        <f t="shared" si="4"/>
        <v>-4.7140262993998422E-3</v>
      </c>
      <c r="N37" s="19">
        <f t="shared" si="5"/>
        <v>1.7796759743278781E-2</v>
      </c>
      <c r="O37" s="19">
        <f t="shared" si="6"/>
        <v>0</v>
      </c>
      <c r="P37" s="19">
        <f t="shared" si="7"/>
        <v>1.8200037770397685E-2</v>
      </c>
      <c r="Q37" s="19">
        <f t="shared" si="8"/>
        <v>0</v>
      </c>
      <c r="R37" s="19">
        <f t="shared" si="11"/>
        <v>8.1581647008647007E-2</v>
      </c>
      <c r="S37" s="19">
        <f t="shared" si="12"/>
        <v>0.12329343056915612</v>
      </c>
      <c r="T37" s="19">
        <f t="shared" si="13"/>
        <v>-8.4884754293826553E-2</v>
      </c>
      <c r="U37" s="19">
        <f t="shared" si="14"/>
        <v>7.4430907641876917E-2</v>
      </c>
      <c r="V37" s="19">
        <f t="shared" si="15"/>
        <v>0.1107210202953441</v>
      </c>
      <c r="W37" s="19">
        <f t="shared" si="16"/>
        <v>-0.12297723684287787</v>
      </c>
      <c r="X37" s="19">
        <f t="shared" si="17"/>
        <v>-2.4166441608021429E-2</v>
      </c>
      <c r="Y37" s="19">
        <f t="shared" si="18"/>
        <v>-5.7584280443069118E-2</v>
      </c>
      <c r="AA37" s="19">
        <f t="shared" si="19"/>
        <v>0.1004142923272292</v>
      </c>
      <c r="AB37" s="19">
        <f t="shared" si="20"/>
        <v>0.35803297749737251</v>
      </c>
    </row>
    <row r="38" spans="1:28" x14ac:dyDescent="0.25">
      <c r="A38" s="13">
        <f>[1]Data!A41</f>
        <v>38565</v>
      </c>
      <c r="B38" s="14">
        <f>[1]Data!B41</f>
        <v>-9.418476936731526E-3</v>
      </c>
      <c r="C38" s="14">
        <f>[1]Data!C41</f>
        <v>-2.1198097897498016E-2</v>
      </c>
      <c r="D38" s="15">
        <f>[1]Data!F41</f>
        <v>8.9795341574789266E-4</v>
      </c>
      <c r="E38" s="16">
        <f>[1]Data!G41</f>
        <v>2.3292312410693683E-2</v>
      </c>
      <c r="F38" s="15">
        <f>[1]Data!H41</f>
        <v>-6.9743585278697583E-3</v>
      </c>
      <c r="G38" s="16">
        <f>[1]Data!I41</f>
        <v>-1.1983082904433289E-2</v>
      </c>
      <c r="H38" s="17">
        <f t="shared" si="0"/>
        <v>1</v>
      </c>
      <c r="I38" s="18">
        <f t="shared" si="10"/>
        <v>1</v>
      </c>
      <c r="J38" s="19">
        <f t="shared" si="1"/>
        <v>8.9795341574789266E-4</v>
      </c>
      <c r="K38" s="19">
        <f t="shared" si="2"/>
        <v>0</v>
      </c>
      <c r="L38" s="19">
        <f t="shared" si="3"/>
        <v>-2.3292312410693683E-2</v>
      </c>
      <c r="M38" s="19">
        <f t="shared" si="4"/>
        <v>0</v>
      </c>
      <c r="N38" s="19">
        <f t="shared" si="5"/>
        <v>-6.9743585278697583E-3</v>
      </c>
      <c r="O38" s="19">
        <f t="shared" si="6"/>
        <v>0</v>
      </c>
      <c r="P38" s="19">
        <f t="shared" si="7"/>
        <v>1.1983082904433289E-2</v>
      </c>
      <c r="Q38" s="19">
        <f t="shared" si="8"/>
        <v>0</v>
      </c>
      <c r="R38" s="19">
        <f t="shared" si="11"/>
        <v>8.2479600424394894E-2</v>
      </c>
      <c r="S38" s="19">
        <f t="shared" si="12"/>
        <v>0.12329343056915612</v>
      </c>
      <c r="T38" s="19">
        <f t="shared" si="13"/>
        <v>-0.10817706670452024</v>
      </c>
      <c r="U38" s="19">
        <f t="shared" si="14"/>
        <v>7.4430907641876917E-2</v>
      </c>
      <c r="V38" s="19">
        <f t="shared" si="15"/>
        <v>0.10374666176747434</v>
      </c>
      <c r="W38" s="19">
        <f t="shared" si="16"/>
        <v>-0.12297723684287787</v>
      </c>
      <c r="X38" s="19">
        <f t="shared" si="17"/>
        <v>-1.2183358703588139E-2</v>
      </c>
      <c r="Y38" s="19">
        <f t="shared" si="18"/>
        <v>-5.7584280443069118E-2</v>
      </c>
      <c r="AA38" s="19">
        <f t="shared" si="19"/>
        <v>8.3028657708846945E-2</v>
      </c>
      <c r="AB38" s="19">
        <f t="shared" si="20"/>
        <v>0.34861450056064097</v>
      </c>
    </row>
    <row r="39" spans="1:28" x14ac:dyDescent="0.25">
      <c r="A39" s="13">
        <f>[1]Data!A42</f>
        <v>38596</v>
      </c>
      <c r="B39" s="14">
        <f>[1]Data!B42</f>
        <v>7.9934270357336478E-3</v>
      </c>
      <c r="C39" s="14">
        <f>[1]Data!C42</f>
        <v>1.8911431047654345E-2</v>
      </c>
      <c r="D39" s="15">
        <f>[1]Data!F42</f>
        <v>1.3912732976948568E-2</v>
      </c>
      <c r="E39" s="16">
        <f>[1]Data!G42</f>
        <v>-1.1967080644273737E-2</v>
      </c>
      <c r="F39" s="15">
        <f>[1]Data!H42</f>
        <v>7.4776549560379903E-3</v>
      </c>
      <c r="G39" s="16">
        <f>[1]Data!I42</f>
        <v>-2.0659862099850244E-2</v>
      </c>
      <c r="H39" s="17">
        <f t="shared" si="0"/>
        <v>-1</v>
      </c>
      <c r="I39" s="18">
        <f t="shared" si="10"/>
        <v>-1</v>
      </c>
      <c r="J39" s="19">
        <f t="shared" si="1"/>
        <v>0</v>
      </c>
      <c r="K39" s="19">
        <f t="shared" si="2"/>
        <v>-1.3912732976948568E-2</v>
      </c>
      <c r="L39" s="19">
        <f t="shared" si="3"/>
        <v>0</v>
      </c>
      <c r="M39" s="19">
        <f t="shared" si="4"/>
        <v>-1.1967080644273737E-2</v>
      </c>
      <c r="N39" s="19">
        <f t="shared" si="5"/>
        <v>0</v>
      </c>
      <c r="O39" s="19">
        <f t="shared" si="6"/>
        <v>-7.4776549560379903E-3</v>
      </c>
      <c r="P39" s="19">
        <f t="shared" si="7"/>
        <v>0</v>
      </c>
      <c r="Q39" s="19">
        <f t="shared" si="8"/>
        <v>-2.0659862099850244E-2</v>
      </c>
      <c r="R39" s="19">
        <f t="shared" si="11"/>
        <v>8.2479600424394894E-2</v>
      </c>
      <c r="S39" s="19">
        <f t="shared" si="12"/>
        <v>0.10938069759220756</v>
      </c>
      <c r="T39" s="19">
        <f t="shared" si="13"/>
        <v>-0.10817706670452024</v>
      </c>
      <c r="U39" s="19">
        <f t="shared" si="14"/>
        <v>6.2463826997603181E-2</v>
      </c>
      <c r="V39" s="19">
        <f t="shared" si="15"/>
        <v>0.10374666176747434</v>
      </c>
      <c r="W39" s="19">
        <f t="shared" si="16"/>
        <v>-0.13045489179891587</v>
      </c>
      <c r="X39" s="19">
        <f t="shared" si="17"/>
        <v>-1.2183358703588139E-2</v>
      </c>
      <c r="Y39" s="19">
        <f t="shared" si="18"/>
        <v>-7.8244142542919365E-2</v>
      </c>
      <c r="AA39" s="19">
        <f t="shared" si="19"/>
        <v>2.9011327031736409E-2</v>
      </c>
      <c r="AB39" s="19">
        <f t="shared" si="20"/>
        <v>0.35660792759637461</v>
      </c>
    </row>
    <row r="40" spans="1:28" x14ac:dyDescent="0.25">
      <c r="A40" s="13">
        <f>[1]Data!A43</f>
        <v>38626</v>
      </c>
      <c r="B40" s="14">
        <f>[1]Data!B43</f>
        <v>-2.3934787789252124E-2</v>
      </c>
      <c r="C40" s="14">
        <f>[1]Data!C43</f>
        <v>-3.6271312273709486E-2</v>
      </c>
      <c r="D40" s="15">
        <f>[1]Data!F43</f>
        <v>1.6789064588612849E-2</v>
      </c>
      <c r="E40" s="16">
        <f>[1]Data!G43</f>
        <v>-1.821199276076765E-2</v>
      </c>
      <c r="F40" s="15">
        <f>[1]Data!H43</f>
        <v>-2.827313780995298E-2</v>
      </c>
      <c r="G40" s="16">
        <f>[1]Data!I43</f>
        <v>2.16158148162943E-5</v>
      </c>
      <c r="H40" s="17">
        <f t="shared" si="0"/>
        <v>1</v>
      </c>
      <c r="I40" s="18">
        <f t="shared" si="10"/>
        <v>1</v>
      </c>
      <c r="J40" s="19">
        <f t="shared" si="1"/>
        <v>1.6789064588612849E-2</v>
      </c>
      <c r="K40" s="19">
        <f t="shared" si="2"/>
        <v>0</v>
      </c>
      <c r="L40" s="19">
        <f t="shared" si="3"/>
        <v>1.821199276076765E-2</v>
      </c>
      <c r="M40" s="19">
        <f t="shared" si="4"/>
        <v>0</v>
      </c>
      <c r="N40" s="19">
        <f t="shared" si="5"/>
        <v>-2.827313780995298E-2</v>
      </c>
      <c r="O40" s="19">
        <f t="shared" si="6"/>
        <v>0</v>
      </c>
      <c r="P40" s="19">
        <f t="shared" si="7"/>
        <v>-2.16158148162943E-5</v>
      </c>
      <c r="Q40" s="19">
        <f t="shared" si="8"/>
        <v>0</v>
      </c>
      <c r="R40" s="19">
        <f t="shared" si="11"/>
        <v>9.926866501300774E-2</v>
      </c>
      <c r="S40" s="19">
        <f t="shared" si="12"/>
        <v>0.10938069759220756</v>
      </c>
      <c r="T40" s="19">
        <f t="shared" si="13"/>
        <v>-8.9965073943752583E-2</v>
      </c>
      <c r="U40" s="19">
        <f t="shared" si="14"/>
        <v>6.2463826997603181E-2</v>
      </c>
      <c r="V40" s="19">
        <f t="shared" si="15"/>
        <v>7.5473523957521355E-2</v>
      </c>
      <c r="W40" s="19">
        <f t="shared" si="16"/>
        <v>-0.13045489179891587</v>
      </c>
      <c r="X40" s="19">
        <f t="shared" si="17"/>
        <v>-1.2204974518404434E-2</v>
      </c>
      <c r="Y40" s="19">
        <f t="shared" si="18"/>
        <v>-7.8244142542919365E-2</v>
      </c>
      <c r="AA40" s="19">
        <f t="shared" si="19"/>
        <v>3.5717630756347631E-2</v>
      </c>
      <c r="AB40" s="19">
        <f t="shared" si="20"/>
        <v>0.33267313980712249</v>
      </c>
    </row>
    <row r="41" spans="1:28" x14ac:dyDescent="0.25">
      <c r="A41" s="13">
        <f>[1]Data!A44</f>
        <v>38657</v>
      </c>
      <c r="B41" s="14">
        <f>[1]Data!B44</f>
        <v>4.3013436578415935E-2</v>
      </c>
      <c r="C41" s="14">
        <f>[1]Data!C44</f>
        <v>3.4375949860764178E-2</v>
      </c>
      <c r="D41" s="15">
        <f>[1]Data!F44</f>
        <v>-2.7872972755486726E-3</v>
      </c>
      <c r="E41" s="16">
        <f>[1]Data!G44</f>
        <v>-4.5449255439016867E-3</v>
      </c>
      <c r="F41" s="15">
        <f>[1]Data!H44</f>
        <v>1.7329848146017911E-2</v>
      </c>
      <c r="G41" s="16">
        <f>[1]Data!I44</f>
        <v>-1.0831471697630192E-2</v>
      </c>
      <c r="H41" s="17">
        <f t="shared" si="0"/>
        <v>-1</v>
      </c>
      <c r="I41" s="18">
        <f t="shared" si="10"/>
        <v>-1</v>
      </c>
      <c r="J41" s="19">
        <f t="shared" si="1"/>
        <v>0</v>
      </c>
      <c r="K41" s="19">
        <f t="shared" si="2"/>
        <v>2.7872972755486726E-3</v>
      </c>
      <c r="L41" s="19">
        <f t="shared" si="3"/>
        <v>0</v>
      </c>
      <c r="M41" s="19">
        <f t="shared" si="4"/>
        <v>-4.5449255439016867E-3</v>
      </c>
      <c r="N41" s="19">
        <f t="shared" si="5"/>
        <v>0</v>
      </c>
      <c r="O41" s="19">
        <f t="shared" si="6"/>
        <v>-1.7329848146017911E-2</v>
      </c>
      <c r="P41" s="19">
        <f t="shared" si="7"/>
        <v>0</v>
      </c>
      <c r="Q41" s="19">
        <f t="shared" si="8"/>
        <v>-1.0831471697630192E-2</v>
      </c>
      <c r="R41" s="19">
        <f t="shared" si="11"/>
        <v>9.926866501300774E-2</v>
      </c>
      <c r="S41" s="19">
        <f t="shared" si="12"/>
        <v>0.11216799486775623</v>
      </c>
      <c r="T41" s="19">
        <f t="shared" si="13"/>
        <v>-8.9965073943752583E-2</v>
      </c>
      <c r="U41" s="19">
        <f t="shared" si="14"/>
        <v>5.7918901453701495E-2</v>
      </c>
      <c r="V41" s="19">
        <f t="shared" si="15"/>
        <v>7.5473523957521355E-2</v>
      </c>
      <c r="W41" s="19">
        <f t="shared" si="16"/>
        <v>-0.14778473994493377</v>
      </c>
      <c r="X41" s="19">
        <f t="shared" si="17"/>
        <v>-1.2204974518404434E-2</v>
      </c>
      <c r="Y41" s="19">
        <f t="shared" si="18"/>
        <v>-8.907561424054955E-2</v>
      </c>
      <c r="AA41" s="19">
        <f t="shared" si="19"/>
        <v>5.7986826443465131E-3</v>
      </c>
      <c r="AB41" s="19">
        <f t="shared" si="20"/>
        <v>0.37568657638553843</v>
      </c>
    </row>
    <row r="42" spans="1:28" x14ac:dyDescent="0.25">
      <c r="A42" s="13">
        <f>[1]Data!A45</f>
        <v>38687</v>
      </c>
      <c r="B42" s="14">
        <f>[1]Data!B45</f>
        <v>-1.9150356828486481E-3</v>
      </c>
      <c r="C42" s="14">
        <f>[1]Data!C45</f>
        <v>1.154915431735965E-4</v>
      </c>
      <c r="D42" s="15">
        <f>[1]Data!F45</f>
        <v>-1.2133900500669722E-2</v>
      </c>
      <c r="E42" s="16">
        <f>[1]Data!G45</f>
        <v>1.9277092901276577E-2</v>
      </c>
      <c r="F42" s="15">
        <f>[1]Data!H45</f>
        <v>5.328284129773749E-3</v>
      </c>
      <c r="G42" s="16">
        <f>[1]Data!I45</f>
        <v>6.700281508490169E-4</v>
      </c>
      <c r="H42" s="17">
        <f t="shared" si="0"/>
        <v>-1</v>
      </c>
      <c r="I42" s="18">
        <f t="shared" si="10"/>
        <v>1</v>
      </c>
      <c r="J42" s="19">
        <f t="shared" si="1"/>
        <v>0</v>
      </c>
      <c r="K42" s="19">
        <f t="shared" si="2"/>
        <v>1.2133900500669722E-2</v>
      </c>
      <c r="L42" s="19">
        <f t="shared" si="3"/>
        <v>0</v>
      </c>
      <c r="M42" s="19">
        <f t="shared" si="4"/>
        <v>1.9277092901276577E-2</v>
      </c>
      <c r="N42" s="19">
        <f t="shared" si="5"/>
        <v>5.328284129773749E-3</v>
      </c>
      <c r="O42" s="19">
        <f t="shared" si="6"/>
        <v>0</v>
      </c>
      <c r="P42" s="19">
        <f t="shared" si="7"/>
        <v>-6.700281508490169E-4</v>
      </c>
      <c r="Q42" s="19">
        <f t="shared" si="8"/>
        <v>0</v>
      </c>
      <c r="R42" s="19">
        <f t="shared" si="11"/>
        <v>9.926866501300774E-2</v>
      </c>
      <c r="S42" s="19">
        <f t="shared" si="12"/>
        <v>0.12430189536842595</v>
      </c>
      <c r="T42" s="19">
        <f t="shared" si="13"/>
        <v>-8.9965073943752583E-2</v>
      </c>
      <c r="U42" s="19">
        <f t="shared" si="14"/>
        <v>7.7195994354978065E-2</v>
      </c>
      <c r="V42" s="19">
        <f t="shared" si="15"/>
        <v>8.0801808087295104E-2</v>
      </c>
      <c r="W42" s="19">
        <f t="shared" si="16"/>
        <v>-0.14778473994493377</v>
      </c>
      <c r="X42" s="19">
        <f t="shared" si="17"/>
        <v>-1.2875002669253451E-2</v>
      </c>
      <c r="Y42" s="19">
        <f t="shared" si="18"/>
        <v>-8.907561424054955E-2</v>
      </c>
      <c r="AA42" s="19">
        <f t="shared" si="19"/>
        <v>4.1867932025217547E-2</v>
      </c>
      <c r="AB42" s="19">
        <f t="shared" si="20"/>
        <v>0.37377154070268981</v>
      </c>
    </row>
    <row r="43" spans="1:28" x14ac:dyDescent="0.25">
      <c r="A43" s="13">
        <f>[1]Data!A46</f>
        <v>38718</v>
      </c>
      <c r="B43" s="14">
        <f>[1]Data!B46</f>
        <v>2.3730081677992197E-2</v>
      </c>
      <c r="C43" s="14">
        <f>[1]Data!C46</f>
        <v>1.6251487221031174E-2</v>
      </c>
      <c r="D43" s="15">
        <f>[1]Data!F46</f>
        <v>7.4785944569611563E-3</v>
      </c>
      <c r="E43" s="16">
        <f>[1]Data!G46</f>
        <v>-1.3473956204481519E-2</v>
      </c>
      <c r="F43" s="15">
        <f>[1]Data!H46</f>
        <v>3.3642066642074649E-2</v>
      </c>
      <c r="G43" s="16">
        <f>[1]Data!I46</f>
        <v>-1.3060746137903189E-3</v>
      </c>
      <c r="H43" s="17">
        <f t="shared" si="0"/>
        <v>-1</v>
      </c>
      <c r="I43" s="18">
        <f t="shared" si="10"/>
        <v>1</v>
      </c>
      <c r="J43" s="19">
        <f t="shared" si="1"/>
        <v>0</v>
      </c>
      <c r="K43" s="19">
        <f t="shared" si="2"/>
        <v>-7.4785944569611563E-3</v>
      </c>
      <c r="L43" s="19">
        <f t="shared" si="3"/>
        <v>0</v>
      </c>
      <c r="M43" s="19">
        <f t="shared" si="4"/>
        <v>-1.3473956204481519E-2</v>
      </c>
      <c r="N43" s="19">
        <f t="shared" si="5"/>
        <v>3.3642066642074649E-2</v>
      </c>
      <c r="O43" s="19">
        <f t="shared" si="6"/>
        <v>0</v>
      </c>
      <c r="P43" s="19">
        <f t="shared" si="7"/>
        <v>1.3060746137903189E-3</v>
      </c>
      <c r="Q43" s="19">
        <f t="shared" si="8"/>
        <v>0</v>
      </c>
      <c r="R43" s="19">
        <f t="shared" si="11"/>
        <v>9.926866501300774E-2</v>
      </c>
      <c r="S43" s="19">
        <f t="shared" si="12"/>
        <v>0.1168233009114648</v>
      </c>
      <c r="T43" s="19">
        <f t="shared" si="13"/>
        <v>-8.9965073943752583E-2</v>
      </c>
      <c r="U43" s="19">
        <f t="shared" si="14"/>
        <v>6.3722038150496541E-2</v>
      </c>
      <c r="V43" s="19">
        <f t="shared" si="15"/>
        <v>0.11444387472936976</v>
      </c>
      <c r="W43" s="19">
        <f t="shared" si="16"/>
        <v>-0.14778473994493377</v>
      </c>
      <c r="X43" s="19">
        <f t="shared" si="17"/>
        <v>-1.1568928055463133E-2</v>
      </c>
      <c r="Y43" s="19">
        <f t="shared" si="18"/>
        <v>-8.907561424054955E-2</v>
      </c>
      <c r="AA43" s="19">
        <f t="shared" si="19"/>
        <v>5.5863522619639838E-2</v>
      </c>
      <c r="AB43" s="19">
        <f t="shared" si="20"/>
        <v>0.39750162238068198</v>
      </c>
    </row>
    <row r="44" spans="1:28" x14ac:dyDescent="0.25">
      <c r="A44" s="13">
        <f>[1]Data!A47</f>
        <v>38749</v>
      </c>
      <c r="B44" s="14">
        <f>[1]Data!B47</f>
        <v>5.7093160942483807E-3</v>
      </c>
      <c r="C44" s="14">
        <f>[1]Data!C47</f>
        <v>2.0033188771710177E-3</v>
      </c>
      <c r="D44" s="15">
        <f>[1]Data!F47</f>
        <v>-8.0778583310231692E-3</v>
      </c>
      <c r="E44" s="16">
        <f>[1]Data!G47</f>
        <v>-7.6611107314804392E-4</v>
      </c>
      <c r="F44" s="15">
        <f>[1]Data!H47</f>
        <v>-1.5969757563471531E-2</v>
      </c>
      <c r="G44" s="16">
        <f>[1]Data!I47</f>
        <v>2.7739393737873496E-3</v>
      </c>
      <c r="H44" s="17">
        <f t="shared" si="0"/>
        <v>-1</v>
      </c>
      <c r="I44" s="18">
        <f t="shared" si="10"/>
        <v>1</v>
      </c>
      <c r="J44" s="19">
        <f t="shared" si="1"/>
        <v>0</v>
      </c>
      <c r="K44" s="19">
        <f t="shared" si="2"/>
        <v>8.0778583310231692E-3</v>
      </c>
      <c r="L44" s="19">
        <f t="shared" si="3"/>
        <v>0</v>
      </c>
      <c r="M44" s="19">
        <f t="shared" si="4"/>
        <v>-7.6611107314804392E-4</v>
      </c>
      <c r="N44" s="19">
        <f t="shared" si="5"/>
        <v>-1.5969757563471531E-2</v>
      </c>
      <c r="O44" s="19">
        <f t="shared" si="6"/>
        <v>0</v>
      </c>
      <c r="P44" s="19">
        <f t="shared" si="7"/>
        <v>-2.7739393737873496E-3</v>
      </c>
      <c r="Q44" s="19">
        <f t="shared" si="8"/>
        <v>0</v>
      </c>
      <c r="R44" s="19">
        <f t="shared" si="11"/>
        <v>9.926866501300774E-2</v>
      </c>
      <c r="S44" s="19">
        <f t="shared" si="12"/>
        <v>0.12490115924248797</v>
      </c>
      <c r="T44" s="19">
        <f t="shared" si="13"/>
        <v>-8.9965073943752583E-2</v>
      </c>
      <c r="U44" s="19">
        <f t="shared" si="14"/>
        <v>6.2955927077348497E-2</v>
      </c>
      <c r="V44" s="19">
        <f t="shared" si="15"/>
        <v>9.8474117165898226E-2</v>
      </c>
      <c r="W44" s="19">
        <f t="shared" si="16"/>
        <v>-0.14778473994493377</v>
      </c>
      <c r="X44" s="19">
        <f t="shared" si="17"/>
        <v>-1.4342867429250483E-2</v>
      </c>
      <c r="Y44" s="19">
        <f t="shared" si="18"/>
        <v>-8.907561424054955E-2</v>
      </c>
      <c r="AA44" s="19">
        <f t="shared" si="19"/>
        <v>4.4431572940256084E-2</v>
      </c>
      <c r="AB44" s="19">
        <f t="shared" si="20"/>
        <v>0.40321093847493039</v>
      </c>
    </row>
    <row r="45" spans="1:28" x14ac:dyDescent="0.25">
      <c r="A45" s="13">
        <f>[1]Data!A48</f>
        <v>38777</v>
      </c>
      <c r="B45" s="14">
        <f>[1]Data!B48</f>
        <v>1.6369067309703361E-2</v>
      </c>
      <c r="C45" s="14">
        <f>[1]Data!C48</f>
        <v>4.2366414650334187E-2</v>
      </c>
      <c r="D45" s="15">
        <f>[1]Data!F48</f>
        <v>1.8502043911465646E-3</v>
      </c>
      <c r="E45" s="16">
        <f>[1]Data!G48</f>
        <v>-1.8928268737331545E-2</v>
      </c>
      <c r="F45" s="15">
        <f>[1]Data!H48</f>
        <v>-2.0299161938544833E-3</v>
      </c>
      <c r="G45" s="16">
        <f>[1]Data!I48</f>
        <v>-2.6944239787582629E-2</v>
      </c>
      <c r="H45" s="17">
        <f t="shared" si="0"/>
        <v>-1</v>
      </c>
      <c r="I45" s="18">
        <f t="shared" si="10"/>
        <v>1</v>
      </c>
      <c r="J45" s="19">
        <f t="shared" si="1"/>
        <v>0</v>
      </c>
      <c r="K45" s="19">
        <f t="shared" si="2"/>
        <v>-1.8502043911465646E-3</v>
      </c>
      <c r="L45" s="19">
        <f t="shared" si="3"/>
        <v>0</v>
      </c>
      <c r="M45" s="19">
        <f t="shared" si="4"/>
        <v>-1.8928268737331545E-2</v>
      </c>
      <c r="N45" s="19">
        <f t="shared" si="5"/>
        <v>-2.0299161938544833E-3</v>
      </c>
      <c r="O45" s="19">
        <f t="shared" si="6"/>
        <v>0</v>
      </c>
      <c r="P45" s="19">
        <f t="shared" si="7"/>
        <v>2.6944239787582629E-2</v>
      </c>
      <c r="Q45" s="19">
        <f t="shared" si="8"/>
        <v>0</v>
      </c>
      <c r="R45" s="19">
        <f t="shared" si="11"/>
        <v>9.926866501300774E-2</v>
      </c>
      <c r="S45" s="19">
        <f t="shared" si="12"/>
        <v>0.1230509548513414</v>
      </c>
      <c r="T45" s="19">
        <f t="shared" si="13"/>
        <v>-8.9965073943752583E-2</v>
      </c>
      <c r="U45" s="19">
        <f t="shared" si="14"/>
        <v>4.4027658340016956E-2</v>
      </c>
      <c r="V45" s="19">
        <f t="shared" si="15"/>
        <v>9.6444200972043745E-2</v>
      </c>
      <c r="W45" s="19">
        <f t="shared" si="16"/>
        <v>-0.14778473994493377</v>
      </c>
      <c r="X45" s="19">
        <f t="shared" si="17"/>
        <v>1.2601372358332147E-2</v>
      </c>
      <c r="Y45" s="19">
        <f t="shared" si="18"/>
        <v>-8.907561424054955E-2</v>
      </c>
      <c r="AA45" s="19">
        <f t="shared" si="19"/>
        <v>4.856742340550612E-2</v>
      </c>
      <c r="AB45" s="19">
        <f t="shared" si="20"/>
        <v>0.41958000578463372</v>
      </c>
    </row>
    <row r="46" spans="1:28" x14ac:dyDescent="0.25">
      <c r="A46" s="13">
        <f>[1]Data!A49</f>
        <v>38808</v>
      </c>
      <c r="B46" s="14">
        <f>[1]Data!B49</f>
        <v>1.2552708122264644E-2</v>
      </c>
      <c r="C46" s="14">
        <f>[1]Data!C49</f>
        <v>2.4616946540269472E-2</v>
      </c>
      <c r="D46" s="15">
        <f>[1]Data!F49</f>
        <v>4.2684736334779446E-3</v>
      </c>
      <c r="E46" s="16">
        <f>[1]Data!G49</f>
        <v>-1.1576703193824237E-2</v>
      </c>
      <c r="F46" s="15">
        <f>[1]Data!H49</f>
        <v>-2.2362709254265378E-3</v>
      </c>
      <c r="G46" s="16">
        <f>[1]Data!I49</f>
        <v>-1.6802783585886997E-2</v>
      </c>
      <c r="H46" s="17">
        <f t="shared" si="0"/>
        <v>-1</v>
      </c>
      <c r="I46" s="18">
        <f t="shared" si="10"/>
        <v>1</v>
      </c>
      <c r="J46" s="19">
        <f t="shared" si="1"/>
        <v>0</v>
      </c>
      <c r="K46" s="19">
        <f t="shared" si="2"/>
        <v>-4.2684736334779446E-3</v>
      </c>
      <c r="L46" s="19">
        <f t="shared" si="3"/>
        <v>0</v>
      </c>
      <c r="M46" s="19">
        <f t="shared" si="4"/>
        <v>-1.1576703193824237E-2</v>
      </c>
      <c r="N46" s="19">
        <f t="shared" si="5"/>
        <v>-2.2362709254265378E-3</v>
      </c>
      <c r="O46" s="19">
        <f t="shared" si="6"/>
        <v>0</v>
      </c>
      <c r="P46" s="19">
        <f t="shared" si="7"/>
        <v>1.6802783585886997E-2</v>
      </c>
      <c r="Q46" s="19">
        <f t="shared" si="8"/>
        <v>0</v>
      </c>
      <c r="R46" s="19">
        <f t="shared" si="11"/>
        <v>9.926866501300774E-2</v>
      </c>
      <c r="S46" s="19">
        <f t="shared" si="12"/>
        <v>0.11878248121786346</v>
      </c>
      <c r="T46" s="19">
        <f t="shared" si="13"/>
        <v>-8.9965073943752583E-2</v>
      </c>
      <c r="U46" s="19">
        <f t="shared" si="14"/>
        <v>3.2450955146192721E-2</v>
      </c>
      <c r="V46" s="19">
        <f t="shared" si="15"/>
        <v>9.4207930046617205E-2</v>
      </c>
      <c r="W46" s="19">
        <f t="shared" si="16"/>
        <v>-0.14778473994493377</v>
      </c>
      <c r="X46" s="19">
        <f t="shared" si="17"/>
        <v>2.9404155944219142E-2</v>
      </c>
      <c r="Y46" s="19">
        <f t="shared" si="18"/>
        <v>-8.907561424054955E-2</v>
      </c>
      <c r="AA46" s="19">
        <f t="shared" si="19"/>
        <v>4.7288759238664393E-2</v>
      </c>
      <c r="AB46" s="19">
        <f t="shared" si="20"/>
        <v>0.43213271390689839</v>
      </c>
    </row>
    <row r="47" spans="1:28" x14ac:dyDescent="0.25">
      <c r="A47" s="13">
        <f>[1]Data!A50</f>
        <v>38838</v>
      </c>
      <c r="B47" s="14">
        <f>[1]Data!B50</f>
        <v>-3.058337062707895E-2</v>
      </c>
      <c r="C47" s="14">
        <f>[1]Data!C50</f>
        <v>-4.0936156477608232E-2</v>
      </c>
      <c r="D47" s="15">
        <f>[1]Data!F50</f>
        <v>3.2211743209751634E-3</v>
      </c>
      <c r="E47" s="16">
        <f>[1]Data!G50</f>
        <v>-9.0424605799544061E-3</v>
      </c>
      <c r="F47" s="15">
        <f>[1]Data!H50</f>
        <v>7.9553629311967123E-3</v>
      </c>
      <c r="G47" s="16">
        <f>[1]Data!I50</f>
        <v>-2.7481612293821433E-3</v>
      </c>
      <c r="H47" s="17">
        <f t="shared" si="0"/>
        <v>1</v>
      </c>
      <c r="I47" s="18">
        <f t="shared" si="10"/>
        <v>1</v>
      </c>
      <c r="J47" s="19">
        <f t="shared" si="1"/>
        <v>3.2211743209751634E-3</v>
      </c>
      <c r="K47" s="19">
        <f t="shared" si="2"/>
        <v>0</v>
      </c>
      <c r="L47" s="19">
        <f t="shared" si="3"/>
        <v>9.0424605799544061E-3</v>
      </c>
      <c r="M47" s="19">
        <f t="shared" si="4"/>
        <v>0</v>
      </c>
      <c r="N47" s="19">
        <f t="shared" si="5"/>
        <v>7.9553629311967123E-3</v>
      </c>
      <c r="O47" s="19">
        <f t="shared" si="6"/>
        <v>0</v>
      </c>
      <c r="P47" s="19">
        <f t="shared" si="7"/>
        <v>2.7481612293821433E-3</v>
      </c>
      <c r="Q47" s="19">
        <f t="shared" si="8"/>
        <v>0</v>
      </c>
      <c r="R47" s="19">
        <f t="shared" si="11"/>
        <v>0.1024898393339829</v>
      </c>
      <c r="S47" s="19">
        <f t="shared" si="12"/>
        <v>0.11878248121786346</v>
      </c>
      <c r="T47" s="19">
        <f t="shared" si="13"/>
        <v>-8.0922613363798176E-2</v>
      </c>
      <c r="U47" s="19">
        <f t="shared" si="14"/>
        <v>3.2450955146192721E-2</v>
      </c>
      <c r="V47" s="19">
        <f t="shared" si="15"/>
        <v>0.10216329297781392</v>
      </c>
      <c r="W47" s="19">
        <f t="shared" si="16"/>
        <v>-0.14778473994493377</v>
      </c>
      <c r="X47" s="19">
        <f t="shared" si="17"/>
        <v>3.2152317173601286E-2</v>
      </c>
      <c r="Y47" s="19">
        <f t="shared" si="18"/>
        <v>-8.907561424054955E-2</v>
      </c>
      <c r="AA47" s="19">
        <f t="shared" si="19"/>
        <v>7.0255918300172818E-2</v>
      </c>
      <c r="AB47" s="19">
        <f t="shared" si="20"/>
        <v>0.40154934327981945</v>
      </c>
    </row>
    <row r="48" spans="1:28" x14ac:dyDescent="0.25">
      <c r="A48" s="13">
        <f>[1]Data!A51</f>
        <v>38869</v>
      </c>
      <c r="B48" s="14">
        <f>[1]Data!B51</f>
        <v>2.6046786010255167E-3</v>
      </c>
      <c r="C48" s="14">
        <f>[1]Data!C51</f>
        <v>-2.4136279285289729E-2</v>
      </c>
      <c r="D48" s="15">
        <f>[1]Data!F51</f>
        <v>1.7996187837285297E-2</v>
      </c>
      <c r="E48" s="16">
        <f>[1]Data!G51</f>
        <v>2.969314792692611E-3</v>
      </c>
      <c r="F48" s="15">
        <f>[1]Data!H51</f>
        <v>-1.3024734076348625E-2</v>
      </c>
      <c r="G48" s="16">
        <f>[1]Data!I51</f>
        <v>2.0921812409311978E-2</v>
      </c>
      <c r="H48" s="17">
        <f t="shared" si="0"/>
        <v>1</v>
      </c>
      <c r="I48" s="18">
        <f t="shared" si="10"/>
        <v>-1</v>
      </c>
      <c r="J48" s="19">
        <f t="shared" si="1"/>
        <v>1.7996187837285297E-2</v>
      </c>
      <c r="K48" s="19">
        <f t="shared" si="2"/>
        <v>0</v>
      </c>
      <c r="L48" s="19">
        <f t="shared" si="3"/>
        <v>-2.969314792692611E-3</v>
      </c>
      <c r="M48" s="19">
        <f t="shared" si="4"/>
        <v>0</v>
      </c>
      <c r="N48" s="19">
        <f t="shared" si="5"/>
        <v>0</v>
      </c>
      <c r="O48" s="19">
        <f t="shared" si="6"/>
        <v>1.3024734076348625E-2</v>
      </c>
      <c r="P48" s="19">
        <f t="shared" si="7"/>
        <v>0</v>
      </c>
      <c r="Q48" s="19">
        <f t="shared" si="8"/>
        <v>2.0921812409311978E-2</v>
      </c>
      <c r="R48" s="19">
        <f t="shared" si="11"/>
        <v>0.12048602717126819</v>
      </c>
      <c r="S48" s="19">
        <f t="shared" si="12"/>
        <v>0.11878248121786346</v>
      </c>
      <c r="T48" s="19">
        <f t="shared" si="13"/>
        <v>-8.3891928156490783E-2</v>
      </c>
      <c r="U48" s="19">
        <f t="shared" si="14"/>
        <v>3.2450955146192721E-2</v>
      </c>
      <c r="V48" s="19">
        <f t="shared" si="15"/>
        <v>0.10216329297781392</v>
      </c>
      <c r="W48" s="19">
        <f t="shared" si="16"/>
        <v>-0.13476000586858514</v>
      </c>
      <c r="X48" s="19">
        <f t="shared" si="17"/>
        <v>3.2152317173601286E-2</v>
      </c>
      <c r="Y48" s="19">
        <f t="shared" si="18"/>
        <v>-6.8153801831237565E-2</v>
      </c>
      <c r="AA48" s="19">
        <f t="shared" si="19"/>
        <v>0.11922933783042611</v>
      </c>
      <c r="AB48" s="19">
        <f t="shared" si="20"/>
        <v>0.40415402188084498</v>
      </c>
    </row>
    <row r="49" spans="1:28" x14ac:dyDescent="0.25">
      <c r="A49" s="13">
        <f>[1]Data!A52</f>
        <v>38899</v>
      </c>
      <c r="B49" s="14">
        <f>[1]Data!B52</f>
        <v>4.468008958796967E-3</v>
      </c>
      <c r="C49" s="14">
        <f>[1]Data!C52</f>
        <v>-2.3649271526161874E-2</v>
      </c>
      <c r="D49" s="15">
        <f>[1]Data!F52</f>
        <v>1.2910411835419359E-2</v>
      </c>
      <c r="E49" s="16">
        <f>[1]Data!G52</f>
        <v>6.195492477974341E-3</v>
      </c>
      <c r="F49" s="15">
        <f>[1]Data!H52</f>
        <v>-3.3842370024011574E-3</v>
      </c>
      <c r="G49" s="16">
        <f>[1]Data!I52</f>
        <v>4.4785110205172026E-3</v>
      </c>
      <c r="H49" s="17">
        <f t="shared" si="0"/>
        <v>1</v>
      </c>
      <c r="I49" s="18">
        <f t="shared" si="10"/>
        <v>-1</v>
      </c>
      <c r="J49" s="19">
        <f t="shared" si="1"/>
        <v>1.2910411835419359E-2</v>
      </c>
      <c r="K49" s="19">
        <f t="shared" si="2"/>
        <v>0</v>
      </c>
      <c r="L49" s="19">
        <f t="shared" si="3"/>
        <v>-6.195492477974341E-3</v>
      </c>
      <c r="M49" s="19">
        <f t="shared" si="4"/>
        <v>0</v>
      </c>
      <c r="N49" s="19">
        <f t="shared" si="5"/>
        <v>0</v>
      </c>
      <c r="O49" s="19">
        <f t="shared" si="6"/>
        <v>3.3842370024011574E-3</v>
      </c>
      <c r="P49" s="19">
        <f t="shared" si="7"/>
        <v>0</v>
      </c>
      <c r="Q49" s="19">
        <f t="shared" si="8"/>
        <v>4.4785110205172026E-3</v>
      </c>
      <c r="R49" s="19">
        <f t="shared" si="11"/>
        <v>0.13339643900668754</v>
      </c>
      <c r="S49" s="19">
        <f t="shared" si="12"/>
        <v>0.11878248121786346</v>
      </c>
      <c r="T49" s="19">
        <f t="shared" si="13"/>
        <v>-9.0087420634465121E-2</v>
      </c>
      <c r="U49" s="19">
        <f t="shared" si="14"/>
        <v>3.2450955146192721E-2</v>
      </c>
      <c r="V49" s="19">
        <f t="shared" si="15"/>
        <v>0.10216329297781392</v>
      </c>
      <c r="W49" s="19">
        <f t="shared" si="16"/>
        <v>-0.13137576886618399</v>
      </c>
      <c r="X49" s="19">
        <f t="shared" si="17"/>
        <v>3.2152317173601286E-2</v>
      </c>
      <c r="Y49" s="19">
        <f t="shared" si="18"/>
        <v>-6.3675290810720361E-2</v>
      </c>
      <c r="AA49" s="19">
        <f t="shared" si="19"/>
        <v>0.13380700521078948</v>
      </c>
      <c r="AB49" s="19">
        <f t="shared" si="20"/>
        <v>0.40862203083964194</v>
      </c>
    </row>
    <row r="50" spans="1:28" x14ac:dyDescent="0.25">
      <c r="A50" s="13">
        <f>[1]Data!A53</f>
        <v>38930</v>
      </c>
      <c r="B50" s="14">
        <f>[1]Data!B53</f>
        <v>2.1587907719146763E-2</v>
      </c>
      <c r="C50" s="14">
        <f>[1]Data!C53</f>
        <v>-1.0089722427011503E-3</v>
      </c>
      <c r="D50" s="15">
        <f>[1]Data!F53</f>
        <v>3.9113592680134514E-3</v>
      </c>
      <c r="E50" s="16">
        <f>[1]Data!G53</f>
        <v>1.1418121631058528E-2</v>
      </c>
      <c r="F50" s="15">
        <f>[1]Data!H53</f>
        <v>3.9115179361156726E-4</v>
      </c>
      <c r="G50" s="16">
        <f>[1]Data!I53</f>
        <v>1.0498166980180697E-2</v>
      </c>
      <c r="H50" s="17">
        <f t="shared" si="0"/>
        <v>1</v>
      </c>
      <c r="I50" s="18">
        <f t="shared" si="10"/>
        <v>-1</v>
      </c>
      <c r="J50" s="19">
        <f t="shared" si="1"/>
        <v>3.9113592680134514E-3</v>
      </c>
      <c r="K50" s="19">
        <f t="shared" si="2"/>
        <v>0</v>
      </c>
      <c r="L50" s="19">
        <f t="shared" si="3"/>
        <v>-1.1418121631058528E-2</v>
      </c>
      <c r="M50" s="19">
        <f t="shared" si="4"/>
        <v>0</v>
      </c>
      <c r="N50" s="19">
        <f t="shared" si="5"/>
        <v>0</v>
      </c>
      <c r="O50" s="19">
        <f t="shared" si="6"/>
        <v>-3.9115179361156726E-4</v>
      </c>
      <c r="P50" s="19">
        <f t="shared" si="7"/>
        <v>0</v>
      </c>
      <c r="Q50" s="19">
        <f t="shared" si="8"/>
        <v>1.0498166980180697E-2</v>
      </c>
      <c r="R50" s="19">
        <f t="shared" si="11"/>
        <v>0.13730779827470099</v>
      </c>
      <c r="S50" s="19">
        <f t="shared" si="12"/>
        <v>0.11878248121786346</v>
      </c>
      <c r="T50" s="19">
        <f t="shared" si="13"/>
        <v>-0.10150554226552365</v>
      </c>
      <c r="U50" s="19">
        <f t="shared" si="14"/>
        <v>3.2450955146192721E-2</v>
      </c>
      <c r="V50" s="19">
        <f t="shared" si="15"/>
        <v>0.10216329297781392</v>
      </c>
      <c r="W50" s="19">
        <f t="shared" si="16"/>
        <v>-0.13176692065979556</v>
      </c>
      <c r="X50" s="19">
        <f t="shared" si="17"/>
        <v>3.2152317173601286E-2</v>
      </c>
      <c r="Y50" s="19">
        <f t="shared" si="18"/>
        <v>-5.3177123830539665E-2</v>
      </c>
      <c r="AA50" s="19">
        <f t="shared" si="19"/>
        <v>0.13640725803431353</v>
      </c>
      <c r="AB50" s="19">
        <f t="shared" si="20"/>
        <v>0.4302099385587887</v>
      </c>
    </row>
    <row r="51" spans="1:28" x14ac:dyDescent="0.25">
      <c r="A51" s="13">
        <f>[1]Data!A54</f>
        <v>38961</v>
      </c>
      <c r="B51" s="14">
        <f>[1]Data!B54</f>
        <v>2.6643527518460088E-2</v>
      </c>
      <c r="C51" s="14">
        <f>[1]Data!C54</f>
        <v>-1.1261635978117291E-2</v>
      </c>
      <c r="D51" s="15">
        <f>[1]Data!F54</f>
        <v>1.592179277364051E-2</v>
      </c>
      <c r="E51" s="16">
        <f>[1]Data!G54</f>
        <v>-3.0152215371729183E-3</v>
      </c>
      <c r="F51" s="15">
        <f>[1]Data!H54</f>
        <v>-2.7593213246328015E-3</v>
      </c>
      <c r="G51" s="16">
        <f>[1]Data!I54</f>
        <v>-4.570561007088669E-3</v>
      </c>
      <c r="H51" s="17">
        <f t="shared" si="0"/>
        <v>1</v>
      </c>
      <c r="I51" s="18">
        <f t="shared" si="10"/>
        <v>-1</v>
      </c>
      <c r="J51" s="19">
        <f t="shared" si="1"/>
        <v>1.592179277364051E-2</v>
      </c>
      <c r="K51" s="19">
        <f t="shared" si="2"/>
        <v>0</v>
      </c>
      <c r="L51" s="19">
        <f t="shared" si="3"/>
        <v>3.0152215371729183E-3</v>
      </c>
      <c r="M51" s="19">
        <f t="shared" si="4"/>
        <v>0</v>
      </c>
      <c r="N51" s="19">
        <f t="shared" si="5"/>
        <v>0</v>
      </c>
      <c r="O51" s="19">
        <f t="shared" si="6"/>
        <v>2.7593213246328015E-3</v>
      </c>
      <c r="P51" s="19">
        <f t="shared" si="7"/>
        <v>0</v>
      </c>
      <c r="Q51" s="19">
        <f t="shared" si="8"/>
        <v>-4.570561007088669E-3</v>
      </c>
      <c r="R51" s="19">
        <f t="shared" si="11"/>
        <v>0.1532295910483415</v>
      </c>
      <c r="S51" s="19">
        <f t="shared" si="12"/>
        <v>0.11878248121786346</v>
      </c>
      <c r="T51" s="19">
        <f t="shared" si="13"/>
        <v>-9.8490320728350733E-2</v>
      </c>
      <c r="U51" s="19">
        <f t="shared" si="14"/>
        <v>3.2450955146192721E-2</v>
      </c>
      <c r="V51" s="19">
        <f t="shared" si="15"/>
        <v>0.10216329297781392</v>
      </c>
      <c r="W51" s="19">
        <f t="shared" si="16"/>
        <v>-0.12900759933516276</v>
      </c>
      <c r="X51" s="19">
        <f t="shared" si="17"/>
        <v>3.2152317173601286E-2</v>
      </c>
      <c r="Y51" s="19">
        <f t="shared" si="18"/>
        <v>-5.7747684837628335E-2</v>
      </c>
      <c r="AA51" s="19">
        <f t="shared" si="19"/>
        <v>0.1535330326626711</v>
      </c>
      <c r="AB51" s="19">
        <f t="shared" si="20"/>
        <v>0.4568534660772488</v>
      </c>
    </row>
    <row r="52" spans="1:28" x14ac:dyDescent="0.25">
      <c r="A52" s="13">
        <f>[1]Data!A55</f>
        <v>38991</v>
      </c>
      <c r="B52" s="14">
        <f>[1]Data!B55</f>
        <v>3.1030163088766955E-2</v>
      </c>
      <c r="C52" s="14">
        <f>[1]Data!C55</f>
        <v>4.1168317493083292E-2</v>
      </c>
      <c r="D52" s="15">
        <f>[1]Data!F55</f>
        <v>6.918260549522319E-3</v>
      </c>
      <c r="E52" s="16">
        <f>[1]Data!G55</f>
        <v>2.548778546364891E-2</v>
      </c>
      <c r="F52" s="15">
        <f>[1]Data!H55</f>
        <v>1.0648340267244209E-2</v>
      </c>
      <c r="G52" s="16">
        <f>[1]Data!I55</f>
        <v>-8.8649682893671145E-3</v>
      </c>
      <c r="H52" s="17">
        <f t="shared" si="0"/>
        <v>-1</v>
      </c>
      <c r="I52" s="18">
        <f t="shared" si="10"/>
        <v>-1</v>
      </c>
      <c r="J52" s="19">
        <f t="shared" si="1"/>
        <v>0</v>
      </c>
      <c r="K52" s="19">
        <f t="shared" si="2"/>
        <v>-6.918260549522319E-3</v>
      </c>
      <c r="L52" s="19">
        <f t="shared" si="3"/>
        <v>0</v>
      </c>
      <c r="M52" s="19">
        <f t="shared" si="4"/>
        <v>2.548778546364891E-2</v>
      </c>
      <c r="N52" s="19">
        <f t="shared" si="5"/>
        <v>0</v>
      </c>
      <c r="O52" s="19">
        <f t="shared" si="6"/>
        <v>-1.0648340267244209E-2</v>
      </c>
      <c r="P52" s="19">
        <f t="shared" si="7"/>
        <v>0</v>
      </c>
      <c r="Q52" s="19">
        <f t="shared" si="8"/>
        <v>-8.8649682893671145E-3</v>
      </c>
      <c r="R52" s="19">
        <f t="shared" si="11"/>
        <v>0.1532295910483415</v>
      </c>
      <c r="S52" s="19">
        <f t="shared" si="12"/>
        <v>0.11186422066834115</v>
      </c>
      <c r="T52" s="19">
        <f t="shared" si="13"/>
        <v>-9.8490320728350733E-2</v>
      </c>
      <c r="U52" s="19">
        <f t="shared" si="14"/>
        <v>5.7938740609841631E-2</v>
      </c>
      <c r="V52" s="19">
        <f t="shared" si="15"/>
        <v>0.10216329297781392</v>
      </c>
      <c r="W52" s="19">
        <f t="shared" si="16"/>
        <v>-0.13965593960240696</v>
      </c>
      <c r="X52" s="19">
        <f t="shared" si="17"/>
        <v>3.2152317173601286E-2</v>
      </c>
      <c r="Y52" s="19">
        <f t="shared" si="18"/>
        <v>-6.661265312699545E-2</v>
      </c>
      <c r="AA52" s="19">
        <f t="shared" si="19"/>
        <v>0.15258924902018636</v>
      </c>
      <c r="AB52" s="19">
        <f t="shared" si="20"/>
        <v>0.48788362916601574</v>
      </c>
    </row>
    <row r="53" spans="1:28" x14ac:dyDescent="0.25">
      <c r="A53" s="13">
        <f>[1]Data!A56</f>
        <v>39022</v>
      </c>
      <c r="B53" s="14">
        <f>[1]Data!B56</f>
        <v>1.9690075438344244E-2</v>
      </c>
      <c r="C53" s="14">
        <f>[1]Data!C56</f>
        <v>1.1072758939932151E-2</v>
      </c>
      <c r="D53" s="15">
        <f>[1]Data!F56</f>
        <v>-7.8262594549686451E-4</v>
      </c>
      <c r="E53" s="16">
        <f>[1]Data!G56</f>
        <v>1.3419337735648712E-2</v>
      </c>
      <c r="F53" s="15">
        <f>[1]Data!H56</f>
        <v>5.9328951483249934E-3</v>
      </c>
      <c r="G53" s="16">
        <f>[1]Data!I56</f>
        <v>-2.9666651849128926E-3</v>
      </c>
      <c r="H53" s="17">
        <f t="shared" si="0"/>
        <v>-1</v>
      </c>
      <c r="I53" s="18">
        <f t="shared" si="10"/>
        <v>1</v>
      </c>
      <c r="J53" s="19">
        <f t="shared" si="1"/>
        <v>0</v>
      </c>
      <c r="K53" s="19">
        <f t="shared" si="2"/>
        <v>7.8262594549686451E-4</v>
      </c>
      <c r="L53" s="19">
        <f t="shared" si="3"/>
        <v>0</v>
      </c>
      <c r="M53" s="19">
        <f t="shared" si="4"/>
        <v>1.3419337735648712E-2</v>
      </c>
      <c r="N53" s="19">
        <f t="shared" si="5"/>
        <v>5.9328951483249934E-3</v>
      </c>
      <c r="O53" s="19">
        <f t="shared" si="6"/>
        <v>0</v>
      </c>
      <c r="P53" s="19">
        <f t="shared" si="7"/>
        <v>2.9666651849128926E-3</v>
      </c>
      <c r="Q53" s="19">
        <f t="shared" si="8"/>
        <v>0</v>
      </c>
      <c r="R53" s="19">
        <f t="shared" si="11"/>
        <v>0.1532295910483415</v>
      </c>
      <c r="S53" s="19">
        <f t="shared" si="12"/>
        <v>0.11264684661383802</v>
      </c>
      <c r="T53" s="19">
        <f t="shared" si="13"/>
        <v>-9.8490320728350733E-2</v>
      </c>
      <c r="U53" s="19">
        <f t="shared" si="14"/>
        <v>7.135807834549035E-2</v>
      </c>
      <c r="V53" s="19">
        <f t="shared" si="15"/>
        <v>0.10809618812613891</v>
      </c>
      <c r="W53" s="19">
        <f t="shared" si="16"/>
        <v>-0.13965593960240696</v>
      </c>
      <c r="X53" s="19">
        <f t="shared" si="17"/>
        <v>3.5118982358514177E-2</v>
      </c>
      <c r="Y53" s="19">
        <f t="shared" si="18"/>
        <v>-6.661265312699545E-2</v>
      </c>
      <c r="AA53" s="19">
        <f t="shared" si="19"/>
        <v>0.17569077303456981</v>
      </c>
      <c r="AB53" s="19">
        <f t="shared" si="20"/>
        <v>0.50757370460436002</v>
      </c>
    </row>
    <row r="54" spans="1:28" x14ac:dyDescent="0.25">
      <c r="A54" s="13">
        <f>[1]Data!A57</f>
        <v>39052</v>
      </c>
      <c r="B54" s="14">
        <f>[1]Data!B57</f>
        <v>1.3282696711612991E-2</v>
      </c>
      <c r="C54" s="14">
        <f>[1]Data!C57</f>
        <v>2.5508959424920759E-2</v>
      </c>
      <c r="D54" s="15">
        <f>[1]Data!F57</f>
        <v>-1.7694179454963432E-16</v>
      </c>
      <c r="E54" s="16">
        <f>[1]Data!G57</f>
        <v>-1.510077938741145E-2</v>
      </c>
      <c r="F54" s="15">
        <f>[1]Data!H57</f>
        <v>4.4733305016389814E-3</v>
      </c>
      <c r="G54" s="16">
        <f>[1]Data!I57</f>
        <v>-3.1642057175023061E-3</v>
      </c>
      <c r="H54" s="17">
        <f t="shared" si="0"/>
        <v>-1</v>
      </c>
      <c r="I54" s="18">
        <f t="shared" si="10"/>
        <v>1</v>
      </c>
      <c r="J54" s="19">
        <f t="shared" si="1"/>
        <v>0</v>
      </c>
      <c r="K54" s="19">
        <f t="shared" si="2"/>
        <v>1.7694179454963432E-16</v>
      </c>
      <c r="L54" s="19">
        <f t="shared" si="3"/>
        <v>0</v>
      </c>
      <c r="M54" s="19">
        <f t="shared" si="4"/>
        <v>-1.510077938741145E-2</v>
      </c>
      <c r="N54" s="19">
        <f t="shared" si="5"/>
        <v>4.4733305016389814E-3</v>
      </c>
      <c r="O54" s="19">
        <f t="shared" si="6"/>
        <v>0</v>
      </c>
      <c r="P54" s="19">
        <f t="shared" si="7"/>
        <v>3.1642057175023061E-3</v>
      </c>
      <c r="Q54" s="19">
        <f t="shared" si="8"/>
        <v>0</v>
      </c>
      <c r="R54" s="19">
        <f t="shared" si="11"/>
        <v>0.1532295910483415</v>
      </c>
      <c r="S54" s="19">
        <f t="shared" si="12"/>
        <v>0.1126468466138382</v>
      </c>
      <c r="T54" s="19">
        <f t="shared" si="13"/>
        <v>-9.8490320728350733E-2</v>
      </c>
      <c r="U54" s="19">
        <f t="shared" si="14"/>
        <v>5.6257298958078898E-2</v>
      </c>
      <c r="V54" s="19">
        <f t="shared" si="15"/>
        <v>0.11256951862777789</v>
      </c>
      <c r="W54" s="19">
        <f t="shared" si="16"/>
        <v>-0.13965593960240696</v>
      </c>
      <c r="X54" s="19">
        <f t="shared" si="17"/>
        <v>3.8283188076016481E-2</v>
      </c>
      <c r="Y54" s="19">
        <f t="shared" si="18"/>
        <v>-6.661265312699545E-2</v>
      </c>
      <c r="AA54" s="19">
        <f t="shared" si="19"/>
        <v>0.16822752986629982</v>
      </c>
      <c r="AB54" s="19">
        <f t="shared" si="20"/>
        <v>0.52085640131597299</v>
      </c>
    </row>
    <row r="55" spans="1:28" x14ac:dyDescent="0.25">
      <c r="A55" s="13">
        <f>[1]Data!A58</f>
        <v>39083</v>
      </c>
      <c r="B55" s="14">
        <f>[1]Data!B58</f>
        <v>1.4928488844230672E-2</v>
      </c>
      <c r="C55" s="14">
        <f>[1]Data!C58</f>
        <v>2.5634941222122259E-2</v>
      </c>
      <c r="D55" s="15">
        <f>[1]Data!F58</f>
        <v>-1.3903654065319159E-3</v>
      </c>
      <c r="E55" s="16">
        <f>[1]Data!G58</f>
        <v>-6.8607160114793689E-4</v>
      </c>
      <c r="F55" s="15">
        <f>[1]Data!H58</f>
        <v>-3.8910623244477879E-3</v>
      </c>
      <c r="G55" s="16">
        <f>[1]Data!I58</f>
        <v>1.0573022287509958E-2</v>
      </c>
      <c r="H55" s="17">
        <f t="shared" si="0"/>
        <v>-1</v>
      </c>
      <c r="I55" s="18">
        <f t="shared" si="10"/>
        <v>1</v>
      </c>
      <c r="J55" s="19">
        <f t="shared" si="1"/>
        <v>0</v>
      </c>
      <c r="K55" s="19">
        <f t="shared" si="2"/>
        <v>1.3903654065319159E-3</v>
      </c>
      <c r="L55" s="19">
        <f t="shared" si="3"/>
        <v>0</v>
      </c>
      <c r="M55" s="19">
        <f t="shared" si="4"/>
        <v>-6.8607160114793689E-4</v>
      </c>
      <c r="N55" s="19">
        <f t="shared" si="5"/>
        <v>-3.8910623244477879E-3</v>
      </c>
      <c r="O55" s="19">
        <f t="shared" si="6"/>
        <v>0</v>
      </c>
      <c r="P55" s="19">
        <f t="shared" si="7"/>
        <v>-1.0573022287509958E-2</v>
      </c>
      <c r="Q55" s="19">
        <f t="shared" si="8"/>
        <v>0</v>
      </c>
      <c r="R55" s="19">
        <f t="shared" si="11"/>
        <v>0.1532295910483415</v>
      </c>
      <c r="S55" s="19">
        <f t="shared" si="12"/>
        <v>0.11403721202037011</v>
      </c>
      <c r="T55" s="19">
        <f t="shared" si="13"/>
        <v>-9.8490320728350733E-2</v>
      </c>
      <c r="U55" s="19">
        <f t="shared" si="14"/>
        <v>5.5571227356930958E-2</v>
      </c>
      <c r="V55" s="19">
        <f t="shared" si="15"/>
        <v>0.1086784563033301</v>
      </c>
      <c r="W55" s="19">
        <f t="shared" si="16"/>
        <v>-0.13965593960240696</v>
      </c>
      <c r="X55" s="19">
        <f t="shared" si="17"/>
        <v>2.7710165788506522E-2</v>
      </c>
      <c r="Y55" s="19">
        <f t="shared" si="18"/>
        <v>-6.661265312699545E-2</v>
      </c>
      <c r="AA55" s="19">
        <f t="shared" si="19"/>
        <v>0.15446773905972605</v>
      </c>
      <c r="AB55" s="19">
        <f t="shared" si="20"/>
        <v>0.5357848901602037</v>
      </c>
    </row>
    <row r="56" spans="1:28" x14ac:dyDescent="0.25">
      <c r="A56" s="13">
        <f>[1]Data!A59</f>
        <v>39114</v>
      </c>
      <c r="B56" s="14">
        <f>[1]Data!B59</f>
        <v>-1.9812716514843898E-2</v>
      </c>
      <c r="C56" s="14">
        <f>[1]Data!C59</f>
        <v>3.0659186013294124E-3</v>
      </c>
      <c r="D56" s="15">
        <f>[1]Data!F59</f>
        <v>-3.445253757602991E-2</v>
      </c>
      <c r="E56" s="16">
        <f>[1]Data!G59</f>
        <v>2.1754926771803795E-2</v>
      </c>
      <c r="F56" s="15">
        <f>[1]Data!H59</f>
        <v>1.0104817526538145E-2</v>
      </c>
      <c r="G56" s="16">
        <f>[1]Data!I59</f>
        <v>9.8723633273717394E-3</v>
      </c>
      <c r="H56" s="17">
        <f t="shared" si="0"/>
        <v>-1</v>
      </c>
      <c r="I56" s="18">
        <f t="shared" si="10"/>
        <v>1</v>
      </c>
      <c r="J56" s="19">
        <f t="shared" si="1"/>
        <v>0</v>
      </c>
      <c r="K56" s="19">
        <f t="shared" si="2"/>
        <v>3.445253757602991E-2</v>
      </c>
      <c r="L56" s="19">
        <f t="shared" si="3"/>
        <v>0</v>
      </c>
      <c r="M56" s="19">
        <f t="shared" si="4"/>
        <v>2.1754926771803795E-2</v>
      </c>
      <c r="N56" s="19">
        <f t="shared" si="5"/>
        <v>1.0104817526538145E-2</v>
      </c>
      <c r="O56" s="19">
        <f t="shared" si="6"/>
        <v>0</v>
      </c>
      <c r="P56" s="19">
        <f t="shared" si="7"/>
        <v>-9.8723633273717394E-3</v>
      </c>
      <c r="Q56" s="19">
        <f t="shared" si="8"/>
        <v>0</v>
      </c>
      <c r="R56" s="19">
        <f t="shared" si="11"/>
        <v>0.1532295910483415</v>
      </c>
      <c r="S56" s="19">
        <f t="shared" si="12"/>
        <v>0.14848974959640002</v>
      </c>
      <c r="T56" s="19">
        <f t="shared" si="13"/>
        <v>-9.8490320728350733E-2</v>
      </c>
      <c r="U56" s="19">
        <f t="shared" si="14"/>
        <v>7.7326154128734753E-2</v>
      </c>
      <c r="V56" s="19">
        <f t="shared" si="15"/>
        <v>0.11878327382986825</v>
      </c>
      <c r="W56" s="19">
        <f t="shared" si="16"/>
        <v>-0.13965593960240696</v>
      </c>
      <c r="X56" s="19">
        <f t="shared" si="17"/>
        <v>1.7837802461134783E-2</v>
      </c>
      <c r="Y56" s="19">
        <f t="shared" si="18"/>
        <v>-6.661265312699545E-2</v>
      </c>
      <c r="AA56" s="19">
        <f t="shared" si="19"/>
        <v>0.21090765760672617</v>
      </c>
      <c r="AB56" s="19">
        <f t="shared" si="20"/>
        <v>0.51597217364535974</v>
      </c>
    </row>
    <row r="57" spans="1:28" x14ac:dyDescent="0.25">
      <c r="A57" s="13">
        <f>[1]Data!A60</f>
        <v>39142</v>
      </c>
      <c r="B57" s="14">
        <f>[1]Data!B60</f>
        <v>1.1522851077644499E-2</v>
      </c>
      <c r="C57" s="14">
        <f>[1]Data!C60</f>
        <v>2.1201145163857352E-2</v>
      </c>
      <c r="D57" s="15">
        <f>[1]Data!F60</f>
        <v>-9.0430043580398967E-3</v>
      </c>
      <c r="E57" s="16">
        <f>[1]Data!G60</f>
        <v>-1.6514017261077919E-2</v>
      </c>
      <c r="F57" s="15">
        <f>[1]Data!H60</f>
        <v>-9.7683223735969844E-3</v>
      </c>
      <c r="G57" s="16">
        <f>[1]Data!I60</f>
        <v>6.9130557163929254E-3</v>
      </c>
      <c r="H57" s="17">
        <f t="shared" si="0"/>
        <v>-1</v>
      </c>
      <c r="I57" s="18">
        <f t="shared" si="10"/>
        <v>1</v>
      </c>
      <c r="J57" s="19">
        <f t="shared" si="1"/>
        <v>0</v>
      </c>
      <c r="K57" s="19">
        <f t="shared" si="2"/>
        <v>9.0430043580398967E-3</v>
      </c>
      <c r="L57" s="19">
        <f t="shared" si="3"/>
        <v>0</v>
      </c>
      <c r="M57" s="19">
        <f t="shared" si="4"/>
        <v>-1.6514017261077919E-2</v>
      </c>
      <c r="N57" s="19">
        <f t="shared" si="5"/>
        <v>-9.7683223735969844E-3</v>
      </c>
      <c r="O57" s="19">
        <f t="shared" si="6"/>
        <v>0</v>
      </c>
      <c r="P57" s="19">
        <f t="shared" si="7"/>
        <v>-6.9130557163929254E-3</v>
      </c>
      <c r="Q57" s="19">
        <f t="shared" si="8"/>
        <v>0</v>
      </c>
      <c r="R57" s="19">
        <f t="shared" si="11"/>
        <v>0.1532295910483415</v>
      </c>
      <c r="S57" s="19">
        <f t="shared" si="12"/>
        <v>0.15753275395443991</v>
      </c>
      <c r="T57" s="19">
        <f t="shared" si="13"/>
        <v>-9.8490320728350733E-2</v>
      </c>
      <c r="U57" s="19">
        <f t="shared" si="14"/>
        <v>6.0812136867656838E-2</v>
      </c>
      <c r="V57" s="19">
        <f t="shared" si="15"/>
        <v>0.10901495145627127</v>
      </c>
      <c r="W57" s="19">
        <f t="shared" si="16"/>
        <v>-0.13965593960240696</v>
      </c>
      <c r="X57" s="19">
        <f t="shared" si="17"/>
        <v>1.0924746744741858E-2</v>
      </c>
      <c r="Y57" s="19">
        <f t="shared" si="18"/>
        <v>-6.661265312699545E-2</v>
      </c>
      <c r="AA57" s="19">
        <f t="shared" si="19"/>
        <v>0.18675526661369823</v>
      </c>
      <c r="AB57" s="19">
        <f t="shared" si="20"/>
        <v>0.52749502472300425</v>
      </c>
    </row>
    <row r="58" spans="1:28" x14ac:dyDescent="0.25">
      <c r="A58" s="13">
        <f>[1]Data!A61</f>
        <v>39173</v>
      </c>
      <c r="B58" s="14">
        <f>[1]Data!B61</f>
        <v>4.3342227295940484E-2</v>
      </c>
      <c r="C58" s="14">
        <f>[1]Data!C61</f>
        <v>3.5941124397633951E-2</v>
      </c>
      <c r="D58" s="15">
        <f>[1]Data!F61</f>
        <v>1.551807768923278E-3</v>
      </c>
      <c r="E58" s="16">
        <f>[1]Data!G61</f>
        <v>3.1591196779816285E-3</v>
      </c>
      <c r="F58" s="15">
        <f>[1]Data!H61</f>
        <v>1.7036627436698187E-2</v>
      </c>
      <c r="G58" s="16">
        <f>[1]Data!I61</f>
        <v>-8.9536555089582623E-3</v>
      </c>
      <c r="H58" s="17">
        <f t="shared" si="0"/>
        <v>-1</v>
      </c>
      <c r="I58" s="18">
        <f t="shared" si="10"/>
        <v>1</v>
      </c>
      <c r="J58" s="19">
        <f t="shared" si="1"/>
        <v>0</v>
      </c>
      <c r="K58" s="19">
        <f t="shared" si="2"/>
        <v>-1.551807768923278E-3</v>
      </c>
      <c r="L58" s="19">
        <f t="shared" si="3"/>
        <v>0</v>
      </c>
      <c r="M58" s="19">
        <f t="shared" si="4"/>
        <v>3.1591196779816285E-3</v>
      </c>
      <c r="N58" s="19">
        <f t="shared" si="5"/>
        <v>1.7036627436698187E-2</v>
      </c>
      <c r="O58" s="19">
        <f t="shared" si="6"/>
        <v>0</v>
      </c>
      <c r="P58" s="19">
        <f t="shared" si="7"/>
        <v>8.9536555089582623E-3</v>
      </c>
      <c r="Q58" s="19">
        <f t="shared" si="8"/>
        <v>0</v>
      </c>
      <c r="R58" s="19">
        <f t="shared" si="11"/>
        <v>0.1532295910483415</v>
      </c>
      <c r="S58" s="19">
        <f t="shared" si="12"/>
        <v>0.15598094618551664</v>
      </c>
      <c r="T58" s="19">
        <f t="shared" si="13"/>
        <v>-9.8490320728350733E-2</v>
      </c>
      <c r="U58" s="19">
        <f t="shared" si="14"/>
        <v>6.3971256545638469E-2</v>
      </c>
      <c r="V58" s="19">
        <f t="shared" si="15"/>
        <v>0.12605157889296945</v>
      </c>
      <c r="W58" s="19">
        <f t="shared" si="16"/>
        <v>-0.13965593960240696</v>
      </c>
      <c r="X58" s="19">
        <f t="shared" si="17"/>
        <v>1.987840225370012E-2</v>
      </c>
      <c r="Y58" s="19">
        <f t="shared" si="18"/>
        <v>-6.661265312699545E-2</v>
      </c>
      <c r="AA58" s="19">
        <f t="shared" si="19"/>
        <v>0.21435286146841304</v>
      </c>
      <c r="AB58" s="19">
        <f t="shared" si="20"/>
        <v>0.57083725201894475</v>
      </c>
    </row>
    <row r="59" spans="1:28" x14ac:dyDescent="0.25">
      <c r="A59" s="13">
        <f>[1]Data!A62</f>
        <v>39203</v>
      </c>
      <c r="B59" s="14">
        <f>[1]Data!B62</f>
        <v>3.3357697017391309E-2</v>
      </c>
      <c r="C59" s="14">
        <f>[1]Data!C62</f>
        <v>4.2332386488612969E-2</v>
      </c>
      <c r="D59" s="15">
        <f>[1]Data!F62</f>
        <v>5.1009769890597006E-3</v>
      </c>
      <c r="E59" s="16">
        <f>[1]Data!G62</f>
        <v>-9.3337323194785105E-3</v>
      </c>
      <c r="F59" s="15">
        <f>[1]Data!H62</f>
        <v>1.7778846546448492E-2</v>
      </c>
      <c r="G59" s="16">
        <f>[1]Data!I62</f>
        <v>4.6719227697911373E-3</v>
      </c>
      <c r="H59" s="17">
        <f t="shared" si="0"/>
        <v>-1</v>
      </c>
      <c r="I59" s="18">
        <f t="shared" si="10"/>
        <v>1</v>
      </c>
      <c r="J59" s="19">
        <f t="shared" si="1"/>
        <v>0</v>
      </c>
      <c r="K59" s="19">
        <f t="shared" si="2"/>
        <v>-5.1009769890597006E-3</v>
      </c>
      <c r="L59" s="19">
        <f t="shared" si="3"/>
        <v>0</v>
      </c>
      <c r="M59" s="19">
        <f t="shared" si="4"/>
        <v>-9.3337323194785105E-3</v>
      </c>
      <c r="N59" s="19">
        <f t="shared" si="5"/>
        <v>1.7778846546448492E-2</v>
      </c>
      <c r="O59" s="19">
        <f t="shared" si="6"/>
        <v>0</v>
      </c>
      <c r="P59" s="19">
        <f t="shared" si="7"/>
        <v>-4.6719227697911373E-3</v>
      </c>
      <c r="Q59" s="19">
        <f t="shared" si="8"/>
        <v>0</v>
      </c>
      <c r="R59" s="19">
        <f t="shared" si="11"/>
        <v>0.1532295910483415</v>
      </c>
      <c r="S59" s="19">
        <f t="shared" si="12"/>
        <v>0.15087996919645694</v>
      </c>
      <c r="T59" s="19">
        <f t="shared" si="13"/>
        <v>-9.8490320728350733E-2</v>
      </c>
      <c r="U59" s="19">
        <f t="shared" si="14"/>
        <v>5.4637524226159959E-2</v>
      </c>
      <c r="V59" s="19">
        <f t="shared" si="15"/>
        <v>0.14383042543941793</v>
      </c>
      <c r="W59" s="19">
        <f t="shared" si="16"/>
        <v>-0.13965593960240696</v>
      </c>
      <c r="X59" s="19">
        <f t="shared" si="17"/>
        <v>1.5206479483908983E-2</v>
      </c>
      <c r="Y59" s="19">
        <f t="shared" si="18"/>
        <v>-6.661265312699545E-2</v>
      </c>
      <c r="AA59" s="19">
        <f t="shared" si="19"/>
        <v>0.21302507593653219</v>
      </c>
      <c r="AB59" s="19">
        <f t="shared" si="20"/>
        <v>0.60419494903633608</v>
      </c>
    </row>
    <row r="60" spans="1:28" x14ac:dyDescent="0.25">
      <c r="A60" s="13">
        <f>[1]Data!A63</f>
        <v>39234</v>
      </c>
      <c r="B60" s="14">
        <f>[1]Data!B63</f>
        <v>-1.4729290126719493E-2</v>
      </c>
      <c r="C60" s="14">
        <f>[1]Data!C63</f>
        <v>2.8869478110362581E-2</v>
      </c>
      <c r="D60" s="15">
        <f>[1]Data!F63</f>
        <v>-1.0251694244875603E-2</v>
      </c>
      <c r="E60" s="16">
        <f>[1]Data!G63</f>
        <v>2.3161209195956461E-2</v>
      </c>
      <c r="F60" s="15">
        <f>[1]Data!H63</f>
        <v>-2.7910441280711164E-2</v>
      </c>
      <c r="G60" s="16">
        <f>[1]Data!I63</f>
        <v>-2.5566861285420323E-2</v>
      </c>
      <c r="H60" s="17">
        <f t="shared" si="0"/>
        <v>-1</v>
      </c>
      <c r="I60" s="18">
        <f t="shared" si="10"/>
        <v>1</v>
      </c>
      <c r="J60" s="19">
        <f t="shared" si="1"/>
        <v>0</v>
      </c>
      <c r="K60" s="19">
        <f t="shared" si="2"/>
        <v>1.0251694244875603E-2</v>
      </c>
      <c r="L60" s="19">
        <f t="shared" si="3"/>
        <v>0</v>
      </c>
      <c r="M60" s="19">
        <f t="shared" si="4"/>
        <v>2.3161209195956461E-2</v>
      </c>
      <c r="N60" s="19">
        <f t="shared" si="5"/>
        <v>-2.7910441280711164E-2</v>
      </c>
      <c r="O60" s="19">
        <f t="shared" si="6"/>
        <v>0</v>
      </c>
      <c r="P60" s="19">
        <f t="shared" si="7"/>
        <v>2.5566861285420323E-2</v>
      </c>
      <c r="Q60" s="19">
        <f t="shared" si="8"/>
        <v>0</v>
      </c>
      <c r="R60" s="19">
        <f t="shared" si="11"/>
        <v>0.1532295910483415</v>
      </c>
      <c r="S60" s="19">
        <f t="shared" si="12"/>
        <v>0.16113166344133253</v>
      </c>
      <c r="T60" s="19">
        <f t="shared" si="13"/>
        <v>-9.8490320728350733E-2</v>
      </c>
      <c r="U60" s="19">
        <f t="shared" si="14"/>
        <v>7.779873342211642E-2</v>
      </c>
      <c r="V60" s="19">
        <f t="shared" si="15"/>
        <v>0.11591998415870677</v>
      </c>
      <c r="W60" s="19">
        <f t="shared" si="16"/>
        <v>-0.13965593960240696</v>
      </c>
      <c r="X60" s="19">
        <f t="shared" si="17"/>
        <v>4.0773340769329307E-2</v>
      </c>
      <c r="Y60" s="19">
        <f t="shared" si="18"/>
        <v>-6.661265312699545E-2</v>
      </c>
      <c r="AA60" s="19">
        <f t="shared" si="19"/>
        <v>0.24409439938207342</v>
      </c>
      <c r="AB60" s="19">
        <f t="shared" si="20"/>
        <v>0.58946565890961655</v>
      </c>
    </row>
    <row r="61" spans="1:28" x14ac:dyDescent="0.25">
      <c r="A61" s="13">
        <f>[1]Data!A64</f>
        <v>39264</v>
      </c>
      <c r="B61" s="14">
        <f>[1]Data!B64</f>
        <v>-3.1810472206891816E-2</v>
      </c>
      <c r="C61" s="14">
        <f>[1]Data!C64</f>
        <v>1.1822252926382917E-2</v>
      </c>
      <c r="D61" s="15">
        <f>[1]Data!F64</f>
        <v>-5.5070868179035531E-2</v>
      </c>
      <c r="E61" s="16">
        <f>[1]Data!G64</f>
        <v>2.1212947571695843E-2</v>
      </c>
      <c r="F61" s="15">
        <f>[1]Data!H64</f>
        <v>1.7594133247710406E-2</v>
      </c>
      <c r="G61" s="16">
        <f>[1]Data!I64</f>
        <v>-1.2620057206138119E-2</v>
      </c>
      <c r="H61" s="17">
        <f t="shared" si="0"/>
        <v>-1</v>
      </c>
      <c r="I61" s="18">
        <f t="shared" si="10"/>
        <v>1</v>
      </c>
      <c r="J61" s="19">
        <f t="shared" si="1"/>
        <v>0</v>
      </c>
      <c r="K61" s="19">
        <f t="shared" si="2"/>
        <v>5.5070868179035531E-2</v>
      </c>
      <c r="L61" s="19">
        <f t="shared" si="3"/>
        <v>0</v>
      </c>
      <c r="M61" s="19">
        <f t="shared" si="4"/>
        <v>2.1212947571695843E-2</v>
      </c>
      <c r="N61" s="19">
        <f t="shared" si="5"/>
        <v>1.7594133247710406E-2</v>
      </c>
      <c r="O61" s="19">
        <f t="shared" si="6"/>
        <v>0</v>
      </c>
      <c r="P61" s="19">
        <f t="shared" si="7"/>
        <v>1.2620057206138119E-2</v>
      </c>
      <c r="Q61" s="19">
        <f t="shared" si="8"/>
        <v>0</v>
      </c>
      <c r="R61" s="19">
        <f t="shared" si="11"/>
        <v>0.1532295910483415</v>
      </c>
      <c r="S61" s="19">
        <f t="shared" si="12"/>
        <v>0.21620253162036807</v>
      </c>
      <c r="T61" s="19">
        <f t="shared" si="13"/>
        <v>-9.8490320728350733E-2</v>
      </c>
      <c r="U61" s="19">
        <f t="shared" si="14"/>
        <v>9.9011680993812259E-2</v>
      </c>
      <c r="V61" s="19">
        <f t="shared" si="15"/>
        <v>0.13351411740641717</v>
      </c>
      <c r="W61" s="19">
        <f t="shared" si="16"/>
        <v>-0.13965593960240696</v>
      </c>
      <c r="X61" s="19">
        <f t="shared" si="17"/>
        <v>5.3393397975467424E-2</v>
      </c>
      <c r="Y61" s="19">
        <f t="shared" si="18"/>
        <v>-6.661265312699545E-2</v>
      </c>
      <c r="AA61" s="19">
        <f t="shared" si="19"/>
        <v>0.35059240558665333</v>
      </c>
      <c r="AB61" s="19">
        <f t="shared" si="20"/>
        <v>0.55765518670272474</v>
      </c>
    </row>
    <row r="62" spans="1:28" x14ac:dyDescent="0.25">
      <c r="A62" s="13">
        <f>[1]Data!A65</f>
        <v>39295</v>
      </c>
      <c r="B62" s="14">
        <f>[1]Data!B65</f>
        <v>1.2751780789011489E-2</v>
      </c>
      <c r="C62" s="14">
        <f>[1]Data!C65</f>
        <v>-4.7597881591381836E-3</v>
      </c>
      <c r="D62" s="15">
        <f>[1]Data!F65</f>
        <v>1.8187597839126296E-2</v>
      </c>
      <c r="E62" s="16">
        <f>[1]Data!G65</f>
        <v>1.8395138144748135E-2</v>
      </c>
      <c r="F62" s="15">
        <f>[1]Data!H65</f>
        <v>1.3970246636689356E-2</v>
      </c>
      <c r="G62" s="16">
        <f>[1]Data!I65</f>
        <v>-1.134035193226488E-3</v>
      </c>
      <c r="H62" s="17">
        <f t="shared" si="0"/>
        <v>1</v>
      </c>
      <c r="I62" s="18">
        <f t="shared" si="10"/>
        <v>1</v>
      </c>
      <c r="J62" s="19">
        <f t="shared" si="1"/>
        <v>1.8187597839126296E-2</v>
      </c>
      <c r="K62" s="19">
        <f t="shared" si="2"/>
        <v>0</v>
      </c>
      <c r="L62" s="19">
        <f t="shared" si="3"/>
        <v>-1.8395138144748135E-2</v>
      </c>
      <c r="M62" s="19">
        <f t="shared" si="4"/>
        <v>0</v>
      </c>
      <c r="N62" s="19">
        <f t="shared" si="5"/>
        <v>1.3970246636689356E-2</v>
      </c>
      <c r="O62" s="19">
        <f t="shared" si="6"/>
        <v>0</v>
      </c>
      <c r="P62" s="19">
        <f t="shared" si="7"/>
        <v>1.134035193226488E-3</v>
      </c>
      <c r="Q62" s="19">
        <f t="shared" si="8"/>
        <v>0</v>
      </c>
      <c r="R62" s="19">
        <f t="shared" si="11"/>
        <v>0.17141718888746779</v>
      </c>
      <c r="S62" s="19">
        <f t="shared" si="12"/>
        <v>0.21620253162036807</v>
      </c>
      <c r="T62" s="19">
        <f t="shared" si="13"/>
        <v>-0.11688545887309887</v>
      </c>
      <c r="U62" s="19">
        <f t="shared" si="14"/>
        <v>9.9011680993812259E-2</v>
      </c>
      <c r="V62" s="19">
        <f t="shared" si="15"/>
        <v>0.14748436404310653</v>
      </c>
      <c r="W62" s="19">
        <f t="shared" si="16"/>
        <v>-0.13965593960240696</v>
      </c>
      <c r="X62" s="19">
        <f t="shared" si="17"/>
        <v>5.4527433168693913E-2</v>
      </c>
      <c r="Y62" s="19">
        <f t="shared" si="18"/>
        <v>-6.661265312699545E-2</v>
      </c>
      <c r="AA62" s="19">
        <f t="shared" si="19"/>
        <v>0.36548914711094732</v>
      </c>
      <c r="AB62" s="19">
        <f t="shared" si="20"/>
        <v>0.57040696749173625</v>
      </c>
    </row>
    <row r="63" spans="1:28" x14ac:dyDescent="0.25">
      <c r="A63" s="13">
        <f>[1]Data!A66</f>
        <v>39326</v>
      </c>
      <c r="B63" s="14">
        <f>[1]Data!B66</f>
        <v>3.7983341542592759E-2</v>
      </c>
      <c r="C63" s="14">
        <f>[1]Data!C66</f>
        <v>3.6412706546078213E-2</v>
      </c>
      <c r="D63" s="15">
        <f>[1]Data!F66</f>
        <v>5.8500372931473447E-3</v>
      </c>
      <c r="E63" s="16">
        <f>[1]Data!G66</f>
        <v>6.5590289954891544E-3</v>
      </c>
      <c r="F63" s="15">
        <f>[1]Data!H66</f>
        <v>-1.2271275016065175E-2</v>
      </c>
      <c r="G63" s="16">
        <f>[1]Data!I66</f>
        <v>2.7653821555618539E-2</v>
      </c>
      <c r="H63" s="17">
        <f t="shared" si="0"/>
        <v>-1</v>
      </c>
      <c r="I63" s="18">
        <f t="shared" si="10"/>
        <v>-1</v>
      </c>
      <c r="J63" s="19">
        <f t="shared" si="1"/>
        <v>0</v>
      </c>
      <c r="K63" s="19">
        <f t="shared" si="2"/>
        <v>-5.8500372931473447E-3</v>
      </c>
      <c r="L63" s="19">
        <f t="shared" si="3"/>
        <v>0</v>
      </c>
      <c r="M63" s="19">
        <f t="shared" si="4"/>
        <v>6.5590289954891544E-3</v>
      </c>
      <c r="N63" s="19">
        <f t="shared" si="5"/>
        <v>0</v>
      </c>
      <c r="O63" s="19">
        <f t="shared" si="6"/>
        <v>1.2271275016065175E-2</v>
      </c>
      <c r="P63" s="19">
        <f t="shared" si="7"/>
        <v>0</v>
      </c>
      <c r="Q63" s="19">
        <f t="shared" si="8"/>
        <v>2.7653821555618539E-2</v>
      </c>
      <c r="R63" s="19">
        <f t="shared" si="11"/>
        <v>0.17141718888746779</v>
      </c>
      <c r="S63" s="19">
        <f t="shared" si="12"/>
        <v>0.21035249432722072</v>
      </c>
      <c r="T63" s="19">
        <f t="shared" si="13"/>
        <v>-0.11688545887309887</v>
      </c>
      <c r="U63" s="19">
        <f t="shared" si="14"/>
        <v>0.10557070998930142</v>
      </c>
      <c r="V63" s="19">
        <f t="shared" si="15"/>
        <v>0.14748436404310653</v>
      </c>
      <c r="W63" s="19">
        <f t="shared" si="16"/>
        <v>-0.12738466458634179</v>
      </c>
      <c r="X63" s="19">
        <f t="shared" si="17"/>
        <v>5.4527433168693913E-2</v>
      </c>
      <c r="Y63" s="19">
        <f t="shared" si="18"/>
        <v>-3.895883157137691E-2</v>
      </c>
      <c r="AA63" s="19">
        <f t="shared" si="19"/>
        <v>0.40612323538497286</v>
      </c>
      <c r="AB63" s="19">
        <f t="shared" si="20"/>
        <v>0.608390309034329</v>
      </c>
    </row>
    <row r="64" spans="1:28" x14ac:dyDescent="0.25">
      <c r="A64" s="13">
        <f>[1]Data!A67</f>
        <v>39356</v>
      </c>
      <c r="B64" s="14">
        <f>[1]Data!B67</f>
        <v>1.3475387113586527E-2</v>
      </c>
      <c r="C64" s="14">
        <f>[1]Data!C67</f>
        <v>-4.2575200815451401E-2</v>
      </c>
      <c r="D64" s="15">
        <f>[1]Data!F67</f>
        <v>3.2731933153520125E-2</v>
      </c>
      <c r="E64" s="16">
        <f>[1]Data!G67</f>
        <v>-5.3200496574762907E-3</v>
      </c>
      <c r="F64" s="15">
        <f>[1]Data!H67</f>
        <v>2.1204747316324019E-2</v>
      </c>
      <c r="G64" s="16">
        <f>[1]Data!I67</f>
        <v>-1.0757589157916643E-3</v>
      </c>
      <c r="H64" s="17">
        <f t="shared" si="0"/>
        <v>1</v>
      </c>
      <c r="I64" s="18">
        <f t="shared" si="10"/>
        <v>1</v>
      </c>
      <c r="J64" s="19">
        <f t="shared" si="1"/>
        <v>3.2731933153520125E-2</v>
      </c>
      <c r="K64" s="19">
        <f t="shared" si="2"/>
        <v>0</v>
      </c>
      <c r="L64" s="19">
        <f t="shared" si="3"/>
        <v>5.3200496574762907E-3</v>
      </c>
      <c r="M64" s="19">
        <f t="shared" si="4"/>
        <v>0</v>
      </c>
      <c r="N64" s="19">
        <f t="shared" si="5"/>
        <v>2.1204747316324019E-2</v>
      </c>
      <c r="O64" s="19">
        <f t="shared" si="6"/>
        <v>0</v>
      </c>
      <c r="P64" s="19">
        <f t="shared" si="7"/>
        <v>1.0757589157916643E-3</v>
      </c>
      <c r="Q64" s="19">
        <f t="shared" si="8"/>
        <v>0</v>
      </c>
      <c r="R64" s="19">
        <f t="shared" si="11"/>
        <v>0.20414912204098792</v>
      </c>
      <c r="S64" s="19">
        <f t="shared" si="12"/>
        <v>0.21035249432722072</v>
      </c>
      <c r="T64" s="19">
        <f t="shared" si="13"/>
        <v>-0.11156540921562258</v>
      </c>
      <c r="U64" s="19">
        <f t="shared" si="14"/>
        <v>0.10557070998930142</v>
      </c>
      <c r="V64" s="19">
        <f t="shared" si="15"/>
        <v>0.16868911135943054</v>
      </c>
      <c r="W64" s="19">
        <f t="shared" si="16"/>
        <v>-0.12738466458634179</v>
      </c>
      <c r="X64" s="19">
        <f t="shared" si="17"/>
        <v>5.5603192084485581E-2</v>
      </c>
      <c r="Y64" s="19">
        <f t="shared" si="18"/>
        <v>-3.895883157137691E-2</v>
      </c>
      <c r="AA64" s="19">
        <f t="shared" si="19"/>
        <v>0.46645572442808497</v>
      </c>
      <c r="AB64" s="19">
        <f t="shared" si="20"/>
        <v>0.62186569614791554</v>
      </c>
    </row>
    <row r="65" spans="1:28" x14ac:dyDescent="0.25">
      <c r="A65" s="13">
        <f>[1]Data!A68</f>
        <v>39387</v>
      </c>
      <c r="B65" s="14">
        <f>[1]Data!B68</f>
        <v>-3.9503124324463262E-2</v>
      </c>
      <c r="C65" s="14">
        <f>[1]Data!C68</f>
        <v>-0.12982080217176881</v>
      </c>
      <c r="D65" s="15">
        <f>[1]Data!F68</f>
        <v>4.8090248698228664E-2</v>
      </c>
      <c r="E65" s="16">
        <f>[1]Data!G68</f>
        <v>9.9023938313787772E-3</v>
      </c>
      <c r="F65" s="15">
        <f>[1]Data!H68</f>
        <v>-4.4560724455551218E-2</v>
      </c>
      <c r="G65" s="16">
        <f>[1]Data!I68</f>
        <v>1.2578626784887359E-2</v>
      </c>
      <c r="H65" s="17">
        <f t="shared" si="0"/>
        <v>1</v>
      </c>
      <c r="I65" s="18">
        <f t="shared" si="10"/>
        <v>-1</v>
      </c>
      <c r="J65" s="19">
        <f t="shared" si="1"/>
        <v>4.8090248698228664E-2</v>
      </c>
      <c r="K65" s="19">
        <f t="shared" si="2"/>
        <v>0</v>
      </c>
      <c r="L65" s="19">
        <f t="shared" si="3"/>
        <v>-9.9023938313787772E-3</v>
      </c>
      <c r="M65" s="19">
        <f t="shared" si="4"/>
        <v>0</v>
      </c>
      <c r="N65" s="19">
        <f t="shared" si="5"/>
        <v>0</v>
      </c>
      <c r="O65" s="19">
        <f t="shared" si="6"/>
        <v>4.4560724455551218E-2</v>
      </c>
      <c r="P65" s="19">
        <f t="shared" si="7"/>
        <v>0</v>
      </c>
      <c r="Q65" s="19">
        <f t="shared" si="8"/>
        <v>1.2578626784887359E-2</v>
      </c>
      <c r="R65" s="19">
        <f t="shared" si="11"/>
        <v>0.2522393707392166</v>
      </c>
      <c r="S65" s="19">
        <f t="shared" si="12"/>
        <v>0.21035249432722072</v>
      </c>
      <c r="T65" s="19">
        <f t="shared" si="13"/>
        <v>-0.12146780304700136</v>
      </c>
      <c r="U65" s="19">
        <f t="shared" si="14"/>
        <v>0.10557070998930142</v>
      </c>
      <c r="V65" s="19">
        <f t="shared" si="15"/>
        <v>0.16868911135943054</v>
      </c>
      <c r="W65" s="19">
        <f t="shared" si="16"/>
        <v>-8.2823940130790571E-2</v>
      </c>
      <c r="X65" s="19">
        <f t="shared" si="17"/>
        <v>5.5603192084485581E-2</v>
      </c>
      <c r="Y65" s="19">
        <f t="shared" si="18"/>
        <v>-2.6380204786489551E-2</v>
      </c>
      <c r="AA65" s="19">
        <f t="shared" si="19"/>
        <v>0.56178293053537343</v>
      </c>
      <c r="AB65" s="19">
        <f t="shared" si="20"/>
        <v>0.5823625718234523</v>
      </c>
    </row>
    <row r="66" spans="1:28" x14ac:dyDescent="0.25">
      <c r="A66" s="13">
        <f>[1]Data!A69</f>
        <v>39417</v>
      </c>
      <c r="B66" s="14">
        <f>[1]Data!B69</f>
        <v>-1.1324158619732719E-2</v>
      </c>
      <c r="C66" s="14">
        <f>[1]Data!C69</f>
        <v>2.6863865089404471E-2</v>
      </c>
      <c r="D66" s="15">
        <f>[1]Data!F69</f>
        <v>-1.3046219688631715E-2</v>
      </c>
      <c r="E66" s="16">
        <f>[1]Data!G69</f>
        <v>1.8845038864491397E-2</v>
      </c>
      <c r="F66" s="15">
        <f>[1]Data!H69</f>
        <v>1.5021888411573397E-2</v>
      </c>
      <c r="G66" s="16">
        <f>[1]Data!I69</f>
        <v>-2.4270087329901366E-2</v>
      </c>
      <c r="H66" s="17">
        <f t="shared" ref="H66:H129" si="21">IF(C66&gt;0,-1,1)</f>
        <v>-1</v>
      </c>
      <c r="I66" s="18">
        <f t="shared" si="10"/>
        <v>-1</v>
      </c>
      <c r="J66" s="19">
        <f t="shared" ref="J66:J129" si="22">IF(H66=1,D66,0)</f>
        <v>0</v>
      </c>
      <c r="K66" s="19">
        <f t="shared" ref="K66:K129" si="23">IF(H66=-1,-D66,0)</f>
        <v>1.3046219688631715E-2</v>
      </c>
      <c r="L66" s="19">
        <f t="shared" ref="L66:L129" si="24">IF(H66=1,-E66,0)</f>
        <v>0</v>
      </c>
      <c r="M66" s="19">
        <f t="shared" ref="M66:M129" si="25">IF(H66=-1,E66,0)</f>
        <v>1.8845038864491397E-2</v>
      </c>
      <c r="N66" s="19">
        <f t="shared" ref="N66:N129" si="26">IF(I66=1,F66,0)</f>
        <v>0</v>
      </c>
      <c r="O66" s="19">
        <f t="shared" ref="O66:O129" si="27">IF(I66=-1,-F66,0)</f>
        <v>-1.5021888411573397E-2</v>
      </c>
      <c r="P66" s="19">
        <f t="shared" ref="P66:P129" si="28">IF(I66=1,-G66,0)</f>
        <v>0</v>
      </c>
      <c r="Q66" s="19">
        <f t="shared" ref="Q66:Q129" si="29">IF(I66=-1,G66,0)</f>
        <v>-2.4270087329901366E-2</v>
      </c>
      <c r="R66" s="19">
        <f t="shared" si="11"/>
        <v>0.2522393707392166</v>
      </c>
      <c r="S66" s="19">
        <f t="shared" si="12"/>
        <v>0.22339871401585243</v>
      </c>
      <c r="T66" s="19">
        <f t="shared" si="13"/>
        <v>-0.12146780304700136</v>
      </c>
      <c r="U66" s="19">
        <f t="shared" si="14"/>
        <v>0.12441574885379281</v>
      </c>
      <c r="V66" s="19">
        <f t="shared" si="15"/>
        <v>0.16868911135943054</v>
      </c>
      <c r="W66" s="19">
        <f t="shared" si="16"/>
        <v>-9.7845828542363969E-2</v>
      </c>
      <c r="X66" s="19">
        <f t="shared" si="17"/>
        <v>5.5603192084485581E-2</v>
      </c>
      <c r="Y66" s="19">
        <f t="shared" si="18"/>
        <v>-5.0650292116390917E-2</v>
      </c>
      <c r="AA66" s="19">
        <f t="shared" si="19"/>
        <v>0.55438221334702176</v>
      </c>
      <c r="AB66" s="19">
        <f t="shared" si="20"/>
        <v>0.57103841320371962</v>
      </c>
    </row>
    <row r="67" spans="1:28" x14ac:dyDescent="0.25">
      <c r="A67" s="13">
        <f>[1]Data!A70</f>
        <v>39448</v>
      </c>
      <c r="B67" s="14">
        <f>[1]Data!B70</f>
        <v>-6.2365995504664359E-2</v>
      </c>
      <c r="C67" s="14">
        <f>[1]Data!C70</f>
        <v>-0.12258340301776818</v>
      </c>
      <c r="D67" s="15">
        <f>[1]Data!F70</f>
        <v>2.5883299944655578E-2</v>
      </c>
      <c r="E67" s="16">
        <f>[1]Data!G70</f>
        <v>-1.3592269705264792E-2</v>
      </c>
      <c r="F67" s="15">
        <f>[1]Data!H70</f>
        <v>-5.1217686338903806E-2</v>
      </c>
      <c r="G67" s="16">
        <f>[1]Data!I70</f>
        <v>1.6310164955915724E-2</v>
      </c>
      <c r="H67" s="17">
        <f t="shared" si="21"/>
        <v>1</v>
      </c>
      <c r="I67" s="18">
        <f t="shared" ref="I67:I130" si="30">IF(C66&gt;0,1,-1)</f>
        <v>1</v>
      </c>
      <c r="J67" s="19">
        <f t="shared" si="22"/>
        <v>2.5883299944655578E-2</v>
      </c>
      <c r="K67" s="19">
        <f t="shared" si="23"/>
        <v>0</v>
      </c>
      <c r="L67" s="19">
        <f t="shared" si="24"/>
        <v>1.3592269705264792E-2</v>
      </c>
      <c r="M67" s="19">
        <f t="shared" si="25"/>
        <v>0</v>
      </c>
      <c r="N67" s="19">
        <f t="shared" si="26"/>
        <v>-5.1217686338903806E-2</v>
      </c>
      <c r="O67" s="19">
        <f t="shared" si="27"/>
        <v>0</v>
      </c>
      <c r="P67" s="19">
        <f t="shared" si="28"/>
        <v>-1.6310164955915724E-2</v>
      </c>
      <c r="Q67" s="19">
        <f t="shared" si="29"/>
        <v>0</v>
      </c>
      <c r="R67" s="19">
        <f t="shared" ref="R67:R130" si="31">J67+R66</f>
        <v>0.2781226706838722</v>
      </c>
      <c r="S67" s="19">
        <f t="shared" ref="S67:S130" si="32">K67+S66</f>
        <v>0.22339871401585243</v>
      </c>
      <c r="T67" s="19">
        <f t="shared" ref="T67:T130" si="33">L67+T66</f>
        <v>-0.10787553334173657</v>
      </c>
      <c r="U67" s="19">
        <f t="shared" ref="U67:U130" si="34">M67+U66</f>
        <v>0.12441574885379281</v>
      </c>
      <c r="V67" s="19">
        <f t="shared" ref="V67:V130" si="35">N67+V66</f>
        <v>0.11747142502052674</v>
      </c>
      <c r="W67" s="19">
        <f t="shared" ref="W67:W130" si="36">O67+W66</f>
        <v>-9.7845828542363969E-2</v>
      </c>
      <c r="X67" s="19">
        <f t="shared" ref="X67:X130" si="37">P67+X66</f>
        <v>3.9293027128569857E-2</v>
      </c>
      <c r="Y67" s="19">
        <f t="shared" ref="Y67:Y130" si="38">Q67+Y66</f>
        <v>-5.0650292116390917E-2</v>
      </c>
      <c r="AA67" s="19">
        <f t="shared" ref="AA67:AA130" si="39">SUM(J67:Q67)+AA66</f>
        <v>0.52632993170212261</v>
      </c>
      <c r="AB67" s="19">
        <f t="shared" ref="AB67:AB130" si="40">B67+AB66</f>
        <v>0.50867241769905525</v>
      </c>
    </row>
    <row r="68" spans="1:28" x14ac:dyDescent="0.25">
      <c r="A68" s="13">
        <f>[1]Data!A71</f>
        <v>39479</v>
      </c>
      <c r="B68" s="14">
        <f>[1]Data!B71</f>
        <v>-2.6182343269458896E-2</v>
      </c>
      <c r="C68" s="14">
        <f>[1]Data!C71</f>
        <v>1.5475285837679532E-2</v>
      </c>
      <c r="D68" s="15">
        <f>[1]Data!F71</f>
        <v>-1.3360992604450964E-2</v>
      </c>
      <c r="E68" s="16">
        <f>[1]Data!G71</f>
        <v>2.3732619931614615E-2</v>
      </c>
      <c r="F68" s="15">
        <f>[1]Data!H71</f>
        <v>-2.5360782468309414E-2</v>
      </c>
      <c r="G68" s="16">
        <f>[1]Data!I71</f>
        <v>-2.1581226637696842E-2</v>
      </c>
      <c r="H68" s="17">
        <f t="shared" si="21"/>
        <v>-1</v>
      </c>
      <c r="I68" s="18">
        <f t="shared" si="30"/>
        <v>-1</v>
      </c>
      <c r="J68" s="19">
        <f t="shared" si="22"/>
        <v>0</v>
      </c>
      <c r="K68" s="19">
        <f t="shared" si="23"/>
        <v>1.3360992604450964E-2</v>
      </c>
      <c r="L68" s="19">
        <f t="shared" si="24"/>
        <v>0</v>
      </c>
      <c r="M68" s="19">
        <f t="shared" si="25"/>
        <v>2.3732619931614615E-2</v>
      </c>
      <c r="N68" s="19">
        <f t="shared" si="26"/>
        <v>0</v>
      </c>
      <c r="O68" s="19">
        <f t="shared" si="27"/>
        <v>2.5360782468309414E-2</v>
      </c>
      <c r="P68" s="19">
        <f t="shared" si="28"/>
        <v>0</v>
      </c>
      <c r="Q68" s="19">
        <f t="shared" si="29"/>
        <v>-2.1581226637696842E-2</v>
      </c>
      <c r="R68" s="19">
        <f t="shared" si="31"/>
        <v>0.2781226706838722</v>
      </c>
      <c r="S68" s="19">
        <f t="shared" si="32"/>
        <v>0.23675970662030338</v>
      </c>
      <c r="T68" s="19">
        <f t="shared" si="33"/>
        <v>-0.10787553334173657</v>
      </c>
      <c r="U68" s="19">
        <f t="shared" si="34"/>
        <v>0.14814836878540744</v>
      </c>
      <c r="V68" s="19">
        <f t="shared" si="35"/>
        <v>0.11747142502052674</v>
      </c>
      <c r="W68" s="19">
        <f t="shared" si="36"/>
        <v>-7.2485046074054552E-2</v>
      </c>
      <c r="X68" s="19">
        <f t="shared" si="37"/>
        <v>3.9293027128569857E-2</v>
      </c>
      <c r="Y68" s="19">
        <f t="shared" si="38"/>
        <v>-7.2231518754087759E-2</v>
      </c>
      <c r="AA68" s="19">
        <f t="shared" si="39"/>
        <v>0.56720310006880081</v>
      </c>
      <c r="AB68" s="19">
        <f t="shared" si="40"/>
        <v>0.48249007442959635</v>
      </c>
    </row>
    <row r="69" spans="1:28" x14ac:dyDescent="0.25">
      <c r="A69" s="13">
        <f>[1]Data!A72</f>
        <v>39508</v>
      </c>
      <c r="B69" s="14">
        <f>[1]Data!B72</f>
        <v>-8.982463454304028E-3</v>
      </c>
      <c r="C69" s="14">
        <f>[1]Data!C72</f>
        <v>-3.3501588531891918E-3</v>
      </c>
      <c r="D69" s="15">
        <f>[1]Data!F72</f>
        <v>-2.0623916972411824E-2</v>
      </c>
      <c r="E69" s="16">
        <f>[1]Data!G72</f>
        <v>6.1725656370662622E-3</v>
      </c>
      <c r="F69" s="15">
        <f>[1]Data!H72</f>
        <v>-3.1194416202091686E-2</v>
      </c>
      <c r="G69" s="16">
        <f>[1]Data!I72</f>
        <v>-1.7752867451748675E-2</v>
      </c>
      <c r="H69" s="17">
        <f t="shared" si="21"/>
        <v>1</v>
      </c>
      <c r="I69" s="18">
        <f t="shared" si="30"/>
        <v>1</v>
      </c>
      <c r="J69" s="19">
        <f t="shared" si="22"/>
        <v>-2.0623916972411824E-2</v>
      </c>
      <c r="K69" s="19">
        <f t="shared" si="23"/>
        <v>0</v>
      </c>
      <c r="L69" s="19">
        <f t="shared" si="24"/>
        <v>-6.1725656370662622E-3</v>
      </c>
      <c r="M69" s="19">
        <f t="shared" si="25"/>
        <v>0</v>
      </c>
      <c r="N69" s="19">
        <f t="shared" si="26"/>
        <v>-3.1194416202091686E-2</v>
      </c>
      <c r="O69" s="19">
        <f t="shared" si="27"/>
        <v>0</v>
      </c>
      <c r="P69" s="19">
        <f t="shared" si="28"/>
        <v>1.7752867451748675E-2</v>
      </c>
      <c r="Q69" s="19">
        <f t="shared" si="29"/>
        <v>0</v>
      </c>
      <c r="R69" s="19">
        <f t="shared" si="31"/>
        <v>0.25749875371146036</v>
      </c>
      <c r="S69" s="19">
        <f t="shared" si="32"/>
        <v>0.23675970662030338</v>
      </c>
      <c r="T69" s="19">
        <f t="shared" si="33"/>
        <v>-0.11404809897880283</v>
      </c>
      <c r="U69" s="19">
        <f t="shared" si="34"/>
        <v>0.14814836878540744</v>
      </c>
      <c r="V69" s="19">
        <f t="shared" si="35"/>
        <v>8.6277008818435058E-2</v>
      </c>
      <c r="W69" s="19">
        <f t="shared" si="36"/>
        <v>-7.2485046074054552E-2</v>
      </c>
      <c r="X69" s="19">
        <f t="shared" si="37"/>
        <v>5.7045894580318529E-2</v>
      </c>
      <c r="Y69" s="19">
        <f t="shared" si="38"/>
        <v>-7.2231518754087759E-2</v>
      </c>
      <c r="AA69" s="19">
        <f t="shared" si="39"/>
        <v>0.52696506870897974</v>
      </c>
      <c r="AB69" s="19">
        <f t="shared" si="40"/>
        <v>0.47350761097529231</v>
      </c>
    </row>
    <row r="70" spans="1:28" x14ac:dyDescent="0.25">
      <c r="A70" s="13">
        <f>[1]Data!A73</f>
        <v>39539</v>
      </c>
      <c r="B70" s="14">
        <f>[1]Data!B73</f>
        <v>4.6561022288474016E-2</v>
      </c>
      <c r="C70" s="14">
        <f>[1]Data!C73</f>
        <v>7.3511936997365329E-2</v>
      </c>
      <c r="D70" s="15">
        <f>[1]Data!F73</f>
        <v>-2.0953301015842283E-3</v>
      </c>
      <c r="E70" s="16">
        <f>[1]Data!G73</f>
        <v>-3.2288246608653745E-4</v>
      </c>
      <c r="F70" s="15">
        <f>[1]Data!H73</f>
        <v>3.7114346151723543E-2</v>
      </c>
      <c r="G70" s="16">
        <f>[1]Data!I73</f>
        <v>-8.2450445561075072E-3</v>
      </c>
      <c r="H70" s="17">
        <f t="shared" si="21"/>
        <v>-1</v>
      </c>
      <c r="I70" s="18">
        <f t="shared" si="30"/>
        <v>-1</v>
      </c>
      <c r="J70" s="19">
        <f t="shared" si="22"/>
        <v>0</v>
      </c>
      <c r="K70" s="19">
        <f t="shared" si="23"/>
        <v>2.0953301015842283E-3</v>
      </c>
      <c r="L70" s="19">
        <f t="shared" si="24"/>
        <v>0</v>
      </c>
      <c r="M70" s="19">
        <f t="shared" si="25"/>
        <v>-3.2288246608653745E-4</v>
      </c>
      <c r="N70" s="19">
        <f t="shared" si="26"/>
        <v>0</v>
      </c>
      <c r="O70" s="19">
        <f t="shared" si="27"/>
        <v>-3.7114346151723543E-2</v>
      </c>
      <c r="P70" s="19">
        <f t="shared" si="28"/>
        <v>0</v>
      </c>
      <c r="Q70" s="19">
        <f t="shared" si="29"/>
        <v>-8.2450445561075072E-3</v>
      </c>
      <c r="R70" s="19">
        <f t="shared" si="31"/>
        <v>0.25749875371146036</v>
      </c>
      <c r="S70" s="19">
        <f t="shared" si="32"/>
        <v>0.2388550367218876</v>
      </c>
      <c r="T70" s="19">
        <f t="shared" si="33"/>
        <v>-0.11404809897880283</v>
      </c>
      <c r="U70" s="19">
        <f t="shared" si="34"/>
        <v>0.14782548631932091</v>
      </c>
      <c r="V70" s="19">
        <f t="shared" si="35"/>
        <v>8.6277008818435058E-2</v>
      </c>
      <c r="W70" s="19">
        <f t="shared" si="36"/>
        <v>-0.10959939222577809</v>
      </c>
      <c r="X70" s="19">
        <f t="shared" si="37"/>
        <v>5.7045894580318529E-2</v>
      </c>
      <c r="Y70" s="19">
        <f t="shared" si="38"/>
        <v>-8.0476563310195259E-2</v>
      </c>
      <c r="AA70" s="19">
        <f t="shared" si="39"/>
        <v>0.48337812563664639</v>
      </c>
      <c r="AB70" s="19">
        <f t="shared" si="40"/>
        <v>0.52006863326376629</v>
      </c>
    </row>
    <row r="71" spans="1:28" x14ac:dyDescent="0.25">
      <c r="A71" s="13">
        <f>[1]Data!A74</f>
        <v>39569</v>
      </c>
      <c r="B71" s="14">
        <f>[1]Data!B74</f>
        <v>1.5003711755008559E-2</v>
      </c>
      <c r="C71" s="14">
        <f>[1]Data!C74</f>
        <v>1.2247545635428347E-2</v>
      </c>
      <c r="D71" s="15">
        <f>[1]Data!F74</f>
        <v>6.1464440310737348E-3</v>
      </c>
      <c r="E71" s="16">
        <f>[1]Data!G74</f>
        <v>-2.3859812651107898E-2</v>
      </c>
      <c r="F71" s="15">
        <f>[1]Data!H74</f>
        <v>9.0723271434295545E-3</v>
      </c>
      <c r="G71" s="16">
        <f>[1]Data!I74</f>
        <v>-1.5577079066678637E-2</v>
      </c>
      <c r="H71" s="17">
        <f t="shared" si="21"/>
        <v>-1</v>
      </c>
      <c r="I71" s="18">
        <f t="shared" si="30"/>
        <v>1</v>
      </c>
      <c r="J71" s="19">
        <f t="shared" si="22"/>
        <v>0</v>
      </c>
      <c r="K71" s="19">
        <f t="shared" si="23"/>
        <v>-6.1464440310737348E-3</v>
      </c>
      <c r="L71" s="19">
        <f t="shared" si="24"/>
        <v>0</v>
      </c>
      <c r="M71" s="19">
        <f t="shared" si="25"/>
        <v>-2.3859812651107898E-2</v>
      </c>
      <c r="N71" s="19">
        <f t="shared" si="26"/>
        <v>9.0723271434295545E-3</v>
      </c>
      <c r="O71" s="19">
        <f t="shared" si="27"/>
        <v>0</v>
      </c>
      <c r="P71" s="19">
        <f t="shared" si="28"/>
        <v>1.5577079066678637E-2</v>
      </c>
      <c r="Q71" s="19">
        <f t="shared" si="29"/>
        <v>0</v>
      </c>
      <c r="R71" s="19">
        <f t="shared" si="31"/>
        <v>0.25749875371146036</v>
      </c>
      <c r="S71" s="19">
        <f t="shared" si="32"/>
        <v>0.23270859269081387</v>
      </c>
      <c r="T71" s="19">
        <f t="shared" si="33"/>
        <v>-0.11404809897880283</v>
      </c>
      <c r="U71" s="19">
        <f t="shared" si="34"/>
        <v>0.12396567366821301</v>
      </c>
      <c r="V71" s="19">
        <f t="shared" si="35"/>
        <v>9.5349335961864609E-2</v>
      </c>
      <c r="W71" s="19">
        <f t="shared" si="36"/>
        <v>-0.10959939222577809</v>
      </c>
      <c r="X71" s="19">
        <f t="shared" si="37"/>
        <v>7.2622973646997172E-2</v>
      </c>
      <c r="Y71" s="19">
        <f t="shared" si="38"/>
        <v>-8.0476563310195259E-2</v>
      </c>
      <c r="AA71" s="19">
        <f t="shared" si="39"/>
        <v>0.47802127516457293</v>
      </c>
      <c r="AB71" s="19">
        <f t="shared" si="40"/>
        <v>0.53507234501877488</v>
      </c>
    </row>
    <row r="72" spans="1:28" x14ac:dyDescent="0.25">
      <c r="A72" s="13">
        <f>[1]Data!A75</f>
        <v>39600</v>
      </c>
      <c r="B72" s="14">
        <f>[1]Data!B75</f>
        <v>-8.7275760081046691E-2</v>
      </c>
      <c r="C72" s="14">
        <f>[1]Data!C75</f>
        <v>-5.7943533327620284E-2</v>
      </c>
      <c r="D72" s="15">
        <f>[1]Data!F75</f>
        <v>-2.774087241653813E-2</v>
      </c>
      <c r="E72" s="16">
        <f>[1]Data!G75</f>
        <v>2.778135210967049E-2</v>
      </c>
      <c r="F72" s="15">
        <f>[1]Data!H75</f>
        <v>-2.9354430812414938E-2</v>
      </c>
      <c r="G72" s="16">
        <f>[1]Data!I75</f>
        <v>8.9322170775613212E-3</v>
      </c>
      <c r="H72" s="17">
        <f t="shared" si="21"/>
        <v>1</v>
      </c>
      <c r="I72" s="18">
        <f t="shared" si="30"/>
        <v>1</v>
      </c>
      <c r="J72" s="19">
        <f t="shared" si="22"/>
        <v>-2.774087241653813E-2</v>
      </c>
      <c r="K72" s="19">
        <f t="shared" si="23"/>
        <v>0</v>
      </c>
      <c r="L72" s="19">
        <f t="shared" si="24"/>
        <v>-2.778135210967049E-2</v>
      </c>
      <c r="M72" s="19">
        <f t="shared" si="25"/>
        <v>0</v>
      </c>
      <c r="N72" s="19">
        <f t="shared" si="26"/>
        <v>-2.9354430812414938E-2</v>
      </c>
      <c r="O72" s="19">
        <f t="shared" si="27"/>
        <v>0</v>
      </c>
      <c r="P72" s="19">
        <f t="shared" si="28"/>
        <v>-8.9322170775613212E-3</v>
      </c>
      <c r="Q72" s="19">
        <f t="shared" si="29"/>
        <v>0</v>
      </c>
      <c r="R72" s="19">
        <f t="shared" si="31"/>
        <v>0.22975788129492222</v>
      </c>
      <c r="S72" s="19">
        <f t="shared" si="32"/>
        <v>0.23270859269081387</v>
      </c>
      <c r="T72" s="19">
        <f t="shared" si="33"/>
        <v>-0.14182945108847334</v>
      </c>
      <c r="U72" s="19">
        <f t="shared" si="34"/>
        <v>0.12396567366821301</v>
      </c>
      <c r="V72" s="19">
        <f t="shared" si="35"/>
        <v>6.5994905149449667E-2</v>
      </c>
      <c r="W72" s="19">
        <f t="shared" si="36"/>
        <v>-0.10959939222577809</v>
      </c>
      <c r="X72" s="19">
        <f t="shared" si="37"/>
        <v>6.3690756569435847E-2</v>
      </c>
      <c r="Y72" s="19">
        <f t="shared" si="38"/>
        <v>-8.0476563310195259E-2</v>
      </c>
      <c r="AA72" s="19">
        <f t="shared" si="39"/>
        <v>0.38421240274838808</v>
      </c>
      <c r="AB72" s="19">
        <f t="shared" si="40"/>
        <v>0.44779658493772817</v>
      </c>
    </row>
    <row r="73" spans="1:28" x14ac:dyDescent="0.25">
      <c r="A73" s="13">
        <f>[1]Data!A76</f>
        <v>39630</v>
      </c>
      <c r="B73" s="14">
        <f>[1]Data!B76</f>
        <v>-9.0265962793679762E-3</v>
      </c>
      <c r="C73" s="14">
        <f>[1]Data!C76</f>
        <v>1.4269385985783891E-2</v>
      </c>
      <c r="D73" s="15">
        <f>[1]Data!F76</f>
        <v>-5.1116427214111925E-3</v>
      </c>
      <c r="E73" s="16">
        <f>[1]Data!G76</f>
        <v>1.4504345505090999E-2</v>
      </c>
      <c r="F73" s="15">
        <f>[1]Data!H76</f>
        <v>-5.7993387194488731E-3</v>
      </c>
      <c r="G73" s="16">
        <f>[1]Data!I76</f>
        <v>1.1691531132829544E-2</v>
      </c>
      <c r="H73" s="17">
        <f t="shared" si="21"/>
        <v>-1</v>
      </c>
      <c r="I73" s="18">
        <f t="shared" si="30"/>
        <v>-1</v>
      </c>
      <c r="J73" s="19">
        <f t="shared" si="22"/>
        <v>0</v>
      </c>
      <c r="K73" s="19">
        <f t="shared" si="23"/>
        <v>5.1116427214111925E-3</v>
      </c>
      <c r="L73" s="19">
        <f t="shared" si="24"/>
        <v>0</v>
      </c>
      <c r="M73" s="19">
        <f t="shared" si="25"/>
        <v>1.4504345505090999E-2</v>
      </c>
      <c r="N73" s="19">
        <f t="shared" si="26"/>
        <v>0</v>
      </c>
      <c r="O73" s="19">
        <f t="shared" si="27"/>
        <v>5.7993387194488731E-3</v>
      </c>
      <c r="P73" s="19">
        <f t="shared" si="28"/>
        <v>0</v>
      </c>
      <c r="Q73" s="19">
        <f t="shared" si="29"/>
        <v>1.1691531132829544E-2</v>
      </c>
      <c r="R73" s="19">
        <f t="shared" si="31"/>
        <v>0.22975788129492222</v>
      </c>
      <c r="S73" s="19">
        <f t="shared" si="32"/>
        <v>0.23782023541222505</v>
      </c>
      <c r="T73" s="19">
        <f t="shared" si="33"/>
        <v>-0.14182945108847334</v>
      </c>
      <c r="U73" s="19">
        <f t="shared" si="34"/>
        <v>0.13847001917330401</v>
      </c>
      <c r="V73" s="19">
        <f t="shared" si="35"/>
        <v>6.5994905149449667E-2</v>
      </c>
      <c r="W73" s="19">
        <f t="shared" si="36"/>
        <v>-0.10380005350632922</v>
      </c>
      <c r="X73" s="19">
        <f t="shared" si="37"/>
        <v>6.3690756569435847E-2</v>
      </c>
      <c r="Y73" s="19">
        <f t="shared" si="38"/>
        <v>-6.8785032177365715E-2</v>
      </c>
      <c r="AA73" s="19">
        <f t="shared" si="39"/>
        <v>0.4213192608271687</v>
      </c>
      <c r="AB73" s="19">
        <f t="shared" si="40"/>
        <v>0.4387699886583602</v>
      </c>
    </row>
    <row r="74" spans="1:28" x14ac:dyDescent="0.25">
      <c r="A74" s="13">
        <f>[1]Data!A77</f>
        <v>39661</v>
      </c>
      <c r="B74" s="14">
        <f>[1]Data!B77</f>
        <v>1.5335311854992307E-2</v>
      </c>
      <c r="C74" s="14">
        <f>[1]Data!C77</f>
        <v>-1.1917921483408683E-2</v>
      </c>
      <c r="D74" s="15">
        <f>[1]Data!F77</f>
        <v>7.716392942728769E-3</v>
      </c>
      <c r="E74" s="16">
        <f>[1]Data!G77</f>
        <v>7.4875066438296074E-3</v>
      </c>
      <c r="F74" s="15">
        <f>[1]Data!H77</f>
        <v>1.4180227433267766E-3</v>
      </c>
      <c r="G74" s="16">
        <f>[1]Data!I77</f>
        <v>4.5010293523597318E-3</v>
      </c>
      <c r="H74" s="17">
        <f t="shared" si="21"/>
        <v>1</v>
      </c>
      <c r="I74" s="18">
        <f t="shared" si="30"/>
        <v>1</v>
      </c>
      <c r="J74" s="19">
        <f t="shared" si="22"/>
        <v>7.716392942728769E-3</v>
      </c>
      <c r="K74" s="19">
        <f t="shared" si="23"/>
        <v>0</v>
      </c>
      <c r="L74" s="19">
        <f t="shared" si="24"/>
        <v>-7.4875066438296074E-3</v>
      </c>
      <c r="M74" s="19">
        <f t="shared" si="25"/>
        <v>0</v>
      </c>
      <c r="N74" s="19">
        <f t="shared" si="26"/>
        <v>1.4180227433267766E-3</v>
      </c>
      <c r="O74" s="19">
        <f t="shared" si="27"/>
        <v>0</v>
      </c>
      <c r="P74" s="19">
        <f t="shared" si="28"/>
        <v>-4.5010293523597318E-3</v>
      </c>
      <c r="Q74" s="19">
        <f t="shared" si="29"/>
        <v>0</v>
      </c>
      <c r="R74" s="19">
        <f t="shared" si="31"/>
        <v>0.237474274237651</v>
      </c>
      <c r="S74" s="19">
        <f t="shared" si="32"/>
        <v>0.23782023541222505</v>
      </c>
      <c r="T74" s="19">
        <f t="shared" si="33"/>
        <v>-0.14931695773230294</v>
      </c>
      <c r="U74" s="19">
        <f t="shared" si="34"/>
        <v>0.13847001917330401</v>
      </c>
      <c r="V74" s="19">
        <f t="shared" si="35"/>
        <v>6.7412927892776447E-2</v>
      </c>
      <c r="W74" s="19">
        <f t="shared" si="36"/>
        <v>-0.10380005350632922</v>
      </c>
      <c r="X74" s="19">
        <f t="shared" si="37"/>
        <v>5.9189727217076119E-2</v>
      </c>
      <c r="Y74" s="19">
        <f t="shared" si="38"/>
        <v>-6.8785032177365715E-2</v>
      </c>
      <c r="AA74" s="19">
        <f t="shared" si="39"/>
        <v>0.41846514051703493</v>
      </c>
      <c r="AB74" s="19">
        <f t="shared" si="40"/>
        <v>0.45410530051335252</v>
      </c>
    </row>
    <row r="75" spans="1:28" x14ac:dyDescent="0.25">
      <c r="A75" s="13">
        <f>[1]Data!A78</f>
        <v>39692</v>
      </c>
      <c r="B75" s="14">
        <f>[1]Data!B78</f>
        <v>-9.890755281492844E-2</v>
      </c>
      <c r="C75" s="14">
        <f>[1]Data!C78</f>
        <v>-5.8969739441932872E-2</v>
      </c>
      <c r="D75" s="15">
        <f>[1]Data!F78</f>
        <v>-4.4845344924539204E-2</v>
      </c>
      <c r="E75" s="16">
        <f>[1]Data!G78</f>
        <v>9.7439888345378749E-3</v>
      </c>
      <c r="F75" s="15">
        <f>[1]Data!H78</f>
        <v>-1.4075041619453138E-2</v>
      </c>
      <c r="G75" s="16">
        <f>[1]Data!I78</f>
        <v>2.5136179560376823E-2</v>
      </c>
      <c r="H75" s="17">
        <f t="shared" si="21"/>
        <v>1</v>
      </c>
      <c r="I75" s="18">
        <f t="shared" si="30"/>
        <v>-1</v>
      </c>
      <c r="J75" s="19">
        <f t="shared" si="22"/>
        <v>-4.4845344924539204E-2</v>
      </c>
      <c r="K75" s="19">
        <f t="shared" si="23"/>
        <v>0</v>
      </c>
      <c r="L75" s="19">
        <f t="shared" si="24"/>
        <v>-9.7439888345378749E-3</v>
      </c>
      <c r="M75" s="19">
        <f t="shared" si="25"/>
        <v>0</v>
      </c>
      <c r="N75" s="19">
        <f t="shared" si="26"/>
        <v>0</v>
      </c>
      <c r="O75" s="19">
        <f t="shared" si="27"/>
        <v>1.4075041619453138E-2</v>
      </c>
      <c r="P75" s="19">
        <f t="shared" si="28"/>
        <v>0</v>
      </c>
      <c r="Q75" s="19">
        <f t="shared" si="29"/>
        <v>2.5136179560376823E-2</v>
      </c>
      <c r="R75" s="19">
        <f t="shared" si="31"/>
        <v>0.19262892931311179</v>
      </c>
      <c r="S75" s="19">
        <f t="shared" si="32"/>
        <v>0.23782023541222505</v>
      </c>
      <c r="T75" s="19">
        <f t="shared" si="33"/>
        <v>-0.15906094656684081</v>
      </c>
      <c r="U75" s="19">
        <f t="shared" si="34"/>
        <v>0.13847001917330401</v>
      </c>
      <c r="V75" s="19">
        <f t="shared" si="35"/>
        <v>6.7412927892776447E-2</v>
      </c>
      <c r="W75" s="19">
        <f t="shared" si="36"/>
        <v>-8.972501188687608E-2</v>
      </c>
      <c r="X75" s="19">
        <f t="shared" si="37"/>
        <v>5.9189727217076119E-2</v>
      </c>
      <c r="Y75" s="19">
        <f t="shared" si="38"/>
        <v>-4.3648852616988892E-2</v>
      </c>
      <c r="AA75" s="19">
        <f t="shared" si="39"/>
        <v>0.40308702793778783</v>
      </c>
      <c r="AB75" s="19">
        <f t="shared" si="40"/>
        <v>0.35519774769842405</v>
      </c>
    </row>
    <row r="76" spans="1:28" x14ac:dyDescent="0.25">
      <c r="A76" s="13">
        <f>[1]Data!A79</f>
        <v>39722</v>
      </c>
      <c r="B76" s="14">
        <f>[1]Data!B79</f>
        <v>-0.18054711096471043</v>
      </c>
      <c r="C76" s="14">
        <f>[1]Data!C79</f>
        <v>-0.19620275757356803</v>
      </c>
      <c r="D76" s="15">
        <f>[1]Data!F79</f>
        <v>1.0068129945736335E-2</v>
      </c>
      <c r="E76" s="16">
        <f>[1]Data!G79</f>
        <v>-2.4369465220447126E-2</v>
      </c>
      <c r="F76" s="15">
        <f>[1]Data!H79</f>
        <v>-0.14803368672747119</v>
      </c>
      <c r="G76" s="16">
        <f>[1]Data!I79</f>
        <v>4.4253709808859856E-2</v>
      </c>
      <c r="H76" s="17">
        <f t="shared" si="21"/>
        <v>1</v>
      </c>
      <c r="I76" s="18">
        <f t="shared" si="30"/>
        <v>-1</v>
      </c>
      <c r="J76" s="19">
        <f t="shared" si="22"/>
        <v>1.0068129945736335E-2</v>
      </c>
      <c r="K76" s="19">
        <f t="shared" si="23"/>
        <v>0</v>
      </c>
      <c r="L76" s="19">
        <f t="shared" si="24"/>
        <v>2.4369465220447126E-2</v>
      </c>
      <c r="M76" s="19">
        <f t="shared" si="25"/>
        <v>0</v>
      </c>
      <c r="N76" s="19">
        <f t="shared" si="26"/>
        <v>0</v>
      </c>
      <c r="O76" s="19">
        <f t="shared" si="27"/>
        <v>0.14803368672747119</v>
      </c>
      <c r="P76" s="19">
        <f t="shared" si="28"/>
        <v>0</v>
      </c>
      <c r="Q76" s="19">
        <f t="shared" si="29"/>
        <v>4.4253709808859856E-2</v>
      </c>
      <c r="R76" s="19">
        <f t="shared" si="31"/>
        <v>0.20269705925884812</v>
      </c>
      <c r="S76" s="19">
        <f t="shared" si="32"/>
        <v>0.23782023541222505</v>
      </c>
      <c r="T76" s="19">
        <f t="shared" si="33"/>
        <v>-0.13469148134639369</v>
      </c>
      <c r="U76" s="19">
        <f t="shared" si="34"/>
        <v>0.13847001917330401</v>
      </c>
      <c r="V76" s="19">
        <f t="shared" si="35"/>
        <v>6.7412927892776447E-2</v>
      </c>
      <c r="W76" s="19">
        <f t="shared" si="36"/>
        <v>5.8308674840595112E-2</v>
      </c>
      <c r="X76" s="19">
        <f t="shared" si="37"/>
        <v>5.9189727217076119E-2</v>
      </c>
      <c r="Y76" s="19">
        <f t="shared" si="38"/>
        <v>6.0485719187096387E-4</v>
      </c>
      <c r="AA76" s="19">
        <f t="shared" si="39"/>
        <v>0.62981201964030231</v>
      </c>
      <c r="AB76" s="19">
        <f t="shared" si="40"/>
        <v>0.17465063673371362</v>
      </c>
    </row>
    <row r="77" spans="1:28" x14ac:dyDescent="0.25">
      <c r="A77" s="13">
        <f>[1]Data!A80</f>
        <v>39753</v>
      </c>
      <c r="B77" s="14">
        <f>[1]Data!B80</f>
        <v>-7.2147486555183452E-2</v>
      </c>
      <c r="C77" s="14">
        <f>[1]Data!C80</f>
        <v>-0.30412362735782883</v>
      </c>
      <c r="D77" s="15">
        <f>[1]Data!F80</f>
        <v>0.12480061733340533</v>
      </c>
      <c r="E77" s="16">
        <f>[1]Data!G80</f>
        <v>2.6842809415822497E-2</v>
      </c>
      <c r="F77" s="15">
        <f>[1]Data!H80</f>
        <v>-3.11523790794331E-2</v>
      </c>
      <c r="G77" s="16">
        <f>[1]Data!I80</f>
        <v>1.9281268616307877E-2</v>
      </c>
      <c r="H77" s="17">
        <f t="shared" si="21"/>
        <v>1</v>
      </c>
      <c r="I77" s="18">
        <f t="shared" si="30"/>
        <v>-1</v>
      </c>
      <c r="J77" s="19">
        <f t="shared" si="22"/>
        <v>0.12480061733340533</v>
      </c>
      <c r="K77" s="19">
        <f t="shared" si="23"/>
        <v>0</v>
      </c>
      <c r="L77" s="19">
        <f t="shared" si="24"/>
        <v>-2.6842809415822497E-2</v>
      </c>
      <c r="M77" s="19">
        <f t="shared" si="25"/>
        <v>0</v>
      </c>
      <c r="N77" s="19">
        <f t="shared" si="26"/>
        <v>0</v>
      </c>
      <c r="O77" s="19">
        <f t="shared" si="27"/>
        <v>3.11523790794331E-2</v>
      </c>
      <c r="P77" s="19">
        <f t="shared" si="28"/>
        <v>0</v>
      </c>
      <c r="Q77" s="19">
        <f t="shared" si="29"/>
        <v>1.9281268616307877E-2</v>
      </c>
      <c r="R77" s="19">
        <f t="shared" si="31"/>
        <v>0.32749767659225348</v>
      </c>
      <c r="S77" s="19">
        <f t="shared" si="32"/>
        <v>0.23782023541222505</v>
      </c>
      <c r="T77" s="19">
        <f t="shared" si="33"/>
        <v>-0.1615342907622162</v>
      </c>
      <c r="U77" s="19">
        <f t="shared" si="34"/>
        <v>0.13847001917330401</v>
      </c>
      <c r="V77" s="19">
        <f t="shared" si="35"/>
        <v>6.7412927892776447E-2</v>
      </c>
      <c r="W77" s="19">
        <f t="shared" si="36"/>
        <v>8.9461053920028205E-2</v>
      </c>
      <c r="X77" s="19">
        <f t="shared" si="37"/>
        <v>5.9189727217076119E-2</v>
      </c>
      <c r="Y77" s="19">
        <f t="shared" si="38"/>
        <v>1.9886125808178841E-2</v>
      </c>
      <c r="AA77" s="19">
        <f t="shared" si="39"/>
        <v>0.7782034752536261</v>
      </c>
      <c r="AB77" s="19">
        <f t="shared" si="40"/>
        <v>0.10250315017853016</v>
      </c>
    </row>
    <row r="78" spans="1:28" x14ac:dyDescent="0.25">
      <c r="A78" s="13">
        <f>[1]Data!A81</f>
        <v>39783</v>
      </c>
      <c r="B78" s="14">
        <f>[1]Data!B81</f>
        <v>9.7482817931282707E-3</v>
      </c>
      <c r="C78" s="14">
        <f>[1]Data!C81</f>
        <v>-0.1619503820234223</v>
      </c>
      <c r="D78" s="15">
        <f>[1]Data!F81</f>
        <v>2.297884092475954E-2</v>
      </c>
      <c r="E78" s="16">
        <f>[1]Data!G81</f>
        <v>-2.0746129755802568E-2</v>
      </c>
      <c r="F78" s="15">
        <f>[1]Data!H81</f>
        <v>-2.4268353581620418E-2</v>
      </c>
      <c r="G78" s="16">
        <f>[1]Data!I81</f>
        <v>4.7403740448031056E-2</v>
      </c>
      <c r="H78" s="17">
        <f t="shared" si="21"/>
        <v>1</v>
      </c>
      <c r="I78" s="18">
        <f t="shared" si="30"/>
        <v>-1</v>
      </c>
      <c r="J78" s="19">
        <f t="shared" si="22"/>
        <v>2.297884092475954E-2</v>
      </c>
      <c r="K78" s="19">
        <f t="shared" si="23"/>
        <v>0</v>
      </c>
      <c r="L78" s="19">
        <f t="shared" si="24"/>
        <v>2.0746129755802568E-2</v>
      </c>
      <c r="M78" s="19">
        <f t="shared" si="25"/>
        <v>0</v>
      </c>
      <c r="N78" s="19">
        <f t="shared" si="26"/>
        <v>0</v>
      </c>
      <c r="O78" s="19">
        <f t="shared" si="27"/>
        <v>2.4268353581620418E-2</v>
      </c>
      <c r="P78" s="19">
        <f t="shared" si="28"/>
        <v>0</v>
      </c>
      <c r="Q78" s="19">
        <f t="shared" si="29"/>
        <v>4.7403740448031056E-2</v>
      </c>
      <c r="R78" s="19">
        <f t="shared" si="31"/>
        <v>0.35047651751701303</v>
      </c>
      <c r="S78" s="19">
        <f t="shared" si="32"/>
        <v>0.23782023541222505</v>
      </c>
      <c r="T78" s="19">
        <f t="shared" si="33"/>
        <v>-0.14078816100641364</v>
      </c>
      <c r="U78" s="19">
        <f t="shared" si="34"/>
        <v>0.13847001917330401</v>
      </c>
      <c r="V78" s="19">
        <f t="shared" si="35"/>
        <v>6.7412927892776447E-2</v>
      </c>
      <c r="W78" s="19">
        <f t="shared" si="36"/>
        <v>0.11372940750164862</v>
      </c>
      <c r="X78" s="19">
        <f t="shared" si="37"/>
        <v>5.9189727217076119E-2</v>
      </c>
      <c r="Y78" s="19">
        <f t="shared" si="38"/>
        <v>6.728986625620989E-2</v>
      </c>
      <c r="AA78" s="19">
        <f t="shared" si="39"/>
        <v>0.8936005399638397</v>
      </c>
      <c r="AB78" s="19">
        <f t="shared" si="40"/>
        <v>0.11225143197165843</v>
      </c>
    </row>
    <row r="79" spans="1:28" x14ac:dyDescent="0.25">
      <c r="A79" s="13">
        <f>[1]Data!A82</f>
        <v>39814</v>
      </c>
      <c r="B79" s="14">
        <f>[1]Data!B82</f>
        <v>-8.5682300123382751E-2</v>
      </c>
      <c r="C79" s="14">
        <f>[1]Data!C82</f>
        <v>2.0495995468137723E-2</v>
      </c>
      <c r="D79" s="15">
        <f>[1]Data!F82</f>
        <v>-3.3749252063286078E-3</v>
      </c>
      <c r="E79" s="16">
        <f>[1]Data!G82</f>
        <v>-3.7272034079666887E-2</v>
      </c>
      <c r="F79" s="15">
        <f>[1]Data!H82</f>
        <v>8.8264838307612926E-3</v>
      </c>
      <c r="G79" s="16">
        <f>[1]Data!I82</f>
        <v>-5.8573695954333246E-2</v>
      </c>
      <c r="H79" s="17">
        <f t="shared" si="21"/>
        <v>-1</v>
      </c>
      <c r="I79" s="18">
        <f t="shared" si="30"/>
        <v>-1</v>
      </c>
      <c r="J79" s="19">
        <f t="shared" si="22"/>
        <v>0</v>
      </c>
      <c r="K79" s="19">
        <f t="shared" si="23"/>
        <v>3.3749252063286078E-3</v>
      </c>
      <c r="L79" s="19">
        <f t="shared" si="24"/>
        <v>0</v>
      </c>
      <c r="M79" s="19">
        <f t="shared" si="25"/>
        <v>-3.7272034079666887E-2</v>
      </c>
      <c r="N79" s="19">
        <f t="shared" si="26"/>
        <v>0</v>
      </c>
      <c r="O79" s="19">
        <f t="shared" si="27"/>
        <v>-8.8264838307612926E-3</v>
      </c>
      <c r="P79" s="19">
        <f t="shared" si="28"/>
        <v>0</v>
      </c>
      <c r="Q79" s="19">
        <f t="shared" si="29"/>
        <v>-5.8573695954333246E-2</v>
      </c>
      <c r="R79" s="19">
        <f t="shared" si="31"/>
        <v>0.35047651751701303</v>
      </c>
      <c r="S79" s="19">
        <f t="shared" si="32"/>
        <v>0.24119516061855367</v>
      </c>
      <c r="T79" s="19">
        <f t="shared" si="33"/>
        <v>-0.14078816100641364</v>
      </c>
      <c r="U79" s="19">
        <f t="shared" si="34"/>
        <v>0.10119798509363712</v>
      </c>
      <c r="V79" s="19">
        <f t="shared" si="35"/>
        <v>6.7412927892776447E-2</v>
      </c>
      <c r="W79" s="19">
        <f t="shared" si="36"/>
        <v>0.10490292367088733</v>
      </c>
      <c r="X79" s="19">
        <f t="shared" si="37"/>
        <v>5.9189727217076119E-2</v>
      </c>
      <c r="Y79" s="19">
        <f t="shared" si="38"/>
        <v>8.716170301876644E-3</v>
      </c>
      <c r="AA79" s="19">
        <f t="shared" si="39"/>
        <v>0.79230325130540691</v>
      </c>
      <c r="AB79" s="19">
        <f t="shared" si="40"/>
        <v>2.6569131848275682E-2</v>
      </c>
    </row>
    <row r="80" spans="1:28" x14ac:dyDescent="0.25">
      <c r="A80" s="13">
        <f>[1]Data!A83</f>
        <v>39845</v>
      </c>
      <c r="B80" s="14">
        <f>[1]Data!B83</f>
        <v>-0.1136715402197348</v>
      </c>
      <c r="C80" s="14">
        <f>[1]Data!C83</f>
        <v>-0.11756308018695301</v>
      </c>
      <c r="D80" s="15">
        <f>[1]Data!F83</f>
        <v>-9.6916675981411626E-3</v>
      </c>
      <c r="E80" s="16">
        <f>[1]Data!G83</f>
        <v>-2.9021138768274671E-2</v>
      </c>
      <c r="F80" s="15">
        <f>[1]Data!H83</f>
        <v>4.8887995871712525E-2</v>
      </c>
      <c r="G80" s="16">
        <f>[1]Data!I83</f>
        <v>-1.1421455800217998E-2</v>
      </c>
      <c r="H80" s="17">
        <f t="shared" si="21"/>
        <v>1</v>
      </c>
      <c r="I80" s="18">
        <f t="shared" si="30"/>
        <v>1</v>
      </c>
      <c r="J80" s="19">
        <f t="shared" si="22"/>
        <v>-9.6916675981411626E-3</v>
      </c>
      <c r="K80" s="19">
        <f t="shared" si="23"/>
        <v>0</v>
      </c>
      <c r="L80" s="19">
        <f t="shared" si="24"/>
        <v>2.9021138768274671E-2</v>
      </c>
      <c r="M80" s="19">
        <f t="shared" si="25"/>
        <v>0</v>
      </c>
      <c r="N80" s="19">
        <f t="shared" si="26"/>
        <v>4.8887995871712525E-2</v>
      </c>
      <c r="O80" s="19">
        <f t="shared" si="27"/>
        <v>0</v>
      </c>
      <c r="P80" s="19">
        <f t="shared" si="28"/>
        <v>1.1421455800217998E-2</v>
      </c>
      <c r="Q80" s="19">
        <f t="shared" si="29"/>
        <v>0</v>
      </c>
      <c r="R80" s="19">
        <f t="shared" si="31"/>
        <v>0.34078484991887187</v>
      </c>
      <c r="S80" s="19">
        <f t="shared" si="32"/>
        <v>0.24119516061855367</v>
      </c>
      <c r="T80" s="19">
        <f t="shared" si="33"/>
        <v>-0.11176702223813897</v>
      </c>
      <c r="U80" s="19">
        <f t="shared" si="34"/>
        <v>0.10119798509363712</v>
      </c>
      <c r="V80" s="19">
        <f t="shared" si="35"/>
        <v>0.11630092376448897</v>
      </c>
      <c r="W80" s="19">
        <f t="shared" si="36"/>
        <v>0.10490292367088733</v>
      </c>
      <c r="X80" s="19">
        <f t="shared" si="37"/>
        <v>7.0611183017294119E-2</v>
      </c>
      <c r="Y80" s="19">
        <f t="shared" si="38"/>
        <v>8.716170301876644E-3</v>
      </c>
      <c r="AA80" s="19">
        <f t="shared" si="39"/>
        <v>0.87194217414747088</v>
      </c>
      <c r="AB80" s="19">
        <f t="shared" si="40"/>
        <v>-8.710240837145912E-2</v>
      </c>
    </row>
    <row r="81" spans="1:28" x14ac:dyDescent="0.25">
      <c r="A81" s="13">
        <f>[1]Data!A84</f>
        <v>39873</v>
      </c>
      <c r="B81" s="14">
        <f>[1]Data!B84</f>
        <v>8.002180958571993E-2</v>
      </c>
      <c r="C81" s="14">
        <f>[1]Data!C84</f>
        <v>2.1447876437045502E-2</v>
      </c>
      <c r="D81" s="15">
        <f>[1]Data!F84</f>
        <v>3.5976669272090499E-2</v>
      </c>
      <c r="E81" s="16">
        <f>[1]Data!G84</f>
        <v>1.7077905766788592E-2</v>
      </c>
      <c r="F81" s="15">
        <f>[1]Data!H84</f>
        <v>-7.0172294294610374E-2</v>
      </c>
      <c r="G81" s="16">
        <f>[1]Data!I84</f>
        <v>2.5864066943576604E-2</v>
      </c>
      <c r="H81" s="17">
        <f t="shared" si="21"/>
        <v>-1</v>
      </c>
      <c r="I81" s="18">
        <f t="shared" si="30"/>
        <v>-1</v>
      </c>
      <c r="J81" s="19">
        <f t="shared" si="22"/>
        <v>0</v>
      </c>
      <c r="K81" s="19">
        <f t="shared" si="23"/>
        <v>-3.5976669272090499E-2</v>
      </c>
      <c r="L81" s="19">
        <f t="shared" si="24"/>
        <v>0</v>
      </c>
      <c r="M81" s="19">
        <f t="shared" si="25"/>
        <v>1.7077905766788592E-2</v>
      </c>
      <c r="N81" s="19">
        <f t="shared" si="26"/>
        <v>0</v>
      </c>
      <c r="O81" s="19">
        <f t="shared" si="27"/>
        <v>7.0172294294610374E-2</v>
      </c>
      <c r="P81" s="19">
        <f t="shared" si="28"/>
        <v>0</v>
      </c>
      <c r="Q81" s="19">
        <f t="shared" si="29"/>
        <v>2.5864066943576604E-2</v>
      </c>
      <c r="R81" s="19">
        <f t="shared" si="31"/>
        <v>0.34078484991887187</v>
      </c>
      <c r="S81" s="19">
        <f t="shared" si="32"/>
        <v>0.20521849134646317</v>
      </c>
      <c r="T81" s="19">
        <f t="shared" si="33"/>
        <v>-0.11176702223813897</v>
      </c>
      <c r="U81" s="19">
        <f t="shared" si="34"/>
        <v>0.11827589086042571</v>
      </c>
      <c r="V81" s="19">
        <f t="shared" si="35"/>
        <v>0.11630092376448897</v>
      </c>
      <c r="W81" s="19">
        <f t="shared" si="36"/>
        <v>0.17507521796549769</v>
      </c>
      <c r="X81" s="19">
        <f t="shared" si="37"/>
        <v>7.0611183017294119E-2</v>
      </c>
      <c r="Y81" s="19">
        <f t="shared" si="38"/>
        <v>3.4580237245453248E-2</v>
      </c>
      <c r="AA81" s="19">
        <f t="shared" si="39"/>
        <v>0.94907977188035597</v>
      </c>
      <c r="AB81" s="19">
        <f t="shared" si="40"/>
        <v>-7.0805987857391894E-3</v>
      </c>
    </row>
    <row r="82" spans="1:28" x14ac:dyDescent="0.25">
      <c r="A82" s="13">
        <f>[1]Data!A85</f>
        <v>39904</v>
      </c>
      <c r="B82" s="14">
        <f>[1]Data!B85</f>
        <v>9.4715707038457247E-2</v>
      </c>
      <c r="C82" s="14">
        <f>[1]Data!C85</f>
        <v>9.801054784327469E-2</v>
      </c>
      <c r="D82" s="15">
        <f>[1]Data!F85</f>
        <v>3.3500061768666572E-2</v>
      </c>
      <c r="E82" s="16">
        <f>[1]Data!G85</f>
        <v>-3.5259229711041645E-2</v>
      </c>
      <c r="F82" s="15">
        <f>[1]Data!H85</f>
        <v>2.6433555277714221E-2</v>
      </c>
      <c r="G82" s="16">
        <f>[1]Data!I85</f>
        <v>-2.5636747867464199E-2</v>
      </c>
      <c r="H82" s="17">
        <f t="shared" si="21"/>
        <v>-1</v>
      </c>
      <c r="I82" s="18">
        <f t="shared" si="30"/>
        <v>1</v>
      </c>
      <c r="J82" s="19">
        <f t="shared" si="22"/>
        <v>0</v>
      </c>
      <c r="K82" s="19">
        <f t="shared" si="23"/>
        <v>-3.3500061768666572E-2</v>
      </c>
      <c r="L82" s="19">
        <f t="shared" si="24"/>
        <v>0</v>
      </c>
      <c r="M82" s="19">
        <f t="shared" si="25"/>
        <v>-3.5259229711041645E-2</v>
      </c>
      <c r="N82" s="19">
        <f t="shared" si="26"/>
        <v>2.6433555277714221E-2</v>
      </c>
      <c r="O82" s="19">
        <f t="shared" si="27"/>
        <v>0</v>
      </c>
      <c r="P82" s="19">
        <f t="shared" si="28"/>
        <v>2.5636747867464199E-2</v>
      </c>
      <c r="Q82" s="19">
        <f t="shared" si="29"/>
        <v>0</v>
      </c>
      <c r="R82" s="19">
        <f t="shared" si="31"/>
        <v>0.34078484991887187</v>
      </c>
      <c r="S82" s="19">
        <f t="shared" si="32"/>
        <v>0.17171842957779659</v>
      </c>
      <c r="T82" s="19">
        <f t="shared" si="33"/>
        <v>-0.11176702223813897</v>
      </c>
      <c r="U82" s="19">
        <f t="shared" si="34"/>
        <v>8.3016661149384066E-2</v>
      </c>
      <c r="V82" s="19">
        <f t="shared" si="35"/>
        <v>0.14273447904220318</v>
      </c>
      <c r="W82" s="19">
        <f t="shared" si="36"/>
        <v>0.17507521796549769</v>
      </c>
      <c r="X82" s="19">
        <f t="shared" si="37"/>
        <v>9.6247930884758318E-2</v>
      </c>
      <c r="Y82" s="19">
        <f t="shared" si="38"/>
        <v>3.4580237245453248E-2</v>
      </c>
      <c r="AA82" s="19">
        <f t="shared" si="39"/>
        <v>0.93239078354582616</v>
      </c>
      <c r="AB82" s="19">
        <f t="shared" si="40"/>
        <v>8.7635108252718058E-2</v>
      </c>
    </row>
    <row r="83" spans="1:28" x14ac:dyDescent="0.25">
      <c r="A83" s="13">
        <f>[1]Data!A86</f>
        <v>39934</v>
      </c>
      <c r="B83" s="14">
        <f>[1]Data!B86</f>
        <v>5.6808595314450996E-2</v>
      </c>
      <c r="C83" s="14">
        <f>[1]Data!C86</f>
        <v>5.3575320842129799E-2</v>
      </c>
      <c r="D83" s="15">
        <f>[1]Data!F86</f>
        <v>3.653985077891922E-2</v>
      </c>
      <c r="E83" s="16">
        <f>[1]Data!G86</f>
        <v>-4.3436024232404169E-3</v>
      </c>
      <c r="F83" s="15">
        <f>[1]Data!H86</f>
        <v>3.8595962824860552E-2</v>
      </c>
      <c r="G83" s="16">
        <f>[1]Data!I86</f>
        <v>-3.1931842833874777E-2</v>
      </c>
      <c r="H83" s="17">
        <f t="shared" si="21"/>
        <v>-1</v>
      </c>
      <c r="I83" s="18">
        <f t="shared" si="30"/>
        <v>1</v>
      </c>
      <c r="J83" s="19">
        <f t="shared" si="22"/>
        <v>0</v>
      </c>
      <c r="K83" s="19">
        <f t="shared" si="23"/>
        <v>-3.653985077891922E-2</v>
      </c>
      <c r="L83" s="19">
        <f t="shared" si="24"/>
        <v>0</v>
      </c>
      <c r="M83" s="19">
        <f t="shared" si="25"/>
        <v>-4.3436024232404169E-3</v>
      </c>
      <c r="N83" s="19">
        <f t="shared" si="26"/>
        <v>3.8595962824860552E-2</v>
      </c>
      <c r="O83" s="19">
        <f t="shared" si="27"/>
        <v>0</v>
      </c>
      <c r="P83" s="19">
        <f t="shared" si="28"/>
        <v>3.1931842833874777E-2</v>
      </c>
      <c r="Q83" s="19">
        <f t="shared" si="29"/>
        <v>0</v>
      </c>
      <c r="R83" s="19">
        <f t="shared" si="31"/>
        <v>0.34078484991887187</v>
      </c>
      <c r="S83" s="19">
        <f t="shared" si="32"/>
        <v>0.13517857879887737</v>
      </c>
      <c r="T83" s="19">
        <f t="shared" si="33"/>
        <v>-0.11176702223813897</v>
      </c>
      <c r="U83" s="19">
        <f t="shared" si="34"/>
        <v>7.8673058726143649E-2</v>
      </c>
      <c r="V83" s="19">
        <f t="shared" si="35"/>
        <v>0.18133044186706374</v>
      </c>
      <c r="W83" s="19">
        <f t="shared" si="36"/>
        <v>0.17507521796549769</v>
      </c>
      <c r="X83" s="19">
        <f t="shared" si="37"/>
        <v>0.12817977371863309</v>
      </c>
      <c r="Y83" s="19">
        <f t="shared" si="38"/>
        <v>3.4580237245453248E-2</v>
      </c>
      <c r="AA83" s="19">
        <f t="shared" si="39"/>
        <v>0.96203513600240187</v>
      </c>
      <c r="AB83" s="19">
        <f t="shared" si="40"/>
        <v>0.14444370356716907</v>
      </c>
    </row>
    <row r="84" spans="1:28" x14ac:dyDescent="0.25">
      <c r="A84" s="13">
        <f>[1]Data!A87</f>
        <v>39965</v>
      </c>
      <c r="B84" s="14">
        <f>[1]Data!B87</f>
        <v>-6.5515346036946337E-4</v>
      </c>
      <c r="C84" s="14">
        <f>[1]Data!C87</f>
        <v>2.3766718566967129E-2</v>
      </c>
      <c r="D84" s="15">
        <f>[1]Data!F87</f>
        <v>-9.7813048108637973E-4</v>
      </c>
      <c r="E84" s="16">
        <f>[1]Data!G87</f>
        <v>3.0926709557410309E-2</v>
      </c>
      <c r="F84" s="15">
        <f>[1]Data!H87</f>
        <v>2.1595681978511538E-2</v>
      </c>
      <c r="G84" s="16">
        <f>[1]Data!I87</f>
        <v>-4.3826907261720928E-2</v>
      </c>
      <c r="H84" s="17">
        <f t="shared" si="21"/>
        <v>-1</v>
      </c>
      <c r="I84" s="18">
        <f t="shared" si="30"/>
        <v>1</v>
      </c>
      <c r="J84" s="19">
        <f t="shared" si="22"/>
        <v>0</v>
      </c>
      <c r="K84" s="19">
        <f t="shared" si="23"/>
        <v>9.7813048108637973E-4</v>
      </c>
      <c r="L84" s="19">
        <f t="shared" si="24"/>
        <v>0</v>
      </c>
      <c r="M84" s="19">
        <f t="shared" si="25"/>
        <v>3.0926709557410309E-2</v>
      </c>
      <c r="N84" s="19">
        <f t="shared" si="26"/>
        <v>2.1595681978511538E-2</v>
      </c>
      <c r="O84" s="19">
        <f t="shared" si="27"/>
        <v>0</v>
      </c>
      <c r="P84" s="19">
        <f t="shared" si="28"/>
        <v>4.3826907261720928E-2</v>
      </c>
      <c r="Q84" s="19">
        <f t="shared" si="29"/>
        <v>0</v>
      </c>
      <c r="R84" s="19">
        <f t="shared" si="31"/>
        <v>0.34078484991887187</v>
      </c>
      <c r="S84" s="19">
        <f t="shared" si="32"/>
        <v>0.13615670927996376</v>
      </c>
      <c r="T84" s="19">
        <f t="shared" si="33"/>
        <v>-0.11176702223813897</v>
      </c>
      <c r="U84" s="19">
        <f t="shared" si="34"/>
        <v>0.10959976828355396</v>
      </c>
      <c r="V84" s="19">
        <f t="shared" si="35"/>
        <v>0.20292612384557526</v>
      </c>
      <c r="W84" s="19">
        <f t="shared" si="36"/>
        <v>0.17507521796549769</v>
      </c>
      <c r="X84" s="19">
        <f t="shared" si="37"/>
        <v>0.17200668098035402</v>
      </c>
      <c r="Y84" s="19">
        <f t="shared" si="38"/>
        <v>3.4580237245453248E-2</v>
      </c>
      <c r="AA84" s="19">
        <f t="shared" si="39"/>
        <v>1.0593625652811309</v>
      </c>
      <c r="AB84" s="19">
        <f t="shared" si="40"/>
        <v>0.14378855010679961</v>
      </c>
    </row>
    <row r="85" spans="1:28" x14ac:dyDescent="0.25">
      <c r="A85" s="13">
        <f>[1]Data!A88</f>
        <v>39995</v>
      </c>
      <c r="B85" s="14">
        <f>[1]Data!B88</f>
        <v>7.1953975697299832E-2</v>
      </c>
      <c r="C85" s="14">
        <f>[1]Data!C88</f>
        <v>5.5059796275394278E-2</v>
      </c>
      <c r="D85" s="15">
        <f>[1]Data!F88</f>
        <v>3.3548635272751461E-2</v>
      </c>
      <c r="E85" s="16">
        <f>[1]Data!G88</f>
        <v>2.239829747071214E-2</v>
      </c>
      <c r="F85" s="15">
        <f>[1]Data!H88</f>
        <v>-4.3908050801202997E-2</v>
      </c>
      <c r="G85" s="16">
        <f>[1]Data!I88</f>
        <v>2.3411687946837036E-2</v>
      </c>
      <c r="H85" s="17">
        <f t="shared" si="21"/>
        <v>-1</v>
      </c>
      <c r="I85" s="18">
        <f t="shared" si="30"/>
        <v>1</v>
      </c>
      <c r="J85" s="19">
        <f t="shared" si="22"/>
        <v>0</v>
      </c>
      <c r="K85" s="19">
        <f t="shared" si="23"/>
        <v>-3.3548635272751461E-2</v>
      </c>
      <c r="L85" s="19">
        <f t="shared" si="24"/>
        <v>0</v>
      </c>
      <c r="M85" s="19">
        <f t="shared" si="25"/>
        <v>2.239829747071214E-2</v>
      </c>
      <c r="N85" s="19">
        <f t="shared" si="26"/>
        <v>-4.3908050801202997E-2</v>
      </c>
      <c r="O85" s="19">
        <f t="shared" si="27"/>
        <v>0</v>
      </c>
      <c r="P85" s="19">
        <f t="shared" si="28"/>
        <v>-2.3411687946837036E-2</v>
      </c>
      <c r="Q85" s="19">
        <f t="shared" si="29"/>
        <v>0</v>
      </c>
      <c r="R85" s="19">
        <f t="shared" si="31"/>
        <v>0.34078484991887187</v>
      </c>
      <c r="S85" s="19">
        <f t="shared" si="32"/>
        <v>0.10260807400721231</v>
      </c>
      <c r="T85" s="19">
        <f t="shared" si="33"/>
        <v>-0.11176702223813897</v>
      </c>
      <c r="U85" s="19">
        <f t="shared" si="34"/>
        <v>0.13199806575426609</v>
      </c>
      <c r="V85" s="19">
        <f t="shared" si="35"/>
        <v>0.15901807304437227</v>
      </c>
      <c r="W85" s="19">
        <f t="shared" si="36"/>
        <v>0.17507521796549769</v>
      </c>
      <c r="X85" s="19">
        <f t="shared" si="37"/>
        <v>0.14859499303351698</v>
      </c>
      <c r="Y85" s="19">
        <f t="shared" si="38"/>
        <v>3.4580237245453248E-2</v>
      </c>
      <c r="AA85" s="19">
        <f t="shared" si="39"/>
        <v>0.98089248873105161</v>
      </c>
      <c r="AB85" s="19">
        <f t="shared" si="40"/>
        <v>0.21574252580409944</v>
      </c>
    </row>
    <row r="86" spans="1:28" x14ac:dyDescent="0.25">
      <c r="A86" s="13">
        <f>[1]Data!A89</f>
        <v>40026</v>
      </c>
      <c r="B86" s="14">
        <f>[1]Data!B89</f>
        <v>3.6273804212503244E-2</v>
      </c>
      <c r="C86" s="14">
        <f>[1]Data!C89</f>
        <v>4.8909073110767309E-2</v>
      </c>
      <c r="D86" s="15">
        <f>[1]Data!F89</f>
        <v>-4.9651334214506999E-3</v>
      </c>
      <c r="E86" s="16">
        <f>[1]Data!G89</f>
        <v>2.9733299099166034E-2</v>
      </c>
      <c r="F86" s="15">
        <f>[1]Data!H89</f>
        <v>2.390030444295372E-2</v>
      </c>
      <c r="G86" s="16">
        <f>[1]Data!I89</f>
        <v>-4.327580822953906E-2</v>
      </c>
      <c r="H86" s="17">
        <f t="shared" si="21"/>
        <v>-1</v>
      </c>
      <c r="I86" s="18">
        <f t="shared" si="30"/>
        <v>1</v>
      </c>
      <c r="J86" s="19">
        <f t="shared" si="22"/>
        <v>0</v>
      </c>
      <c r="K86" s="19">
        <f t="shared" si="23"/>
        <v>4.9651334214506999E-3</v>
      </c>
      <c r="L86" s="19">
        <f t="shared" si="24"/>
        <v>0</v>
      </c>
      <c r="M86" s="19">
        <f t="shared" si="25"/>
        <v>2.9733299099166034E-2</v>
      </c>
      <c r="N86" s="19">
        <f t="shared" si="26"/>
        <v>2.390030444295372E-2</v>
      </c>
      <c r="O86" s="19">
        <f t="shared" si="27"/>
        <v>0</v>
      </c>
      <c r="P86" s="19">
        <f t="shared" si="28"/>
        <v>4.327580822953906E-2</v>
      </c>
      <c r="Q86" s="19">
        <f t="shared" si="29"/>
        <v>0</v>
      </c>
      <c r="R86" s="19">
        <f t="shared" si="31"/>
        <v>0.34078484991887187</v>
      </c>
      <c r="S86" s="19">
        <f t="shared" si="32"/>
        <v>0.10757320742866301</v>
      </c>
      <c r="T86" s="19">
        <f t="shared" si="33"/>
        <v>-0.11176702223813897</v>
      </c>
      <c r="U86" s="19">
        <f t="shared" si="34"/>
        <v>0.16173136485343212</v>
      </c>
      <c r="V86" s="19">
        <f t="shared" si="35"/>
        <v>0.18291837748732598</v>
      </c>
      <c r="W86" s="19">
        <f t="shared" si="36"/>
        <v>0.17507521796549769</v>
      </c>
      <c r="X86" s="19">
        <f t="shared" si="37"/>
        <v>0.19187080126305603</v>
      </c>
      <c r="Y86" s="19">
        <f t="shared" si="38"/>
        <v>3.4580237245453248E-2</v>
      </c>
      <c r="AA86" s="19">
        <f t="shared" si="39"/>
        <v>1.0827670339241611</v>
      </c>
      <c r="AB86" s="19">
        <f t="shared" si="40"/>
        <v>0.25201633001660267</v>
      </c>
    </row>
    <row r="87" spans="1:28" x14ac:dyDescent="0.25">
      <c r="A87" s="13">
        <f>[1]Data!A90</f>
        <v>40057</v>
      </c>
      <c r="B87" s="14">
        <f>[1]Data!B90</f>
        <v>3.4842797854699271E-2</v>
      </c>
      <c r="C87" s="14">
        <f>[1]Data!C90</f>
        <v>4.9936506861409422E-2</v>
      </c>
      <c r="D87" s="15">
        <f>[1]Data!F90</f>
        <v>-1.3919254700457517E-2</v>
      </c>
      <c r="E87" s="16">
        <f>[1]Data!G90</f>
        <v>2.5459274108480295E-2</v>
      </c>
      <c r="F87" s="15">
        <f>[1]Data!H90</f>
        <v>4.6736664666109477E-3</v>
      </c>
      <c r="G87" s="16">
        <f>[1]Data!I90</f>
        <v>-1.8372162761097995E-2</v>
      </c>
      <c r="H87" s="17">
        <f t="shared" si="21"/>
        <v>-1</v>
      </c>
      <c r="I87" s="18">
        <f t="shared" si="30"/>
        <v>1</v>
      </c>
      <c r="J87" s="19">
        <f t="shared" si="22"/>
        <v>0</v>
      </c>
      <c r="K87" s="19">
        <f t="shared" si="23"/>
        <v>1.3919254700457517E-2</v>
      </c>
      <c r="L87" s="19">
        <f t="shared" si="24"/>
        <v>0</v>
      </c>
      <c r="M87" s="19">
        <f t="shared" si="25"/>
        <v>2.5459274108480295E-2</v>
      </c>
      <c r="N87" s="19">
        <f t="shared" si="26"/>
        <v>4.6736664666109477E-3</v>
      </c>
      <c r="O87" s="19">
        <f t="shared" si="27"/>
        <v>0</v>
      </c>
      <c r="P87" s="19">
        <f t="shared" si="28"/>
        <v>1.8372162761097995E-2</v>
      </c>
      <c r="Q87" s="19">
        <f t="shared" si="29"/>
        <v>0</v>
      </c>
      <c r="R87" s="19">
        <f t="shared" si="31"/>
        <v>0.34078484991887187</v>
      </c>
      <c r="S87" s="19">
        <f t="shared" si="32"/>
        <v>0.12149246212912053</v>
      </c>
      <c r="T87" s="19">
        <f t="shared" si="33"/>
        <v>-0.11176702223813897</v>
      </c>
      <c r="U87" s="19">
        <f t="shared" si="34"/>
        <v>0.1871906389619124</v>
      </c>
      <c r="V87" s="19">
        <f t="shared" si="35"/>
        <v>0.18759204395393692</v>
      </c>
      <c r="W87" s="19">
        <f t="shared" si="36"/>
        <v>0.17507521796549769</v>
      </c>
      <c r="X87" s="19">
        <f t="shared" si="37"/>
        <v>0.21024296402415402</v>
      </c>
      <c r="Y87" s="19">
        <f t="shared" si="38"/>
        <v>3.4580237245453248E-2</v>
      </c>
      <c r="AA87" s="19">
        <f t="shared" si="39"/>
        <v>1.1451913919608079</v>
      </c>
      <c r="AB87" s="19">
        <f t="shared" si="40"/>
        <v>0.28685912787130197</v>
      </c>
    </row>
    <row r="88" spans="1:28" x14ac:dyDescent="0.25">
      <c r="A88" s="13">
        <f>[1]Data!A91</f>
        <v>40087</v>
      </c>
      <c r="B88" s="14">
        <f>[1]Data!B91</f>
        <v>-1.9411782913633595E-2</v>
      </c>
      <c r="C88" s="14">
        <f>[1]Data!C91</f>
        <v>4.7453294846567455E-2</v>
      </c>
      <c r="D88" s="15">
        <f>[1]Data!F91</f>
        <v>-4.4106576876944373E-2</v>
      </c>
      <c r="E88" s="16">
        <f>[1]Data!G91</f>
        <v>-3.7503702916482813E-3</v>
      </c>
      <c r="F88" s="15">
        <f>[1]Data!H91</f>
        <v>1.9868053007839003E-3</v>
      </c>
      <c r="G88" s="16">
        <f>[1]Data!I91</f>
        <v>8.4731731355965813E-3</v>
      </c>
      <c r="H88" s="17">
        <f t="shared" si="21"/>
        <v>-1</v>
      </c>
      <c r="I88" s="18">
        <f t="shared" si="30"/>
        <v>1</v>
      </c>
      <c r="J88" s="19">
        <f t="shared" si="22"/>
        <v>0</v>
      </c>
      <c r="K88" s="19">
        <f t="shared" si="23"/>
        <v>4.4106576876944373E-2</v>
      </c>
      <c r="L88" s="19">
        <f t="shared" si="24"/>
        <v>0</v>
      </c>
      <c r="M88" s="19">
        <f t="shared" si="25"/>
        <v>-3.7503702916482813E-3</v>
      </c>
      <c r="N88" s="19">
        <f t="shared" si="26"/>
        <v>1.9868053007839003E-3</v>
      </c>
      <c r="O88" s="19">
        <f t="shared" si="27"/>
        <v>0</v>
      </c>
      <c r="P88" s="19">
        <f t="shared" si="28"/>
        <v>-8.4731731355965813E-3</v>
      </c>
      <c r="Q88" s="19">
        <f t="shared" si="29"/>
        <v>0</v>
      </c>
      <c r="R88" s="19">
        <f t="shared" si="31"/>
        <v>0.34078484991887187</v>
      </c>
      <c r="S88" s="19">
        <f t="shared" si="32"/>
        <v>0.1655990390060649</v>
      </c>
      <c r="T88" s="19">
        <f t="shared" si="33"/>
        <v>-0.11176702223813897</v>
      </c>
      <c r="U88" s="19">
        <f t="shared" si="34"/>
        <v>0.18344026867026411</v>
      </c>
      <c r="V88" s="19">
        <f t="shared" si="35"/>
        <v>0.18957884925472082</v>
      </c>
      <c r="W88" s="19">
        <f t="shared" si="36"/>
        <v>0.17507521796549769</v>
      </c>
      <c r="X88" s="19">
        <f t="shared" si="37"/>
        <v>0.20176979088855743</v>
      </c>
      <c r="Y88" s="19">
        <f t="shared" si="38"/>
        <v>3.4580237245453248E-2</v>
      </c>
      <c r="AA88" s="19">
        <f t="shared" si="39"/>
        <v>1.1790612307112913</v>
      </c>
      <c r="AB88" s="19">
        <f t="shared" si="40"/>
        <v>0.26744734495766836</v>
      </c>
    </row>
    <row r="89" spans="1:28" x14ac:dyDescent="0.25">
      <c r="A89" s="13">
        <f>[1]Data!A92</f>
        <v>40118</v>
      </c>
      <c r="B89" s="14">
        <f>[1]Data!B92</f>
        <v>5.9782943383755421E-2</v>
      </c>
      <c r="C89" s="14">
        <f>[1]Data!C92</f>
        <v>5.8826983518770241E-2</v>
      </c>
      <c r="D89" s="15">
        <f>[1]Data!F92</f>
        <v>4.6498215260903477E-3</v>
      </c>
      <c r="E89" s="16">
        <f>[1]Data!G92</f>
        <v>1.5749377171585151E-2</v>
      </c>
      <c r="F89" s="15">
        <f>[1]Data!H92</f>
        <v>3.3891316938851543E-2</v>
      </c>
      <c r="G89" s="16">
        <f>[1]Data!I92</f>
        <v>-2.2692270289249587E-2</v>
      </c>
      <c r="H89" s="17">
        <f t="shared" si="21"/>
        <v>-1</v>
      </c>
      <c r="I89" s="18">
        <f t="shared" si="30"/>
        <v>1</v>
      </c>
      <c r="J89" s="19">
        <f t="shared" si="22"/>
        <v>0</v>
      </c>
      <c r="K89" s="19">
        <f t="shared" si="23"/>
        <v>-4.6498215260903477E-3</v>
      </c>
      <c r="L89" s="19">
        <f t="shared" si="24"/>
        <v>0</v>
      </c>
      <c r="M89" s="19">
        <f t="shared" si="25"/>
        <v>1.5749377171585151E-2</v>
      </c>
      <c r="N89" s="19">
        <f t="shared" si="26"/>
        <v>3.3891316938851543E-2</v>
      </c>
      <c r="O89" s="19">
        <f t="shared" si="27"/>
        <v>0</v>
      </c>
      <c r="P89" s="19">
        <f t="shared" si="28"/>
        <v>2.2692270289249587E-2</v>
      </c>
      <c r="Q89" s="19">
        <f t="shared" si="29"/>
        <v>0</v>
      </c>
      <c r="R89" s="19">
        <f t="shared" si="31"/>
        <v>0.34078484991887187</v>
      </c>
      <c r="S89" s="19">
        <f t="shared" si="32"/>
        <v>0.16094921747997457</v>
      </c>
      <c r="T89" s="19">
        <f t="shared" si="33"/>
        <v>-0.11176702223813897</v>
      </c>
      <c r="U89" s="19">
        <f t="shared" si="34"/>
        <v>0.19918964584184926</v>
      </c>
      <c r="V89" s="19">
        <f t="shared" si="35"/>
        <v>0.22347016619357235</v>
      </c>
      <c r="W89" s="19">
        <f t="shared" si="36"/>
        <v>0.17507521796549769</v>
      </c>
      <c r="X89" s="19">
        <f t="shared" si="37"/>
        <v>0.22446206117780701</v>
      </c>
      <c r="Y89" s="19">
        <f t="shared" si="38"/>
        <v>3.4580237245453248E-2</v>
      </c>
      <c r="AA89" s="19">
        <f t="shared" si="39"/>
        <v>1.2467443735848873</v>
      </c>
      <c r="AB89" s="19">
        <f t="shared" si="40"/>
        <v>0.32723028834142376</v>
      </c>
    </row>
    <row r="90" spans="1:28" x14ac:dyDescent="0.25">
      <c r="A90" s="13">
        <f>[1]Data!A93</f>
        <v>40148</v>
      </c>
      <c r="B90" s="14">
        <f>[1]Data!B93</f>
        <v>1.8920949771908339E-2</v>
      </c>
      <c r="C90" s="14">
        <f>[1]Data!C93</f>
        <v>7.3242798882717841E-2</v>
      </c>
      <c r="D90" s="15">
        <f>[1]Data!F93</f>
        <v>9.8771482780942062E-4</v>
      </c>
      <c r="E90" s="16">
        <f>[1]Data!G93</f>
        <v>-1.0249812146695618E-2</v>
      </c>
      <c r="F90" s="15">
        <f>[1]Data!H93</f>
        <v>8.1530246985003253E-3</v>
      </c>
      <c r="G90" s="16">
        <f>[1]Data!I93</f>
        <v>-3.0173918317881927E-2</v>
      </c>
      <c r="H90" s="17">
        <f t="shared" si="21"/>
        <v>-1</v>
      </c>
      <c r="I90" s="18">
        <f t="shared" si="30"/>
        <v>1</v>
      </c>
      <c r="J90" s="19">
        <f t="shared" si="22"/>
        <v>0</v>
      </c>
      <c r="K90" s="19">
        <f t="shared" si="23"/>
        <v>-9.8771482780942062E-4</v>
      </c>
      <c r="L90" s="19">
        <f t="shared" si="24"/>
        <v>0</v>
      </c>
      <c r="M90" s="19">
        <f t="shared" si="25"/>
        <v>-1.0249812146695618E-2</v>
      </c>
      <c r="N90" s="19">
        <f t="shared" si="26"/>
        <v>8.1530246985003253E-3</v>
      </c>
      <c r="O90" s="19">
        <f t="shared" si="27"/>
        <v>0</v>
      </c>
      <c r="P90" s="19">
        <f t="shared" si="28"/>
        <v>3.0173918317881927E-2</v>
      </c>
      <c r="Q90" s="19">
        <f t="shared" si="29"/>
        <v>0</v>
      </c>
      <c r="R90" s="19">
        <f t="shared" si="31"/>
        <v>0.34078484991887187</v>
      </c>
      <c r="S90" s="19">
        <f t="shared" si="32"/>
        <v>0.15996150265216513</v>
      </c>
      <c r="T90" s="19">
        <f t="shared" si="33"/>
        <v>-0.11176702223813897</v>
      </c>
      <c r="U90" s="19">
        <f t="shared" si="34"/>
        <v>0.18893983369515363</v>
      </c>
      <c r="V90" s="19">
        <f t="shared" si="35"/>
        <v>0.23162319089207267</v>
      </c>
      <c r="W90" s="19">
        <f t="shared" si="36"/>
        <v>0.17507521796549769</v>
      </c>
      <c r="X90" s="19">
        <f t="shared" si="37"/>
        <v>0.25463597949568895</v>
      </c>
      <c r="Y90" s="19">
        <f t="shared" si="38"/>
        <v>3.4580237245453248E-2</v>
      </c>
      <c r="AA90" s="19">
        <f t="shared" si="39"/>
        <v>1.2738337896267646</v>
      </c>
      <c r="AB90" s="19">
        <f t="shared" si="40"/>
        <v>0.34615123811333209</v>
      </c>
    </row>
    <row r="91" spans="1:28" x14ac:dyDescent="0.25">
      <c r="A91" s="13">
        <f>[1]Data!A94</f>
        <v>40179</v>
      </c>
      <c r="B91" s="14">
        <f>[1]Data!B94</f>
        <v>-3.7019149344959271E-2</v>
      </c>
      <c r="C91" s="14">
        <f>[1]Data!C94</f>
        <v>-3.3725192630316064E-2</v>
      </c>
      <c r="D91" s="15">
        <f>[1]Data!F94</f>
        <v>-2.1920220191200289E-2</v>
      </c>
      <c r="E91" s="16">
        <f>[1]Data!G94</f>
        <v>7.9396683716295279E-3</v>
      </c>
      <c r="F91" s="15">
        <f>[1]Data!H94</f>
        <v>2.7699643178202574E-2</v>
      </c>
      <c r="G91" s="16">
        <f>[1]Data!I94</f>
        <v>-6.6965270499072345E-3</v>
      </c>
      <c r="H91" s="17">
        <f t="shared" si="21"/>
        <v>1</v>
      </c>
      <c r="I91" s="18">
        <f t="shared" si="30"/>
        <v>1</v>
      </c>
      <c r="J91" s="19">
        <f t="shared" si="22"/>
        <v>-2.1920220191200289E-2</v>
      </c>
      <c r="K91" s="19">
        <f t="shared" si="23"/>
        <v>0</v>
      </c>
      <c r="L91" s="19">
        <f t="shared" si="24"/>
        <v>-7.9396683716295279E-3</v>
      </c>
      <c r="M91" s="19">
        <f t="shared" si="25"/>
        <v>0</v>
      </c>
      <c r="N91" s="19">
        <f t="shared" si="26"/>
        <v>2.7699643178202574E-2</v>
      </c>
      <c r="O91" s="19">
        <f t="shared" si="27"/>
        <v>0</v>
      </c>
      <c r="P91" s="19">
        <f t="shared" si="28"/>
        <v>6.6965270499072345E-3</v>
      </c>
      <c r="Q91" s="19">
        <f t="shared" si="29"/>
        <v>0</v>
      </c>
      <c r="R91" s="19">
        <f t="shared" si="31"/>
        <v>0.3188646297276716</v>
      </c>
      <c r="S91" s="19">
        <f t="shared" si="32"/>
        <v>0.15996150265216513</v>
      </c>
      <c r="T91" s="19">
        <f t="shared" si="33"/>
        <v>-0.1197066906097685</v>
      </c>
      <c r="U91" s="19">
        <f t="shared" si="34"/>
        <v>0.18893983369515363</v>
      </c>
      <c r="V91" s="19">
        <f t="shared" si="35"/>
        <v>0.25932283407027523</v>
      </c>
      <c r="W91" s="19">
        <f t="shared" si="36"/>
        <v>0.17507521796549769</v>
      </c>
      <c r="X91" s="19">
        <f t="shared" si="37"/>
        <v>0.2613325065455962</v>
      </c>
      <c r="Y91" s="19">
        <f t="shared" si="38"/>
        <v>3.4580237245453248E-2</v>
      </c>
      <c r="AA91" s="19">
        <f t="shared" si="39"/>
        <v>1.2783700712920447</v>
      </c>
      <c r="AB91" s="19">
        <f t="shared" si="40"/>
        <v>0.30913208876837284</v>
      </c>
    </row>
    <row r="92" spans="1:28" x14ac:dyDescent="0.25">
      <c r="A92" s="13">
        <f>[1]Data!A95</f>
        <v>40210</v>
      </c>
      <c r="B92" s="14">
        <f>[1]Data!B95</f>
        <v>3.0718048149783808E-2</v>
      </c>
      <c r="C92" s="14">
        <f>[1]Data!C95</f>
        <v>6.6594822994535133E-2</v>
      </c>
      <c r="D92" s="15">
        <f>[1]Data!F95</f>
        <v>-3.7855505150790692E-3</v>
      </c>
      <c r="E92" s="16">
        <f>[1]Data!G95</f>
        <v>2.8660594151537433E-2</v>
      </c>
      <c r="F92" s="15">
        <f>[1]Data!H95</f>
        <v>-6.8211104954099752E-3</v>
      </c>
      <c r="G92" s="16">
        <f>[1]Data!I95</f>
        <v>-5.5146272291639598E-5</v>
      </c>
      <c r="H92" s="17">
        <f t="shared" si="21"/>
        <v>-1</v>
      </c>
      <c r="I92" s="18">
        <f t="shared" si="30"/>
        <v>-1</v>
      </c>
      <c r="J92" s="19">
        <f t="shared" si="22"/>
        <v>0</v>
      </c>
      <c r="K92" s="19">
        <f t="shared" si="23"/>
        <v>3.7855505150790692E-3</v>
      </c>
      <c r="L92" s="19">
        <f t="shared" si="24"/>
        <v>0</v>
      </c>
      <c r="M92" s="19">
        <f t="shared" si="25"/>
        <v>2.8660594151537433E-2</v>
      </c>
      <c r="N92" s="19">
        <f t="shared" si="26"/>
        <v>0</v>
      </c>
      <c r="O92" s="19">
        <f t="shared" si="27"/>
        <v>6.8211104954099752E-3</v>
      </c>
      <c r="P92" s="19">
        <f t="shared" si="28"/>
        <v>0</v>
      </c>
      <c r="Q92" s="19">
        <f t="shared" si="29"/>
        <v>-5.5146272291639598E-5</v>
      </c>
      <c r="R92" s="19">
        <f t="shared" si="31"/>
        <v>0.3188646297276716</v>
      </c>
      <c r="S92" s="19">
        <f t="shared" si="32"/>
        <v>0.16374705316724419</v>
      </c>
      <c r="T92" s="19">
        <f t="shared" si="33"/>
        <v>-0.1197066906097685</v>
      </c>
      <c r="U92" s="19">
        <f t="shared" si="34"/>
        <v>0.21760042784669106</v>
      </c>
      <c r="V92" s="19">
        <f t="shared" si="35"/>
        <v>0.25932283407027523</v>
      </c>
      <c r="W92" s="19">
        <f t="shared" si="36"/>
        <v>0.18189632846090767</v>
      </c>
      <c r="X92" s="19">
        <f t="shared" si="37"/>
        <v>0.2613325065455962</v>
      </c>
      <c r="Y92" s="19">
        <f t="shared" si="38"/>
        <v>3.4525090973161608E-2</v>
      </c>
      <c r="AA92" s="19">
        <f t="shared" si="39"/>
        <v>1.3175821801817795</v>
      </c>
      <c r="AB92" s="19">
        <f t="shared" si="40"/>
        <v>0.33985013691815663</v>
      </c>
    </row>
    <row r="93" spans="1:28" x14ac:dyDescent="0.25">
      <c r="A93" s="13">
        <f>[1]Data!A96</f>
        <v>40238</v>
      </c>
      <c r="B93" s="14">
        <f>[1]Data!B96</f>
        <v>5.909822548618765E-2</v>
      </c>
      <c r="C93" s="14">
        <f>[1]Data!C96</f>
        <v>5.1570035638853699E-2</v>
      </c>
      <c r="D93" s="15">
        <f>[1]Data!F96</f>
        <v>8.842323624737046E-3</v>
      </c>
      <c r="E93" s="16">
        <f>[1]Data!G96</f>
        <v>-1.94739712481884E-2</v>
      </c>
      <c r="F93" s="15">
        <f>[1]Data!H96</f>
        <v>3.1203610946212136E-2</v>
      </c>
      <c r="G93" s="16">
        <f>[1]Data!I96</f>
        <v>-1.2221374596437497E-2</v>
      </c>
      <c r="H93" s="17">
        <f t="shared" si="21"/>
        <v>-1</v>
      </c>
      <c r="I93" s="18">
        <f t="shared" si="30"/>
        <v>1</v>
      </c>
      <c r="J93" s="19">
        <f t="shared" si="22"/>
        <v>0</v>
      </c>
      <c r="K93" s="19">
        <f t="shared" si="23"/>
        <v>-8.842323624737046E-3</v>
      </c>
      <c r="L93" s="19">
        <f t="shared" si="24"/>
        <v>0</v>
      </c>
      <c r="M93" s="19">
        <f t="shared" si="25"/>
        <v>-1.94739712481884E-2</v>
      </c>
      <c r="N93" s="19">
        <f t="shared" si="26"/>
        <v>3.1203610946212136E-2</v>
      </c>
      <c r="O93" s="19">
        <f t="shared" si="27"/>
        <v>0</v>
      </c>
      <c r="P93" s="19">
        <f t="shared" si="28"/>
        <v>1.2221374596437497E-2</v>
      </c>
      <c r="Q93" s="19">
        <f t="shared" si="29"/>
        <v>0</v>
      </c>
      <c r="R93" s="19">
        <f t="shared" si="31"/>
        <v>0.3188646297276716</v>
      </c>
      <c r="S93" s="19">
        <f t="shared" si="32"/>
        <v>0.15490472954250714</v>
      </c>
      <c r="T93" s="19">
        <f t="shared" si="33"/>
        <v>-0.1197066906097685</v>
      </c>
      <c r="U93" s="19">
        <f t="shared" si="34"/>
        <v>0.19812645659850267</v>
      </c>
      <c r="V93" s="19">
        <f t="shared" si="35"/>
        <v>0.29052644501648739</v>
      </c>
      <c r="W93" s="19">
        <f t="shared" si="36"/>
        <v>0.18189632846090767</v>
      </c>
      <c r="X93" s="19">
        <f t="shared" si="37"/>
        <v>0.27355388114203372</v>
      </c>
      <c r="Y93" s="19">
        <f t="shared" si="38"/>
        <v>3.4525090973161608E-2</v>
      </c>
      <c r="AA93" s="19">
        <f t="shared" si="39"/>
        <v>1.3326908708515037</v>
      </c>
      <c r="AB93" s="19">
        <f t="shared" si="40"/>
        <v>0.39894836240434428</v>
      </c>
    </row>
    <row r="94" spans="1:28" x14ac:dyDescent="0.25">
      <c r="A94" s="13">
        <f>[1]Data!A97</f>
        <v>40269</v>
      </c>
      <c r="B94" s="14">
        <f>[1]Data!B97</f>
        <v>1.5351467843928393E-2</v>
      </c>
      <c r="C94" s="14">
        <f>[1]Data!C97</f>
        <v>1.9728627815878648E-2</v>
      </c>
      <c r="D94" s="15">
        <f>[1]Data!F97</f>
        <v>-1.8430637828679652E-2</v>
      </c>
      <c r="E94" s="16">
        <f>[1]Data!G97</f>
        <v>1.8625766436423614E-2</v>
      </c>
      <c r="F94" s="15">
        <f>[1]Data!H97</f>
        <v>1.5014859619956678E-2</v>
      </c>
      <c r="G94" s="16">
        <f>[1]Data!I97</f>
        <v>-4.4740134800659711E-3</v>
      </c>
      <c r="H94" s="17">
        <f t="shared" si="21"/>
        <v>-1</v>
      </c>
      <c r="I94" s="18">
        <f t="shared" si="30"/>
        <v>1</v>
      </c>
      <c r="J94" s="19">
        <f t="shared" si="22"/>
        <v>0</v>
      </c>
      <c r="K94" s="19">
        <f t="shared" si="23"/>
        <v>1.8430637828679652E-2</v>
      </c>
      <c r="L94" s="19">
        <f t="shared" si="24"/>
        <v>0</v>
      </c>
      <c r="M94" s="19">
        <f t="shared" si="25"/>
        <v>1.8625766436423614E-2</v>
      </c>
      <c r="N94" s="19">
        <f t="shared" si="26"/>
        <v>1.5014859619956678E-2</v>
      </c>
      <c r="O94" s="19">
        <f t="shared" si="27"/>
        <v>0</v>
      </c>
      <c r="P94" s="19">
        <f t="shared" si="28"/>
        <v>4.4740134800659711E-3</v>
      </c>
      <c r="Q94" s="19">
        <f t="shared" si="29"/>
        <v>0</v>
      </c>
      <c r="R94" s="19">
        <f t="shared" si="31"/>
        <v>0.3188646297276716</v>
      </c>
      <c r="S94" s="19">
        <f t="shared" si="32"/>
        <v>0.17333536737118679</v>
      </c>
      <c r="T94" s="19">
        <f t="shared" si="33"/>
        <v>-0.1197066906097685</v>
      </c>
      <c r="U94" s="19">
        <f t="shared" si="34"/>
        <v>0.21675222303492628</v>
      </c>
      <c r="V94" s="19">
        <f t="shared" si="35"/>
        <v>0.30554130463644408</v>
      </c>
      <c r="W94" s="19">
        <f t="shared" si="36"/>
        <v>0.18189632846090767</v>
      </c>
      <c r="X94" s="19">
        <f t="shared" si="37"/>
        <v>0.2780278946220997</v>
      </c>
      <c r="Y94" s="19">
        <f t="shared" si="38"/>
        <v>3.4525090973161608E-2</v>
      </c>
      <c r="AA94" s="19">
        <f t="shared" si="39"/>
        <v>1.3892361482166296</v>
      </c>
      <c r="AB94" s="19">
        <f t="shared" si="40"/>
        <v>0.41429983024827266</v>
      </c>
    </row>
    <row r="95" spans="1:28" x14ac:dyDescent="0.25">
      <c r="A95" s="13">
        <f>[1]Data!A98</f>
        <v>40299</v>
      </c>
      <c r="B95" s="14">
        <f>[1]Data!B98</f>
        <v>-8.2788827756031969E-2</v>
      </c>
      <c r="C95" s="14">
        <f>[1]Data!C98</f>
        <v>-0.15479273333131618</v>
      </c>
      <c r="D95" s="15">
        <f>[1]Data!F98</f>
        <v>2.3801980914239778E-3</v>
      </c>
      <c r="E95" s="16">
        <f>[1]Data!G98</f>
        <v>-1.9803080916954784E-2</v>
      </c>
      <c r="F95" s="15">
        <f>[1]Data!H98</f>
        <v>-6.5655644081729692E-2</v>
      </c>
      <c r="G95" s="16">
        <f>[1]Data!I98</f>
        <v>4.0241350490839059E-2</v>
      </c>
      <c r="H95" s="17">
        <f t="shared" si="21"/>
        <v>1</v>
      </c>
      <c r="I95" s="18">
        <f t="shared" si="30"/>
        <v>1</v>
      </c>
      <c r="J95" s="19">
        <f t="shared" si="22"/>
        <v>2.3801980914239778E-3</v>
      </c>
      <c r="K95" s="19">
        <f t="shared" si="23"/>
        <v>0</v>
      </c>
      <c r="L95" s="19">
        <f t="shared" si="24"/>
        <v>1.9803080916954784E-2</v>
      </c>
      <c r="M95" s="19">
        <f t="shared" si="25"/>
        <v>0</v>
      </c>
      <c r="N95" s="19">
        <f t="shared" si="26"/>
        <v>-6.5655644081729692E-2</v>
      </c>
      <c r="O95" s="19">
        <f t="shared" si="27"/>
        <v>0</v>
      </c>
      <c r="P95" s="19">
        <f t="shared" si="28"/>
        <v>-4.0241350490839059E-2</v>
      </c>
      <c r="Q95" s="19">
        <f t="shared" si="29"/>
        <v>0</v>
      </c>
      <c r="R95" s="19">
        <f t="shared" si="31"/>
        <v>0.32124482781909558</v>
      </c>
      <c r="S95" s="19">
        <f t="shared" si="32"/>
        <v>0.17333536737118679</v>
      </c>
      <c r="T95" s="19">
        <f t="shared" si="33"/>
        <v>-9.9903609692813727E-2</v>
      </c>
      <c r="U95" s="19">
        <f t="shared" si="34"/>
        <v>0.21675222303492628</v>
      </c>
      <c r="V95" s="19">
        <f t="shared" si="35"/>
        <v>0.23988566055471439</v>
      </c>
      <c r="W95" s="19">
        <f t="shared" si="36"/>
        <v>0.18189632846090767</v>
      </c>
      <c r="X95" s="19">
        <f t="shared" si="37"/>
        <v>0.23778654413126066</v>
      </c>
      <c r="Y95" s="19">
        <f t="shared" si="38"/>
        <v>3.4525090973161608E-2</v>
      </c>
      <c r="AA95" s="19">
        <f t="shared" si="39"/>
        <v>1.3055224326524395</v>
      </c>
      <c r="AB95" s="19">
        <f t="shared" si="40"/>
        <v>0.33151100249224069</v>
      </c>
    </row>
    <row r="96" spans="1:28" x14ac:dyDescent="0.25">
      <c r="A96" s="13">
        <f>[1]Data!A99</f>
        <v>40330</v>
      </c>
      <c r="B96" s="14">
        <f>[1]Data!B99</f>
        <v>-5.3127346754694202E-2</v>
      </c>
      <c r="C96" s="14">
        <f>[1]Data!C99</f>
        <v>1.0455843488229056E-2</v>
      </c>
      <c r="D96" s="15">
        <f>[1]Data!F99</f>
        <v>-7.6353994440147149E-2</v>
      </c>
      <c r="E96" s="16">
        <f>[1]Data!G99</f>
        <v>4.3588862174197593E-2</v>
      </c>
      <c r="F96" s="15">
        <f>[1]Data!H99</f>
        <v>-3.6120480229898555E-2</v>
      </c>
      <c r="G96" s="16">
        <f>[1]Data!I99</f>
        <v>2.4303732224755216E-2</v>
      </c>
      <c r="H96" s="17">
        <f t="shared" si="21"/>
        <v>-1</v>
      </c>
      <c r="I96" s="18">
        <f t="shared" si="30"/>
        <v>-1</v>
      </c>
      <c r="J96" s="19">
        <f t="shared" si="22"/>
        <v>0</v>
      </c>
      <c r="K96" s="19">
        <f t="shared" si="23"/>
        <v>7.6353994440147149E-2</v>
      </c>
      <c r="L96" s="19">
        <f t="shared" si="24"/>
        <v>0</v>
      </c>
      <c r="M96" s="19">
        <f t="shared" si="25"/>
        <v>4.3588862174197593E-2</v>
      </c>
      <c r="N96" s="19">
        <f t="shared" si="26"/>
        <v>0</v>
      </c>
      <c r="O96" s="19">
        <f t="shared" si="27"/>
        <v>3.6120480229898555E-2</v>
      </c>
      <c r="P96" s="19">
        <f t="shared" si="28"/>
        <v>0</v>
      </c>
      <c r="Q96" s="19">
        <f t="shared" si="29"/>
        <v>2.4303732224755216E-2</v>
      </c>
      <c r="R96" s="19">
        <f t="shared" si="31"/>
        <v>0.32124482781909558</v>
      </c>
      <c r="S96" s="19">
        <f t="shared" si="32"/>
        <v>0.24968936181133394</v>
      </c>
      <c r="T96" s="19">
        <f t="shared" si="33"/>
        <v>-9.9903609692813727E-2</v>
      </c>
      <c r="U96" s="19">
        <f t="shared" si="34"/>
        <v>0.26034108520912386</v>
      </c>
      <c r="V96" s="19">
        <f t="shared" si="35"/>
        <v>0.23988566055471439</v>
      </c>
      <c r="W96" s="19">
        <f t="shared" si="36"/>
        <v>0.21801680869080622</v>
      </c>
      <c r="X96" s="19">
        <f t="shared" si="37"/>
        <v>0.23778654413126066</v>
      </c>
      <c r="Y96" s="19">
        <f t="shared" si="38"/>
        <v>5.8828823197916824E-2</v>
      </c>
      <c r="AA96" s="19">
        <f t="shared" si="39"/>
        <v>1.485889501721438</v>
      </c>
      <c r="AB96" s="19">
        <f t="shared" si="40"/>
        <v>0.27838365573754648</v>
      </c>
    </row>
    <row r="97" spans="1:28" x14ac:dyDescent="0.25">
      <c r="A97" s="13">
        <f>[1]Data!A100</f>
        <v>40360</v>
      </c>
      <c r="B97" s="14">
        <f>[1]Data!B100</f>
        <v>6.6069227994284135E-2</v>
      </c>
      <c r="C97" s="14">
        <f>[1]Data!C100</f>
        <v>6.4528953593492214E-2</v>
      </c>
      <c r="D97" s="15">
        <f>[1]Data!F100</f>
        <v>7.3731516911021699E-3</v>
      </c>
      <c r="E97" s="16">
        <f>[1]Data!G100</f>
        <v>-3.6757305634966091E-3</v>
      </c>
      <c r="F97" s="15">
        <f>[1]Data!H100</f>
        <v>3.7460486685886106E-2</v>
      </c>
      <c r="G97" s="16">
        <f>[1]Data!I100</f>
        <v>-1.6398782841599815E-2</v>
      </c>
      <c r="H97" s="17">
        <f t="shared" si="21"/>
        <v>-1</v>
      </c>
      <c r="I97" s="18">
        <f t="shared" si="30"/>
        <v>1</v>
      </c>
      <c r="J97" s="19">
        <f t="shared" si="22"/>
        <v>0</v>
      </c>
      <c r="K97" s="19">
        <f t="shared" si="23"/>
        <v>-7.3731516911021699E-3</v>
      </c>
      <c r="L97" s="19">
        <f t="shared" si="24"/>
        <v>0</v>
      </c>
      <c r="M97" s="19">
        <f t="shared" si="25"/>
        <v>-3.6757305634966091E-3</v>
      </c>
      <c r="N97" s="19">
        <f t="shared" si="26"/>
        <v>3.7460486685886106E-2</v>
      </c>
      <c r="O97" s="19">
        <f t="shared" si="27"/>
        <v>0</v>
      </c>
      <c r="P97" s="19">
        <f t="shared" si="28"/>
        <v>1.6398782841599815E-2</v>
      </c>
      <c r="Q97" s="19">
        <f t="shared" si="29"/>
        <v>0</v>
      </c>
      <c r="R97" s="19">
        <f t="shared" si="31"/>
        <v>0.32124482781909558</v>
      </c>
      <c r="S97" s="19">
        <f t="shared" si="32"/>
        <v>0.24231621012023177</v>
      </c>
      <c r="T97" s="19">
        <f t="shared" si="33"/>
        <v>-9.9903609692813727E-2</v>
      </c>
      <c r="U97" s="19">
        <f t="shared" si="34"/>
        <v>0.25666535464562723</v>
      </c>
      <c r="V97" s="19">
        <f t="shared" si="35"/>
        <v>0.27734614724060047</v>
      </c>
      <c r="W97" s="19">
        <f t="shared" si="36"/>
        <v>0.21801680869080622</v>
      </c>
      <c r="X97" s="19">
        <f t="shared" si="37"/>
        <v>0.25418532697286045</v>
      </c>
      <c r="Y97" s="19">
        <f t="shared" si="38"/>
        <v>5.8828823197916824E-2</v>
      </c>
      <c r="AA97" s="19">
        <f t="shared" si="39"/>
        <v>1.5286998889943251</v>
      </c>
      <c r="AB97" s="19">
        <f t="shared" si="40"/>
        <v>0.34445288373183058</v>
      </c>
    </row>
    <row r="98" spans="1:28" x14ac:dyDescent="0.25">
      <c r="A98" s="13">
        <f>[1]Data!A101</f>
        <v>40391</v>
      </c>
      <c r="B98" s="14">
        <f>[1]Data!B101</f>
        <v>-4.602343801877113E-2</v>
      </c>
      <c r="C98" s="14">
        <f>[1]Data!C101</f>
        <v>-8.2249279696153935E-2</v>
      </c>
      <c r="D98" s="15">
        <f>[1]Data!F101</f>
        <v>-2.0861276025051084E-2</v>
      </c>
      <c r="E98" s="16">
        <f>[1]Data!G101</f>
        <v>2.3487258857520472E-2</v>
      </c>
      <c r="F98" s="15">
        <f>[1]Data!H101</f>
        <v>1.9043057457593913E-2</v>
      </c>
      <c r="G98" s="16">
        <f>[1]Data!I101</f>
        <v>-5.5898549810119887E-4</v>
      </c>
      <c r="H98" s="17">
        <f t="shared" si="21"/>
        <v>1</v>
      </c>
      <c r="I98" s="18">
        <f t="shared" si="30"/>
        <v>1</v>
      </c>
      <c r="J98" s="19">
        <f t="shared" si="22"/>
        <v>-2.0861276025051084E-2</v>
      </c>
      <c r="K98" s="19">
        <f t="shared" si="23"/>
        <v>0</v>
      </c>
      <c r="L98" s="19">
        <f t="shared" si="24"/>
        <v>-2.3487258857520472E-2</v>
      </c>
      <c r="M98" s="19">
        <f t="shared" si="25"/>
        <v>0</v>
      </c>
      <c r="N98" s="19">
        <f t="shared" si="26"/>
        <v>1.9043057457593913E-2</v>
      </c>
      <c r="O98" s="19">
        <f t="shared" si="27"/>
        <v>0</v>
      </c>
      <c r="P98" s="19">
        <f t="shared" si="28"/>
        <v>5.5898549810119887E-4</v>
      </c>
      <c r="Q98" s="19">
        <f t="shared" si="29"/>
        <v>0</v>
      </c>
      <c r="R98" s="19">
        <f t="shared" si="31"/>
        <v>0.30038355179404452</v>
      </c>
      <c r="S98" s="19">
        <f t="shared" si="32"/>
        <v>0.24231621012023177</v>
      </c>
      <c r="T98" s="19">
        <f t="shared" si="33"/>
        <v>-0.1233908685503342</v>
      </c>
      <c r="U98" s="19">
        <f t="shared" si="34"/>
        <v>0.25666535464562723</v>
      </c>
      <c r="V98" s="19">
        <f t="shared" si="35"/>
        <v>0.29638920469819441</v>
      </c>
      <c r="W98" s="19">
        <f t="shared" si="36"/>
        <v>0.21801680869080622</v>
      </c>
      <c r="X98" s="19">
        <f t="shared" si="37"/>
        <v>0.25474431247096163</v>
      </c>
      <c r="Y98" s="19">
        <f t="shared" si="38"/>
        <v>5.8828823197916824E-2</v>
      </c>
      <c r="AA98" s="19">
        <f t="shared" si="39"/>
        <v>1.5039533970674486</v>
      </c>
      <c r="AB98" s="19">
        <f t="shared" si="40"/>
        <v>0.29842944571305946</v>
      </c>
    </row>
    <row r="99" spans="1:28" x14ac:dyDescent="0.25">
      <c r="A99" s="13">
        <f>[1]Data!A102</f>
        <v>40422</v>
      </c>
      <c r="B99" s="14">
        <f>[1]Data!B102</f>
        <v>8.5769125249920253E-2</v>
      </c>
      <c r="C99" s="14">
        <f>[1]Data!C102</f>
        <v>0.11362177955830798</v>
      </c>
      <c r="D99" s="15">
        <f>[1]Data!F102</f>
        <v>6.240736642519955E-3</v>
      </c>
      <c r="E99" s="16">
        <f>[1]Data!G102</f>
        <v>8.5666762399880525E-3</v>
      </c>
      <c r="F99" s="15">
        <f>[1]Data!H102</f>
        <v>4.7292186893843326E-2</v>
      </c>
      <c r="G99" s="16">
        <f>[1]Data!I102</f>
        <v>-3.1706809809755807E-2</v>
      </c>
      <c r="H99" s="17">
        <f t="shared" si="21"/>
        <v>-1</v>
      </c>
      <c r="I99" s="18">
        <f t="shared" si="30"/>
        <v>-1</v>
      </c>
      <c r="J99" s="19">
        <f t="shared" si="22"/>
        <v>0</v>
      </c>
      <c r="K99" s="19">
        <f t="shared" si="23"/>
        <v>-6.240736642519955E-3</v>
      </c>
      <c r="L99" s="19">
        <f t="shared" si="24"/>
        <v>0</v>
      </c>
      <c r="M99" s="19">
        <f t="shared" si="25"/>
        <v>8.5666762399880525E-3</v>
      </c>
      <c r="N99" s="19">
        <f t="shared" si="26"/>
        <v>0</v>
      </c>
      <c r="O99" s="19">
        <f t="shared" si="27"/>
        <v>-4.7292186893843326E-2</v>
      </c>
      <c r="P99" s="19">
        <f t="shared" si="28"/>
        <v>0</v>
      </c>
      <c r="Q99" s="19">
        <f t="shared" si="29"/>
        <v>-3.1706809809755807E-2</v>
      </c>
      <c r="R99" s="19">
        <f t="shared" si="31"/>
        <v>0.30038355179404452</v>
      </c>
      <c r="S99" s="19">
        <f t="shared" si="32"/>
        <v>0.23607547347771182</v>
      </c>
      <c r="T99" s="19">
        <f t="shared" si="33"/>
        <v>-0.1233908685503342</v>
      </c>
      <c r="U99" s="19">
        <f t="shared" si="34"/>
        <v>0.26523203088561531</v>
      </c>
      <c r="V99" s="19">
        <f t="shared" si="35"/>
        <v>0.29638920469819441</v>
      </c>
      <c r="W99" s="19">
        <f t="shared" si="36"/>
        <v>0.17072462179696291</v>
      </c>
      <c r="X99" s="19">
        <f t="shared" si="37"/>
        <v>0.25474431247096163</v>
      </c>
      <c r="Y99" s="19">
        <f t="shared" si="38"/>
        <v>2.7122013388161018E-2</v>
      </c>
      <c r="AA99" s="19">
        <f t="shared" si="39"/>
        <v>1.4272803399613174</v>
      </c>
      <c r="AB99" s="19">
        <f t="shared" si="40"/>
        <v>0.38419857096297971</v>
      </c>
    </row>
    <row r="100" spans="1:28" x14ac:dyDescent="0.25">
      <c r="A100" s="13">
        <f>[1]Data!A103</f>
        <v>40452</v>
      </c>
      <c r="B100" s="14">
        <f>[1]Data!B103</f>
        <v>3.7490064254904455E-2</v>
      </c>
      <c r="C100" s="14">
        <f>[1]Data!C103</f>
        <v>7.7385044365241976E-2</v>
      </c>
      <c r="D100" s="15">
        <f>[1]Data!F103</f>
        <v>3.0426703911319722E-3</v>
      </c>
      <c r="E100" s="16">
        <f>[1]Data!G103</f>
        <v>-2.7849417185137771E-3</v>
      </c>
      <c r="F100" s="15">
        <f>[1]Data!H103</f>
        <v>1.5303284473528573E-2</v>
      </c>
      <c r="G100" s="16">
        <f>[1]Data!I103</f>
        <v>-4.1756817289685371E-3</v>
      </c>
      <c r="H100" s="17">
        <f t="shared" si="21"/>
        <v>-1</v>
      </c>
      <c r="I100" s="18">
        <f t="shared" si="30"/>
        <v>1</v>
      </c>
      <c r="J100" s="19">
        <f t="shared" si="22"/>
        <v>0</v>
      </c>
      <c r="K100" s="19">
        <f t="shared" si="23"/>
        <v>-3.0426703911319722E-3</v>
      </c>
      <c r="L100" s="19">
        <f t="shared" si="24"/>
        <v>0</v>
      </c>
      <c r="M100" s="19">
        <f t="shared" si="25"/>
        <v>-2.7849417185137771E-3</v>
      </c>
      <c r="N100" s="19">
        <f t="shared" si="26"/>
        <v>1.5303284473528573E-2</v>
      </c>
      <c r="O100" s="19">
        <f t="shared" si="27"/>
        <v>0</v>
      </c>
      <c r="P100" s="19">
        <f t="shared" si="28"/>
        <v>4.1756817289685371E-3</v>
      </c>
      <c r="Q100" s="19">
        <f t="shared" si="29"/>
        <v>0</v>
      </c>
      <c r="R100" s="19">
        <f t="shared" si="31"/>
        <v>0.30038355179404452</v>
      </c>
      <c r="S100" s="19">
        <f t="shared" si="32"/>
        <v>0.23303280308657984</v>
      </c>
      <c r="T100" s="19">
        <f t="shared" si="33"/>
        <v>-0.1233908685503342</v>
      </c>
      <c r="U100" s="19">
        <f t="shared" si="34"/>
        <v>0.26244708916710152</v>
      </c>
      <c r="V100" s="19">
        <f t="shared" si="35"/>
        <v>0.31169248917172299</v>
      </c>
      <c r="W100" s="19">
        <f t="shared" si="36"/>
        <v>0.17072462179696291</v>
      </c>
      <c r="X100" s="19">
        <f t="shared" si="37"/>
        <v>0.25891999419993017</v>
      </c>
      <c r="Y100" s="19">
        <f t="shared" si="38"/>
        <v>2.7122013388161018E-2</v>
      </c>
      <c r="AA100" s="19">
        <f t="shared" si="39"/>
        <v>1.4409316940541688</v>
      </c>
      <c r="AB100" s="19">
        <f t="shared" si="40"/>
        <v>0.42168863521788419</v>
      </c>
    </row>
    <row r="101" spans="1:28" x14ac:dyDescent="0.25">
      <c r="A101" s="13">
        <f>[1]Data!A104</f>
        <v>40483</v>
      </c>
      <c r="B101" s="14">
        <f>[1]Data!B104</f>
        <v>6.5052130349130266E-17</v>
      </c>
      <c r="C101" s="14">
        <f>[1]Data!C104</f>
        <v>5.0781011356552067E-2</v>
      </c>
      <c r="D101" s="15">
        <f>[1]Data!F104</f>
        <v>-1.5077008879145756E-2</v>
      </c>
      <c r="E101" s="16">
        <f>[1]Data!G104</f>
        <v>1.8666783578866121E-2</v>
      </c>
      <c r="F101" s="15">
        <f>[1]Data!H104</f>
        <v>3.5076620434392254E-2</v>
      </c>
      <c r="G101" s="16">
        <f>[1]Data!I104</f>
        <v>-2.1416579957927919E-2</v>
      </c>
      <c r="H101" s="17">
        <f t="shared" si="21"/>
        <v>-1</v>
      </c>
      <c r="I101" s="18">
        <f t="shared" si="30"/>
        <v>1</v>
      </c>
      <c r="J101" s="19">
        <f t="shared" si="22"/>
        <v>0</v>
      </c>
      <c r="K101" s="19">
        <f t="shared" si="23"/>
        <v>1.5077008879145756E-2</v>
      </c>
      <c r="L101" s="19">
        <f t="shared" si="24"/>
        <v>0</v>
      </c>
      <c r="M101" s="19">
        <f t="shared" si="25"/>
        <v>1.8666783578866121E-2</v>
      </c>
      <c r="N101" s="19">
        <f t="shared" si="26"/>
        <v>3.5076620434392254E-2</v>
      </c>
      <c r="O101" s="19">
        <f t="shared" si="27"/>
        <v>0</v>
      </c>
      <c r="P101" s="19">
        <f t="shared" si="28"/>
        <v>2.1416579957927919E-2</v>
      </c>
      <c r="Q101" s="19">
        <f t="shared" si="29"/>
        <v>0</v>
      </c>
      <c r="R101" s="19">
        <f t="shared" si="31"/>
        <v>0.30038355179404452</v>
      </c>
      <c r="S101" s="19">
        <f t="shared" si="32"/>
        <v>0.2481098119657256</v>
      </c>
      <c r="T101" s="19">
        <f t="shared" si="33"/>
        <v>-0.1233908685503342</v>
      </c>
      <c r="U101" s="19">
        <f t="shared" si="34"/>
        <v>0.28111387274596766</v>
      </c>
      <c r="V101" s="19">
        <f t="shared" si="35"/>
        <v>0.34676910960611523</v>
      </c>
      <c r="W101" s="19">
        <f t="shared" si="36"/>
        <v>0.17072462179696291</v>
      </c>
      <c r="X101" s="19">
        <f t="shared" si="37"/>
        <v>0.28033657415785806</v>
      </c>
      <c r="Y101" s="19">
        <f t="shared" si="38"/>
        <v>2.7122013388161018E-2</v>
      </c>
      <c r="AA101" s="19">
        <f t="shared" si="39"/>
        <v>1.5311686869045009</v>
      </c>
      <c r="AB101" s="19">
        <f t="shared" si="40"/>
        <v>0.42168863521788424</v>
      </c>
    </row>
    <row r="102" spans="1:28" x14ac:dyDescent="0.25">
      <c r="A102" s="13">
        <f>[1]Data!A105</f>
        <v>40513</v>
      </c>
      <c r="B102" s="14">
        <f>[1]Data!B105</f>
        <v>6.4712799042164357E-2</v>
      </c>
      <c r="C102" s="14">
        <f>[1]Data!C105</f>
        <v>0.10646943777769211</v>
      </c>
      <c r="D102" s="15">
        <f>[1]Data!F105</f>
        <v>2.8669971944770634E-3</v>
      </c>
      <c r="E102" s="16">
        <f>[1]Data!G105</f>
        <v>6.9315945518318755E-3</v>
      </c>
      <c r="F102" s="15">
        <f>[1]Data!H105</f>
        <v>3.5972658271478268E-2</v>
      </c>
      <c r="G102" s="16">
        <f>[1]Data!I105</f>
        <v>-4.0579746542867293E-2</v>
      </c>
      <c r="H102" s="17">
        <f t="shared" si="21"/>
        <v>-1</v>
      </c>
      <c r="I102" s="18">
        <f t="shared" si="30"/>
        <v>1</v>
      </c>
      <c r="J102" s="19">
        <f t="shared" si="22"/>
        <v>0</v>
      </c>
      <c r="K102" s="19">
        <f t="shared" si="23"/>
        <v>-2.8669971944770634E-3</v>
      </c>
      <c r="L102" s="19">
        <f t="shared" si="24"/>
        <v>0</v>
      </c>
      <c r="M102" s="19">
        <f t="shared" si="25"/>
        <v>6.9315945518318755E-3</v>
      </c>
      <c r="N102" s="19">
        <f t="shared" si="26"/>
        <v>3.5972658271478268E-2</v>
      </c>
      <c r="O102" s="19">
        <f t="shared" si="27"/>
        <v>0</v>
      </c>
      <c r="P102" s="19">
        <f t="shared" si="28"/>
        <v>4.0579746542867293E-2</v>
      </c>
      <c r="Q102" s="19">
        <f t="shared" si="29"/>
        <v>0</v>
      </c>
      <c r="R102" s="19">
        <f t="shared" si="31"/>
        <v>0.30038355179404452</v>
      </c>
      <c r="S102" s="19">
        <f t="shared" si="32"/>
        <v>0.24524281477124854</v>
      </c>
      <c r="T102" s="19">
        <f t="shared" si="33"/>
        <v>-0.1233908685503342</v>
      </c>
      <c r="U102" s="19">
        <f t="shared" si="34"/>
        <v>0.28804546729779956</v>
      </c>
      <c r="V102" s="19">
        <f t="shared" si="35"/>
        <v>0.38274176787759351</v>
      </c>
      <c r="W102" s="19">
        <f t="shared" si="36"/>
        <v>0.17072462179696291</v>
      </c>
      <c r="X102" s="19">
        <f t="shared" si="37"/>
        <v>0.32091632070072534</v>
      </c>
      <c r="Y102" s="19">
        <f t="shared" si="38"/>
        <v>2.7122013388161018E-2</v>
      </c>
      <c r="AA102" s="19">
        <f t="shared" si="39"/>
        <v>1.6117856890762012</v>
      </c>
      <c r="AB102" s="19">
        <f t="shared" si="40"/>
        <v>0.48640143426004862</v>
      </c>
    </row>
    <row r="103" spans="1:28" x14ac:dyDescent="0.25">
      <c r="A103" s="13">
        <f>[1]Data!A106</f>
        <v>40544</v>
      </c>
      <c r="B103" s="14">
        <f>[1]Data!B106</f>
        <v>2.3032483431824631E-2</v>
      </c>
      <c r="C103" s="14">
        <f>[1]Data!C106</f>
        <v>5.3867286825819503E-2</v>
      </c>
      <c r="D103" s="15">
        <f>[1]Data!F106</f>
        <v>-3.2589175746798212E-3</v>
      </c>
      <c r="E103" s="16">
        <f>[1]Data!G106</f>
        <v>-3.7201022767263097E-3</v>
      </c>
      <c r="F103" s="15">
        <f>[1]Data!H106</f>
        <v>1.0992931250250252E-2</v>
      </c>
      <c r="G103" s="16">
        <f>[1]Data!I106</f>
        <v>-1.8984611662390113E-2</v>
      </c>
      <c r="H103" s="17">
        <f t="shared" si="21"/>
        <v>-1</v>
      </c>
      <c r="I103" s="18">
        <f t="shared" si="30"/>
        <v>1</v>
      </c>
      <c r="J103" s="19">
        <f t="shared" si="22"/>
        <v>0</v>
      </c>
      <c r="K103" s="19">
        <f t="shared" si="23"/>
        <v>3.2589175746798212E-3</v>
      </c>
      <c r="L103" s="19">
        <f t="shared" si="24"/>
        <v>0</v>
      </c>
      <c r="M103" s="19">
        <f t="shared" si="25"/>
        <v>-3.7201022767263097E-3</v>
      </c>
      <c r="N103" s="19">
        <f t="shared" si="26"/>
        <v>1.0992931250250252E-2</v>
      </c>
      <c r="O103" s="19">
        <f t="shared" si="27"/>
        <v>0</v>
      </c>
      <c r="P103" s="19">
        <f t="shared" si="28"/>
        <v>1.8984611662390113E-2</v>
      </c>
      <c r="Q103" s="19">
        <f t="shared" si="29"/>
        <v>0</v>
      </c>
      <c r="R103" s="19">
        <f t="shared" si="31"/>
        <v>0.30038355179404452</v>
      </c>
      <c r="S103" s="19">
        <f t="shared" si="32"/>
        <v>0.24850173234592837</v>
      </c>
      <c r="T103" s="19">
        <f t="shared" si="33"/>
        <v>-0.1233908685503342</v>
      </c>
      <c r="U103" s="19">
        <f t="shared" si="34"/>
        <v>0.28432536502107325</v>
      </c>
      <c r="V103" s="19">
        <f t="shared" si="35"/>
        <v>0.39373469912784376</v>
      </c>
      <c r="W103" s="19">
        <f t="shared" si="36"/>
        <v>0.17072462179696291</v>
      </c>
      <c r="X103" s="19">
        <f t="shared" si="37"/>
        <v>0.33990093236311547</v>
      </c>
      <c r="Y103" s="19">
        <f t="shared" si="38"/>
        <v>2.7122013388161018E-2</v>
      </c>
      <c r="AA103" s="19">
        <f t="shared" si="39"/>
        <v>1.6413020472867952</v>
      </c>
      <c r="AB103" s="19">
        <f t="shared" si="40"/>
        <v>0.50943391769187329</v>
      </c>
    </row>
    <row r="104" spans="1:28" x14ac:dyDescent="0.25">
      <c r="A104" s="13">
        <f>[1]Data!A107</f>
        <v>40575</v>
      </c>
      <c r="B104" s="14">
        <f>[1]Data!B107</f>
        <v>3.4147896129455652E-2</v>
      </c>
      <c r="C104" s="14">
        <f>[1]Data!C107</f>
        <v>2.4955819672714742E-2</v>
      </c>
      <c r="D104" s="15">
        <f>[1]Data!F107</f>
        <v>9.9631628237515472E-3</v>
      </c>
      <c r="E104" s="16">
        <f>[1]Data!G107</f>
        <v>1.713858103672319E-2</v>
      </c>
      <c r="F104" s="15">
        <f>[1]Data!H107</f>
        <v>2.5246273405220673E-2</v>
      </c>
      <c r="G104" s="16">
        <f>[1]Data!I107</f>
        <v>-1.8094982092443285E-2</v>
      </c>
      <c r="H104" s="17">
        <f t="shared" si="21"/>
        <v>-1</v>
      </c>
      <c r="I104" s="18">
        <f t="shared" si="30"/>
        <v>1</v>
      </c>
      <c r="J104" s="19">
        <f t="shared" si="22"/>
        <v>0</v>
      </c>
      <c r="K104" s="19">
        <f t="shared" si="23"/>
        <v>-9.9631628237515472E-3</v>
      </c>
      <c r="L104" s="19">
        <f t="shared" si="24"/>
        <v>0</v>
      </c>
      <c r="M104" s="19">
        <f t="shared" si="25"/>
        <v>1.713858103672319E-2</v>
      </c>
      <c r="N104" s="19">
        <f t="shared" si="26"/>
        <v>2.5246273405220673E-2</v>
      </c>
      <c r="O104" s="19">
        <f t="shared" si="27"/>
        <v>0</v>
      </c>
      <c r="P104" s="19">
        <f t="shared" si="28"/>
        <v>1.8094982092443285E-2</v>
      </c>
      <c r="Q104" s="19">
        <f t="shared" si="29"/>
        <v>0</v>
      </c>
      <c r="R104" s="19">
        <f t="shared" si="31"/>
        <v>0.30038355179404452</v>
      </c>
      <c r="S104" s="19">
        <f t="shared" si="32"/>
        <v>0.23853856952217684</v>
      </c>
      <c r="T104" s="19">
        <f t="shared" si="33"/>
        <v>-0.1233908685503342</v>
      </c>
      <c r="U104" s="19">
        <f t="shared" si="34"/>
        <v>0.30146394605779642</v>
      </c>
      <c r="V104" s="19">
        <f t="shared" si="35"/>
        <v>0.41898097253306443</v>
      </c>
      <c r="W104" s="19">
        <f t="shared" si="36"/>
        <v>0.17072462179696291</v>
      </c>
      <c r="X104" s="19">
        <f t="shared" si="37"/>
        <v>0.35799591445555878</v>
      </c>
      <c r="Y104" s="19">
        <f t="shared" si="38"/>
        <v>2.7122013388161018E-2</v>
      </c>
      <c r="AA104" s="19">
        <f t="shared" si="39"/>
        <v>1.6918187209974307</v>
      </c>
      <c r="AB104" s="19">
        <f t="shared" si="40"/>
        <v>0.54358181382132897</v>
      </c>
    </row>
    <row r="105" spans="1:28" x14ac:dyDescent="0.25">
      <c r="A105" s="13">
        <f>[1]Data!A108</f>
        <v>40603</v>
      </c>
      <c r="B105" s="14">
        <f>[1]Data!B108</f>
        <v>1.2004505130044354E-4</v>
      </c>
      <c r="C105" s="14">
        <f>[1]Data!C108</f>
        <v>-3.0332399673355659E-2</v>
      </c>
      <c r="D105" s="15">
        <f>[1]Data!F108</f>
        <v>2.1729271074726723E-2</v>
      </c>
      <c r="E105" s="16">
        <f>[1]Data!G108</f>
        <v>-8.4305377911230092E-3</v>
      </c>
      <c r="F105" s="15">
        <f>[1]Data!H108</f>
        <v>-1.3002218478200513E-2</v>
      </c>
      <c r="G105" s="16">
        <f>[1]Data!I108</f>
        <v>-2.0545886200125804E-2</v>
      </c>
      <c r="H105" s="17">
        <f t="shared" si="21"/>
        <v>1</v>
      </c>
      <c r="I105" s="18">
        <f t="shared" si="30"/>
        <v>1</v>
      </c>
      <c r="J105" s="19">
        <f t="shared" si="22"/>
        <v>2.1729271074726723E-2</v>
      </c>
      <c r="K105" s="19">
        <f t="shared" si="23"/>
        <v>0</v>
      </c>
      <c r="L105" s="19">
        <f t="shared" si="24"/>
        <v>8.4305377911230092E-3</v>
      </c>
      <c r="M105" s="19">
        <f t="shared" si="25"/>
        <v>0</v>
      </c>
      <c r="N105" s="19">
        <f t="shared" si="26"/>
        <v>-1.3002218478200513E-2</v>
      </c>
      <c r="O105" s="19">
        <f t="shared" si="27"/>
        <v>0</v>
      </c>
      <c r="P105" s="19">
        <f t="shared" si="28"/>
        <v>2.0545886200125804E-2</v>
      </c>
      <c r="Q105" s="19">
        <f t="shared" si="29"/>
        <v>0</v>
      </c>
      <c r="R105" s="19">
        <f t="shared" si="31"/>
        <v>0.32211282286877124</v>
      </c>
      <c r="S105" s="19">
        <f t="shared" si="32"/>
        <v>0.23853856952217684</v>
      </c>
      <c r="T105" s="19">
        <f t="shared" si="33"/>
        <v>-0.11496033075921119</v>
      </c>
      <c r="U105" s="19">
        <f t="shared" si="34"/>
        <v>0.30146394605779642</v>
      </c>
      <c r="V105" s="19">
        <f t="shared" si="35"/>
        <v>0.40597875405486394</v>
      </c>
      <c r="W105" s="19">
        <f t="shared" si="36"/>
        <v>0.17072462179696291</v>
      </c>
      <c r="X105" s="19">
        <f t="shared" si="37"/>
        <v>0.3785418006556846</v>
      </c>
      <c r="Y105" s="19">
        <f t="shared" si="38"/>
        <v>2.7122013388161018E-2</v>
      </c>
      <c r="AA105" s="19">
        <f t="shared" si="39"/>
        <v>1.7295221975852058</v>
      </c>
      <c r="AB105" s="19">
        <f t="shared" si="40"/>
        <v>0.54370185887262945</v>
      </c>
    </row>
    <row r="106" spans="1:28" x14ac:dyDescent="0.25">
      <c r="A106" s="13">
        <f>[1]Data!A109</f>
        <v>40634</v>
      </c>
      <c r="B106" s="14">
        <f>[1]Data!B109</f>
        <v>2.8550198825919967E-2</v>
      </c>
      <c r="C106" s="14">
        <f>[1]Data!C109</f>
        <v>-3.5155922672446601E-4</v>
      </c>
      <c r="D106" s="15">
        <f>[1]Data!F109</f>
        <v>1.9615172371777657E-2</v>
      </c>
      <c r="E106" s="16">
        <f>[1]Data!G109</f>
        <v>1.3834555326560119E-2</v>
      </c>
      <c r="F106" s="15">
        <f>[1]Data!H109</f>
        <v>5.4909260099414974E-3</v>
      </c>
      <c r="G106" s="16">
        <f>[1]Data!I109</f>
        <v>-1.5200546732369025E-2</v>
      </c>
      <c r="H106" s="17">
        <f t="shared" si="21"/>
        <v>1</v>
      </c>
      <c r="I106" s="18">
        <f t="shared" si="30"/>
        <v>-1</v>
      </c>
      <c r="J106" s="19">
        <f t="shared" si="22"/>
        <v>1.9615172371777657E-2</v>
      </c>
      <c r="K106" s="19">
        <f t="shared" si="23"/>
        <v>0</v>
      </c>
      <c r="L106" s="19">
        <f t="shared" si="24"/>
        <v>-1.3834555326560119E-2</v>
      </c>
      <c r="M106" s="19">
        <f t="shared" si="25"/>
        <v>0</v>
      </c>
      <c r="N106" s="19">
        <f t="shared" si="26"/>
        <v>0</v>
      </c>
      <c r="O106" s="19">
        <f t="shared" si="27"/>
        <v>-5.4909260099414974E-3</v>
      </c>
      <c r="P106" s="19">
        <f t="shared" si="28"/>
        <v>0</v>
      </c>
      <c r="Q106" s="19">
        <f t="shared" si="29"/>
        <v>-1.5200546732369025E-2</v>
      </c>
      <c r="R106" s="19">
        <f t="shared" si="31"/>
        <v>0.34172799524054892</v>
      </c>
      <c r="S106" s="19">
        <f t="shared" si="32"/>
        <v>0.23853856952217684</v>
      </c>
      <c r="T106" s="19">
        <f t="shared" si="33"/>
        <v>-0.1287948860857713</v>
      </c>
      <c r="U106" s="19">
        <f t="shared" si="34"/>
        <v>0.30146394605779642</v>
      </c>
      <c r="V106" s="19">
        <f t="shared" si="35"/>
        <v>0.40597875405486394</v>
      </c>
      <c r="W106" s="19">
        <f t="shared" si="36"/>
        <v>0.16523369578702141</v>
      </c>
      <c r="X106" s="19">
        <f t="shared" si="37"/>
        <v>0.3785418006556846</v>
      </c>
      <c r="Y106" s="19">
        <f t="shared" si="38"/>
        <v>1.1921466655791992E-2</v>
      </c>
      <c r="AA106" s="19">
        <f t="shared" si="39"/>
        <v>1.7146113418881128</v>
      </c>
      <c r="AB106" s="19">
        <f t="shared" si="40"/>
        <v>0.57225205769854937</v>
      </c>
    </row>
    <row r="107" spans="1:28" x14ac:dyDescent="0.25">
      <c r="A107" s="13">
        <f>[1]Data!A110</f>
        <v>40664</v>
      </c>
      <c r="B107" s="14">
        <f>[1]Data!B110</f>
        <v>-1.1277764128790937E-2</v>
      </c>
      <c r="C107" s="14">
        <f>[1]Data!C110</f>
        <v>-4.0272204820622513E-2</v>
      </c>
      <c r="D107" s="15">
        <f>[1]Data!F110</f>
        <v>9.6088047945949943E-3</v>
      </c>
      <c r="E107" s="16">
        <f>[1]Data!G110</f>
        <v>1.4270795268562422E-2</v>
      </c>
      <c r="F107" s="15">
        <f>[1]Data!H110</f>
        <v>-1.6480593819797634E-2</v>
      </c>
      <c r="G107" s="16">
        <f>[1]Data!I110</f>
        <v>1.6759048487742442E-2</v>
      </c>
      <c r="H107" s="17">
        <f t="shared" si="21"/>
        <v>1</v>
      </c>
      <c r="I107" s="18">
        <f t="shared" si="30"/>
        <v>-1</v>
      </c>
      <c r="J107" s="19">
        <f t="shared" si="22"/>
        <v>9.6088047945949943E-3</v>
      </c>
      <c r="K107" s="19">
        <f t="shared" si="23"/>
        <v>0</v>
      </c>
      <c r="L107" s="19">
        <f t="shared" si="24"/>
        <v>-1.4270795268562422E-2</v>
      </c>
      <c r="M107" s="19">
        <f t="shared" si="25"/>
        <v>0</v>
      </c>
      <c r="N107" s="19">
        <f t="shared" si="26"/>
        <v>0</v>
      </c>
      <c r="O107" s="19">
        <f t="shared" si="27"/>
        <v>1.6480593819797634E-2</v>
      </c>
      <c r="P107" s="19">
        <f t="shared" si="28"/>
        <v>0</v>
      </c>
      <c r="Q107" s="19">
        <f t="shared" si="29"/>
        <v>1.6759048487742442E-2</v>
      </c>
      <c r="R107" s="19">
        <f t="shared" si="31"/>
        <v>0.35133680003514389</v>
      </c>
      <c r="S107" s="19">
        <f t="shared" si="32"/>
        <v>0.23853856952217684</v>
      </c>
      <c r="T107" s="19">
        <f t="shared" si="33"/>
        <v>-0.14306568135433373</v>
      </c>
      <c r="U107" s="19">
        <f t="shared" si="34"/>
        <v>0.30146394605779642</v>
      </c>
      <c r="V107" s="19">
        <f t="shared" si="35"/>
        <v>0.40597875405486394</v>
      </c>
      <c r="W107" s="19">
        <f t="shared" si="36"/>
        <v>0.18171428960681904</v>
      </c>
      <c r="X107" s="19">
        <f t="shared" si="37"/>
        <v>0.3785418006556846</v>
      </c>
      <c r="Y107" s="19">
        <f t="shared" si="38"/>
        <v>2.8680515143534435E-2</v>
      </c>
      <c r="AA107" s="19">
        <f t="shared" si="39"/>
        <v>1.7431889937216856</v>
      </c>
      <c r="AB107" s="19">
        <f t="shared" si="40"/>
        <v>0.56097429356975848</v>
      </c>
    </row>
    <row r="108" spans="1:28" x14ac:dyDescent="0.25">
      <c r="A108" s="13">
        <f>[1]Data!A111</f>
        <v>40695</v>
      </c>
      <c r="B108" s="14">
        <f>[1]Data!B111</f>
        <v>-1.7013925060328533E-2</v>
      </c>
      <c r="C108" s="14">
        <f>[1]Data!C111</f>
        <v>-3.890533164843319E-2</v>
      </c>
      <c r="D108" s="15">
        <f>[1]Data!F111</f>
        <v>1.927997340252488E-2</v>
      </c>
      <c r="E108" s="16">
        <f>[1]Data!G111</f>
        <v>-2.6116251818565899E-2</v>
      </c>
      <c r="F108" s="15">
        <f>[1]Data!H111</f>
        <v>-4.5031748679545007E-2</v>
      </c>
      <c r="G108" s="16">
        <f>[1]Data!I111</f>
        <v>-3.0986630731380639E-3</v>
      </c>
      <c r="H108" s="17">
        <f t="shared" si="21"/>
        <v>1</v>
      </c>
      <c r="I108" s="18">
        <f t="shared" si="30"/>
        <v>-1</v>
      </c>
      <c r="J108" s="19">
        <f t="shared" si="22"/>
        <v>1.927997340252488E-2</v>
      </c>
      <c r="K108" s="19">
        <f t="shared" si="23"/>
        <v>0</v>
      </c>
      <c r="L108" s="19">
        <f t="shared" si="24"/>
        <v>2.6116251818565899E-2</v>
      </c>
      <c r="M108" s="19">
        <f t="shared" si="25"/>
        <v>0</v>
      </c>
      <c r="N108" s="19">
        <f t="shared" si="26"/>
        <v>0</v>
      </c>
      <c r="O108" s="19">
        <f t="shared" si="27"/>
        <v>4.5031748679545007E-2</v>
      </c>
      <c r="P108" s="19">
        <f t="shared" si="28"/>
        <v>0</v>
      </c>
      <c r="Q108" s="19">
        <f t="shared" si="29"/>
        <v>-3.0986630731380639E-3</v>
      </c>
      <c r="R108" s="19">
        <f t="shared" si="31"/>
        <v>0.37061677343766875</v>
      </c>
      <c r="S108" s="19">
        <f t="shared" si="32"/>
        <v>0.23853856952217684</v>
      </c>
      <c r="T108" s="19">
        <f t="shared" si="33"/>
        <v>-0.11694942953576783</v>
      </c>
      <c r="U108" s="19">
        <f t="shared" si="34"/>
        <v>0.30146394605779642</v>
      </c>
      <c r="V108" s="19">
        <f t="shared" si="35"/>
        <v>0.40597875405486394</v>
      </c>
      <c r="W108" s="19">
        <f t="shared" si="36"/>
        <v>0.22674603828636405</v>
      </c>
      <c r="X108" s="19">
        <f t="shared" si="37"/>
        <v>0.3785418006556846</v>
      </c>
      <c r="Y108" s="19">
        <f t="shared" si="38"/>
        <v>2.5581852070396371E-2</v>
      </c>
      <c r="AA108" s="19">
        <f t="shared" si="39"/>
        <v>1.8305183045491833</v>
      </c>
      <c r="AB108" s="19">
        <f t="shared" si="40"/>
        <v>0.54396036850942997</v>
      </c>
    </row>
    <row r="109" spans="1:28" x14ac:dyDescent="0.25">
      <c r="A109" s="13">
        <f>[1]Data!A112</f>
        <v>40725</v>
      </c>
      <c r="B109" s="14">
        <f>[1]Data!B112</f>
        <v>-2.0207538717317289E-2</v>
      </c>
      <c r="C109" s="14">
        <f>[1]Data!C112</f>
        <v>-4.3330813625459073E-3</v>
      </c>
      <c r="D109" s="15">
        <f>[1]Data!F112</f>
        <v>-3.979188427792512E-2</v>
      </c>
      <c r="E109" s="16">
        <f>[1]Data!G112</f>
        <v>1.9281706382704929E-2</v>
      </c>
      <c r="F109" s="15">
        <f>[1]Data!H112</f>
        <v>1.8245685977121447E-2</v>
      </c>
      <c r="G109" s="16">
        <f>[1]Data!I112</f>
        <v>1.6811771954745092E-2</v>
      </c>
      <c r="H109" s="17">
        <f t="shared" si="21"/>
        <v>1</v>
      </c>
      <c r="I109" s="18">
        <f t="shared" si="30"/>
        <v>-1</v>
      </c>
      <c r="J109" s="19">
        <f t="shared" si="22"/>
        <v>-3.979188427792512E-2</v>
      </c>
      <c r="K109" s="19">
        <f t="shared" si="23"/>
        <v>0</v>
      </c>
      <c r="L109" s="19">
        <f t="shared" si="24"/>
        <v>-1.9281706382704929E-2</v>
      </c>
      <c r="M109" s="19">
        <f t="shared" si="25"/>
        <v>0</v>
      </c>
      <c r="N109" s="19">
        <f t="shared" si="26"/>
        <v>0</v>
      </c>
      <c r="O109" s="19">
        <f t="shared" si="27"/>
        <v>-1.8245685977121447E-2</v>
      </c>
      <c r="P109" s="19">
        <f t="shared" si="28"/>
        <v>0</v>
      </c>
      <c r="Q109" s="19">
        <f t="shared" si="29"/>
        <v>1.6811771954745092E-2</v>
      </c>
      <c r="R109" s="19">
        <f t="shared" si="31"/>
        <v>0.33082488915974362</v>
      </c>
      <c r="S109" s="19">
        <f t="shared" si="32"/>
        <v>0.23853856952217684</v>
      </c>
      <c r="T109" s="19">
        <f t="shared" si="33"/>
        <v>-0.13623113591847275</v>
      </c>
      <c r="U109" s="19">
        <f t="shared" si="34"/>
        <v>0.30146394605779642</v>
      </c>
      <c r="V109" s="19">
        <f t="shared" si="35"/>
        <v>0.40597875405486394</v>
      </c>
      <c r="W109" s="19">
        <f t="shared" si="36"/>
        <v>0.2085003523092426</v>
      </c>
      <c r="X109" s="19">
        <f t="shared" si="37"/>
        <v>0.3785418006556846</v>
      </c>
      <c r="Y109" s="19">
        <f t="shared" si="38"/>
        <v>4.2393624025141463E-2</v>
      </c>
      <c r="AA109" s="19">
        <f t="shared" si="39"/>
        <v>1.7700107998661769</v>
      </c>
      <c r="AB109" s="19">
        <f t="shared" si="40"/>
        <v>0.52375282979211268</v>
      </c>
    </row>
    <row r="110" spans="1:28" x14ac:dyDescent="0.25">
      <c r="A110" s="13">
        <f>[1]Data!A113</f>
        <v>40756</v>
      </c>
      <c r="B110" s="14">
        <f>[1]Data!B113</f>
        <v>-5.6544384857879895E-2</v>
      </c>
      <c r="C110" s="14">
        <f>[1]Data!C113</f>
        <v>-0.26867430397222858</v>
      </c>
      <c r="D110" s="15">
        <f>[1]Data!F113</f>
        <v>8.162601999394177E-2</v>
      </c>
      <c r="E110" s="16">
        <f>[1]Data!G113</f>
        <v>-3.8221473300384987E-2</v>
      </c>
      <c r="F110" s="15">
        <f>[1]Data!H113</f>
        <v>-7.4208900453684459E-2</v>
      </c>
      <c r="G110" s="16">
        <f>[1]Data!I113</f>
        <v>4.7278273792321988E-2</v>
      </c>
      <c r="H110" s="17">
        <f t="shared" si="21"/>
        <v>1</v>
      </c>
      <c r="I110" s="18">
        <f t="shared" si="30"/>
        <v>-1</v>
      </c>
      <c r="J110" s="19">
        <f t="shared" si="22"/>
        <v>8.162601999394177E-2</v>
      </c>
      <c r="K110" s="19">
        <f t="shared" si="23"/>
        <v>0</v>
      </c>
      <c r="L110" s="19">
        <f t="shared" si="24"/>
        <v>3.8221473300384987E-2</v>
      </c>
      <c r="M110" s="19">
        <f t="shared" si="25"/>
        <v>0</v>
      </c>
      <c r="N110" s="19">
        <f t="shared" si="26"/>
        <v>0</v>
      </c>
      <c r="O110" s="19">
        <f t="shared" si="27"/>
        <v>7.4208900453684459E-2</v>
      </c>
      <c r="P110" s="19">
        <f t="shared" si="28"/>
        <v>0</v>
      </c>
      <c r="Q110" s="19">
        <f t="shared" si="29"/>
        <v>4.7278273792321988E-2</v>
      </c>
      <c r="R110" s="19">
        <f t="shared" si="31"/>
        <v>0.41245090915368537</v>
      </c>
      <c r="S110" s="19">
        <f t="shared" si="32"/>
        <v>0.23853856952217684</v>
      </c>
      <c r="T110" s="19">
        <f t="shared" si="33"/>
        <v>-9.8009662618087759E-2</v>
      </c>
      <c r="U110" s="19">
        <f t="shared" si="34"/>
        <v>0.30146394605779642</v>
      </c>
      <c r="V110" s="19">
        <f t="shared" si="35"/>
        <v>0.40597875405486394</v>
      </c>
      <c r="W110" s="19">
        <f t="shared" si="36"/>
        <v>0.28270925276292708</v>
      </c>
      <c r="X110" s="19">
        <f t="shared" si="37"/>
        <v>0.3785418006556846</v>
      </c>
      <c r="Y110" s="19">
        <f t="shared" si="38"/>
        <v>8.9671897817463458E-2</v>
      </c>
      <c r="AA110" s="19">
        <f t="shared" si="39"/>
        <v>2.0113454674065103</v>
      </c>
      <c r="AB110" s="19">
        <f t="shared" si="40"/>
        <v>0.4672084449342328</v>
      </c>
    </row>
    <row r="111" spans="1:28" x14ac:dyDescent="0.25">
      <c r="A111" s="13">
        <f>[1]Data!A114</f>
        <v>40787</v>
      </c>
      <c r="B111" s="14">
        <f>[1]Data!B114</f>
        <v>-7.1948067164102666E-2</v>
      </c>
      <c r="C111" s="14">
        <f>[1]Data!C114</f>
        <v>-0.21757850379320046</v>
      </c>
      <c r="D111" s="15">
        <f>[1]Data!F114</f>
        <v>2.5666604860091757E-3</v>
      </c>
      <c r="E111" s="16">
        <f>[1]Data!G114</f>
        <v>-1.9024245740489446E-2</v>
      </c>
      <c r="F111" s="15">
        <f>[1]Data!H114</f>
        <v>-2.6363096536001364E-2</v>
      </c>
      <c r="G111" s="16">
        <f>[1]Data!I114</f>
        <v>5.2946010994901239E-2</v>
      </c>
      <c r="H111" s="17">
        <f t="shared" si="21"/>
        <v>1</v>
      </c>
      <c r="I111" s="18">
        <f t="shared" si="30"/>
        <v>-1</v>
      </c>
      <c r="J111" s="19">
        <f t="shared" si="22"/>
        <v>2.5666604860091757E-3</v>
      </c>
      <c r="K111" s="19">
        <f t="shared" si="23"/>
        <v>0</v>
      </c>
      <c r="L111" s="19">
        <f t="shared" si="24"/>
        <v>1.9024245740489446E-2</v>
      </c>
      <c r="M111" s="19">
        <f t="shared" si="25"/>
        <v>0</v>
      </c>
      <c r="N111" s="19">
        <f t="shared" si="26"/>
        <v>0</v>
      </c>
      <c r="O111" s="19">
        <f t="shared" si="27"/>
        <v>2.6363096536001364E-2</v>
      </c>
      <c r="P111" s="19">
        <f t="shared" si="28"/>
        <v>0</v>
      </c>
      <c r="Q111" s="19">
        <f t="shared" si="29"/>
        <v>5.2946010994901239E-2</v>
      </c>
      <c r="R111" s="19">
        <f t="shared" si="31"/>
        <v>0.41501756963969455</v>
      </c>
      <c r="S111" s="19">
        <f t="shared" si="32"/>
        <v>0.23853856952217684</v>
      </c>
      <c r="T111" s="19">
        <f t="shared" si="33"/>
        <v>-7.8985416877598316E-2</v>
      </c>
      <c r="U111" s="19">
        <f t="shared" si="34"/>
        <v>0.30146394605779642</v>
      </c>
      <c r="V111" s="19">
        <f t="shared" si="35"/>
        <v>0.40597875405486394</v>
      </c>
      <c r="W111" s="19">
        <f t="shared" si="36"/>
        <v>0.30907234929892846</v>
      </c>
      <c r="X111" s="19">
        <f t="shared" si="37"/>
        <v>0.3785418006556846</v>
      </c>
      <c r="Y111" s="19">
        <f t="shared" si="38"/>
        <v>0.14261790881236469</v>
      </c>
      <c r="AA111" s="19">
        <f t="shared" si="39"/>
        <v>2.1122454811639115</v>
      </c>
      <c r="AB111" s="19">
        <f t="shared" si="40"/>
        <v>0.39526037777013012</v>
      </c>
    </row>
    <row r="112" spans="1:28" x14ac:dyDescent="0.25">
      <c r="A112" s="13">
        <f>[1]Data!A115</f>
        <v>40817</v>
      </c>
      <c r="B112" s="14">
        <f>[1]Data!B115</f>
        <v>0.10359142321300968</v>
      </c>
      <c r="C112" s="14">
        <f>[1]Data!C115</f>
        <v>0.15438671107540722</v>
      </c>
      <c r="D112" s="15">
        <f>[1]Data!F115</f>
        <v>1.2266253356363208E-2</v>
      </c>
      <c r="E112" s="16">
        <f>[1]Data!G115</f>
        <v>2.4017114349233752E-2</v>
      </c>
      <c r="F112" s="15">
        <f>[1]Data!H115</f>
        <v>2.2372794256617923E-2</v>
      </c>
      <c r="G112" s="16">
        <f>[1]Data!I115</f>
        <v>-1.8882671401672109E-2</v>
      </c>
      <c r="H112" s="17">
        <f t="shared" si="21"/>
        <v>-1</v>
      </c>
      <c r="I112" s="18">
        <f t="shared" si="30"/>
        <v>-1</v>
      </c>
      <c r="J112" s="19">
        <f t="shared" si="22"/>
        <v>0</v>
      </c>
      <c r="K112" s="19">
        <f t="shared" si="23"/>
        <v>-1.2266253356363208E-2</v>
      </c>
      <c r="L112" s="19">
        <f t="shared" si="24"/>
        <v>0</v>
      </c>
      <c r="M112" s="19">
        <f t="shared" si="25"/>
        <v>2.4017114349233752E-2</v>
      </c>
      <c r="N112" s="19">
        <f t="shared" si="26"/>
        <v>0</v>
      </c>
      <c r="O112" s="19">
        <f t="shared" si="27"/>
        <v>-2.2372794256617923E-2</v>
      </c>
      <c r="P112" s="19">
        <f t="shared" si="28"/>
        <v>0</v>
      </c>
      <c r="Q112" s="19">
        <f t="shared" si="29"/>
        <v>-1.8882671401672109E-2</v>
      </c>
      <c r="R112" s="19">
        <f t="shared" si="31"/>
        <v>0.41501756963969455</v>
      </c>
      <c r="S112" s="19">
        <f t="shared" si="32"/>
        <v>0.22627231616581361</v>
      </c>
      <c r="T112" s="19">
        <f t="shared" si="33"/>
        <v>-7.8985416877598316E-2</v>
      </c>
      <c r="U112" s="19">
        <f t="shared" si="34"/>
        <v>0.32548106040703018</v>
      </c>
      <c r="V112" s="19">
        <f t="shared" si="35"/>
        <v>0.40597875405486394</v>
      </c>
      <c r="W112" s="19">
        <f t="shared" si="36"/>
        <v>0.28669955504231054</v>
      </c>
      <c r="X112" s="19">
        <f t="shared" si="37"/>
        <v>0.3785418006556846</v>
      </c>
      <c r="Y112" s="19">
        <f t="shared" si="38"/>
        <v>0.12373523741069259</v>
      </c>
      <c r="AA112" s="19">
        <f t="shared" si="39"/>
        <v>2.0827408764984918</v>
      </c>
      <c r="AB112" s="19">
        <f t="shared" si="40"/>
        <v>0.4988518009831398</v>
      </c>
    </row>
    <row r="113" spans="1:28" x14ac:dyDescent="0.25">
      <c r="A113" s="13">
        <f>[1]Data!A116</f>
        <v>40848</v>
      </c>
      <c r="B113" s="14">
        <f>[1]Data!B116</f>
        <v>-4.072108220249622E-3</v>
      </c>
      <c r="C113" s="14">
        <f>[1]Data!C116</f>
        <v>-8.558827985879304E-2</v>
      </c>
      <c r="D113" s="15">
        <f>[1]Data!F116</f>
        <v>4.3579189455223197E-2</v>
      </c>
      <c r="E113" s="16">
        <f>[1]Data!G116</f>
        <v>-1.8241588904745618E-2</v>
      </c>
      <c r="F113" s="15">
        <f>[1]Data!H116</f>
        <v>6.0374496991784897E-3</v>
      </c>
      <c r="G113" s="16">
        <f>[1]Data!I116</f>
        <v>1.4081265123699026E-2</v>
      </c>
      <c r="H113" s="17">
        <f t="shared" si="21"/>
        <v>1</v>
      </c>
      <c r="I113" s="18">
        <f t="shared" si="30"/>
        <v>1</v>
      </c>
      <c r="J113" s="19">
        <f t="shared" si="22"/>
        <v>4.3579189455223197E-2</v>
      </c>
      <c r="K113" s="19">
        <f t="shared" si="23"/>
        <v>0</v>
      </c>
      <c r="L113" s="19">
        <f t="shared" si="24"/>
        <v>1.8241588904745618E-2</v>
      </c>
      <c r="M113" s="19">
        <f t="shared" si="25"/>
        <v>0</v>
      </c>
      <c r="N113" s="19">
        <f t="shared" si="26"/>
        <v>6.0374496991784897E-3</v>
      </c>
      <c r="O113" s="19">
        <f t="shared" si="27"/>
        <v>0</v>
      </c>
      <c r="P113" s="19">
        <f t="shared" si="28"/>
        <v>-1.4081265123699026E-2</v>
      </c>
      <c r="Q113" s="19">
        <f t="shared" si="29"/>
        <v>0</v>
      </c>
      <c r="R113" s="19">
        <f t="shared" si="31"/>
        <v>0.45859675909491776</v>
      </c>
      <c r="S113" s="19">
        <f t="shared" si="32"/>
        <v>0.22627231616581361</v>
      </c>
      <c r="T113" s="19">
        <f t="shared" si="33"/>
        <v>-6.0743827972852701E-2</v>
      </c>
      <c r="U113" s="19">
        <f t="shared" si="34"/>
        <v>0.32548106040703018</v>
      </c>
      <c r="V113" s="19">
        <f t="shared" si="35"/>
        <v>0.41201620375404241</v>
      </c>
      <c r="W113" s="19">
        <f t="shared" si="36"/>
        <v>0.28669955504231054</v>
      </c>
      <c r="X113" s="19">
        <f t="shared" si="37"/>
        <v>0.3644605355319856</v>
      </c>
      <c r="Y113" s="19">
        <f t="shared" si="38"/>
        <v>0.12373523741069259</v>
      </c>
      <c r="AA113" s="19">
        <f t="shared" si="39"/>
        <v>2.1365178394339401</v>
      </c>
      <c r="AB113" s="19">
        <f t="shared" si="40"/>
        <v>0.49477969276289019</v>
      </c>
    </row>
    <row r="114" spans="1:28" x14ac:dyDescent="0.25">
      <c r="A114" s="13">
        <f>[1]Data!A117</f>
        <v>40878</v>
      </c>
      <c r="B114" s="14">
        <f>[1]Data!B117</f>
        <v>1.0394239366066014E-2</v>
      </c>
      <c r="C114" s="14">
        <f>[1]Data!C117</f>
        <v>-1.3019924017450286E-2</v>
      </c>
      <c r="D114" s="15">
        <f>[1]Data!F117</f>
        <v>1.0654518659416193E-2</v>
      </c>
      <c r="E114" s="16">
        <f>[1]Data!G117</f>
        <v>2.1109373590297395E-2</v>
      </c>
      <c r="F114" s="15">
        <f>[1]Data!H117</f>
        <v>1.3825319904160062E-2</v>
      </c>
      <c r="G114" s="16">
        <f>[1]Data!I117</f>
        <v>8.5004242264216006E-4</v>
      </c>
      <c r="H114" s="17">
        <f t="shared" si="21"/>
        <v>1</v>
      </c>
      <c r="I114" s="18">
        <f t="shared" si="30"/>
        <v>-1</v>
      </c>
      <c r="J114" s="19">
        <f t="shared" si="22"/>
        <v>1.0654518659416193E-2</v>
      </c>
      <c r="K114" s="19">
        <f t="shared" si="23"/>
        <v>0</v>
      </c>
      <c r="L114" s="19">
        <f t="shared" si="24"/>
        <v>-2.1109373590297395E-2</v>
      </c>
      <c r="M114" s="19">
        <f t="shared" si="25"/>
        <v>0</v>
      </c>
      <c r="N114" s="19">
        <f t="shared" si="26"/>
        <v>0</v>
      </c>
      <c r="O114" s="19">
        <f t="shared" si="27"/>
        <v>-1.3825319904160062E-2</v>
      </c>
      <c r="P114" s="19">
        <f t="shared" si="28"/>
        <v>0</v>
      </c>
      <c r="Q114" s="19">
        <f t="shared" si="29"/>
        <v>8.5004242264216006E-4</v>
      </c>
      <c r="R114" s="19">
        <f t="shared" si="31"/>
        <v>0.46925127775433395</v>
      </c>
      <c r="S114" s="19">
        <f t="shared" si="32"/>
        <v>0.22627231616581361</v>
      </c>
      <c r="T114" s="19">
        <f t="shared" si="33"/>
        <v>-8.1853201563150096E-2</v>
      </c>
      <c r="U114" s="19">
        <f t="shared" si="34"/>
        <v>0.32548106040703018</v>
      </c>
      <c r="V114" s="19">
        <f t="shared" si="35"/>
        <v>0.41201620375404241</v>
      </c>
      <c r="W114" s="19">
        <f t="shared" si="36"/>
        <v>0.27287423513815046</v>
      </c>
      <c r="X114" s="19">
        <f t="shared" si="37"/>
        <v>0.3644605355319856</v>
      </c>
      <c r="Y114" s="19">
        <f t="shared" si="38"/>
        <v>0.12458527983333476</v>
      </c>
      <c r="AA114" s="19">
        <f t="shared" si="39"/>
        <v>2.113087707021541</v>
      </c>
      <c r="AB114" s="19">
        <f t="shared" si="40"/>
        <v>0.50517393212895623</v>
      </c>
    </row>
    <row r="115" spans="1:28" x14ac:dyDescent="0.25">
      <c r="A115" s="13">
        <f>[1]Data!A118</f>
        <v>40909</v>
      </c>
      <c r="B115" s="14">
        <f>[1]Data!B118</f>
        <v>4.5331251108184228E-2</v>
      </c>
      <c r="C115" s="14">
        <f>[1]Data!C118</f>
        <v>8.6789695614172074E-2</v>
      </c>
      <c r="D115" s="15">
        <f>[1]Data!F118</f>
        <v>-1.065421663953015E-3</v>
      </c>
      <c r="E115" s="16">
        <f>[1]Data!G118</f>
        <v>3.7088764635217292E-2</v>
      </c>
      <c r="F115" s="15">
        <f>[1]Data!H118</f>
        <v>1.9880556128924105E-2</v>
      </c>
      <c r="G115" s="16">
        <f>[1]Data!I118</f>
        <v>-2.2772392072328458E-2</v>
      </c>
      <c r="H115" s="17">
        <f t="shared" si="21"/>
        <v>-1</v>
      </c>
      <c r="I115" s="18">
        <f t="shared" si="30"/>
        <v>-1</v>
      </c>
      <c r="J115" s="19">
        <f t="shared" si="22"/>
        <v>0</v>
      </c>
      <c r="K115" s="19">
        <f t="shared" si="23"/>
        <v>1.065421663953015E-3</v>
      </c>
      <c r="L115" s="19">
        <f t="shared" si="24"/>
        <v>0</v>
      </c>
      <c r="M115" s="19">
        <f t="shared" si="25"/>
        <v>3.7088764635217292E-2</v>
      </c>
      <c r="N115" s="19">
        <f t="shared" si="26"/>
        <v>0</v>
      </c>
      <c r="O115" s="19">
        <f t="shared" si="27"/>
        <v>-1.9880556128924105E-2</v>
      </c>
      <c r="P115" s="19">
        <f t="shared" si="28"/>
        <v>0</v>
      </c>
      <c r="Q115" s="19">
        <f t="shared" si="29"/>
        <v>-2.2772392072328458E-2</v>
      </c>
      <c r="R115" s="19">
        <f t="shared" si="31"/>
        <v>0.46925127775433395</v>
      </c>
      <c r="S115" s="19">
        <f t="shared" si="32"/>
        <v>0.22733773782976663</v>
      </c>
      <c r="T115" s="19">
        <f t="shared" si="33"/>
        <v>-8.1853201563150096E-2</v>
      </c>
      <c r="U115" s="19">
        <f t="shared" si="34"/>
        <v>0.36256982504224744</v>
      </c>
      <c r="V115" s="19">
        <f t="shared" si="35"/>
        <v>0.41201620375404241</v>
      </c>
      <c r="W115" s="19">
        <f t="shared" si="36"/>
        <v>0.25299367900922637</v>
      </c>
      <c r="X115" s="19">
        <f t="shared" si="37"/>
        <v>0.3644605355319856</v>
      </c>
      <c r="Y115" s="19">
        <f t="shared" si="38"/>
        <v>0.1018128877610063</v>
      </c>
      <c r="AA115" s="19">
        <f t="shared" si="39"/>
        <v>2.1085889451194588</v>
      </c>
      <c r="AB115" s="19">
        <f t="shared" si="40"/>
        <v>0.55050518323714048</v>
      </c>
    </row>
    <row r="116" spans="1:28" x14ac:dyDescent="0.25">
      <c r="A116" s="13">
        <f>[1]Data!A119</f>
        <v>40940</v>
      </c>
      <c r="B116" s="14">
        <f>[1]Data!B119</f>
        <v>4.2489821219877516E-2</v>
      </c>
      <c r="C116" s="14">
        <f>[1]Data!C119</f>
        <v>6.7445147980817521E-2</v>
      </c>
      <c r="D116" s="15">
        <f>[1]Data!F119</f>
        <v>7.2514587926275475E-3</v>
      </c>
      <c r="E116" s="16">
        <f>[1]Data!G119</f>
        <v>5.89311887905738E-3</v>
      </c>
      <c r="F116" s="15">
        <f>[1]Data!H119</f>
        <v>2.6080853381627578E-2</v>
      </c>
      <c r="G116" s="16">
        <f>[1]Data!I119</f>
        <v>-3.6241142283388358E-2</v>
      </c>
      <c r="H116" s="17">
        <f t="shared" si="21"/>
        <v>-1</v>
      </c>
      <c r="I116" s="18">
        <f t="shared" si="30"/>
        <v>1</v>
      </c>
      <c r="J116" s="19">
        <f t="shared" si="22"/>
        <v>0</v>
      </c>
      <c r="K116" s="19">
        <f t="shared" si="23"/>
        <v>-7.2514587926275475E-3</v>
      </c>
      <c r="L116" s="19">
        <f t="shared" si="24"/>
        <v>0</v>
      </c>
      <c r="M116" s="19">
        <f t="shared" si="25"/>
        <v>5.89311887905738E-3</v>
      </c>
      <c r="N116" s="19">
        <f t="shared" si="26"/>
        <v>2.6080853381627578E-2</v>
      </c>
      <c r="O116" s="19">
        <f t="shared" si="27"/>
        <v>0</v>
      </c>
      <c r="P116" s="19">
        <f t="shared" si="28"/>
        <v>3.6241142283388358E-2</v>
      </c>
      <c r="Q116" s="19">
        <f t="shared" si="29"/>
        <v>0</v>
      </c>
      <c r="R116" s="19">
        <f t="shared" si="31"/>
        <v>0.46925127775433395</v>
      </c>
      <c r="S116" s="19">
        <f t="shared" si="32"/>
        <v>0.22008627903713909</v>
      </c>
      <c r="T116" s="19">
        <f t="shared" si="33"/>
        <v>-8.1853201563150096E-2</v>
      </c>
      <c r="U116" s="19">
        <f t="shared" si="34"/>
        <v>0.3684629439213048</v>
      </c>
      <c r="V116" s="19">
        <f t="shared" si="35"/>
        <v>0.43809705713566999</v>
      </c>
      <c r="W116" s="19">
        <f t="shared" si="36"/>
        <v>0.25299367900922637</v>
      </c>
      <c r="X116" s="19">
        <f t="shared" si="37"/>
        <v>0.40070167781537397</v>
      </c>
      <c r="Y116" s="19">
        <f t="shared" si="38"/>
        <v>0.1018128877610063</v>
      </c>
      <c r="AA116" s="19">
        <f t="shared" si="39"/>
        <v>2.1695526008709045</v>
      </c>
      <c r="AB116" s="19">
        <f t="shared" si="40"/>
        <v>0.59299500445701803</v>
      </c>
    </row>
    <row r="117" spans="1:28" x14ac:dyDescent="0.25">
      <c r="A117" s="13">
        <f>[1]Data!A120</f>
        <v>40969</v>
      </c>
      <c r="B117" s="14">
        <f>[1]Data!B120</f>
        <v>3.1657201195968959E-2</v>
      </c>
      <c r="C117" s="14">
        <f>[1]Data!C120</f>
        <v>7.4331433200827773E-2</v>
      </c>
      <c r="D117" s="15">
        <f>[1]Data!F120</f>
        <v>4.2696125022608136E-3</v>
      </c>
      <c r="E117" s="16">
        <f>[1]Data!G120</f>
        <v>3.661080840336825E-3</v>
      </c>
      <c r="F117" s="15">
        <f>[1]Data!H120</f>
        <v>-9.7543535179439658E-3</v>
      </c>
      <c r="G117" s="16">
        <f>[1]Data!I120</f>
        <v>-2.1616281091293649E-3</v>
      </c>
      <c r="H117" s="17">
        <f t="shared" si="21"/>
        <v>-1</v>
      </c>
      <c r="I117" s="18">
        <f t="shared" si="30"/>
        <v>1</v>
      </c>
      <c r="J117" s="19">
        <f t="shared" si="22"/>
        <v>0</v>
      </c>
      <c r="K117" s="19">
        <f t="shared" si="23"/>
        <v>-4.2696125022608136E-3</v>
      </c>
      <c r="L117" s="19">
        <f t="shared" si="24"/>
        <v>0</v>
      </c>
      <c r="M117" s="19">
        <f t="shared" si="25"/>
        <v>3.661080840336825E-3</v>
      </c>
      <c r="N117" s="19">
        <f t="shared" si="26"/>
        <v>-9.7543535179439658E-3</v>
      </c>
      <c r="O117" s="19">
        <f t="shared" si="27"/>
        <v>0</v>
      </c>
      <c r="P117" s="19">
        <f t="shared" si="28"/>
        <v>2.1616281091293649E-3</v>
      </c>
      <c r="Q117" s="19">
        <f t="shared" si="29"/>
        <v>0</v>
      </c>
      <c r="R117" s="19">
        <f t="shared" si="31"/>
        <v>0.46925127775433395</v>
      </c>
      <c r="S117" s="19">
        <f t="shared" si="32"/>
        <v>0.21581666653487827</v>
      </c>
      <c r="T117" s="19">
        <f t="shared" si="33"/>
        <v>-8.1853201563150096E-2</v>
      </c>
      <c r="U117" s="19">
        <f t="shared" si="34"/>
        <v>0.37212402476164164</v>
      </c>
      <c r="V117" s="19">
        <f t="shared" si="35"/>
        <v>0.42834270361772603</v>
      </c>
      <c r="W117" s="19">
        <f t="shared" si="36"/>
        <v>0.25299367900922637</v>
      </c>
      <c r="X117" s="19">
        <f t="shared" si="37"/>
        <v>0.40286330592450331</v>
      </c>
      <c r="Y117" s="19">
        <f t="shared" si="38"/>
        <v>0.1018128877610063</v>
      </c>
      <c r="AA117" s="19">
        <f t="shared" si="39"/>
        <v>2.1613513438001659</v>
      </c>
      <c r="AB117" s="19">
        <f t="shared" si="40"/>
        <v>0.62465220565298696</v>
      </c>
    </row>
    <row r="118" spans="1:28" x14ac:dyDescent="0.25">
      <c r="A118" s="13">
        <f>[1]Data!A121</f>
        <v>41000</v>
      </c>
      <c r="B118" s="14">
        <f>[1]Data!B121</f>
        <v>-6.6975610043536115E-3</v>
      </c>
      <c r="C118" s="14">
        <f>[1]Data!C121</f>
        <v>-8.1276005959366626E-2</v>
      </c>
      <c r="D118" s="15">
        <f>[1]Data!F121</f>
        <v>2.2266788322080872E-2</v>
      </c>
      <c r="E118" s="16">
        <f>[1]Data!G121</f>
        <v>-5.1017262227358012E-3</v>
      </c>
      <c r="F118" s="15">
        <f>[1]Data!H121</f>
        <v>-1.856489592984403E-2</v>
      </c>
      <c r="G118" s="16">
        <f>[1]Data!I121</f>
        <v>3.2008037126986931E-2</v>
      </c>
      <c r="H118" s="17">
        <f t="shared" si="21"/>
        <v>1</v>
      </c>
      <c r="I118" s="18">
        <f t="shared" si="30"/>
        <v>1</v>
      </c>
      <c r="J118" s="19">
        <f t="shared" si="22"/>
        <v>2.2266788322080872E-2</v>
      </c>
      <c r="K118" s="19">
        <f t="shared" si="23"/>
        <v>0</v>
      </c>
      <c r="L118" s="19">
        <f t="shared" si="24"/>
        <v>5.1017262227358012E-3</v>
      </c>
      <c r="M118" s="19">
        <f t="shared" si="25"/>
        <v>0</v>
      </c>
      <c r="N118" s="19">
        <f t="shared" si="26"/>
        <v>-1.856489592984403E-2</v>
      </c>
      <c r="O118" s="19">
        <f t="shared" si="27"/>
        <v>0</v>
      </c>
      <c r="P118" s="19">
        <f t="shared" si="28"/>
        <v>-3.2008037126986931E-2</v>
      </c>
      <c r="Q118" s="19">
        <f t="shared" si="29"/>
        <v>0</v>
      </c>
      <c r="R118" s="19">
        <f t="shared" si="31"/>
        <v>0.49151806607641479</v>
      </c>
      <c r="S118" s="19">
        <f t="shared" si="32"/>
        <v>0.21581666653487827</v>
      </c>
      <c r="T118" s="19">
        <f t="shared" si="33"/>
        <v>-7.6751475340414294E-2</v>
      </c>
      <c r="U118" s="19">
        <f t="shared" si="34"/>
        <v>0.37212402476164164</v>
      </c>
      <c r="V118" s="19">
        <f t="shared" si="35"/>
        <v>0.40977780768788202</v>
      </c>
      <c r="W118" s="19">
        <f t="shared" si="36"/>
        <v>0.25299367900922637</v>
      </c>
      <c r="X118" s="19">
        <f t="shared" si="37"/>
        <v>0.3708552687975164</v>
      </c>
      <c r="Y118" s="19">
        <f t="shared" si="38"/>
        <v>0.1018128877610063</v>
      </c>
      <c r="AA118" s="19">
        <f t="shared" si="39"/>
        <v>2.1381469252881518</v>
      </c>
      <c r="AB118" s="19">
        <f t="shared" si="40"/>
        <v>0.61795464464863337</v>
      </c>
    </row>
    <row r="119" spans="1:28" x14ac:dyDescent="0.25">
      <c r="A119" s="13">
        <f>[1]Data!A122</f>
        <v>41030</v>
      </c>
      <c r="B119" s="14">
        <f>[1]Data!B122</f>
        <v>-6.1934980313862131E-2</v>
      </c>
      <c r="C119" s="14">
        <f>[1]Data!C122</f>
        <v>-0.11544675407236324</v>
      </c>
      <c r="D119" s="15">
        <f>[1]Data!F122</f>
        <v>-3.7958725346883613E-3</v>
      </c>
      <c r="E119" s="16">
        <f>[1]Data!G122</f>
        <v>2.9102305244142909E-2</v>
      </c>
      <c r="F119" s="15">
        <f>[1]Data!H122</f>
        <v>-2.0003078795206145E-2</v>
      </c>
      <c r="G119" s="16">
        <f>[1]Data!I122</f>
        <v>9.5497825615567713E-3</v>
      </c>
      <c r="H119" s="17">
        <f t="shared" si="21"/>
        <v>1</v>
      </c>
      <c r="I119" s="18">
        <f t="shared" si="30"/>
        <v>-1</v>
      </c>
      <c r="J119" s="19">
        <f t="shared" si="22"/>
        <v>-3.7958725346883613E-3</v>
      </c>
      <c r="K119" s="19">
        <f t="shared" si="23"/>
        <v>0</v>
      </c>
      <c r="L119" s="19">
        <f t="shared" si="24"/>
        <v>-2.9102305244142909E-2</v>
      </c>
      <c r="M119" s="19">
        <f t="shared" si="25"/>
        <v>0</v>
      </c>
      <c r="N119" s="19">
        <f t="shared" si="26"/>
        <v>0</v>
      </c>
      <c r="O119" s="19">
        <f t="shared" si="27"/>
        <v>2.0003078795206145E-2</v>
      </c>
      <c r="P119" s="19">
        <f t="shared" si="28"/>
        <v>0</v>
      </c>
      <c r="Q119" s="19">
        <f t="shared" si="29"/>
        <v>9.5497825615567713E-3</v>
      </c>
      <c r="R119" s="19">
        <f t="shared" si="31"/>
        <v>0.48772219354172641</v>
      </c>
      <c r="S119" s="19">
        <f t="shared" si="32"/>
        <v>0.21581666653487827</v>
      </c>
      <c r="T119" s="19">
        <f t="shared" si="33"/>
        <v>-0.1058537805845572</v>
      </c>
      <c r="U119" s="19">
        <f t="shared" si="34"/>
        <v>0.37212402476164164</v>
      </c>
      <c r="V119" s="19">
        <f t="shared" si="35"/>
        <v>0.40977780768788202</v>
      </c>
      <c r="W119" s="19">
        <f t="shared" si="36"/>
        <v>0.2729967578044325</v>
      </c>
      <c r="X119" s="19">
        <f t="shared" si="37"/>
        <v>0.3708552687975164</v>
      </c>
      <c r="Y119" s="19">
        <f t="shared" si="38"/>
        <v>0.11136267032256307</v>
      </c>
      <c r="AA119" s="19">
        <f t="shared" si="39"/>
        <v>2.1348016088660833</v>
      </c>
      <c r="AB119" s="19">
        <f t="shared" si="40"/>
        <v>0.55601966433477124</v>
      </c>
    </row>
    <row r="120" spans="1:28" x14ac:dyDescent="0.25">
      <c r="A120" s="13">
        <f>[1]Data!A123</f>
        <v>41061</v>
      </c>
      <c r="B120" s="14">
        <f>[1]Data!B123</f>
        <v>3.9779032348415816E-2</v>
      </c>
      <c r="C120" s="14">
        <f>[1]Data!C123</f>
        <v>1.7454644709188637E-2</v>
      </c>
      <c r="D120" s="15">
        <f>[1]Data!F123</f>
        <v>2.7260132793923905E-2</v>
      </c>
      <c r="E120" s="16">
        <f>[1]Data!G123</f>
        <v>-1.1988335207081851E-2</v>
      </c>
      <c r="F120" s="15">
        <f>[1]Data!H123</f>
        <v>4.4016722021644897E-3</v>
      </c>
      <c r="G120" s="16">
        <f>[1]Data!I123</f>
        <v>-1.6604999560539613E-2</v>
      </c>
      <c r="H120" s="17">
        <f t="shared" si="21"/>
        <v>-1</v>
      </c>
      <c r="I120" s="18">
        <f t="shared" si="30"/>
        <v>-1</v>
      </c>
      <c r="J120" s="19">
        <f t="shared" si="22"/>
        <v>0</v>
      </c>
      <c r="K120" s="19">
        <f t="shared" si="23"/>
        <v>-2.7260132793923905E-2</v>
      </c>
      <c r="L120" s="19">
        <f t="shared" si="24"/>
        <v>0</v>
      </c>
      <c r="M120" s="19">
        <f t="shared" si="25"/>
        <v>-1.1988335207081851E-2</v>
      </c>
      <c r="N120" s="19">
        <f t="shared" si="26"/>
        <v>0</v>
      </c>
      <c r="O120" s="19">
        <f t="shared" si="27"/>
        <v>-4.4016722021644897E-3</v>
      </c>
      <c r="P120" s="19">
        <f t="shared" si="28"/>
        <v>0</v>
      </c>
      <c r="Q120" s="19">
        <f t="shared" si="29"/>
        <v>-1.6604999560539613E-2</v>
      </c>
      <c r="R120" s="19">
        <f t="shared" si="31"/>
        <v>0.48772219354172641</v>
      </c>
      <c r="S120" s="19">
        <f t="shared" si="32"/>
        <v>0.18855653374095438</v>
      </c>
      <c r="T120" s="19">
        <f t="shared" si="33"/>
        <v>-0.1058537805845572</v>
      </c>
      <c r="U120" s="19">
        <f t="shared" si="34"/>
        <v>0.36013568955455977</v>
      </c>
      <c r="V120" s="19">
        <f t="shared" si="35"/>
        <v>0.40977780768788202</v>
      </c>
      <c r="W120" s="19">
        <f t="shared" si="36"/>
        <v>0.26859508560226802</v>
      </c>
      <c r="X120" s="19">
        <f t="shared" si="37"/>
        <v>0.3708552687975164</v>
      </c>
      <c r="Y120" s="19">
        <f t="shared" si="38"/>
        <v>9.475767076202346E-2</v>
      </c>
      <c r="AA120" s="19">
        <f t="shared" si="39"/>
        <v>2.0745464691023736</v>
      </c>
      <c r="AB120" s="19">
        <f t="shared" si="40"/>
        <v>0.59579869668318708</v>
      </c>
    </row>
    <row r="121" spans="1:28" x14ac:dyDescent="0.25">
      <c r="A121" s="13">
        <f>[1]Data!A124</f>
        <v>41091</v>
      </c>
      <c r="B121" s="14">
        <f>[1]Data!B124</f>
        <v>1.1760430159140101E-2</v>
      </c>
      <c r="C121" s="14">
        <f>[1]Data!C124</f>
        <v>-5.3279894770597469E-2</v>
      </c>
      <c r="D121" s="15">
        <f>[1]Data!F124</f>
        <v>1.9209046741155276E-2</v>
      </c>
      <c r="E121" s="16">
        <f>[1]Data!G124</f>
        <v>-8.3687163696615566E-3</v>
      </c>
      <c r="F121" s="15">
        <f>[1]Data!H124</f>
        <v>-5.7472773109411967E-3</v>
      </c>
      <c r="G121" s="16">
        <f>[1]Data!I124</f>
        <v>2.5673379215753946E-2</v>
      </c>
      <c r="H121" s="17">
        <f t="shared" si="21"/>
        <v>1</v>
      </c>
      <c r="I121" s="18">
        <f t="shared" si="30"/>
        <v>1</v>
      </c>
      <c r="J121" s="19">
        <f t="shared" si="22"/>
        <v>1.9209046741155276E-2</v>
      </c>
      <c r="K121" s="19">
        <f t="shared" si="23"/>
        <v>0</v>
      </c>
      <c r="L121" s="19">
        <f t="shared" si="24"/>
        <v>8.3687163696615566E-3</v>
      </c>
      <c r="M121" s="19">
        <f t="shared" si="25"/>
        <v>0</v>
      </c>
      <c r="N121" s="19">
        <f t="shared" si="26"/>
        <v>-5.7472773109411967E-3</v>
      </c>
      <c r="O121" s="19">
        <f t="shared" si="27"/>
        <v>0</v>
      </c>
      <c r="P121" s="19">
        <f t="shared" si="28"/>
        <v>-2.5673379215753946E-2</v>
      </c>
      <c r="Q121" s="19">
        <f t="shared" si="29"/>
        <v>0</v>
      </c>
      <c r="R121" s="19">
        <f t="shared" si="31"/>
        <v>0.50693124028288172</v>
      </c>
      <c r="S121" s="19">
        <f t="shared" si="32"/>
        <v>0.18855653374095438</v>
      </c>
      <c r="T121" s="19">
        <f t="shared" si="33"/>
        <v>-9.7485064214895639E-2</v>
      </c>
      <c r="U121" s="19">
        <f t="shared" si="34"/>
        <v>0.36013568955455977</v>
      </c>
      <c r="V121" s="19">
        <f t="shared" si="35"/>
        <v>0.40403053037694081</v>
      </c>
      <c r="W121" s="19">
        <f t="shared" si="36"/>
        <v>0.26859508560226802</v>
      </c>
      <c r="X121" s="19">
        <f t="shared" si="37"/>
        <v>0.34518188958176244</v>
      </c>
      <c r="Y121" s="19">
        <f t="shared" si="38"/>
        <v>9.475767076202346E-2</v>
      </c>
      <c r="AA121" s="19">
        <f t="shared" si="39"/>
        <v>2.0707035756864953</v>
      </c>
      <c r="AB121" s="19">
        <f t="shared" si="40"/>
        <v>0.60755912684232716</v>
      </c>
    </row>
    <row r="122" spans="1:28" x14ac:dyDescent="0.25">
      <c r="A122" s="13">
        <f>[1]Data!A125</f>
        <v>41122</v>
      </c>
      <c r="B122" s="14">
        <f>[1]Data!B125</f>
        <v>2.4743700121654916E-2</v>
      </c>
      <c r="C122" s="14">
        <f>[1]Data!C125</f>
        <v>8.4889605268528373E-2</v>
      </c>
      <c r="D122" s="15">
        <f>[1]Data!F125</f>
        <v>-4.2413178444685486E-3</v>
      </c>
      <c r="E122" s="16">
        <f>[1]Data!G125</f>
        <v>4.2627540726792826E-2</v>
      </c>
      <c r="F122" s="15">
        <f>[1]Data!H125</f>
        <v>1.8775498094816039E-2</v>
      </c>
      <c r="G122" s="16">
        <f>[1]Data!I125</f>
        <v>-2.81850807339276E-2</v>
      </c>
      <c r="H122" s="17">
        <f t="shared" si="21"/>
        <v>-1</v>
      </c>
      <c r="I122" s="18">
        <f t="shared" si="30"/>
        <v>-1</v>
      </c>
      <c r="J122" s="19">
        <f t="shared" si="22"/>
        <v>0</v>
      </c>
      <c r="K122" s="19">
        <f t="shared" si="23"/>
        <v>4.2413178444685486E-3</v>
      </c>
      <c r="L122" s="19">
        <f t="shared" si="24"/>
        <v>0</v>
      </c>
      <c r="M122" s="19">
        <f t="shared" si="25"/>
        <v>4.2627540726792826E-2</v>
      </c>
      <c r="N122" s="19">
        <f t="shared" si="26"/>
        <v>0</v>
      </c>
      <c r="O122" s="19">
        <f t="shared" si="27"/>
        <v>-1.8775498094816039E-2</v>
      </c>
      <c r="P122" s="19">
        <f t="shared" si="28"/>
        <v>0</v>
      </c>
      <c r="Q122" s="19">
        <f t="shared" si="29"/>
        <v>-2.81850807339276E-2</v>
      </c>
      <c r="R122" s="19">
        <f t="shared" si="31"/>
        <v>0.50693124028288172</v>
      </c>
      <c r="S122" s="19">
        <f t="shared" si="32"/>
        <v>0.19279785158542292</v>
      </c>
      <c r="T122" s="19">
        <f t="shared" si="33"/>
        <v>-9.7485064214895639E-2</v>
      </c>
      <c r="U122" s="19">
        <f t="shared" si="34"/>
        <v>0.40276323028135258</v>
      </c>
      <c r="V122" s="19">
        <f t="shared" si="35"/>
        <v>0.40403053037694081</v>
      </c>
      <c r="W122" s="19">
        <f t="shared" si="36"/>
        <v>0.24981958750745198</v>
      </c>
      <c r="X122" s="19">
        <f t="shared" si="37"/>
        <v>0.34518188958176244</v>
      </c>
      <c r="Y122" s="19">
        <f t="shared" si="38"/>
        <v>6.657259002809586E-2</v>
      </c>
      <c r="AA122" s="19">
        <f t="shared" si="39"/>
        <v>2.0706118554290129</v>
      </c>
      <c r="AB122" s="19">
        <f t="shared" si="40"/>
        <v>0.6323028269639821</v>
      </c>
    </row>
    <row r="123" spans="1:28" x14ac:dyDescent="0.25">
      <c r="A123" s="13">
        <f>[1]Data!A126</f>
        <v>41153</v>
      </c>
      <c r="B123" s="14">
        <f>[1]Data!B126</f>
        <v>2.5035320071267811E-2</v>
      </c>
      <c r="C123" s="14">
        <f>[1]Data!C126</f>
        <v>7.6233389647209854E-2</v>
      </c>
      <c r="D123" s="15">
        <f>[1]Data!F126</f>
        <v>-1.1601137605010026E-2</v>
      </c>
      <c r="E123" s="16">
        <f>[1]Data!G126</f>
        <v>1.3942539917190222E-2</v>
      </c>
      <c r="F123" s="15">
        <f>[1]Data!H126</f>
        <v>1.6510877464287747E-2</v>
      </c>
      <c r="G123" s="16">
        <f>[1]Data!I126</f>
        <v>-2.4768830726444532E-2</v>
      </c>
      <c r="H123" s="17">
        <f t="shared" si="21"/>
        <v>-1</v>
      </c>
      <c r="I123" s="18">
        <f t="shared" si="30"/>
        <v>1</v>
      </c>
      <c r="J123" s="19">
        <f t="shared" si="22"/>
        <v>0</v>
      </c>
      <c r="K123" s="19">
        <f t="shared" si="23"/>
        <v>1.1601137605010026E-2</v>
      </c>
      <c r="L123" s="19">
        <f t="shared" si="24"/>
        <v>0</v>
      </c>
      <c r="M123" s="19">
        <f t="shared" si="25"/>
        <v>1.3942539917190222E-2</v>
      </c>
      <c r="N123" s="19">
        <f t="shared" si="26"/>
        <v>1.6510877464287747E-2</v>
      </c>
      <c r="O123" s="19">
        <f t="shared" si="27"/>
        <v>0</v>
      </c>
      <c r="P123" s="19">
        <f t="shared" si="28"/>
        <v>2.4768830726444532E-2</v>
      </c>
      <c r="Q123" s="19">
        <f t="shared" si="29"/>
        <v>0</v>
      </c>
      <c r="R123" s="19">
        <f t="shared" si="31"/>
        <v>0.50693124028288172</v>
      </c>
      <c r="S123" s="19">
        <f t="shared" si="32"/>
        <v>0.20439898919043295</v>
      </c>
      <c r="T123" s="19">
        <f t="shared" si="33"/>
        <v>-9.7485064214895639E-2</v>
      </c>
      <c r="U123" s="19">
        <f t="shared" si="34"/>
        <v>0.41670577019854282</v>
      </c>
      <c r="V123" s="19">
        <f t="shared" si="35"/>
        <v>0.42054140784122857</v>
      </c>
      <c r="W123" s="19">
        <f t="shared" si="36"/>
        <v>0.24981958750745198</v>
      </c>
      <c r="X123" s="19">
        <f t="shared" si="37"/>
        <v>0.36995072030820697</v>
      </c>
      <c r="Y123" s="19">
        <f t="shared" si="38"/>
        <v>6.657259002809586E-2</v>
      </c>
      <c r="AA123" s="19">
        <f t="shared" si="39"/>
        <v>2.1374352411419455</v>
      </c>
      <c r="AB123" s="19">
        <f t="shared" si="40"/>
        <v>0.65733814703524995</v>
      </c>
    </row>
    <row r="124" spans="1:28" x14ac:dyDescent="0.25">
      <c r="A124" s="13">
        <f>[1]Data!A127</f>
        <v>41183</v>
      </c>
      <c r="B124" s="14">
        <f>[1]Data!B127</f>
        <v>-1.8366171419647966E-2</v>
      </c>
      <c r="C124" s="14">
        <f>[1]Data!C127</f>
        <v>1.4033698405142916E-2</v>
      </c>
      <c r="D124" s="15">
        <f>[1]Data!F127</f>
        <v>-1.4329111832685686E-2</v>
      </c>
      <c r="E124" s="16">
        <f>[1]Data!G127</f>
        <v>1.32200099464526E-2</v>
      </c>
      <c r="F124" s="15">
        <f>[1]Data!H127</f>
        <v>1.4959708941337522E-2</v>
      </c>
      <c r="G124" s="16">
        <f>[1]Data!I127</f>
        <v>-2.2929085591977691E-2</v>
      </c>
      <c r="H124" s="17">
        <f t="shared" si="21"/>
        <v>-1</v>
      </c>
      <c r="I124" s="18">
        <f t="shared" si="30"/>
        <v>1</v>
      </c>
      <c r="J124" s="19">
        <f t="shared" si="22"/>
        <v>0</v>
      </c>
      <c r="K124" s="19">
        <f t="shared" si="23"/>
        <v>1.4329111832685686E-2</v>
      </c>
      <c r="L124" s="19">
        <f t="shared" si="24"/>
        <v>0</v>
      </c>
      <c r="M124" s="19">
        <f t="shared" si="25"/>
        <v>1.32200099464526E-2</v>
      </c>
      <c r="N124" s="19">
        <f t="shared" si="26"/>
        <v>1.4959708941337522E-2</v>
      </c>
      <c r="O124" s="19">
        <f t="shared" si="27"/>
        <v>0</v>
      </c>
      <c r="P124" s="19">
        <f t="shared" si="28"/>
        <v>2.2929085591977691E-2</v>
      </c>
      <c r="Q124" s="19">
        <f t="shared" si="29"/>
        <v>0</v>
      </c>
      <c r="R124" s="19">
        <f t="shared" si="31"/>
        <v>0.50693124028288172</v>
      </c>
      <c r="S124" s="19">
        <f t="shared" si="32"/>
        <v>0.21872810102311863</v>
      </c>
      <c r="T124" s="19">
        <f t="shared" si="33"/>
        <v>-9.7485064214895639E-2</v>
      </c>
      <c r="U124" s="19">
        <f t="shared" si="34"/>
        <v>0.42992578014499544</v>
      </c>
      <c r="V124" s="19">
        <f t="shared" si="35"/>
        <v>0.43550111678256609</v>
      </c>
      <c r="W124" s="19">
        <f t="shared" si="36"/>
        <v>0.24981958750745198</v>
      </c>
      <c r="X124" s="19">
        <f t="shared" si="37"/>
        <v>0.39287980590018468</v>
      </c>
      <c r="Y124" s="19">
        <f t="shared" si="38"/>
        <v>6.657259002809586E-2</v>
      </c>
      <c r="AA124" s="19">
        <f t="shared" si="39"/>
        <v>2.2028731574543992</v>
      </c>
      <c r="AB124" s="19">
        <f t="shared" si="40"/>
        <v>0.63897197561560204</v>
      </c>
    </row>
    <row r="125" spans="1:28" x14ac:dyDescent="0.25">
      <c r="A125" s="13">
        <f>[1]Data!A128</f>
        <v>41214</v>
      </c>
      <c r="B125" s="14">
        <f>[1]Data!B128</f>
        <v>5.6436240375966973E-3</v>
      </c>
      <c r="C125" s="14">
        <f>[1]Data!C128</f>
        <v>-2.1364392975294761E-2</v>
      </c>
      <c r="D125" s="15">
        <f>[1]Data!F128</f>
        <v>1.9176554052706411E-2</v>
      </c>
      <c r="E125" s="16">
        <f>[1]Data!G128</f>
        <v>3.6933538055764388E-3</v>
      </c>
      <c r="F125" s="15">
        <f>[1]Data!H128</f>
        <v>-1.1598737326005268E-2</v>
      </c>
      <c r="G125" s="16">
        <f>[1]Data!I128</f>
        <v>5.1734979782019058E-3</v>
      </c>
      <c r="H125" s="17">
        <f t="shared" si="21"/>
        <v>1</v>
      </c>
      <c r="I125" s="18">
        <f t="shared" si="30"/>
        <v>1</v>
      </c>
      <c r="J125" s="19">
        <f t="shared" si="22"/>
        <v>1.9176554052706411E-2</v>
      </c>
      <c r="K125" s="19">
        <f t="shared" si="23"/>
        <v>0</v>
      </c>
      <c r="L125" s="19">
        <f t="shared" si="24"/>
        <v>-3.6933538055764388E-3</v>
      </c>
      <c r="M125" s="19">
        <f t="shared" si="25"/>
        <v>0</v>
      </c>
      <c r="N125" s="19">
        <f t="shared" si="26"/>
        <v>-1.1598737326005268E-2</v>
      </c>
      <c r="O125" s="19">
        <f t="shared" si="27"/>
        <v>0</v>
      </c>
      <c r="P125" s="19">
        <f t="shared" si="28"/>
        <v>-5.1734979782019058E-3</v>
      </c>
      <c r="Q125" s="19">
        <f t="shared" si="29"/>
        <v>0</v>
      </c>
      <c r="R125" s="19">
        <f t="shared" si="31"/>
        <v>0.52610779433558819</v>
      </c>
      <c r="S125" s="19">
        <f t="shared" si="32"/>
        <v>0.21872810102311863</v>
      </c>
      <c r="T125" s="19">
        <f t="shared" si="33"/>
        <v>-0.10117841802047207</v>
      </c>
      <c r="U125" s="19">
        <f t="shared" si="34"/>
        <v>0.42992578014499544</v>
      </c>
      <c r="V125" s="19">
        <f t="shared" si="35"/>
        <v>0.42390237945656084</v>
      </c>
      <c r="W125" s="19">
        <f t="shared" si="36"/>
        <v>0.24981958750745198</v>
      </c>
      <c r="X125" s="19">
        <f t="shared" si="37"/>
        <v>0.3877063079219828</v>
      </c>
      <c r="Y125" s="19">
        <f t="shared" si="38"/>
        <v>6.657259002809586E-2</v>
      </c>
      <c r="AA125" s="19">
        <f t="shared" si="39"/>
        <v>2.201584122397322</v>
      </c>
      <c r="AB125" s="19">
        <f t="shared" si="40"/>
        <v>0.6446155996531987</v>
      </c>
    </row>
    <row r="126" spans="1:28" x14ac:dyDescent="0.25">
      <c r="A126" s="13">
        <f>[1]Data!A129</f>
        <v>41244</v>
      </c>
      <c r="B126" s="14">
        <f>[1]Data!B129</f>
        <v>8.8949475774528775E-3</v>
      </c>
      <c r="C126" s="14">
        <f>[1]Data!C129</f>
        <v>3.0158788094618787E-2</v>
      </c>
      <c r="D126" s="15">
        <f>[1]Data!F129</f>
        <v>-2.6645609742020418E-3</v>
      </c>
      <c r="E126" s="16">
        <f>[1]Data!G129</f>
        <v>-6.5922084497466657E-3</v>
      </c>
      <c r="F126" s="15">
        <f>[1]Data!H129</f>
        <v>1.827475613518047E-3</v>
      </c>
      <c r="G126" s="16">
        <f>[1]Data!I129</f>
        <v>-9.2406043706672741E-4</v>
      </c>
      <c r="H126" s="17">
        <f t="shared" si="21"/>
        <v>-1</v>
      </c>
      <c r="I126" s="18">
        <f t="shared" si="30"/>
        <v>-1</v>
      </c>
      <c r="J126" s="19">
        <f t="shared" si="22"/>
        <v>0</v>
      </c>
      <c r="K126" s="19">
        <f t="shared" si="23"/>
        <v>2.6645609742020418E-3</v>
      </c>
      <c r="L126" s="19">
        <f t="shared" si="24"/>
        <v>0</v>
      </c>
      <c r="M126" s="19">
        <f t="shared" si="25"/>
        <v>-6.5922084497466657E-3</v>
      </c>
      <c r="N126" s="19">
        <f t="shared" si="26"/>
        <v>0</v>
      </c>
      <c r="O126" s="19">
        <f t="shared" si="27"/>
        <v>-1.827475613518047E-3</v>
      </c>
      <c r="P126" s="19">
        <f t="shared" si="28"/>
        <v>0</v>
      </c>
      <c r="Q126" s="19">
        <f t="shared" si="29"/>
        <v>-9.2406043706672741E-4</v>
      </c>
      <c r="R126" s="19">
        <f t="shared" si="31"/>
        <v>0.52610779433558819</v>
      </c>
      <c r="S126" s="19">
        <f t="shared" si="32"/>
        <v>0.22139266199732066</v>
      </c>
      <c r="T126" s="19">
        <f t="shared" si="33"/>
        <v>-0.10117841802047207</v>
      </c>
      <c r="U126" s="19">
        <f t="shared" si="34"/>
        <v>0.42333357169524877</v>
      </c>
      <c r="V126" s="19">
        <f t="shared" si="35"/>
        <v>0.42390237945656084</v>
      </c>
      <c r="W126" s="19">
        <f t="shared" si="36"/>
        <v>0.24799211189393394</v>
      </c>
      <c r="X126" s="19">
        <f t="shared" si="37"/>
        <v>0.3877063079219828</v>
      </c>
      <c r="Y126" s="19">
        <f t="shared" si="38"/>
        <v>6.5648529591029126E-2</v>
      </c>
      <c r="AA126" s="19">
        <f t="shared" si="39"/>
        <v>2.1949049388711925</v>
      </c>
      <c r="AB126" s="19">
        <f t="shared" si="40"/>
        <v>0.65351054723065161</v>
      </c>
    </row>
    <row r="127" spans="1:28" x14ac:dyDescent="0.25">
      <c r="A127" s="13">
        <f>[1]Data!A130</f>
        <v>41275</v>
      </c>
      <c r="B127" s="14">
        <f>[1]Data!B130</f>
        <v>4.9922956647863635E-2</v>
      </c>
      <c r="C127" s="14">
        <f>[1]Data!C130</f>
        <v>5.6752336255235368E-2</v>
      </c>
      <c r="D127" s="15">
        <f>[1]Data!F130</f>
        <v>2.2065633821715322E-3</v>
      </c>
      <c r="E127" s="16">
        <f>[1]Data!G130</f>
        <v>-2.3336161633466711E-2</v>
      </c>
      <c r="F127" s="15">
        <f>[1]Data!H130</f>
        <v>2.1809195648912344E-2</v>
      </c>
      <c r="G127" s="16">
        <f>[1]Data!I130</f>
        <v>-1.6223186609208844E-2</v>
      </c>
      <c r="H127" s="17">
        <f t="shared" si="21"/>
        <v>-1</v>
      </c>
      <c r="I127" s="18">
        <f t="shared" si="30"/>
        <v>1</v>
      </c>
      <c r="J127" s="19">
        <f t="shared" si="22"/>
        <v>0</v>
      </c>
      <c r="K127" s="19">
        <f t="shared" si="23"/>
        <v>-2.2065633821715322E-3</v>
      </c>
      <c r="L127" s="19">
        <f t="shared" si="24"/>
        <v>0</v>
      </c>
      <c r="M127" s="19">
        <f t="shared" si="25"/>
        <v>-2.3336161633466711E-2</v>
      </c>
      <c r="N127" s="19">
        <f t="shared" si="26"/>
        <v>2.1809195648912344E-2</v>
      </c>
      <c r="O127" s="19">
        <f t="shared" si="27"/>
        <v>0</v>
      </c>
      <c r="P127" s="19">
        <f t="shared" si="28"/>
        <v>1.6223186609208844E-2</v>
      </c>
      <c r="Q127" s="19">
        <f t="shared" si="29"/>
        <v>0</v>
      </c>
      <c r="R127" s="19">
        <f t="shared" si="31"/>
        <v>0.52610779433558819</v>
      </c>
      <c r="S127" s="19">
        <f t="shared" si="32"/>
        <v>0.21918609861514912</v>
      </c>
      <c r="T127" s="19">
        <f t="shared" si="33"/>
        <v>-0.10117841802047207</v>
      </c>
      <c r="U127" s="19">
        <f t="shared" si="34"/>
        <v>0.39999741006178208</v>
      </c>
      <c r="V127" s="19">
        <f t="shared" si="35"/>
        <v>0.44571157510547321</v>
      </c>
      <c r="W127" s="19">
        <f t="shared" si="36"/>
        <v>0.24799211189393394</v>
      </c>
      <c r="X127" s="19">
        <f t="shared" si="37"/>
        <v>0.40392949453119165</v>
      </c>
      <c r="Y127" s="19">
        <f t="shared" si="38"/>
        <v>6.5648529591029126E-2</v>
      </c>
      <c r="AA127" s="19">
        <f t="shared" si="39"/>
        <v>2.2073945961136756</v>
      </c>
      <c r="AB127" s="19">
        <f t="shared" si="40"/>
        <v>0.70343350387851522</v>
      </c>
    </row>
    <row r="128" spans="1:28" x14ac:dyDescent="0.25">
      <c r="A128" s="13">
        <f>[1]Data!A131</f>
        <v>41306</v>
      </c>
      <c r="B128" s="14">
        <f>[1]Data!B131</f>
        <v>1.2678190377662671E-2</v>
      </c>
      <c r="C128" s="14">
        <f>[1]Data!C131</f>
        <v>1.4779559686182501E-2</v>
      </c>
      <c r="D128" s="15">
        <f>[1]Data!F131</f>
        <v>-1.8452529120968008E-3</v>
      </c>
      <c r="E128" s="16">
        <f>[1]Data!G131</f>
        <v>1.2567078769891262E-2</v>
      </c>
      <c r="F128" s="15">
        <f>[1]Data!H131</f>
        <v>8.3821187481050424E-3</v>
      </c>
      <c r="G128" s="16">
        <f>[1]Data!I131</f>
        <v>-3.3375634364996307E-3</v>
      </c>
      <c r="H128" s="17">
        <f t="shared" si="21"/>
        <v>-1</v>
      </c>
      <c r="I128" s="18">
        <f t="shared" si="30"/>
        <v>1</v>
      </c>
      <c r="J128" s="19">
        <f t="shared" si="22"/>
        <v>0</v>
      </c>
      <c r="K128" s="19">
        <f t="shared" si="23"/>
        <v>1.8452529120968008E-3</v>
      </c>
      <c r="L128" s="19">
        <f t="shared" si="24"/>
        <v>0</v>
      </c>
      <c r="M128" s="19">
        <f t="shared" si="25"/>
        <v>1.2567078769891262E-2</v>
      </c>
      <c r="N128" s="19">
        <f t="shared" si="26"/>
        <v>8.3821187481050424E-3</v>
      </c>
      <c r="O128" s="19">
        <f t="shared" si="27"/>
        <v>0</v>
      </c>
      <c r="P128" s="19">
        <f t="shared" si="28"/>
        <v>3.3375634364996307E-3</v>
      </c>
      <c r="Q128" s="19">
        <f t="shared" si="29"/>
        <v>0</v>
      </c>
      <c r="R128" s="19">
        <f t="shared" si="31"/>
        <v>0.52610779433558819</v>
      </c>
      <c r="S128" s="19">
        <f t="shared" si="32"/>
        <v>0.22103135152724593</v>
      </c>
      <c r="T128" s="19">
        <f t="shared" si="33"/>
        <v>-0.10117841802047207</v>
      </c>
      <c r="U128" s="19">
        <f t="shared" si="34"/>
        <v>0.41256448883167335</v>
      </c>
      <c r="V128" s="19">
        <f t="shared" si="35"/>
        <v>0.45409369385357823</v>
      </c>
      <c r="W128" s="19">
        <f t="shared" si="36"/>
        <v>0.24799211189393394</v>
      </c>
      <c r="X128" s="19">
        <f t="shared" si="37"/>
        <v>0.4072670579676913</v>
      </c>
      <c r="Y128" s="19">
        <f t="shared" si="38"/>
        <v>6.5648529591029126E-2</v>
      </c>
      <c r="AA128" s="19">
        <f t="shared" si="39"/>
        <v>2.2335266099802684</v>
      </c>
      <c r="AB128" s="19">
        <f t="shared" si="40"/>
        <v>0.71611169425617793</v>
      </c>
    </row>
    <row r="129" spans="1:28" x14ac:dyDescent="0.25">
      <c r="A129" s="13">
        <f>[1]Data!A132</f>
        <v>41334</v>
      </c>
      <c r="B129" s="14">
        <f>[1]Data!B132</f>
        <v>3.7267814819473839E-2</v>
      </c>
      <c r="C129" s="14">
        <f>[1]Data!C132</f>
        <v>3.1043190208220332E-2</v>
      </c>
      <c r="D129" s="15">
        <f>[1]Data!F132</f>
        <v>1.4853967495249289E-2</v>
      </c>
      <c r="E129" s="16">
        <f>[1]Data!G132</f>
        <v>4.4263857643941909E-3</v>
      </c>
      <c r="F129" s="15">
        <f>[1]Data!H132</f>
        <v>2.0693186775401946E-2</v>
      </c>
      <c r="G129" s="16">
        <f>[1]Data!I132</f>
        <v>-1.9606992574929406E-2</v>
      </c>
      <c r="H129" s="17">
        <f t="shared" si="21"/>
        <v>-1</v>
      </c>
      <c r="I129" s="18">
        <f t="shared" si="30"/>
        <v>1</v>
      </c>
      <c r="J129" s="19">
        <f t="shared" si="22"/>
        <v>0</v>
      </c>
      <c r="K129" s="19">
        <f t="shared" si="23"/>
        <v>-1.4853967495249289E-2</v>
      </c>
      <c r="L129" s="19">
        <f t="shared" si="24"/>
        <v>0</v>
      </c>
      <c r="M129" s="19">
        <f t="shared" si="25"/>
        <v>4.4263857643941909E-3</v>
      </c>
      <c r="N129" s="19">
        <f t="shared" si="26"/>
        <v>2.0693186775401946E-2</v>
      </c>
      <c r="O129" s="19">
        <f t="shared" si="27"/>
        <v>0</v>
      </c>
      <c r="P129" s="19">
        <f t="shared" si="28"/>
        <v>1.9606992574929406E-2</v>
      </c>
      <c r="Q129" s="19">
        <f t="shared" si="29"/>
        <v>0</v>
      </c>
      <c r="R129" s="19">
        <f t="shared" si="31"/>
        <v>0.52610779433558819</v>
      </c>
      <c r="S129" s="19">
        <f t="shared" si="32"/>
        <v>0.20617738403199665</v>
      </c>
      <c r="T129" s="19">
        <f t="shared" si="33"/>
        <v>-0.10117841802047207</v>
      </c>
      <c r="U129" s="19">
        <f t="shared" si="34"/>
        <v>0.41699087459606754</v>
      </c>
      <c r="V129" s="19">
        <f t="shared" si="35"/>
        <v>0.47478688062898017</v>
      </c>
      <c r="W129" s="19">
        <f t="shared" si="36"/>
        <v>0.24799211189393394</v>
      </c>
      <c r="X129" s="19">
        <f t="shared" si="37"/>
        <v>0.42687405054262073</v>
      </c>
      <c r="Y129" s="19">
        <f t="shared" si="38"/>
        <v>6.5648529591029126E-2</v>
      </c>
      <c r="AA129" s="19">
        <f t="shared" si="39"/>
        <v>2.2633992075997447</v>
      </c>
      <c r="AB129" s="19">
        <f t="shared" si="40"/>
        <v>0.75337950907565177</v>
      </c>
    </row>
    <row r="130" spans="1:28" x14ac:dyDescent="0.25">
      <c r="A130" s="13">
        <f>[1]Data!A133</f>
        <v>41365</v>
      </c>
      <c r="B130" s="14">
        <f>[1]Data!B133</f>
        <v>1.9030244935242618E-2</v>
      </c>
      <c r="C130" s="14">
        <f>[1]Data!C133</f>
        <v>-5.194430551878669E-2</v>
      </c>
      <c r="D130" s="15">
        <f>[1]Data!F133</f>
        <v>2.6654525547146174E-2</v>
      </c>
      <c r="E130" s="16">
        <f>[1]Data!G133</f>
        <v>1.4646363612147695E-3</v>
      </c>
      <c r="F130" s="15">
        <f>[1]Data!H133</f>
        <v>-9.6847429248380166E-3</v>
      </c>
      <c r="G130" s="16">
        <f>[1]Data!I133</f>
        <v>4.4238386904684776E-2</v>
      </c>
      <c r="H130" s="17">
        <f t="shared" ref="H130:H193" si="41">IF(C130&gt;0,-1,1)</f>
        <v>1</v>
      </c>
      <c r="I130" s="18">
        <f t="shared" si="30"/>
        <v>1</v>
      </c>
      <c r="J130" s="19">
        <f t="shared" ref="J130:J193" si="42">IF(H130=1,D130,0)</f>
        <v>2.6654525547146174E-2</v>
      </c>
      <c r="K130" s="19">
        <f t="shared" ref="K130:K193" si="43">IF(H130=-1,-D130,0)</f>
        <v>0</v>
      </c>
      <c r="L130" s="19">
        <f t="shared" ref="L130:L193" si="44">IF(H130=1,-E130,0)</f>
        <v>-1.4646363612147695E-3</v>
      </c>
      <c r="M130" s="19">
        <f t="shared" ref="M130:M193" si="45">IF(H130=-1,E130,0)</f>
        <v>0</v>
      </c>
      <c r="N130" s="19">
        <f t="shared" ref="N130:N193" si="46">IF(I130=1,F130,0)</f>
        <v>-9.6847429248380166E-3</v>
      </c>
      <c r="O130" s="19">
        <f t="shared" ref="O130:O193" si="47">IF(I130=-1,-F130,0)</f>
        <v>0</v>
      </c>
      <c r="P130" s="19">
        <f t="shared" ref="P130:P193" si="48">IF(I130=1,-G130,0)</f>
        <v>-4.4238386904684776E-2</v>
      </c>
      <c r="Q130" s="19">
        <f t="shared" ref="Q130:Q193" si="49">IF(I130=-1,G130,0)</f>
        <v>0</v>
      </c>
      <c r="R130" s="19">
        <f t="shared" si="31"/>
        <v>0.55276231988273439</v>
      </c>
      <c r="S130" s="19">
        <f t="shared" si="32"/>
        <v>0.20617738403199665</v>
      </c>
      <c r="T130" s="19">
        <f t="shared" si="33"/>
        <v>-0.10264305438168685</v>
      </c>
      <c r="U130" s="19">
        <f t="shared" si="34"/>
        <v>0.41699087459606754</v>
      </c>
      <c r="V130" s="19">
        <f t="shared" si="35"/>
        <v>0.46510213770414216</v>
      </c>
      <c r="W130" s="19">
        <f t="shared" si="36"/>
        <v>0.24799211189393394</v>
      </c>
      <c r="X130" s="19">
        <f t="shared" si="37"/>
        <v>0.38263566363793594</v>
      </c>
      <c r="Y130" s="19">
        <f t="shared" si="38"/>
        <v>6.5648529591029126E-2</v>
      </c>
      <c r="AA130" s="19">
        <f t="shared" si="39"/>
        <v>2.2346659669561535</v>
      </c>
      <c r="AB130" s="19">
        <f t="shared" si="40"/>
        <v>0.7724097540108944</v>
      </c>
    </row>
    <row r="131" spans="1:28" x14ac:dyDescent="0.25">
      <c r="A131" s="13">
        <f>[1]Data!A134</f>
        <v>41395</v>
      </c>
      <c r="B131" s="14">
        <f>[1]Data!B134</f>
        <v>2.3335496472425946E-2</v>
      </c>
      <c r="C131" s="14">
        <f>[1]Data!C134</f>
        <v>8.6654437978827673E-2</v>
      </c>
      <c r="D131" s="15">
        <f>[1]Data!F134</f>
        <v>-2.2504156813585439E-2</v>
      </c>
      <c r="E131" s="16">
        <f>[1]Data!G134</f>
        <v>-2.9188843619167491E-2</v>
      </c>
      <c r="F131" s="15">
        <f>[1]Data!H134</f>
        <v>1.8121498020384631E-2</v>
      </c>
      <c r="G131" s="16">
        <f>[1]Data!I134</f>
        <v>-2.1317605440437412E-2</v>
      </c>
      <c r="H131" s="17">
        <f t="shared" si="41"/>
        <v>-1</v>
      </c>
      <c r="I131" s="18">
        <f t="shared" ref="I131:I194" si="50">IF(C130&gt;0,1,-1)</f>
        <v>-1</v>
      </c>
      <c r="J131" s="19">
        <f t="shared" si="42"/>
        <v>0</v>
      </c>
      <c r="K131" s="19">
        <f t="shared" si="43"/>
        <v>2.2504156813585439E-2</v>
      </c>
      <c r="L131" s="19">
        <f t="shared" si="44"/>
        <v>0</v>
      </c>
      <c r="M131" s="19">
        <f t="shared" si="45"/>
        <v>-2.9188843619167491E-2</v>
      </c>
      <c r="N131" s="19">
        <f t="shared" si="46"/>
        <v>0</v>
      </c>
      <c r="O131" s="19">
        <f t="shared" si="47"/>
        <v>-1.8121498020384631E-2</v>
      </c>
      <c r="P131" s="19">
        <f t="shared" si="48"/>
        <v>0</v>
      </c>
      <c r="Q131" s="19">
        <f t="shared" si="49"/>
        <v>-2.1317605440437412E-2</v>
      </c>
      <c r="R131" s="19">
        <f t="shared" ref="R131:R194" si="51">J131+R130</f>
        <v>0.55276231988273439</v>
      </c>
      <c r="S131" s="19">
        <f t="shared" ref="S131:S194" si="52">K131+S130</f>
        <v>0.22868154084558209</v>
      </c>
      <c r="T131" s="19">
        <f t="shared" ref="T131:T194" si="53">L131+T130</f>
        <v>-0.10264305438168685</v>
      </c>
      <c r="U131" s="19">
        <f t="shared" ref="U131:U194" si="54">M131+U130</f>
        <v>0.38780203097690003</v>
      </c>
      <c r="V131" s="19">
        <f t="shared" ref="V131:V194" si="55">N131+V130</f>
        <v>0.46510213770414216</v>
      </c>
      <c r="W131" s="19">
        <f t="shared" ref="W131:W194" si="56">O131+W130</f>
        <v>0.22987061387354932</v>
      </c>
      <c r="X131" s="19">
        <f t="shared" ref="X131:X194" si="57">P131+X130</f>
        <v>0.38263566363793594</v>
      </c>
      <c r="Y131" s="19">
        <f t="shared" ref="Y131:Y194" si="58">Q131+Y130</f>
        <v>4.4330924150591713E-2</v>
      </c>
      <c r="AA131" s="19">
        <f t="shared" ref="AA131:AA194" si="59">SUM(J131:Q131)+AA130</f>
        <v>2.1885421766897495</v>
      </c>
      <c r="AB131" s="19">
        <f t="shared" ref="AB131:AB194" si="60">B131+AB130</f>
        <v>0.79574525048332034</v>
      </c>
    </row>
    <row r="132" spans="1:28" x14ac:dyDescent="0.25">
      <c r="A132" s="13">
        <f>[1]Data!A135</f>
        <v>41426</v>
      </c>
      <c r="B132" s="14">
        <f>[1]Data!B135</f>
        <v>-1.3434459342048375E-2</v>
      </c>
      <c r="C132" s="14">
        <f>[1]Data!C135</f>
        <v>3.0018815692336921E-2</v>
      </c>
      <c r="D132" s="15">
        <f>[1]Data!F135</f>
        <v>8.4509075095197637E-3</v>
      </c>
      <c r="E132" s="16">
        <f>[1]Data!G135</f>
        <v>1.864379831240106E-2</v>
      </c>
      <c r="F132" s="15">
        <f>[1]Data!H135</f>
        <v>8.2257846729030561E-3</v>
      </c>
      <c r="G132" s="16">
        <f>[1]Data!I135</f>
        <v>-8.9288896184721283E-3</v>
      </c>
      <c r="H132" s="17">
        <f t="shared" si="41"/>
        <v>-1</v>
      </c>
      <c r="I132" s="18">
        <f t="shared" si="50"/>
        <v>1</v>
      </c>
      <c r="J132" s="19">
        <f t="shared" si="42"/>
        <v>0</v>
      </c>
      <c r="K132" s="19">
        <f t="shared" si="43"/>
        <v>-8.4509075095197637E-3</v>
      </c>
      <c r="L132" s="19">
        <f t="shared" si="44"/>
        <v>0</v>
      </c>
      <c r="M132" s="19">
        <f t="shared" si="45"/>
        <v>1.864379831240106E-2</v>
      </c>
      <c r="N132" s="19">
        <f t="shared" si="46"/>
        <v>8.2257846729030561E-3</v>
      </c>
      <c r="O132" s="19">
        <f t="shared" si="47"/>
        <v>0</v>
      </c>
      <c r="P132" s="19">
        <f t="shared" si="48"/>
        <v>8.9288896184721283E-3</v>
      </c>
      <c r="Q132" s="19">
        <f t="shared" si="49"/>
        <v>0</v>
      </c>
      <c r="R132" s="19">
        <f t="shared" si="51"/>
        <v>0.55276231988273439</v>
      </c>
      <c r="S132" s="19">
        <f t="shared" si="52"/>
        <v>0.22023063333606233</v>
      </c>
      <c r="T132" s="19">
        <f t="shared" si="53"/>
        <v>-0.10264305438168685</v>
      </c>
      <c r="U132" s="19">
        <f t="shared" si="54"/>
        <v>0.40644582928930106</v>
      </c>
      <c r="V132" s="19">
        <f t="shared" si="55"/>
        <v>0.47332792237704524</v>
      </c>
      <c r="W132" s="19">
        <f t="shared" si="56"/>
        <v>0.22987061387354932</v>
      </c>
      <c r="X132" s="19">
        <f t="shared" si="57"/>
        <v>0.39156455325640804</v>
      </c>
      <c r="Y132" s="19">
        <f t="shared" si="58"/>
        <v>4.4330924150591713E-2</v>
      </c>
      <c r="AA132" s="19">
        <f t="shared" si="59"/>
        <v>2.215889741784006</v>
      </c>
      <c r="AB132" s="19">
        <f t="shared" si="60"/>
        <v>0.782310791141272</v>
      </c>
    </row>
    <row r="133" spans="1:28" x14ac:dyDescent="0.25">
      <c r="A133" s="13">
        <f>[1]Data!A136</f>
        <v>41456</v>
      </c>
      <c r="B133" s="14">
        <f>[1]Data!B136</f>
        <v>5.0386066825862129E-2</v>
      </c>
      <c r="C133" s="14">
        <f>[1]Data!C136</f>
        <v>6.2600037934992706E-2</v>
      </c>
      <c r="D133" s="15">
        <f>[1]Data!F136</f>
        <v>-4.6718772956767327E-3</v>
      </c>
      <c r="E133" s="16">
        <f>[1]Data!G136</f>
        <v>-1.5295859344960876E-2</v>
      </c>
      <c r="F133" s="15">
        <f>[1]Data!H136</f>
        <v>2.1766430283560859E-2</v>
      </c>
      <c r="G133" s="16">
        <f>[1]Data!I136</f>
        <v>-2.6652367865186946E-2</v>
      </c>
      <c r="H133" s="17">
        <f t="shared" si="41"/>
        <v>-1</v>
      </c>
      <c r="I133" s="18">
        <f t="shared" si="50"/>
        <v>1</v>
      </c>
      <c r="J133" s="19">
        <f t="shared" si="42"/>
        <v>0</v>
      </c>
      <c r="K133" s="19">
        <f t="shared" si="43"/>
        <v>4.6718772956767327E-3</v>
      </c>
      <c r="L133" s="19">
        <f t="shared" si="44"/>
        <v>0</v>
      </c>
      <c r="M133" s="19">
        <f t="shared" si="45"/>
        <v>-1.5295859344960876E-2</v>
      </c>
      <c r="N133" s="19">
        <f t="shared" si="46"/>
        <v>2.1766430283560859E-2</v>
      </c>
      <c r="O133" s="19">
        <f t="shared" si="47"/>
        <v>0</v>
      </c>
      <c r="P133" s="19">
        <f t="shared" si="48"/>
        <v>2.6652367865186946E-2</v>
      </c>
      <c r="Q133" s="19">
        <f t="shared" si="49"/>
        <v>0</v>
      </c>
      <c r="R133" s="19">
        <f t="shared" si="51"/>
        <v>0.55276231988273439</v>
      </c>
      <c r="S133" s="19">
        <f t="shared" si="52"/>
        <v>0.22490251063173905</v>
      </c>
      <c r="T133" s="19">
        <f t="shared" si="53"/>
        <v>-0.10264305438168685</v>
      </c>
      <c r="U133" s="19">
        <f t="shared" si="54"/>
        <v>0.3911499699443402</v>
      </c>
      <c r="V133" s="19">
        <f t="shared" si="55"/>
        <v>0.49509435266060609</v>
      </c>
      <c r="W133" s="19">
        <f t="shared" si="56"/>
        <v>0.22987061387354932</v>
      </c>
      <c r="X133" s="19">
        <f t="shared" si="57"/>
        <v>0.41821692112159498</v>
      </c>
      <c r="Y133" s="19">
        <f t="shared" si="58"/>
        <v>4.4330924150591713E-2</v>
      </c>
      <c r="AA133" s="19">
        <f t="shared" si="59"/>
        <v>2.2536845578834694</v>
      </c>
      <c r="AB133" s="19">
        <f t="shared" si="60"/>
        <v>0.83269685796713411</v>
      </c>
    </row>
    <row r="134" spans="1:28" x14ac:dyDescent="0.25">
      <c r="A134" s="13">
        <f>[1]Data!A137</f>
        <v>41487</v>
      </c>
      <c r="B134" s="14">
        <f>[1]Data!B137</f>
        <v>-3.0451293131387565E-2</v>
      </c>
      <c r="C134" s="14">
        <f>[1]Data!C137</f>
        <v>2.5687274559438564E-2</v>
      </c>
      <c r="D134" s="15">
        <f>[1]Data!F137</f>
        <v>-5.5454360670213719E-3</v>
      </c>
      <c r="E134" s="16">
        <f>[1]Data!G137</f>
        <v>3.7098944833011585E-2</v>
      </c>
      <c r="F134" s="15">
        <f>[1]Data!H137</f>
        <v>2.7818948816240403E-3</v>
      </c>
      <c r="G134" s="16">
        <f>[1]Data!I137</f>
        <v>-5.8814672931020691E-3</v>
      </c>
      <c r="H134" s="17">
        <f t="shared" si="41"/>
        <v>-1</v>
      </c>
      <c r="I134" s="18">
        <f t="shared" si="50"/>
        <v>1</v>
      </c>
      <c r="J134" s="19">
        <f t="shared" si="42"/>
        <v>0</v>
      </c>
      <c r="K134" s="19">
        <f t="shared" si="43"/>
        <v>5.5454360670213719E-3</v>
      </c>
      <c r="L134" s="19">
        <f t="shared" si="44"/>
        <v>0</v>
      </c>
      <c r="M134" s="19">
        <f t="shared" si="45"/>
        <v>3.7098944833011585E-2</v>
      </c>
      <c r="N134" s="19">
        <f t="shared" si="46"/>
        <v>2.7818948816240403E-3</v>
      </c>
      <c r="O134" s="19">
        <f t="shared" si="47"/>
        <v>0</v>
      </c>
      <c r="P134" s="19">
        <f t="shared" si="48"/>
        <v>5.8814672931020691E-3</v>
      </c>
      <c r="Q134" s="19">
        <f t="shared" si="49"/>
        <v>0</v>
      </c>
      <c r="R134" s="19">
        <f t="shared" si="51"/>
        <v>0.55276231988273439</v>
      </c>
      <c r="S134" s="19">
        <f t="shared" si="52"/>
        <v>0.23044794669876043</v>
      </c>
      <c r="T134" s="19">
        <f t="shared" si="53"/>
        <v>-0.10264305438168685</v>
      </c>
      <c r="U134" s="19">
        <f t="shared" si="54"/>
        <v>0.42824891477735177</v>
      </c>
      <c r="V134" s="19">
        <f t="shared" si="55"/>
        <v>0.49787624754223014</v>
      </c>
      <c r="W134" s="19">
        <f t="shared" si="56"/>
        <v>0.22987061387354932</v>
      </c>
      <c r="X134" s="19">
        <f t="shared" si="57"/>
        <v>0.42409838841469705</v>
      </c>
      <c r="Y134" s="19">
        <f t="shared" si="58"/>
        <v>4.4330924150591713E-2</v>
      </c>
      <c r="AA134" s="19">
        <f t="shared" si="59"/>
        <v>2.3049923009582285</v>
      </c>
      <c r="AB134" s="19">
        <f t="shared" si="60"/>
        <v>0.80224556483574649</v>
      </c>
    </row>
    <row r="135" spans="1:28" x14ac:dyDescent="0.25">
      <c r="A135" s="13">
        <f>[1]Data!A138</f>
        <v>41518</v>
      </c>
      <c r="B135" s="14">
        <f>[1]Data!B138</f>
        <v>3.1156271217842636E-2</v>
      </c>
      <c r="C135" s="14">
        <f>[1]Data!C138</f>
        <v>4.271853352354326E-2</v>
      </c>
      <c r="D135" s="15">
        <f>[1]Data!F138</f>
        <v>-1.1362589132228687E-2</v>
      </c>
      <c r="E135" s="16">
        <f>[1]Data!G138</f>
        <v>6.695969945125127E-3</v>
      </c>
      <c r="F135" s="15">
        <f>[1]Data!H138</f>
        <v>2.4029239055914524E-2</v>
      </c>
      <c r="G135" s="16">
        <f>[1]Data!I138</f>
        <v>-2.5010337846288627E-2</v>
      </c>
      <c r="H135" s="17">
        <f t="shared" si="41"/>
        <v>-1</v>
      </c>
      <c r="I135" s="18">
        <f t="shared" si="50"/>
        <v>1</v>
      </c>
      <c r="J135" s="19">
        <f t="shared" si="42"/>
        <v>0</v>
      </c>
      <c r="K135" s="19">
        <f t="shared" si="43"/>
        <v>1.1362589132228687E-2</v>
      </c>
      <c r="L135" s="19">
        <f t="shared" si="44"/>
        <v>0</v>
      </c>
      <c r="M135" s="19">
        <f t="shared" si="45"/>
        <v>6.695969945125127E-3</v>
      </c>
      <c r="N135" s="19">
        <f t="shared" si="46"/>
        <v>2.4029239055914524E-2</v>
      </c>
      <c r="O135" s="19">
        <f t="shared" si="47"/>
        <v>0</v>
      </c>
      <c r="P135" s="19">
        <f t="shared" si="48"/>
        <v>2.5010337846288627E-2</v>
      </c>
      <c r="Q135" s="19">
        <f t="shared" si="49"/>
        <v>0</v>
      </c>
      <c r="R135" s="19">
        <f t="shared" si="51"/>
        <v>0.55276231988273439</v>
      </c>
      <c r="S135" s="19">
        <f t="shared" si="52"/>
        <v>0.2418105358309891</v>
      </c>
      <c r="T135" s="19">
        <f t="shared" si="53"/>
        <v>-0.10264305438168685</v>
      </c>
      <c r="U135" s="19">
        <f t="shared" si="54"/>
        <v>0.43494488472247689</v>
      </c>
      <c r="V135" s="19">
        <f t="shared" si="55"/>
        <v>0.52190548659814462</v>
      </c>
      <c r="W135" s="19">
        <f t="shared" si="56"/>
        <v>0.22987061387354932</v>
      </c>
      <c r="X135" s="19">
        <f t="shared" si="57"/>
        <v>0.44910872626098569</v>
      </c>
      <c r="Y135" s="19">
        <f t="shared" si="58"/>
        <v>4.4330924150591713E-2</v>
      </c>
      <c r="AA135" s="19">
        <f t="shared" si="59"/>
        <v>2.3720904369377855</v>
      </c>
      <c r="AB135" s="19">
        <f t="shared" si="60"/>
        <v>0.83340183605358908</v>
      </c>
    </row>
    <row r="136" spans="1:28" x14ac:dyDescent="0.25">
      <c r="A136" s="13">
        <f>[1]Data!A139</f>
        <v>41548</v>
      </c>
      <c r="B136" s="14">
        <f>[1]Data!B139</f>
        <v>4.5265907890214986E-2</v>
      </c>
      <c r="C136" s="14">
        <f>[1]Data!C139</f>
        <v>3.1895853535162097E-2</v>
      </c>
      <c r="D136" s="15">
        <f>[1]Data!F139</f>
        <v>7.9384439573847148E-3</v>
      </c>
      <c r="E136" s="16">
        <f>[1]Data!G139</f>
        <v>8.7705908782456151E-3</v>
      </c>
      <c r="F136" s="15">
        <f>[1]Data!H139</f>
        <v>-3.4585024641157359E-3</v>
      </c>
      <c r="G136" s="16">
        <f>[1]Data!I139</f>
        <v>1.6917837140625804E-4</v>
      </c>
      <c r="H136" s="17">
        <f t="shared" si="41"/>
        <v>-1</v>
      </c>
      <c r="I136" s="18">
        <f t="shared" si="50"/>
        <v>1</v>
      </c>
      <c r="J136" s="19">
        <f t="shared" si="42"/>
        <v>0</v>
      </c>
      <c r="K136" s="19">
        <f t="shared" si="43"/>
        <v>-7.9384439573847148E-3</v>
      </c>
      <c r="L136" s="19">
        <f t="shared" si="44"/>
        <v>0</v>
      </c>
      <c r="M136" s="19">
        <f t="shared" si="45"/>
        <v>8.7705908782456151E-3</v>
      </c>
      <c r="N136" s="19">
        <f t="shared" si="46"/>
        <v>-3.4585024641157359E-3</v>
      </c>
      <c r="O136" s="19">
        <f t="shared" si="47"/>
        <v>0</v>
      </c>
      <c r="P136" s="19">
        <f t="shared" si="48"/>
        <v>-1.6917837140625804E-4</v>
      </c>
      <c r="Q136" s="19">
        <f t="shared" si="49"/>
        <v>0</v>
      </c>
      <c r="R136" s="19">
        <f t="shared" si="51"/>
        <v>0.55276231988273439</v>
      </c>
      <c r="S136" s="19">
        <f t="shared" si="52"/>
        <v>0.23387209187360439</v>
      </c>
      <c r="T136" s="19">
        <f t="shared" si="53"/>
        <v>-0.10264305438168685</v>
      </c>
      <c r="U136" s="19">
        <f t="shared" si="54"/>
        <v>0.4437154756007225</v>
      </c>
      <c r="V136" s="19">
        <f t="shared" si="55"/>
        <v>0.5184469841340289</v>
      </c>
      <c r="W136" s="19">
        <f t="shared" si="56"/>
        <v>0.22987061387354932</v>
      </c>
      <c r="X136" s="19">
        <f t="shared" si="57"/>
        <v>0.44893954788957946</v>
      </c>
      <c r="Y136" s="19">
        <f t="shared" si="58"/>
        <v>4.4330924150591713E-2</v>
      </c>
      <c r="AA136" s="19">
        <f t="shared" si="59"/>
        <v>2.3692949030231243</v>
      </c>
      <c r="AB136" s="19">
        <f t="shared" si="60"/>
        <v>0.87866774394380409</v>
      </c>
    </row>
    <row r="137" spans="1:28" x14ac:dyDescent="0.25">
      <c r="A137" s="13">
        <f>[1]Data!A140</f>
        <v>41579</v>
      </c>
      <c r="B137" s="14">
        <f>[1]Data!B140</f>
        <v>2.920710217632325E-2</v>
      </c>
      <c r="C137" s="14">
        <f>[1]Data!C140</f>
        <v>6.5036453962394089E-2</v>
      </c>
      <c r="D137" s="15">
        <f>[1]Data!F140</f>
        <v>6.0399916583899569E-3</v>
      </c>
      <c r="E137" s="16">
        <f>[1]Data!G140</f>
        <v>1.4464837081395749E-2</v>
      </c>
      <c r="F137" s="15">
        <f>[1]Data!H140</f>
        <v>-4.9038568950418963E-3</v>
      </c>
      <c r="G137" s="16">
        <f>[1]Data!I140</f>
        <v>-1.3050836595594313E-2</v>
      </c>
      <c r="H137" s="17">
        <f t="shared" si="41"/>
        <v>-1</v>
      </c>
      <c r="I137" s="18">
        <f t="shared" si="50"/>
        <v>1</v>
      </c>
      <c r="J137" s="19">
        <f t="shared" si="42"/>
        <v>0</v>
      </c>
      <c r="K137" s="19">
        <f t="shared" si="43"/>
        <v>-6.0399916583899569E-3</v>
      </c>
      <c r="L137" s="19">
        <f t="shared" si="44"/>
        <v>0</v>
      </c>
      <c r="M137" s="19">
        <f t="shared" si="45"/>
        <v>1.4464837081395749E-2</v>
      </c>
      <c r="N137" s="19">
        <f t="shared" si="46"/>
        <v>-4.9038568950418963E-3</v>
      </c>
      <c r="O137" s="19">
        <f t="shared" si="47"/>
        <v>0</v>
      </c>
      <c r="P137" s="19">
        <f t="shared" si="48"/>
        <v>1.3050836595594313E-2</v>
      </c>
      <c r="Q137" s="19">
        <f t="shared" si="49"/>
        <v>0</v>
      </c>
      <c r="R137" s="19">
        <f t="shared" si="51"/>
        <v>0.55276231988273439</v>
      </c>
      <c r="S137" s="19">
        <f t="shared" si="52"/>
        <v>0.22783210021521444</v>
      </c>
      <c r="T137" s="19">
        <f t="shared" si="53"/>
        <v>-0.10264305438168685</v>
      </c>
      <c r="U137" s="19">
        <f t="shared" si="54"/>
        <v>0.45818031268211823</v>
      </c>
      <c r="V137" s="19">
        <f t="shared" si="55"/>
        <v>0.51354312723898699</v>
      </c>
      <c r="W137" s="19">
        <f t="shared" si="56"/>
        <v>0.22987061387354932</v>
      </c>
      <c r="X137" s="19">
        <f t="shared" si="57"/>
        <v>0.46199038448517377</v>
      </c>
      <c r="Y137" s="19">
        <f t="shared" si="58"/>
        <v>4.4330924150591713E-2</v>
      </c>
      <c r="AA137" s="19">
        <f t="shared" si="59"/>
        <v>2.3858667281466825</v>
      </c>
      <c r="AB137" s="19">
        <f t="shared" si="60"/>
        <v>0.90787484612012737</v>
      </c>
    </row>
    <row r="138" spans="1:28" x14ac:dyDescent="0.25">
      <c r="A138" s="13">
        <f>[1]Data!A141</f>
        <v>41609</v>
      </c>
      <c r="B138" s="14">
        <f>[1]Data!B141</f>
        <v>2.5596487779456702E-2</v>
      </c>
      <c r="C138" s="14">
        <f>[1]Data!C141</f>
        <v>7.4478869860950016E-3</v>
      </c>
      <c r="D138" s="15">
        <f>[1]Data!F141</f>
        <v>1.7092852679268359E-2</v>
      </c>
      <c r="E138" s="16">
        <f>[1]Data!G141</f>
        <v>-1.9929216336758784E-2</v>
      </c>
      <c r="F138" s="15">
        <f>[1]Data!H141</f>
        <v>-3.3168428079503876E-4</v>
      </c>
      <c r="G138" s="16">
        <f>[1]Data!I141</f>
        <v>-1.1783673687023415E-2</v>
      </c>
      <c r="H138" s="17">
        <f t="shared" si="41"/>
        <v>-1</v>
      </c>
      <c r="I138" s="18">
        <f t="shared" si="50"/>
        <v>1</v>
      </c>
      <c r="J138" s="19">
        <f t="shared" si="42"/>
        <v>0</v>
      </c>
      <c r="K138" s="19">
        <f t="shared" si="43"/>
        <v>-1.7092852679268359E-2</v>
      </c>
      <c r="L138" s="19">
        <f t="shared" si="44"/>
        <v>0</v>
      </c>
      <c r="M138" s="19">
        <f t="shared" si="45"/>
        <v>-1.9929216336758784E-2</v>
      </c>
      <c r="N138" s="19">
        <f t="shared" si="46"/>
        <v>-3.3168428079503876E-4</v>
      </c>
      <c r="O138" s="19">
        <f t="shared" si="47"/>
        <v>0</v>
      </c>
      <c r="P138" s="19">
        <f t="shared" si="48"/>
        <v>1.1783673687023415E-2</v>
      </c>
      <c r="Q138" s="19">
        <f t="shared" si="49"/>
        <v>0</v>
      </c>
      <c r="R138" s="19">
        <f t="shared" si="51"/>
        <v>0.55276231988273439</v>
      </c>
      <c r="S138" s="19">
        <f t="shared" si="52"/>
        <v>0.21073924753594608</v>
      </c>
      <c r="T138" s="19">
        <f t="shared" si="53"/>
        <v>-0.10264305438168685</v>
      </c>
      <c r="U138" s="19">
        <f t="shared" si="54"/>
        <v>0.43825109634535947</v>
      </c>
      <c r="V138" s="19">
        <f t="shared" si="55"/>
        <v>0.51321144295819199</v>
      </c>
      <c r="W138" s="19">
        <f t="shared" si="56"/>
        <v>0.22987061387354932</v>
      </c>
      <c r="X138" s="19">
        <f t="shared" si="57"/>
        <v>0.4737740581721972</v>
      </c>
      <c r="Y138" s="19">
        <f t="shared" si="58"/>
        <v>4.4330924150591713E-2</v>
      </c>
      <c r="AA138" s="19">
        <f t="shared" si="59"/>
        <v>2.3602966485368837</v>
      </c>
      <c r="AB138" s="19">
        <f t="shared" si="60"/>
        <v>0.93347133389958403</v>
      </c>
    </row>
    <row r="139" spans="1:28" x14ac:dyDescent="0.25">
      <c r="A139" s="13">
        <f>[1]Data!A142</f>
        <v>41640</v>
      </c>
      <c r="B139" s="14">
        <f>[1]Data!B142</f>
        <v>-3.5884832374277587E-2</v>
      </c>
      <c r="C139" s="14">
        <f>[1]Data!C142</f>
        <v>-5.7606663173614812E-2</v>
      </c>
      <c r="D139" s="15">
        <f>[1]Data!F142</f>
        <v>-2.5543672746040948E-2</v>
      </c>
      <c r="E139" s="16">
        <f>[1]Data!G142</f>
        <v>1.3855692819023779E-2</v>
      </c>
      <c r="F139" s="15">
        <f>[1]Data!H142</f>
        <v>-6.3551146934423533E-3</v>
      </c>
      <c r="G139" s="16">
        <f>[1]Data!I142</f>
        <v>7.0442276873245637E-3</v>
      </c>
      <c r="H139" s="17">
        <f t="shared" si="41"/>
        <v>1</v>
      </c>
      <c r="I139" s="18">
        <f t="shared" si="50"/>
        <v>1</v>
      </c>
      <c r="J139" s="19">
        <f t="shared" si="42"/>
        <v>-2.5543672746040948E-2</v>
      </c>
      <c r="K139" s="19">
        <f t="shared" si="43"/>
        <v>0</v>
      </c>
      <c r="L139" s="19">
        <f t="shared" si="44"/>
        <v>-1.3855692819023779E-2</v>
      </c>
      <c r="M139" s="19">
        <f t="shared" si="45"/>
        <v>0</v>
      </c>
      <c r="N139" s="19">
        <f t="shared" si="46"/>
        <v>-6.3551146934423533E-3</v>
      </c>
      <c r="O139" s="19">
        <f t="shared" si="47"/>
        <v>0</v>
      </c>
      <c r="P139" s="19">
        <f t="shared" si="48"/>
        <v>-7.0442276873245637E-3</v>
      </c>
      <c r="Q139" s="19">
        <f t="shared" si="49"/>
        <v>0</v>
      </c>
      <c r="R139" s="19">
        <f t="shared" si="51"/>
        <v>0.52721864713669342</v>
      </c>
      <c r="S139" s="19">
        <f t="shared" si="52"/>
        <v>0.21073924753594608</v>
      </c>
      <c r="T139" s="19">
        <f t="shared" si="53"/>
        <v>-0.11649874720071063</v>
      </c>
      <c r="U139" s="19">
        <f t="shared" si="54"/>
        <v>0.43825109634535947</v>
      </c>
      <c r="V139" s="19">
        <f t="shared" si="55"/>
        <v>0.50685632826474969</v>
      </c>
      <c r="W139" s="19">
        <f t="shared" si="56"/>
        <v>0.22987061387354932</v>
      </c>
      <c r="X139" s="19">
        <f t="shared" si="57"/>
        <v>0.46672983048487265</v>
      </c>
      <c r="Y139" s="19">
        <f t="shared" si="58"/>
        <v>4.4330924150591713E-2</v>
      </c>
      <c r="AA139" s="19">
        <f t="shared" si="59"/>
        <v>2.3074979405910518</v>
      </c>
      <c r="AB139" s="19">
        <f t="shared" si="60"/>
        <v>0.89758650152530639</v>
      </c>
    </row>
    <row r="140" spans="1:28" x14ac:dyDescent="0.25">
      <c r="A140" s="13">
        <f>[1]Data!A143</f>
        <v>41671</v>
      </c>
      <c r="B140" s="14">
        <f>[1]Data!B143</f>
        <v>4.4510681913880017E-2</v>
      </c>
      <c r="C140" s="14">
        <f>[1]Data!C143</f>
        <v>5.2038071955602172E-2</v>
      </c>
      <c r="D140" s="15">
        <f>[1]Data!F143</f>
        <v>7.43543068712804E-3</v>
      </c>
      <c r="E140" s="16">
        <f>[1]Data!G143</f>
        <v>2.0189452425049874E-2</v>
      </c>
      <c r="F140" s="15">
        <f>[1]Data!H143</f>
        <v>8.3832583804043254E-3</v>
      </c>
      <c r="G140" s="16">
        <f>[1]Data!I143</f>
        <v>-1.1303611344157445E-2</v>
      </c>
      <c r="H140" s="17">
        <f t="shared" si="41"/>
        <v>-1</v>
      </c>
      <c r="I140" s="18">
        <f t="shared" si="50"/>
        <v>-1</v>
      </c>
      <c r="J140" s="19">
        <f t="shared" si="42"/>
        <v>0</v>
      </c>
      <c r="K140" s="19">
        <f t="shared" si="43"/>
        <v>-7.43543068712804E-3</v>
      </c>
      <c r="L140" s="19">
        <f t="shared" si="44"/>
        <v>0</v>
      </c>
      <c r="M140" s="19">
        <f t="shared" si="45"/>
        <v>2.0189452425049874E-2</v>
      </c>
      <c r="N140" s="19">
        <f t="shared" si="46"/>
        <v>0</v>
      </c>
      <c r="O140" s="19">
        <f t="shared" si="47"/>
        <v>-8.3832583804043254E-3</v>
      </c>
      <c r="P140" s="19">
        <f t="shared" si="48"/>
        <v>0</v>
      </c>
      <c r="Q140" s="19">
        <f t="shared" si="49"/>
        <v>-1.1303611344157445E-2</v>
      </c>
      <c r="R140" s="19">
        <f t="shared" si="51"/>
        <v>0.52721864713669342</v>
      </c>
      <c r="S140" s="19">
        <f t="shared" si="52"/>
        <v>0.20330381684881804</v>
      </c>
      <c r="T140" s="19">
        <f t="shared" si="53"/>
        <v>-0.11649874720071063</v>
      </c>
      <c r="U140" s="19">
        <f t="shared" si="54"/>
        <v>0.45844054877040935</v>
      </c>
      <c r="V140" s="19">
        <f t="shared" si="55"/>
        <v>0.50685632826474969</v>
      </c>
      <c r="W140" s="19">
        <f t="shared" si="56"/>
        <v>0.22148735549314499</v>
      </c>
      <c r="X140" s="19">
        <f t="shared" si="57"/>
        <v>0.46672983048487265</v>
      </c>
      <c r="Y140" s="19">
        <f t="shared" si="58"/>
        <v>3.302731280643427E-2</v>
      </c>
      <c r="AA140" s="19">
        <f t="shared" si="59"/>
        <v>2.3005650926044119</v>
      </c>
      <c r="AB140" s="19">
        <f t="shared" si="60"/>
        <v>0.94209718343918636</v>
      </c>
    </row>
    <row r="141" spans="1:28" x14ac:dyDescent="0.25">
      <c r="A141" s="13">
        <f>[1]Data!A144</f>
        <v>41699</v>
      </c>
      <c r="B141" s="14">
        <f>[1]Data!B144</f>
        <v>8.261260744244877E-3</v>
      </c>
      <c r="C141" s="14">
        <f>[1]Data!C144</f>
        <v>4.6308562504127123E-3</v>
      </c>
      <c r="D141" s="15">
        <f>[1]Data!F144</f>
        <v>4.3409963714916332E-3</v>
      </c>
      <c r="E141" s="16">
        <f>[1]Data!G144</f>
        <v>8.0059352866194301E-3</v>
      </c>
      <c r="F141" s="15">
        <f>[1]Data!H144</f>
        <v>1.0519160187812208E-2</v>
      </c>
      <c r="G141" s="16">
        <f>[1]Data!I144</f>
        <v>-2.2569149314126617E-2</v>
      </c>
      <c r="H141" s="17">
        <f t="shared" si="41"/>
        <v>-1</v>
      </c>
      <c r="I141" s="18">
        <f t="shared" si="50"/>
        <v>1</v>
      </c>
      <c r="J141" s="19">
        <f t="shared" si="42"/>
        <v>0</v>
      </c>
      <c r="K141" s="19">
        <f t="shared" si="43"/>
        <v>-4.3409963714916332E-3</v>
      </c>
      <c r="L141" s="19">
        <f t="shared" si="44"/>
        <v>0</v>
      </c>
      <c r="M141" s="19">
        <f t="shared" si="45"/>
        <v>8.0059352866194301E-3</v>
      </c>
      <c r="N141" s="19">
        <f t="shared" si="46"/>
        <v>1.0519160187812208E-2</v>
      </c>
      <c r="O141" s="19">
        <f t="shared" si="47"/>
        <v>0</v>
      </c>
      <c r="P141" s="19">
        <f t="shared" si="48"/>
        <v>2.2569149314126617E-2</v>
      </c>
      <c r="Q141" s="19">
        <f t="shared" si="49"/>
        <v>0</v>
      </c>
      <c r="R141" s="19">
        <f t="shared" si="51"/>
        <v>0.52721864713669342</v>
      </c>
      <c r="S141" s="19">
        <f t="shared" si="52"/>
        <v>0.19896282047732641</v>
      </c>
      <c r="T141" s="19">
        <f t="shared" si="53"/>
        <v>-0.11649874720071063</v>
      </c>
      <c r="U141" s="19">
        <f t="shared" si="54"/>
        <v>0.46644648405702877</v>
      </c>
      <c r="V141" s="19">
        <f t="shared" si="55"/>
        <v>0.51737548845256187</v>
      </c>
      <c r="W141" s="19">
        <f t="shared" si="56"/>
        <v>0.22148735549314499</v>
      </c>
      <c r="X141" s="19">
        <f t="shared" si="57"/>
        <v>0.48929897979899928</v>
      </c>
      <c r="Y141" s="19">
        <f t="shared" si="58"/>
        <v>3.302731280643427E-2</v>
      </c>
      <c r="AA141" s="19">
        <f t="shared" si="59"/>
        <v>2.3373183410214784</v>
      </c>
      <c r="AB141" s="19">
        <f t="shared" si="60"/>
        <v>0.95035844418343118</v>
      </c>
    </row>
    <row r="142" spans="1:28" x14ac:dyDescent="0.25">
      <c r="A142" s="13">
        <f>[1]Data!A145</f>
        <v>41730</v>
      </c>
      <c r="B142" s="14">
        <f>[1]Data!B145</f>
        <v>6.9271787675743383E-3</v>
      </c>
      <c r="C142" s="14">
        <f>[1]Data!C145</f>
        <v>-9.0872182205124809E-3</v>
      </c>
      <c r="D142" s="15">
        <f>[1]Data!F145</f>
        <v>2.2328598019322244E-3</v>
      </c>
      <c r="E142" s="16">
        <f>[1]Data!G145</f>
        <v>6.95412991192133E-3</v>
      </c>
      <c r="F142" s="15">
        <f>[1]Data!H145</f>
        <v>-1.438041450549481E-2</v>
      </c>
      <c r="G142" s="16">
        <f>[1]Data!I145</f>
        <v>2.6613784614609092E-3</v>
      </c>
      <c r="H142" s="17">
        <f t="shared" si="41"/>
        <v>1</v>
      </c>
      <c r="I142" s="18">
        <f t="shared" si="50"/>
        <v>1</v>
      </c>
      <c r="J142" s="19">
        <f t="shared" si="42"/>
        <v>2.2328598019322244E-3</v>
      </c>
      <c r="K142" s="19">
        <f t="shared" si="43"/>
        <v>0</v>
      </c>
      <c r="L142" s="19">
        <f t="shared" si="44"/>
        <v>-6.95412991192133E-3</v>
      </c>
      <c r="M142" s="19">
        <f t="shared" si="45"/>
        <v>0</v>
      </c>
      <c r="N142" s="19">
        <f t="shared" si="46"/>
        <v>-1.438041450549481E-2</v>
      </c>
      <c r="O142" s="19">
        <f t="shared" si="47"/>
        <v>0</v>
      </c>
      <c r="P142" s="19">
        <f t="shared" si="48"/>
        <v>-2.6613784614609092E-3</v>
      </c>
      <c r="Q142" s="19">
        <f t="shared" si="49"/>
        <v>0</v>
      </c>
      <c r="R142" s="19">
        <f t="shared" si="51"/>
        <v>0.52945150693862564</v>
      </c>
      <c r="S142" s="19">
        <f t="shared" si="52"/>
        <v>0.19896282047732641</v>
      </c>
      <c r="T142" s="19">
        <f t="shared" si="53"/>
        <v>-0.12345287711263196</v>
      </c>
      <c r="U142" s="19">
        <f t="shared" si="54"/>
        <v>0.46644648405702877</v>
      </c>
      <c r="V142" s="19">
        <f t="shared" si="55"/>
        <v>0.50299507394706711</v>
      </c>
      <c r="W142" s="19">
        <f t="shared" si="56"/>
        <v>0.22148735549314499</v>
      </c>
      <c r="X142" s="19">
        <f t="shared" si="57"/>
        <v>0.48663760133753836</v>
      </c>
      <c r="Y142" s="19">
        <f t="shared" si="58"/>
        <v>3.302731280643427E-2</v>
      </c>
      <c r="AA142" s="19">
        <f t="shared" si="59"/>
        <v>2.3155552779445334</v>
      </c>
      <c r="AB142" s="19">
        <f t="shared" si="60"/>
        <v>0.9572856229510055</v>
      </c>
    </row>
    <row r="143" spans="1:28" x14ac:dyDescent="0.25">
      <c r="A143" s="13">
        <f>[1]Data!A146</f>
        <v>41760</v>
      </c>
      <c r="B143" s="14">
        <f>[1]Data!B146</f>
        <v>2.2940834571251054E-2</v>
      </c>
      <c r="C143" s="14">
        <f>[1]Data!C146</f>
        <v>-8.4663293622192735E-3</v>
      </c>
      <c r="D143" s="15">
        <f>[1]Data!F146</f>
        <v>1.8595814523711462E-2</v>
      </c>
      <c r="E143" s="16">
        <f>[1]Data!G146</f>
        <v>1.6257243407320737E-2</v>
      </c>
      <c r="F143" s="15">
        <f>[1]Data!H146</f>
        <v>-2.2860627922248302E-3</v>
      </c>
      <c r="G143" s="16">
        <f>[1]Data!I146</f>
        <v>1.1206014391874592E-2</v>
      </c>
      <c r="H143" s="17">
        <f t="shared" si="41"/>
        <v>1</v>
      </c>
      <c r="I143" s="18">
        <f t="shared" si="50"/>
        <v>-1</v>
      </c>
      <c r="J143" s="19">
        <f t="shared" si="42"/>
        <v>1.8595814523711462E-2</v>
      </c>
      <c r="K143" s="19">
        <f t="shared" si="43"/>
        <v>0</v>
      </c>
      <c r="L143" s="19">
        <f t="shared" si="44"/>
        <v>-1.6257243407320737E-2</v>
      </c>
      <c r="M143" s="19">
        <f t="shared" si="45"/>
        <v>0</v>
      </c>
      <c r="N143" s="19">
        <f t="shared" si="46"/>
        <v>0</v>
      </c>
      <c r="O143" s="19">
        <f t="shared" si="47"/>
        <v>2.2860627922248302E-3</v>
      </c>
      <c r="P143" s="19">
        <f t="shared" si="48"/>
        <v>0</v>
      </c>
      <c r="Q143" s="19">
        <f t="shared" si="49"/>
        <v>1.1206014391874592E-2</v>
      </c>
      <c r="R143" s="19">
        <f t="shared" si="51"/>
        <v>0.54804732146233714</v>
      </c>
      <c r="S143" s="19">
        <f t="shared" si="52"/>
        <v>0.19896282047732641</v>
      </c>
      <c r="T143" s="19">
        <f t="shared" si="53"/>
        <v>-0.13971012051995269</v>
      </c>
      <c r="U143" s="19">
        <f t="shared" si="54"/>
        <v>0.46644648405702877</v>
      </c>
      <c r="V143" s="19">
        <f t="shared" si="55"/>
        <v>0.50299507394706711</v>
      </c>
      <c r="W143" s="19">
        <f t="shared" si="56"/>
        <v>0.22377341828536981</v>
      </c>
      <c r="X143" s="19">
        <f t="shared" si="57"/>
        <v>0.48663760133753836</v>
      </c>
      <c r="Y143" s="19">
        <f t="shared" si="58"/>
        <v>4.4233327198308858E-2</v>
      </c>
      <c r="AA143" s="19">
        <f t="shared" si="59"/>
        <v>2.3313859262450234</v>
      </c>
      <c r="AB143" s="19">
        <f t="shared" si="60"/>
        <v>0.98022645752225657</v>
      </c>
    </row>
    <row r="144" spans="1:28" x14ac:dyDescent="0.25">
      <c r="A144" s="13">
        <f>[1]Data!A147</f>
        <v>41791</v>
      </c>
      <c r="B144" s="14">
        <f>[1]Data!B147</f>
        <v>2.043521183378955E-2</v>
      </c>
      <c r="C144" s="14">
        <f>[1]Data!C147</f>
        <v>3.9341876036557089E-2</v>
      </c>
      <c r="D144" s="15">
        <f>[1]Data!F147</f>
        <v>-1.1232785605316427E-3</v>
      </c>
      <c r="E144" s="16">
        <f>[1]Data!G147</f>
        <v>1.5267166968324891E-2</v>
      </c>
      <c r="F144" s="15">
        <f>[1]Data!H147</f>
        <v>1.3916117027030609E-2</v>
      </c>
      <c r="G144" s="16">
        <f>[1]Data!I147</f>
        <v>-1.9664099111772634E-2</v>
      </c>
      <c r="H144" s="17">
        <f t="shared" si="41"/>
        <v>-1</v>
      </c>
      <c r="I144" s="18">
        <f t="shared" si="50"/>
        <v>-1</v>
      </c>
      <c r="J144" s="19">
        <f t="shared" si="42"/>
        <v>0</v>
      </c>
      <c r="K144" s="19">
        <f t="shared" si="43"/>
        <v>1.1232785605316427E-3</v>
      </c>
      <c r="L144" s="19">
        <f t="shared" si="44"/>
        <v>0</v>
      </c>
      <c r="M144" s="19">
        <f t="shared" si="45"/>
        <v>1.5267166968324891E-2</v>
      </c>
      <c r="N144" s="19">
        <f t="shared" si="46"/>
        <v>0</v>
      </c>
      <c r="O144" s="19">
        <f t="shared" si="47"/>
        <v>-1.3916117027030609E-2</v>
      </c>
      <c r="P144" s="19">
        <f t="shared" si="48"/>
        <v>0</v>
      </c>
      <c r="Q144" s="19">
        <f t="shared" si="49"/>
        <v>-1.9664099111772634E-2</v>
      </c>
      <c r="R144" s="19">
        <f t="shared" si="51"/>
        <v>0.54804732146233714</v>
      </c>
      <c r="S144" s="19">
        <f t="shared" si="52"/>
        <v>0.20008609903785807</v>
      </c>
      <c r="T144" s="19">
        <f t="shared" si="53"/>
        <v>-0.13971012051995269</v>
      </c>
      <c r="U144" s="19">
        <f t="shared" si="54"/>
        <v>0.48171365102535368</v>
      </c>
      <c r="V144" s="19">
        <f t="shared" si="55"/>
        <v>0.50299507394706711</v>
      </c>
      <c r="W144" s="19">
        <f t="shared" si="56"/>
        <v>0.20985730125833921</v>
      </c>
      <c r="X144" s="19">
        <f t="shared" si="57"/>
        <v>0.48663760133753836</v>
      </c>
      <c r="Y144" s="19">
        <f t="shared" si="58"/>
        <v>2.4569228086536225E-2</v>
      </c>
      <c r="AA144" s="19">
        <f t="shared" si="59"/>
        <v>2.3141961556350767</v>
      </c>
      <c r="AB144" s="19">
        <f t="shared" si="60"/>
        <v>1.0006616693560462</v>
      </c>
    </row>
    <row r="145" spans="1:28" x14ac:dyDescent="0.25">
      <c r="A145" s="13">
        <f>[1]Data!A148</f>
        <v>41821</v>
      </c>
      <c r="B145" s="14">
        <f>[1]Data!B148</f>
        <v>-1.3528792451361432E-2</v>
      </c>
      <c r="C145" s="14">
        <f>[1]Data!C148</f>
        <v>-5.8028469728762938E-3</v>
      </c>
      <c r="D145" s="15">
        <f>[1]Data!F148</f>
        <v>-2.6120281980454192E-2</v>
      </c>
      <c r="E145" s="16">
        <f>[1]Data!G148</f>
        <v>-1.1774896057303023E-2</v>
      </c>
      <c r="F145" s="15">
        <f>[1]Data!H148</f>
        <v>2.6530085799202916E-3</v>
      </c>
      <c r="G145" s="16">
        <f>[1]Data!I148</f>
        <v>-4.3185877921053002E-3</v>
      </c>
      <c r="H145" s="17">
        <f t="shared" si="41"/>
        <v>1</v>
      </c>
      <c r="I145" s="18">
        <f t="shared" si="50"/>
        <v>1</v>
      </c>
      <c r="J145" s="19">
        <f t="shared" si="42"/>
        <v>-2.6120281980454192E-2</v>
      </c>
      <c r="K145" s="19">
        <f t="shared" si="43"/>
        <v>0</v>
      </c>
      <c r="L145" s="19">
        <f t="shared" si="44"/>
        <v>1.1774896057303023E-2</v>
      </c>
      <c r="M145" s="19">
        <f t="shared" si="45"/>
        <v>0</v>
      </c>
      <c r="N145" s="19">
        <f t="shared" si="46"/>
        <v>2.6530085799202916E-3</v>
      </c>
      <c r="O145" s="19">
        <f t="shared" si="47"/>
        <v>0</v>
      </c>
      <c r="P145" s="19">
        <f t="shared" si="48"/>
        <v>4.3185877921053002E-3</v>
      </c>
      <c r="Q145" s="19">
        <f t="shared" si="49"/>
        <v>0</v>
      </c>
      <c r="R145" s="19">
        <f t="shared" si="51"/>
        <v>0.5219270394818829</v>
      </c>
      <c r="S145" s="19">
        <f t="shared" si="52"/>
        <v>0.20008609903785807</v>
      </c>
      <c r="T145" s="19">
        <f t="shared" si="53"/>
        <v>-0.12793522446264965</v>
      </c>
      <c r="U145" s="19">
        <f t="shared" si="54"/>
        <v>0.48171365102535368</v>
      </c>
      <c r="V145" s="19">
        <f t="shared" si="55"/>
        <v>0.50564808252698745</v>
      </c>
      <c r="W145" s="19">
        <f t="shared" si="56"/>
        <v>0.20985730125833921</v>
      </c>
      <c r="X145" s="19">
        <f t="shared" si="57"/>
        <v>0.49095618912964367</v>
      </c>
      <c r="Y145" s="19">
        <f t="shared" si="58"/>
        <v>2.4569228086536225E-2</v>
      </c>
      <c r="AA145" s="19">
        <f t="shared" si="59"/>
        <v>2.3068223660839511</v>
      </c>
      <c r="AB145" s="19">
        <f t="shared" si="60"/>
        <v>0.98713287690468476</v>
      </c>
    </row>
    <row r="146" spans="1:28" x14ac:dyDescent="0.25">
      <c r="A146" s="13">
        <f>[1]Data!A149</f>
        <v>41852</v>
      </c>
      <c r="B146" s="14">
        <f>[1]Data!B149</f>
        <v>3.8704364068411844E-2</v>
      </c>
      <c r="C146" s="14">
        <f>[1]Data!C149</f>
        <v>6.9526367160309653E-3</v>
      </c>
      <c r="D146" s="15">
        <f>[1]Data!F149</f>
        <v>6.0468037390451366E-3</v>
      </c>
      <c r="E146" s="16">
        <f>[1]Data!G149</f>
        <v>2.0451193254643462E-2</v>
      </c>
      <c r="F146" s="15">
        <f>[1]Data!H149</f>
        <v>-1.0726187139792566E-2</v>
      </c>
      <c r="G146" s="16">
        <f>[1]Data!I149</f>
        <v>1.8217794169746691E-2</v>
      </c>
      <c r="H146" s="17">
        <f t="shared" si="41"/>
        <v>-1</v>
      </c>
      <c r="I146" s="18">
        <f t="shared" si="50"/>
        <v>-1</v>
      </c>
      <c r="J146" s="19">
        <f t="shared" si="42"/>
        <v>0</v>
      </c>
      <c r="K146" s="19">
        <f t="shared" si="43"/>
        <v>-6.0468037390451366E-3</v>
      </c>
      <c r="L146" s="19">
        <f t="shared" si="44"/>
        <v>0</v>
      </c>
      <c r="M146" s="19">
        <f t="shared" si="45"/>
        <v>2.0451193254643462E-2</v>
      </c>
      <c r="N146" s="19">
        <f t="shared" si="46"/>
        <v>0</v>
      </c>
      <c r="O146" s="19">
        <f t="shared" si="47"/>
        <v>1.0726187139792566E-2</v>
      </c>
      <c r="P146" s="19">
        <f t="shared" si="48"/>
        <v>0</v>
      </c>
      <c r="Q146" s="19">
        <f t="shared" si="49"/>
        <v>1.8217794169746691E-2</v>
      </c>
      <c r="R146" s="19">
        <f t="shared" si="51"/>
        <v>0.5219270394818829</v>
      </c>
      <c r="S146" s="19">
        <f t="shared" si="52"/>
        <v>0.19403929529881292</v>
      </c>
      <c r="T146" s="19">
        <f t="shared" si="53"/>
        <v>-0.12793522446264965</v>
      </c>
      <c r="U146" s="19">
        <f t="shared" si="54"/>
        <v>0.50216484427999719</v>
      </c>
      <c r="V146" s="19">
        <f t="shared" si="55"/>
        <v>0.50564808252698745</v>
      </c>
      <c r="W146" s="19">
        <f t="shared" si="56"/>
        <v>0.22058348839813177</v>
      </c>
      <c r="X146" s="19">
        <f t="shared" si="57"/>
        <v>0.49095618912964367</v>
      </c>
      <c r="Y146" s="19">
        <f t="shared" si="58"/>
        <v>4.2787022256282919E-2</v>
      </c>
      <c r="AA146" s="19">
        <f t="shared" si="59"/>
        <v>2.3501707369090887</v>
      </c>
      <c r="AB146" s="19">
        <f t="shared" si="60"/>
        <v>1.0258372409730967</v>
      </c>
    </row>
    <row r="147" spans="1:28" x14ac:dyDescent="0.25">
      <c r="A147" s="13">
        <f>[1]Data!A150</f>
        <v>41883</v>
      </c>
      <c r="B147" s="14">
        <f>[1]Data!B150</f>
        <v>-1.3891926239782942E-2</v>
      </c>
      <c r="C147" s="14">
        <f>[1]Data!C150</f>
        <v>3.1456303691018588E-2</v>
      </c>
      <c r="D147" s="15">
        <f>[1]Data!F150</f>
        <v>-1.0752948847443551E-2</v>
      </c>
      <c r="E147" s="16">
        <f>[1]Data!G150</f>
        <v>1.3245867480256876E-2</v>
      </c>
      <c r="F147" s="15">
        <f>[1]Data!H150</f>
        <v>-5.9782044308948935E-4</v>
      </c>
      <c r="G147" s="16">
        <f>[1]Data!I150</f>
        <v>-2.5572545522358669E-2</v>
      </c>
      <c r="H147" s="17">
        <f t="shared" si="41"/>
        <v>-1</v>
      </c>
      <c r="I147" s="18">
        <f t="shared" si="50"/>
        <v>1</v>
      </c>
      <c r="J147" s="19">
        <f t="shared" si="42"/>
        <v>0</v>
      </c>
      <c r="K147" s="19">
        <f t="shared" si="43"/>
        <v>1.0752948847443551E-2</v>
      </c>
      <c r="L147" s="19">
        <f t="shared" si="44"/>
        <v>0</v>
      </c>
      <c r="M147" s="19">
        <f t="shared" si="45"/>
        <v>1.3245867480256876E-2</v>
      </c>
      <c r="N147" s="19">
        <f t="shared" si="46"/>
        <v>-5.9782044308948935E-4</v>
      </c>
      <c r="O147" s="19">
        <f t="shared" si="47"/>
        <v>0</v>
      </c>
      <c r="P147" s="19">
        <f t="shared" si="48"/>
        <v>2.5572545522358669E-2</v>
      </c>
      <c r="Q147" s="19">
        <f t="shared" si="49"/>
        <v>0</v>
      </c>
      <c r="R147" s="19">
        <f t="shared" si="51"/>
        <v>0.5219270394818829</v>
      </c>
      <c r="S147" s="19">
        <f t="shared" si="52"/>
        <v>0.20479224414625646</v>
      </c>
      <c r="T147" s="19">
        <f t="shared" si="53"/>
        <v>-0.12793522446264965</v>
      </c>
      <c r="U147" s="19">
        <f t="shared" si="54"/>
        <v>0.5154107117602541</v>
      </c>
      <c r="V147" s="19">
        <f t="shared" si="55"/>
        <v>0.50505026208389792</v>
      </c>
      <c r="W147" s="19">
        <f t="shared" si="56"/>
        <v>0.22058348839813177</v>
      </c>
      <c r="X147" s="19">
        <f t="shared" si="57"/>
        <v>0.51652873465200233</v>
      </c>
      <c r="Y147" s="19">
        <f t="shared" si="58"/>
        <v>4.2787022256282919E-2</v>
      </c>
      <c r="AA147" s="19">
        <f t="shared" si="59"/>
        <v>2.3991442783160584</v>
      </c>
      <c r="AB147" s="19">
        <f t="shared" si="60"/>
        <v>1.0119453147333137</v>
      </c>
    </row>
    <row r="148" spans="1:28" x14ac:dyDescent="0.25">
      <c r="A148" s="13">
        <f>[1]Data!A151</f>
        <v>41913</v>
      </c>
      <c r="B148" s="14">
        <f>[1]Data!B151</f>
        <v>2.3277772503548649E-2</v>
      </c>
      <c r="C148" s="14">
        <f>[1]Data!C151</f>
        <v>-5.3641503951176707E-2</v>
      </c>
      <c r="D148" s="15">
        <f>[1]Data!F151</f>
        <v>3.8364168342994921E-2</v>
      </c>
      <c r="E148" s="16">
        <f>[1]Data!G151</f>
        <v>-1.0759754881652915E-2</v>
      </c>
      <c r="F148" s="15">
        <f>[1]Data!H151</f>
        <v>-1.9269004824749494E-2</v>
      </c>
      <c r="G148" s="16">
        <f>[1]Data!I151</f>
        <v>2.8717355282347038E-2</v>
      </c>
      <c r="H148" s="17">
        <f t="shared" si="41"/>
        <v>1</v>
      </c>
      <c r="I148" s="18">
        <f t="shared" si="50"/>
        <v>1</v>
      </c>
      <c r="J148" s="19">
        <f t="shared" si="42"/>
        <v>3.8364168342994921E-2</v>
      </c>
      <c r="K148" s="19">
        <f t="shared" si="43"/>
        <v>0</v>
      </c>
      <c r="L148" s="19">
        <f t="shared" si="44"/>
        <v>1.0759754881652915E-2</v>
      </c>
      <c r="M148" s="19">
        <f t="shared" si="45"/>
        <v>0</v>
      </c>
      <c r="N148" s="19">
        <f t="shared" si="46"/>
        <v>-1.9269004824749494E-2</v>
      </c>
      <c r="O148" s="19">
        <f t="shared" si="47"/>
        <v>0</v>
      </c>
      <c r="P148" s="19">
        <f t="shared" si="48"/>
        <v>-2.8717355282347038E-2</v>
      </c>
      <c r="Q148" s="19">
        <f t="shared" si="49"/>
        <v>0</v>
      </c>
      <c r="R148" s="19">
        <f t="shared" si="51"/>
        <v>0.56029120782487785</v>
      </c>
      <c r="S148" s="19">
        <f t="shared" si="52"/>
        <v>0.20479224414625646</v>
      </c>
      <c r="T148" s="19">
        <f t="shared" si="53"/>
        <v>-0.11717546958099674</v>
      </c>
      <c r="U148" s="19">
        <f t="shared" si="54"/>
        <v>0.5154107117602541</v>
      </c>
      <c r="V148" s="19">
        <f t="shared" si="55"/>
        <v>0.48578125725914845</v>
      </c>
      <c r="W148" s="19">
        <f t="shared" si="56"/>
        <v>0.22058348839813177</v>
      </c>
      <c r="X148" s="19">
        <f t="shared" si="57"/>
        <v>0.4878113793696553</v>
      </c>
      <c r="Y148" s="19">
        <f t="shared" si="58"/>
        <v>4.2787022256282919E-2</v>
      </c>
      <c r="AA148" s="19">
        <f t="shared" si="59"/>
        <v>2.4002818414336096</v>
      </c>
      <c r="AB148" s="19">
        <f t="shared" si="60"/>
        <v>1.0352230872368624</v>
      </c>
    </row>
    <row r="149" spans="1:28" x14ac:dyDescent="0.25">
      <c r="A149" s="13">
        <f>[1]Data!A152</f>
        <v>41944</v>
      </c>
      <c r="B149" s="14">
        <f>[1]Data!B152</f>
        <v>2.7101695451126152E-2</v>
      </c>
      <c r="C149" s="14">
        <f>[1]Data!C152</f>
        <v>1.5051388749237574E-2</v>
      </c>
      <c r="D149" s="15">
        <f>[1]Data!F152</f>
        <v>2.5129710988590682E-3</v>
      </c>
      <c r="E149" s="16">
        <f>[1]Data!G152</f>
        <v>1.9705352742763683E-2</v>
      </c>
      <c r="F149" s="15">
        <f>[1]Data!H152</f>
        <v>8.2962181322684646E-3</v>
      </c>
      <c r="G149" s="16">
        <f>[1]Data!I152</f>
        <v>6.6192653478077254E-3</v>
      </c>
      <c r="H149" s="17">
        <f t="shared" si="41"/>
        <v>-1</v>
      </c>
      <c r="I149" s="18">
        <f t="shared" si="50"/>
        <v>-1</v>
      </c>
      <c r="J149" s="19">
        <f t="shared" si="42"/>
        <v>0</v>
      </c>
      <c r="K149" s="19">
        <f t="shared" si="43"/>
        <v>-2.5129710988590682E-3</v>
      </c>
      <c r="L149" s="19">
        <f t="shared" si="44"/>
        <v>0</v>
      </c>
      <c r="M149" s="19">
        <f t="shared" si="45"/>
        <v>1.9705352742763683E-2</v>
      </c>
      <c r="N149" s="19">
        <f t="shared" si="46"/>
        <v>0</v>
      </c>
      <c r="O149" s="19">
        <f t="shared" si="47"/>
        <v>-8.2962181322684646E-3</v>
      </c>
      <c r="P149" s="19">
        <f t="shared" si="48"/>
        <v>0</v>
      </c>
      <c r="Q149" s="19">
        <f t="shared" si="49"/>
        <v>6.6192653478077254E-3</v>
      </c>
      <c r="R149" s="19">
        <f t="shared" si="51"/>
        <v>0.56029120782487785</v>
      </c>
      <c r="S149" s="19">
        <f t="shared" si="52"/>
        <v>0.2022792730473974</v>
      </c>
      <c r="T149" s="19">
        <f t="shared" si="53"/>
        <v>-0.11717546958099674</v>
      </c>
      <c r="U149" s="19">
        <f t="shared" si="54"/>
        <v>0.53511606450301774</v>
      </c>
      <c r="V149" s="19">
        <f t="shared" si="55"/>
        <v>0.48578125725914845</v>
      </c>
      <c r="W149" s="19">
        <f t="shared" si="56"/>
        <v>0.2122872702658633</v>
      </c>
      <c r="X149" s="19">
        <f t="shared" si="57"/>
        <v>0.4878113793696553</v>
      </c>
      <c r="Y149" s="19">
        <f t="shared" si="58"/>
        <v>4.9406287604090646E-2</v>
      </c>
      <c r="AA149" s="19">
        <f t="shared" si="59"/>
        <v>2.4157972702930532</v>
      </c>
      <c r="AB149" s="19">
        <f t="shared" si="60"/>
        <v>1.0623247826879885</v>
      </c>
    </row>
    <row r="150" spans="1:28" x14ac:dyDescent="0.25">
      <c r="A150" s="13">
        <f>[1]Data!A153</f>
        <v>41974</v>
      </c>
      <c r="B150" s="14">
        <f>[1]Data!B153</f>
        <v>-2.5400820762295131E-3</v>
      </c>
      <c r="C150" s="14">
        <f>[1]Data!C153</f>
        <v>-2.7266995987417945E-2</v>
      </c>
      <c r="D150" s="15">
        <f>[1]Data!F153</f>
        <v>-4.7567984747656725E-3</v>
      </c>
      <c r="E150" s="16">
        <f>[1]Data!G153</f>
        <v>2.5119777857141711E-3</v>
      </c>
      <c r="F150" s="15">
        <f>[1]Data!H153</f>
        <v>3.8531815807434262E-3</v>
      </c>
      <c r="G150" s="16">
        <f>[1]Data!I153</f>
        <v>-9.2316654151431577E-3</v>
      </c>
      <c r="H150" s="17">
        <f t="shared" si="41"/>
        <v>1</v>
      </c>
      <c r="I150" s="18">
        <f t="shared" si="50"/>
        <v>1</v>
      </c>
      <c r="J150" s="19">
        <f t="shared" si="42"/>
        <v>-4.7567984747656725E-3</v>
      </c>
      <c r="K150" s="19">
        <f t="shared" si="43"/>
        <v>0</v>
      </c>
      <c r="L150" s="19">
        <f t="shared" si="44"/>
        <v>-2.5119777857141711E-3</v>
      </c>
      <c r="M150" s="19">
        <f t="shared" si="45"/>
        <v>0</v>
      </c>
      <c r="N150" s="19">
        <f t="shared" si="46"/>
        <v>3.8531815807434262E-3</v>
      </c>
      <c r="O150" s="19">
        <f t="shared" si="47"/>
        <v>0</v>
      </c>
      <c r="P150" s="19">
        <f t="shared" si="48"/>
        <v>9.2316654151431577E-3</v>
      </c>
      <c r="Q150" s="19">
        <f t="shared" si="49"/>
        <v>0</v>
      </c>
      <c r="R150" s="19">
        <f t="shared" si="51"/>
        <v>0.55553440935011222</v>
      </c>
      <c r="S150" s="19">
        <f t="shared" si="52"/>
        <v>0.2022792730473974</v>
      </c>
      <c r="T150" s="19">
        <f t="shared" si="53"/>
        <v>-0.11968744736671091</v>
      </c>
      <c r="U150" s="19">
        <f t="shared" si="54"/>
        <v>0.53511606450301774</v>
      </c>
      <c r="V150" s="19">
        <f t="shared" si="55"/>
        <v>0.48963443883989188</v>
      </c>
      <c r="W150" s="19">
        <f t="shared" si="56"/>
        <v>0.2122872702658633</v>
      </c>
      <c r="X150" s="19">
        <f t="shared" si="57"/>
        <v>0.49704304478479844</v>
      </c>
      <c r="Y150" s="19">
        <f t="shared" si="58"/>
        <v>4.9406287604090646E-2</v>
      </c>
      <c r="AA150" s="19">
        <f t="shared" si="59"/>
        <v>2.4216133410284599</v>
      </c>
      <c r="AB150" s="19">
        <f t="shared" si="60"/>
        <v>1.0597847006117589</v>
      </c>
    </row>
    <row r="151" spans="1:28" x14ac:dyDescent="0.25">
      <c r="A151" s="13">
        <f>[1]Data!A154</f>
        <v>42005</v>
      </c>
      <c r="B151" s="14">
        <f>[1]Data!B154</f>
        <v>-3.0077138355879652E-2</v>
      </c>
      <c r="C151" s="14">
        <f>[1]Data!C154</f>
        <v>-7.0699789050467129E-2</v>
      </c>
      <c r="D151" s="15">
        <f>[1]Data!F154</f>
        <v>-2.7300373913802391E-2</v>
      </c>
      <c r="E151" s="16">
        <f>[1]Data!G154</f>
        <v>2.5711127852013214E-2</v>
      </c>
      <c r="F151" s="15">
        <f>[1]Data!H154</f>
        <v>1.7496835100417746E-3</v>
      </c>
      <c r="G151" s="16">
        <f>[1]Data!I154</f>
        <v>2.9191989193135804E-2</v>
      </c>
      <c r="H151" s="17">
        <f t="shared" si="41"/>
        <v>1</v>
      </c>
      <c r="I151" s="18">
        <f t="shared" si="50"/>
        <v>-1</v>
      </c>
      <c r="J151" s="19">
        <f t="shared" si="42"/>
        <v>-2.7300373913802391E-2</v>
      </c>
      <c r="K151" s="19">
        <f t="shared" si="43"/>
        <v>0</v>
      </c>
      <c r="L151" s="19">
        <f t="shared" si="44"/>
        <v>-2.5711127852013214E-2</v>
      </c>
      <c r="M151" s="19">
        <f t="shared" si="45"/>
        <v>0</v>
      </c>
      <c r="N151" s="19">
        <f t="shared" si="46"/>
        <v>0</v>
      </c>
      <c r="O151" s="19">
        <f t="shared" si="47"/>
        <v>-1.7496835100417746E-3</v>
      </c>
      <c r="P151" s="19">
        <f t="shared" si="48"/>
        <v>0</v>
      </c>
      <c r="Q151" s="19">
        <f t="shared" si="49"/>
        <v>2.9191989193135804E-2</v>
      </c>
      <c r="R151" s="19">
        <f t="shared" si="51"/>
        <v>0.52823403543630987</v>
      </c>
      <c r="S151" s="19">
        <f t="shared" si="52"/>
        <v>0.2022792730473974</v>
      </c>
      <c r="T151" s="19">
        <f t="shared" si="53"/>
        <v>-0.14539857521872412</v>
      </c>
      <c r="U151" s="19">
        <f t="shared" si="54"/>
        <v>0.53511606450301774</v>
      </c>
      <c r="V151" s="19">
        <f t="shared" si="55"/>
        <v>0.48963443883989188</v>
      </c>
      <c r="W151" s="19">
        <f t="shared" si="56"/>
        <v>0.21053758675582152</v>
      </c>
      <c r="X151" s="19">
        <f t="shared" si="57"/>
        <v>0.49704304478479844</v>
      </c>
      <c r="Y151" s="19">
        <f t="shared" si="58"/>
        <v>7.8598276797226446E-2</v>
      </c>
      <c r="AA151" s="19">
        <f t="shared" si="59"/>
        <v>2.3960441449457384</v>
      </c>
      <c r="AB151" s="19">
        <f t="shared" si="60"/>
        <v>1.0297075622558793</v>
      </c>
    </row>
    <row r="152" spans="1:28" x14ac:dyDescent="0.25">
      <c r="A152" s="13">
        <f>[1]Data!A155</f>
        <v>42036</v>
      </c>
      <c r="B152" s="14">
        <f>[1]Data!B155</f>
        <v>5.4682108409737744E-2</v>
      </c>
      <c r="C152" s="14">
        <f>[1]Data!C155</f>
        <v>0.13259843447997532</v>
      </c>
      <c r="D152" s="15">
        <f>[1]Data!F155</f>
        <v>-2.6072343328967431E-3</v>
      </c>
      <c r="E152" s="16">
        <f>[1]Data!G155</f>
        <v>1.1961143697534623E-2</v>
      </c>
      <c r="F152" s="15">
        <f>[1]Data!H155</f>
        <v>3.012602647126322E-2</v>
      </c>
      <c r="G152" s="16">
        <f>[1]Data!I155</f>
        <v>-5.2368750151624968E-2</v>
      </c>
      <c r="H152" s="17">
        <f t="shared" si="41"/>
        <v>-1</v>
      </c>
      <c r="I152" s="18">
        <f t="shared" si="50"/>
        <v>-1</v>
      </c>
      <c r="J152" s="19">
        <f t="shared" si="42"/>
        <v>0</v>
      </c>
      <c r="K152" s="19">
        <f t="shared" si="43"/>
        <v>2.6072343328967431E-3</v>
      </c>
      <c r="L152" s="19">
        <f t="shared" si="44"/>
        <v>0</v>
      </c>
      <c r="M152" s="19">
        <f t="shared" si="45"/>
        <v>1.1961143697534623E-2</v>
      </c>
      <c r="N152" s="19">
        <f t="shared" si="46"/>
        <v>0</v>
      </c>
      <c r="O152" s="19">
        <f t="shared" si="47"/>
        <v>-3.012602647126322E-2</v>
      </c>
      <c r="P152" s="19">
        <f t="shared" si="48"/>
        <v>0</v>
      </c>
      <c r="Q152" s="19">
        <f t="shared" si="49"/>
        <v>-5.2368750151624968E-2</v>
      </c>
      <c r="R152" s="19">
        <f t="shared" si="51"/>
        <v>0.52823403543630987</v>
      </c>
      <c r="S152" s="19">
        <f t="shared" si="52"/>
        <v>0.20488650738029415</v>
      </c>
      <c r="T152" s="19">
        <f t="shared" si="53"/>
        <v>-0.14539857521872412</v>
      </c>
      <c r="U152" s="19">
        <f t="shared" si="54"/>
        <v>0.54707720820055239</v>
      </c>
      <c r="V152" s="19">
        <f t="shared" si="55"/>
        <v>0.48963443883989188</v>
      </c>
      <c r="W152" s="19">
        <f t="shared" si="56"/>
        <v>0.18041156028455829</v>
      </c>
      <c r="X152" s="19">
        <f t="shared" si="57"/>
        <v>0.49704304478479844</v>
      </c>
      <c r="Y152" s="19">
        <f t="shared" si="58"/>
        <v>2.6229526645601478E-2</v>
      </c>
      <c r="AA152" s="19">
        <f t="shared" si="59"/>
        <v>2.3281177463532816</v>
      </c>
      <c r="AB152" s="19">
        <f t="shared" si="60"/>
        <v>1.0843896706656171</v>
      </c>
    </row>
    <row r="153" spans="1:28" x14ac:dyDescent="0.25">
      <c r="A153" s="13">
        <f>[1]Data!A156</f>
        <v>42064</v>
      </c>
      <c r="B153" s="14">
        <f>[1]Data!B156</f>
        <v>-1.5830436461085864E-2</v>
      </c>
      <c r="C153" s="14">
        <f>[1]Data!C156</f>
        <v>-1.3851110603715921E-2</v>
      </c>
      <c r="D153" s="15">
        <f>[1]Data!F156</f>
        <v>-1.9096523008057423E-2</v>
      </c>
      <c r="E153" s="16">
        <f>[1]Data!G156</f>
        <v>-6.2547408141788701E-3</v>
      </c>
      <c r="F153" s="15">
        <f>[1]Data!H156</f>
        <v>-1.5114157304979031E-2</v>
      </c>
      <c r="G153" s="16">
        <f>[1]Data!I156</f>
        <v>-4.5724602445418344E-2</v>
      </c>
      <c r="H153" s="17">
        <f t="shared" si="41"/>
        <v>1</v>
      </c>
      <c r="I153" s="18">
        <f t="shared" si="50"/>
        <v>1</v>
      </c>
      <c r="J153" s="19">
        <f t="shared" si="42"/>
        <v>-1.9096523008057423E-2</v>
      </c>
      <c r="K153" s="19">
        <f t="shared" si="43"/>
        <v>0</v>
      </c>
      <c r="L153" s="19">
        <f t="shared" si="44"/>
        <v>6.2547408141788701E-3</v>
      </c>
      <c r="M153" s="19">
        <f t="shared" si="45"/>
        <v>0</v>
      </c>
      <c r="N153" s="19">
        <f t="shared" si="46"/>
        <v>-1.5114157304979031E-2</v>
      </c>
      <c r="O153" s="19">
        <f t="shared" si="47"/>
        <v>0</v>
      </c>
      <c r="P153" s="19">
        <f t="shared" si="48"/>
        <v>4.5724602445418344E-2</v>
      </c>
      <c r="Q153" s="19">
        <f t="shared" si="49"/>
        <v>0</v>
      </c>
      <c r="R153" s="19">
        <f t="shared" si="51"/>
        <v>0.50913751242825245</v>
      </c>
      <c r="S153" s="19">
        <f t="shared" si="52"/>
        <v>0.20488650738029415</v>
      </c>
      <c r="T153" s="19">
        <f t="shared" si="53"/>
        <v>-0.13914383440454525</v>
      </c>
      <c r="U153" s="19">
        <f t="shared" si="54"/>
        <v>0.54707720820055239</v>
      </c>
      <c r="V153" s="19">
        <f t="shared" si="55"/>
        <v>0.47452028153491288</v>
      </c>
      <c r="W153" s="19">
        <f t="shared" si="56"/>
        <v>0.18041156028455829</v>
      </c>
      <c r="X153" s="19">
        <f t="shared" si="57"/>
        <v>0.54276764723021675</v>
      </c>
      <c r="Y153" s="19">
        <f t="shared" si="58"/>
        <v>2.6229526645601478E-2</v>
      </c>
      <c r="AA153" s="19">
        <f t="shared" si="59"/>
        <v>2.3458864092998422</v>
      </c>
      <c r="AB153" s="19">
        <f t="shared" si="60"/>
        <v>1.0685592342045311</v>
      </c>
    </row>
    <row r="154" spans="1:28" x14ac:dyDescent="0.25">
      <c r="A154" s="13">
        <f>[1]Data!A157</f>
        <v>42095</v>
      </c>
      <c r="B154" s="14">
        <f>[1]Data!B157</f>
        <v>9.7858249923448888E-3</v>
      </c>
      <c r="C154" s="14">
        <f>[1]Data!C157</f>
        <v>4.1038420983999575E-2</v>
      </c>
      <c r="D154" s="15">
        <f>[1]Data!F157</f>
        <v>-1.0355893863015015E-2</v>
      </c>
      <c r="E154" s="16">
        <f>[1]Data!G157</f>
        <v>-1.3955240408851044E-2</v>
      </c>
      <c r="F154" s="15">
        <f>[1]Data!H157</f>
        <v>7.4805965369962634E-3</v>
      </c>
      <c r="G154" s="16">
        <f>[1]Data!I157</f>
        <v>5.4520331312920417E-3</v>
      </c>
      <c r="H154" s="17">
        <f t="shared" si="41"/>
        <v>-1</v>
      </c>
      <c r="I154" s="18">
        <f t="shared" si="50"/>
        <v>-1</v>
      </c>
      <c r="J154" s="19">
        <f t="shared" si="42"/>
        <v>0</v>
      </c>
      <c r="K154" s="19">
        <f t="shared" si="43"/>
        <v>1.0355893863015015E-2</v>
      </c>
      <c r="L154" s="19">
        <f t="shared" si="44"/>
        <v>0</v>
      </c>
      <c r="M154" s="19">
        <f t="shared" si="45"/>
        <v>-1.3955240408851044E-2</v>
      </c>
      <c r="N154" s="19">
        <f t="shared" si="46"/>
        <v>0</v>
      </c>
      <c r="O154" s="19">
        <f t="shared" si="47"/>
        <v>-7.4805965369962634E-3</v>
      </c>
      <c r="P154" s="19">
        <f t="shared" si="48"/>
        <v>0</v>
      </c>
      <c r="Q154" s="19">
        <f t="shared" si="49"/>
        <v>5.4520331312920417E-3</v>
      </c>
      <c r="R154" s="19">
        <f t="shared" si="51"/>
        <v>0.50913751242825245</v>
      </c>
      <c r="S154" s="19">
        <f t="shared" si="52"/>
        <v>0.21524240124330918</v>
      </c>
      <c r="T154" s="19">
        <f t="shared" si="53"/>
        <v>-0.13914383440454525</v>
      </c>
      <c r="U154" s="19">
        <f t="shared" si="54"/>
        <v>0.5331219677917014</v>
      </c>
      <c r="V154" s="19">
        <f t="shared" si="55"/>
        <v>0.47452028153491288</v>
      </c>
      <c r="W154" s="19">
        <f t="shared" si="56"/>
        <v>0.17293096374756203</v>
      </c>
      <c r="X154" s="19">
        <f t="shared" si="57"/>
        <v>0.54276764723021675</v>
      </c>
      <c r="Y154" s="19">
        <f t="shared" si="58"/>
        <v>3.168155977689352E-2</v>
      </c>
      <c r="AA154" s="19">
        <f t="shared" si="59"/>
        <v>2.3402584993483018</v>
      </c>
      <c r="AB154" s="19">
        <f t="shared" si="60"/>
        <v>1.078345059196876</v>
      </c>
    </row>
    <row r="155" spans="1:28" x14ac:dyDescent="0.25">
      <c r="A155" s="13">
        <f>[1]Data!A158</f>
        <v>42125</v>
      </c>
      <c r="B155" s="14">
        <f>[1]Data!B158</f>
        <v>1.2774392163248202E-2</v>
      </c>
      <c r="C155" s="14">
        <f>[1]Data!C158</f>
        <v>6.7319854623018691E-2</v>
      </c>
      <c r="D155" s="15">
        <f>[1]Data!F158</f>
        <v>-1.111529005607859E-2</v>
      </c>
      <c r="E155" s="16">
        <f>[1]Data!G158</f>
        <v>1.9420032067166186E-2</v>
      </c>
      <c r="F155" s="15">
        <f>[1]Data!H158</f>
        <v>1.9650585500238949E-3</v>
      </c>
      <c r="G155" s="16">
        <f>[1]Data!I158</f>
        <v>-2.8339030536422463E-2</v>
      </c>
      <c r="H155" s="17">
        <f t="shared" si="41"/>
        <v>-1</v>
      </c>
      <c r="I155" s="18">
        <f t="shared" si="50"/>
        <v>1</v>
      </c>
      <c r="J155" s="19">
        <f t="shared" si="42"/>
        <v>0</v>
      </c>
      <c r="K155" s="19">
        <f t="shared" si="43"/>
        <v>1.111529005607859E-2</v>
      </c>
      <c r="L155" s="19">
        <f t="shared" si="44"/>
        <v>0</v>
      </c>
      <c r="M155" s="19">
        <f t="shared" si="45"/>
        <v>1.9420032067166186E-2</v>
      </c>
      <c r="N155" s="19">
        <f t="shared" si="46"/>
        <v>1.9650585500238949E-3</v>
      </c>
      <c r="O155" s="19">
        <f t="shared" si="47"/>
        <v>0</v>
      </c>
      <c r="P155" s="19">
        <f t="shared" si="48"/>
        <v>2.8339030536422463E-2</v>
      </c>
      <c r="Q155" s="19">
        <f t="shared" si="49"/>
        <v>0</v>
      </c>
      <c r="R155" s="19">
        <f t="shared" si="51"/>
        <v>0.50913751242825245</v>
      </c>
      <c r="S155" s="19">
        <f t="shared" si="52"/>
        <v>0.22635769129938776</v>
      </c>
      <c r="T155" s="19">
        <f t="shared" si="53"/>
        <v>-0.13914383440454525</v>
      </c>
      <c r="U155" s="19">
        <f t="shared" si="54"/>
        <v>0.55254199985886754</v>
      </c>
      <c r="V155" s="19">
        <f t="shared" si="55"/>
        <v>0.47648534008493676</v>
      </c>
      <c r="W155" s="19">
        <f t="shared" si="56"/>
        <v>0.17293096374756203</v>
      </c>
      <c r="X155" s="19">
        <f t="shared" si="57"/>
        <v>0.57110667776663926</v>
      </c>
      <c r="Y155" s="19">
        <f t="shared" si="58"/>
        <v>3.168155977689352E-2</v>
      </c>
      <c r="AA155" s="19">
        <f t="shared" si="59"/>
        <v>2.401097910557993</v>
      </c>
      <c r="AB155" s="19">
        <f t="shared" si="60"/>
        <v>1.0911194513601241</v>
      </c>
    </row>
    <row r="156" spans="1:28" x14ac:dyDescent="0.25">
      <c r="A156" s="13">
        <f>[1]Data!A159</f>
        <v>42156</v>
      </c>
      <c r="B156" s="14">
        <f>[1]Data!B159</f>
        <v>-2.0521157444240472E-2</v>
      </c>
      <c r="C156" s="14">
        <f>[1]Data!C159</f>
        <v>3.1163276315692066E-2</v>
      </c>
      <c r="D156" s="15">
        <f>[1]Data!F159</f>
        <v>-2.3809079336050955E-2</v>
      </c>
      <c r="E156" s="16">
        <f>[1]Data!G159</f>
        <v>-1.3697034469442378E-2</v>
      </c>
      <c r="F156" s="15">
        <f>[1]Data!H159</f>
        <v>-6.5098595877133691E-3</v>
      </c>
      <c r="G156" s="16">
        <f>[1]Data!I159</f>
        <v>-4.0381752071421091E-2</v>
      </c>
      <c r="H156" s="17">
        <f t="shared" si="41"/>
        <v>-1</v>
      </c>
      <c r="I156" s="18">
        <f t="shared" si="50"/>
        <v>1</v>
      </c>
      <c r="J156" s="19">
        <f t="shared" si="42"/>
        <v>0</v>
      </c>
      <c r="K156" s="19">
        <f t="shared" si="43"/>
        <v>2.3809079336050955E-2</v>
      </c>
      <c r="L156" s="19">
        <f t="shared" si="44"/>
        <v>0</v>
      </c>
      <c r="M156" s="19">
        <f t="shared" si="45"/>
        <v>-1.3697034469442378E-2</v>
      </c>
      <c r="N156" s="19">
        <f t="shared" si="46"/>
        <v>-6.5098595877133691E-3</v>
      </c>
      <c r="O156" s="19">
        <f t="shared" si="47"/>
        <v>0</v>
      </c>
      <c r="P156" s="19">
        <f t="shared" si="48"/>
        <v>4.0381752071421091E-2</v>
      </c>
      <c r="Q156" s="19">
        <f t="shared" si="49"/>
        <v>0</v>
      </c>
      <c r="R156" s="19">
        <f t="shared" si="51"/>
        <v>0.50913751242825245</v>
      </c>
      <c r="S156" s="19">
        <f t="shared" si="52"/>
        <v>0.25016677063543874</v>
      </c>
      <c r="T156" s="19">
        <f t="shared" si="53"/>
        <v>-0.13914383440454525</v>
      </c>
      <c r="U156" s="19">
        <f t="shared" si="54"/>
        <v>0.53884496538942517</v>
      </c>
      <c r="V156" s="19">
        <f t="shared" si="55"/>
        <v>0.46997548049722337</v>
      </c>
      <c r="W156" s="19">
        <f t="shared" si="56"/>
        <v>0.17293096374756203</v>
      </c>
      <c r="X156" s="19">
        <f t="shared" si="57"/>
        <v>0.6114884298380604</v>
      </c>
      <c r="Y156" s="19">
        <f t="shared" si="58"/>
        <v>3.168155977689352E-2</v>
      </c>
      <c r="AA156" s="19">
        <f t="shared" si="59"/>
        <v>2.4450818479083094</v>
      </c>
      <c r="AB156" s="19">
        <f t="shared" si="60"/>
        <v>1.0705982939158836</v>
      </c>
    </row>
    <row r="157" spans="1:28" x14ac:dyDescent="0.25">
      <c r="A157" s="13">
        <f>[1]Data!A160</f>
        <v>42186</v>
      </c>
      <c r="B157" s="14">
        <f>[1]Data!B160</f>
        <v>2.2337821735104964E-2</v>
      </c>
      <c r="C157" s="14">
        <f>[1]Data!C160</f>
        <v>6.2088838354534184E-3</v>
      </c>
      <c r="D157" s="15">
        <f>[1]Data!F160</f>
        <v>-4.1244751796122416E-3</v>
      </c>
      <c r="E157" s="16">
        <f>[1]Data!G160</f>
        <v>2.4203098919391156E-2</v>
      </c>
      <c r="F157" s="15">
        <f>[1]Data!H160</f>
        <v>-6.4332078092742412E-3</v>
      </c>
      <c r="G157" s="16">
        <f>[1]Data!I160</f>
        <v>2.6005983252300129E-2</v>
      </c>
      <c r="H157" s="17">
        <f t="shared" si="41"/>
        <v>-1</v>
      </c>
      <c r="I157" s="18">
        <f t="shared" si="50"/>
        <v>1</v>
      </c>
      <c r="J157" s="19">
        <f t="shared" si="42"/>
        <v>0</v>
      </c>
      <c r="K157" s="19">
        <f t="shared" si="43"/>
        <v>4.1244751796122416E-3</v>
      </c>
      <c r="L157" s="19">
        <f t="shared" si="44"/>
        <v>0</v>
      </c>
      <c r="M157" s="19">
        <f t="shared" si="45"/>
        <v>2.4203098919391156E-2</v>
      </c>
      <c r="N157" s="19">
        <f t="shared" si="46"/>
        <v>-6.4332078092742412E-3</v>
      </c>
      <c r="O157" s="19">
        <f t="shared" si="47"/>
        <v>0</v>
      </c>
      <c r="P157" s="19">
        <f t="shared" si="48"/>
        <v>-2.6005983252300129E-2</v>
      </c>
      <c r="Q157" s="19">
        <f t="shared" si="49"/>
        <v>0</v>
      </c>
      <c r="R157" s="19">
        <f t="shared" si="51"/>
        <v>0.50913751242825245</v>
      </c>
      <c r="S157" s="19">
        <f t="shared" si="52"/>
        <v>0.25429124581505097</v>
      </c>
      <c r="T157" s="19">
        <f t="shared" si="53"/>
        <v>-0.13914383440454525</v>
      </c>
      <c r="U157" s="19">
        <f t="shared" si="54"/>
        <v>0.56304806430881638</v>
      </c>
      <c r="V157" s="19">
        <f t="shared" si="55"/>
        <v>0.46354227268794912</v>
      </c>
      <c r="W157" s="19">
        <f t="shared" si="56"/>
        <v>0.17293096374756203</v>
      </c>
      <c r="X157" s="19">
        <f t="shared" si="57"/>
        <v>0.58548244658576032</v>
      </c>
      <c r="Y157" s="19">
        <f t="shared" si="58"/>
        <v>3.168155977689352E-2</v>
      </c>
      <c r="AA157" s="19">
        <f t="shared" si="59"/>
        <v>2.4409702309457386</v>
      </c>
      <c r="AB157" s="19">
        <f t="shared" si="60"/>
        <v>1.0929361156509885</v>
      </c>
    </row>
    <row r="158" spans="1:28" x14ac:dyDescent="0.25">
      <c r="A158" s="13">
        <f>[1]Data!A161</f>
        <v>42217</v>
      </c>
      <c r="B158" s="14">
        <f>[1]Data!B161</f>
        <v>-6.2887021100616863E-2</v>
      </c>
      <c r="C158" s="14">
        <f>[1]Data!C161</f>
        <v>-9.5354494814687524E-2</v>
      </c>
      <c r="D158" s="15">
        <f>[1]Data!F161</f>
        <v>-8.0953972423731917E-4</v>
      </c>
      <c r="E158" s="16">
        <f>[1]Data!G161</f>
        <v>-4.0195584245480739E-2</v>
      </c>
      <c r="F158" s="15">
        <f>[1]Data!H161</f>
        <v>-1.218806252468007E-2</v>
      </c>
      <c r="G158" s="16">
        <f>[1]Data!I161</f>
        <v>1.6845244317525061E-2</v>
      </c>
      <c r="H158" s="17">
        <f t="shared" si="41"/>
        <v>1</v>
      </c>
      <c r="I158" s="18">
        <f t="shared" si="50"/>
        <v>1</v>
      </c>
      <c r="J158" s="19">
        <f t="shared" si="42"/>
        <v>-8.0953972423731917E-4</v>
      </c>
      <c r="K158" s="19">
        <f t="shared" si="43"/>
        <v>0</v>
      </c>
      <c r="L158" s="19">
        <f t="shared" si="44"/>
        <v>4.0195584245480739E-2</v>
      </c>
      <c r="M158" s="19">
        <f t="shared" si="45"/>
        <v>0</v>
      </c>
      <c r="N158" s="19">
        <f t="shared" si="46"/>
        <v>-1.218806252468007E-2</v>
      </c>
      <c r="O158" s="19">
        <f t="shared" si="47"/>
        <v>0</v>
      </c>
      <c r="P158" s="19">
        <f t="shared" si="48"/>
        <v>-1.6845244317525061E-2</v>
      </c>
      <c r="Q158" s="19">
        <f t="shared" si="49"/>
        <v>0</v>
      </c>
      <c r="R158" s="19">
        <f t="shared" si="51"/>
        <v>0.50832797270401509</v>
      </c>
      <c r="S158" s="19">
        <f t="shared" si="52"/>
        <v>0.25429124581505097</v>
      </c>
      <c r="T158" s="19">
        <f t="shared" si="53"/>
        <v>-9.8948250159064513E-2</v>
      </c>
      <c r="U158" s="19">
        <f t="shared" si="54"/>
        <v>0.56304806430881638</v>
      </c>
      <c r="V158" s="19">
        <f t="shared" si="55"/>
        <v>0.45135421016326904</v>
      </c>
      <c r="W158" s="19">
        <f t="shared" si="56"/>
        <v>0.17293096374756203</v>
      </c>
      <c r="X158" s="19">
        <f t="shared" si="57"/>
        <v>0.56863720226823522</v>
      </c>
      <c r="Y158" s="19">
        <f t="shared" si="58"/>
        <v>3.168155977689352E-2</v>
      </c>
      <c r="AA158" s="19">
        <f t="shared" si="59"/>
        <v>2.4513229686247771</v>
      </c>
      <c r="AB158" s="19">
        <f t="shared" si="60"/>
        <v>1.0300490945503715</v>
      </c>
    </row>
    <row r="159" spans="1:28" x14ac:dyDescent="0.25">
      <c r="A159" s="13">
        <f>[1]Data!A162</f>
        <v>42248</v>
      </c>
      <c r="B159" s="14">
        <f>[1]Data!B162</f>
        <v>-2.5846755755736188E-2</v>
      </c>
      <c r="C159" s="14">
        <f>[1]Data!C162</f>
        <v>-1.9148062031934934E-2</v>
      </c>
      <c r="D159" s="15">
        <f>[1]Data!F162</f>
        <v>-1.1827538096814309E-2</v>
      </c>
      <c r="E159" s="16">
        <f>[1]Data!G162</f>
        <v>1.4348772094628426E-2</v>
      </c>
      <c r="F159" s="15">
        <f>[1]Data!H162</f>
        <v>-1.2148979169161432E-3</v>
      </c>
      <c r="G159" s="16">
        <f>[1]Data!I162</f>
        <v>-2.3722182186536999E-3</v>
      </c>
      <c r="H159" s="17">
        <f t="shared" si="41"/>
        <v>1</v>
      </c>
      <c r="I159" s="18">
        <f t="shared" si="50"/>
        <v>-1</v>
      </c>
      <c r="J159" s="19">
        <f t="shared" si="42"/>
        <v>-1.1827538096814309E-2</v>
      </c>
      <c r="K159" s="19">
        <f t="shared" si="43"/>
        <v>0</v>
      </c>
      <c r="L159" s="19">
        <f t="shared" si="44"/>
        <v>-1.4348772094628426E-2</v>
      </c>
      <c r="M159" s="19">
        <f t="shared" si="45"/>
        <v>0</v>
      </c>
      <c r="N159" s="19">
        <f t="shared" si="46"/>
        <v>0</v>
      </c>
      <c r="O159" s="19">
        <f t="shared" si="47"/>
        <v>1.2148979169161432E-3</v>
      </c>
      <c r="P159" s="19">
        <f t="shared" si="48"/>
        <v>0</v>
      </c>
      <c r="Q159" s="19">
        <f t="shared" si="49"/>
        <v>-2.3722182186536999E-3</v>
      </c>
      <c r="R159" s="19">
        <f t="shared" si="51"/>
        <v>0.49650043460720078</v>
      </c>
      <c r="S159" s="19">
        <f t="shared" si="52"/>
        <v>0.25429124581505097</v>
      </c>
      <c r="T159" s="19">
        <f t="shared" si="53"/>
        <v>-0.11329702225369294</v>
      </c>
      <c r="U159" s="19">
        <f t="shared" si="54"/>
        <v>0.56304806430881638</v>
      </c>
      <c r="V159" s="19">
        <f t="shared" si="55"/>
        <v>0.45135421016326904</v>
      </c>
      <c r="W159" s="19">
        <f t="shared" si="56"/>
        <v>0.17414586166447818</v>
      </c>
      <c r="X159" s="19">
        <f t="shared" si="57"/>
        <v>0.56863720226823522</v>
      </c>
      <c r="Y159" s="19">
        <f t="shared" si="58"/>
        <v>2.9309341558239818E-2</v>
      </c>
      <c r="AA159" s="19">
        <f t="shared" si="59"/>
        <v>2.4239893381315967</v>
      </c>
      <c r="AB159" s="19">
        <f t="shared" si="60"/>
        <v>1.0042023387946353</v>
      </c>
    </row>
    <row r="160" spans="1:28" x14ac:dyDescent="0.25">
      <c r="A160" s="13">
        <f>[1]Data!A163</f>
        <v>42278</v>
      </c>
      <c r="B160" s="14">
        <f>[1]Data!B163</f>
        <v>8.1634835094434213E-2</v>
      </c>
      <c r="C160" s="14">
        <f>[1]Data!C163</f>
        <v>4.5764314759900657E-2</v>
      </c>
      <c r="D160" s="15">
        <f>[1]Data!F163</f>
        <v>2.9676485496842271E-2</v>
      </c>
      <c r="E160" s="16">
        <f>[1]Data!G163</f>
        <v>-1.0290644709048386E-2</v>
      </c>
      <c r="F160" s="15">
        <f>[1]Data!H163</f>
        <v>3.9796415105877808E-2</v>
      </c>
      <c r="G160" s="16">
        <f>[1]Data!I163</f>
        <v>-2.3874349834909535E-3</v>
      </c>
      <c r="H160" s="17">
        <f t="shared" si="41"/>
        <v>-1</v>
      </c>
      <c r="I160" s="18">
        <f t="shared" si="50"/>
        <v>-1</v>
      </c>
      <c r="J160" s="19">
        <f t="shared" si="42"/>
        <v>0</v>
      </c>
      <c r="K160" s="19">
        <f t="shared" si="43"/>
        <v>-2.9676485496842271E-2</v>
      </c>
      <c r="L160" s="19">
        <f t="shared" si="44"/>
        <v>0</v>
      </c>
      <c r="M160" s="19">
        <f t="shared" si="45"/>
        <v>-1.0290644709048386E-2</v>
      </c>
      <c r="N160" s="19">
        <f t="shared" si="46"/>
        <v>0</v>
      </c>
      <c r="O160" s="19">
        <f t="shared" si="47"/>
        <v>-3.9796415105877808E-2</v>
      </c>
      <c r="P160" s="19">
        <f t="shared" si="48"/>
        <v>0</v>
      </c>
      <c r="Q160" s="19">
        <f t="shared" si="49"/>
        <v>-2.3874349834909535E-3</v>
      </c>
      <c r="R160" s="19">
        <f t="shared" si="51"/>
        <v>0.49650043460720078</v>
      </c>
      <c r="S160" s="19">
        <f t="shared" si="52"/>
        <v>0.22461476031820871</v>
      </c>
      <c r="T160" s="19">
        <f t="shared" si="53"/>
        <v>-0.11329702225369294</v>
      </c>
      <c r="U160" s="19">
        <f t="shared" si="54"/>
        <v>0.55275741959976799</v>
      </c>
      <c r="V160" s="19">
        <f t="shared" si="55"/>
        <v>0.45135421016326904</v>
      </c>
      <c r="W160" s="19">
        <f t="shared" si="56"/>
        <v>0.13434944655860037</v>
      </c>
      <c r="X160" s="19">
        <f t="shared" si="57"/>
        <v>0.56863720226823522</v>
      </c>
      <c r="Y160" s="19">
        <f t="shared" si="58"/>
        <v>2.6921906574748865E-2</v>
      </c>
      <c r="AA160" s="19">
        <f t="shared" si="59"/>
        <v>2.3418383578363371</v>
      </c>
      <c r="AB160" s="19">
        <f t="shared" si="60"/>
        <v>1.0858371738890695</v>
      </c>
    </row>
    <row r="161" spans="1:28" x14ac:dyDescent="0.25">
      <c r="A161" s="13">
        <f>[1]Data!A164</f>
        <v>42309</v>
      </c>
      <c r="B161" s="14">
        <f>[1]Data!B164</f>
        <v>3.648361957249417E-3</v>
      </c>
      <c r="C161" s="14">
        <f>[1]Data!C164</f>
        <v>2.3597157568039928E-2</v>
      </c>
      <c r="D161" s="15">
        <f>[1]Data!F164</f>
        <v>-2.9665905124825896E-3</v>
      </c>
      <c r="E161" s="16">
        <f>[1]Data!G164</f>
        <v>8.267848881129353E-3</v>
      </c>
      <c r="F161" s="15">
        <f>[1]Data!H164</f>
        <v>1.0096481605360821E-2</v>
      </c>
      <c r="G161" s="16">
        <f>[1]Data!I164</f>
        <v>-2.9093910193103013E-2</v>
      </c>
      <c r="H161" s="17">
        <f t="shared" si="41"/>
        <v>-1</v>
      </c>
      <c r="I161" s="18">
        <f t="shared" si="50"/>
        <v>1</v>
      </c>
      <c r="J161" s="19">
        <f t="shared" si="42"/>
        <v>0</v>
      </c>
      <c r="K161" s="19">
        <f t="shared" si="43"/>
        <v>2.9665905124825896E-3</v>
      </c>
      <c r="L161" s="19">
        <f t="shared" si="44"/>
        <v>0</v>
      </c>
      <c r="M161" s="19">
        <f t="shared" si="45"/>
        <v>8.267848881129353E-3</v>
      </c>
      <c r="N161" s="19">
        <f t="shared" si="46"/>
        <v>1.0096481605360821E-2</v>
      </c>
      <c r="O161" s="19">
        <f t="shared" si="47"/>
        <v>0</v>
      </c>
      <c r="P161" s="19">
        <f t="shared" si="48"/>
        <v>2.9093910193103013E-2</v>
      </c>
      <c r="Q161" s="19">
        <f t="shared" si="49"/>
        <v>0</v>
      </c>
      <c r="R161" s="19">
        <f t="shared" si="51"/>
        <v>0.49650043460720078</v>
      </c>
      <c r="S161" s="19">
        <f t="shared" si="52"/>
        <v>0.22758135083069131</v>
      </c>
      <c r="T161" s="19">
        <f t="shared" si="53"/>
        <v>-0.11329702225369294</v>
      </c>
      <c r="U161" s="19">
        <f t="shared" si="54"/>
        <v>0.56102526848089729</v>
      </c>
      <c r="V161" s="19">
        <f t="shared" si="55"/>
        <v>0.46145069176862985</v>
      </c>
      <c r="W161" s="19">
        <f t="shared" si="56"/>
        <v>0.13434944655860037</v>
      </c>
      <c r="X161" s="19">
        <f t="shared" si="57"/>
        <v>0.59773111246133825</v>
      </c>
      <c r="Y161" s="19">
        <f t="shared" si="58"/>
        <v>2.6921906574748865E-2</v>
      </c>
      <c r="AA161" s="19">
        <f t="shared" si="59"/>
        <v>2.3922631890284127</v>
      </c>
      <c r="AB161" s="19">
        <f t="shared" si="60"/>
        <v>1.0894855358463189</v>
      </c>
    </row>
    <row r="162" spans="1:28" x14ac:dyDescent="0.25">
      <c r="A162" s="13">
        <f>[1]Data!A165</f>
        <v>42339</v>
      </c>
      <c r="B162" s="14">
        <f>[1]Data!B165</f>
        <v>-1.743370093820662E-2</v>
      </c>
      <c r="C162" s="14">
        <f>[1]Data!C165</f>
        <v>-4.4707882553118451E-2</v>
      </c>
      <c r="D162" s="15">
        <f>[1]Data!F165</f>
        <v>1.0849372007947153E-2</v>
      </c>
      <c r="E162" s="16">
        <f>[1]Data!G165</f>
        <v>-1.9401296744545181E-2</v>
      </c>
      <c r="F162" s="15">
        <f>[1]Data!H165</f>
        <v>-1.630539501814232E-3</v>
      </c>
      <c r="G162" s="16">
        <f>[1]Data!I165</f>
        <v>4.5852252758560568E-3</v>
      </c>
      <c r="H162" s="17">
        <f t="shared" si="41"/>
        <v>1</v>
      </c>
      <c r="I162" s="18">
        <f t="shared" si="50"/>
        <v>1</v>
      </c>
      <c r="J162" s="19">
        <f t="shared" si="42"/>
        <v>1.0849372007947153E-2</v>
      </c>
      <c r="K162" s="19">
        <f t="shared" si="43"/>
        <v>0</v>
      </c>
      <c r="L162" s="19">
        <f t="shared" si="44"/>
        <v>1.9401296744545181E-2</v>
      </c>
      <c r="M162" s="19">
        <f t="shared" si="45"/>
        <v>0</v>
      </c>
      <c r="N162" s="19">
        <f t="shared" si="46"/>
        <v>-1.630539501814232E-3</v>
      </c>
      <c r="O162" s="19">
        <f t="shared" si="47"/>
        <v>0</v>
      </c>
      <c r="P162" s="19">
        <f t="shared" si="48"/>
        <v>-4.5852252758560568E-3</v>
      </c>
      <c r="Q162" s="19">
        <f t="shared" si="49"/>
        <v>0</v>
      </c>
      <c r="R162" s="19">
        <f t="shared" si="51"/>
        <v>0.50734980661514795</v>
      </c>
      <c r="S162" s="19">
        <f t="shared" si="52"/>
        <v>0.22758135083069131</v>
      </c>
      <c r="T162" s="19">
        <f t="shared" si="53"/>
        <v>-9.3895725509147765E-2</v>
      </c>
      <c r="U162" s="19">
        <f t="shared" si="54"/>
        <v>0.56102526848089729</v>
      </c>
      <c r="V162" s="19">
        <f t="shared" si="55"/>
        <v>0.45982015226681561</v>
      </c>
      <c r="W162" s="19">
        <f t="shared" si="56"/>
        <v>0.13434944655860037</v>
      </c>
      <c r="X162" s="19">
        <f t="shared" si="57"/>
        <v>0.59314588718548222</v>
      </c>
      <c r="Y162" s="19">
        <f t="shared" si="58"/>
        <v>2.6921906574748865E-2</v>
      </c>
      <c r="AA162" s="19">
        <f t="shared" si="59"/>
        <v>2.4162980930032347</v>
      </c>
      <c r="AB162" s="19">
        <f t="shared" si="60"/>
        <v>1.0720518349081123</v>
      </c>
    </row>
    <row r="163" spans="1:28" x14ac:dyDescent="0.25">
      <c r="A163" s="13">
        <f>[1]Data!A166</f>
        <v>42370</v>
      </c>
      <c r="B163" s="14">
        <f>[1]Data!B166</f>
        <v>-5.1068365604597682E-2</v>
      </c>
      <c r="C163" s="14">
        <f>[1]Data!C166</f>
        <v>-0.12708483565857864</v>
      </c>
      <c r="D163" s="15">
        <f>[1]Data!F166</f>
        <v>3.188894838207746E-2</v>
      </c>
      <c r="E163" s="16">
        <f>[1]Data!G166</f>
        <v>1.0105922903692464E-2</v>
      </c>
      <c r="F163" s="15">
        <f>[1]Data!H166</f>
        <v>-6.0403551011066689E-2</v>
      </c>
      <c r="G163" s="16">
        <f>[1]Data!I166</f>
        <v>2.2793802983429749E-2</v>
      </c>
      <c r="H163" s="17">
        <f t="shared" si="41"/>
        <v>1</v>
      </c>
      <c r="I163" s="18">
        <f t="shared" si="50"/>
        <v>-1</v>
      </c>
      <c r="J163" s="19">
        <f t="shared" si="42"/>
        <v>3.188894838207746E-2</v>
      </c>
      <c r="K163" s="19">
        <f t="shared" si="43"/>
        <v>0</v>
      </c>
      <c r="L163" s="19">
        <f t="shared" si="44"/>
        <v>-1.0105922903692464E-2</v>
      </c>
      <c r="M163" s="19">
        <f t="shared" si="45"/>
        <v>0</v>
      </c>
      <c r="N163" s="19">
        <f t="shared" si="46"/>
        <v>0</v>
      </c>
      <c r="O163" s="19">
        <f t="shared" si="47"/>
        <v>6.0403551011066689E-2</v>
      </c>
      <c r="P163" s="19">
        <f t="shared" si="48"/>
        <v>0</v>
      </c>
      <c r="Q163" s="19">
        <f t="shared" si="49"/>
        <v>2.2793802983429749E-2</v>
      </c>
      <c r="R163" s="19">
        <f t="shared" si="51"/>
        <v>0.5392387549972254</v>
      </c>
      <c r="S163" s="19">
        <f t="shared" si="52"/>
        <v>0.22758135083069131</v>
      </c>
      <c r="T163" s="19">
        <f t="shared" si="53"/>
        <v>-0.10400164841284024</v>
      </c>
      <c r="U163" s="19">
        <f t="shared" si="54"/>
        <v>0.56102526848089729</v>
      </c>
      <c r="V163" s="19">
        <f t="shared" si="55"/>
        <v>0.45982015226681561</v>
      </c>
      <c r="W163" s="19">
        <f t="shared" si="56"/>
        <v>0.19475299756966707</v>
      </c>
      <c r="X163" s="19">
        <f t="shared" si="57"/>
        <v>0.59314588718548222</v>
      </c>
      <c r="Y163" s="19">
        <f t="shared" si="58"/>
        <v>4.9715709558178611E-2</v>
      </c>
      <c r="AA163" s="19">
        <f t="shared" si="59"/>
        <v>2.5212784724761161</v>
      </c>
      <c r="AB163" s="19">
        <f t="shared" si="60"/>
        <v>1.0209834693035147</v>
      </c>
    </row>
    <row r="164" spans="1:28" x14ac:dyDescent="0.25">
      <c r="A164" s="13">
        <f>[1]Data!A167</f>
        <v>42401</v>
      </c>
      <c r="B164" s="14">
        <f>[1]Data!B167</f>
        <v>-8.265477497735995E-4</v>
      </c>
      <c r="C164" s="14">
        <f>[1]Data!C167</f>
        <v>-2.4630094461810949E-2</v>
      </c>
      <c r="D164" s="15">
        <f>[1]Data!F167</f>
        <v>-6.2834807253695224E-3</v>
      </c>
      <c r="E164" s="16">
        <f>[1]Data!G167</f>
        <v>3.0568033501985562E-4</v>
      </c>
      <c r="F164" s="15">
        <f>[1]Data!H167</f>
        <v>-3.0237971810202546E-2</v>
      </c>
      <c r="G164" s="16">
        <f>[1]Data!I167</f>
        <v>1.2987459620864941E-2</v>
      </c>
      <c r="H164" s="17">
        <f t="shared" si="41"/>
        <v>1</v>
      </c>
      <c r="I164" s="18">
        <f t="shared" si="50"/>
        <v>-1</v>
      </c>
      <c r="J164" s="19">
        <f t="shared" si="42"/>
        <v>-6.2834807253695224E-3</v>
      </c>
      <c r="K164" s="19">
        <f t="shared" si="43"/>
        <v>0</v>
      </c>
      <c r="L164" s="19">
        <f t="shared" si="44"/>
        <v>-3.0568033501985562E-4</v>
      </c>
      <c r="M164" s="19">
        <f t="shared" si="45"/>
        <v>0</v>
      </c>
      <c r="N164" s="19">
        <f t="shared" si="46"/>
        <v>0</v>
      </c>
      <c r="O164" s="19">
        <f t="shared" si="47"/>
        <v>3.0237971810202546E-2</v>
      </c>
      <c r="P164" s="19">
        <f t="shared" si="48"/>
        <v>0</v>
      </c>
      <c r="Q164" s="19">
        <f t="shared" si="49"/>
        <v>1.2987459620864941E-2</v>
      </c>
      <c r="R164" s="19">
        <f t="shared" si="51"/>
        <v>0.53295527427185585</v>
      </c>
      <c r="S164" s="19">
        <f t="shared" si="52"/>
        <v>0.22758135083069131</v>
      </c>
      <c r="T164" s="19">
        <f t="shared" si="53"/>
        <v>-0.1043073287478601</v>
      </c>
      <c r="U164" s="19">
        <f t="shared" si="54"/>
        <v>0.56102526848089729</v>
      </c>
      <c r="V164" s="19">
        <f t="shared" si="55"/>
        <v>0.45982015226681561</v>
      </c>
      <c r="W164" s="19">
        <f t="shared" si="56"/>
        <v>0.22499096937986962</v>
      </c>
      <c r="X164" s="19">
        <f t="shared" si="57"/>
        <v>0.59314588718548222</v>
      </c>
      <c r="Y164" s="19">
        <f t="shared" si="58"/>
        <v>6.2703169179043547E-2</v>
      </c>
      <c r="AA164" s="19">
        <f t="shared" si="59"/>
        <v>2.5579147428467941</v>
      </c>
      <c r="AB164" s="19">
        <f t="shared" si="60"/>
        <v>1.0201569215537412</v>
      </c>
    </row>
    <row r="165" spans="1:28" x14ac:dyDescent="0.25">
      <c r="A165" s="13">
        <f>[1]Data!A168</f>
        <v>42430</v>
      </c>
      <c r="B165" s="14">
        <f>[1]Data!B168</f>
        <v>6.5100358621374935E-2</v>
      </c>
      <c r="C165" s="14">
        <f>[1]Data!C168</f>
        <v>8.1528112627579211E-2</v>
      </c>
      <c r="D165" s="15">
        <f>[1]Data!F168</f>
        <v>4.1443983419311662E-3</v>
      </c>
      <c r="E165" s="16">
        <f>[1]Data!G168</f>
        <v>1.9638438478543303E-2</v>
      </c>
      <c r="F165" s="15">
        <f>[1]Data!H168</f>
        <v>3.5675768355258639E-2</v>
      </c>
      <c r="G165" s="16">
        <f>[1]Data!I168</f>
        <v>-1.6753935858302635E-2</v>
      </c>
      <c r="H165" s="17">
        <f t="shared" si="41"/>
        <v>-1</v>
      </c>
      <c r="I165" s="18">
        <f t="shared" si="50"/>
        <v>-1</v>
      </c>
      <c r="J165" s="19">
        <f t="shared" si="42"/>
        <v>0</v>
      </c>
      <c r="K165" s="19">
        <f t="shared" si="43"/>
        <v>-4.1443983419311662E-3</v>
      </c>
      <c r="L165" s="19">
        <f t="shared" si="44"/>
        <v>0</v>
      </c>
      <c r="M165" s="19">
        <f t="shared" si="45"/>
        <v>1.9638438478543303E-2</v>
      </c>
      <c r="N165" s="19">
        <f t="shared" si="46"/>
        <v>0</v>
      </c>
      <c r="O165" s="19">
        <f t="shared" si="47"/>
        <v>-3.5675768355258639E-2</v>
      </c>
      <c r="P165" s="19">
        <f t="shared" si="48"/>
        <v>0</v>
      </c>
      <c r="Q165" s="19">
        <f t="shared" si="49"/>
        <v>-1.6753935858302635E-2</v>
      </c>
      <c r="R165" s="19">
        <f t="shared" si="51"/>
        <v>0.53295527427185585</v>
      </c>
      <c r="S165" s="19">
        <f t="shared" si="52"/>
        <v>0.22343695248876014</v>
      </c>
      <c r="T165" s="19">
        <f t="shared" si="53"/>
        <v>-0.1043073287478601</v>
      </c>
      <c r="U165" s="19">
        <f t="shared" si="54"/>
        <v>0.58066370695944058</v>
      </c>
      <c r="V165" s="19">
        <f t="shared" si="55"/>
        <v>0.45982015226681561</v>
      </c>
      <c r="W165" s="19">
        <f t="shared" si="56"/>
        <v>0.18931520102461097</v>
      </c>
      <c r="X165" s="19">
        <f t="shared" si="57"/>
        <v>0.59314588718548222</v>
      </c>
      <c r="Y165" s="19">
        <f t="shared" si="58"/>
        <v>4.5949233320740912E-2</v>
      </c>
      <c r="AA165" s="19">
        <f t="shared" si="59"/>
        <v>2.5209790787698449</v>
      </c>
      <c r="AB165" s="19">
        <f t="shared" si="60"/>
        <v>1.0852572801751161</v>
      </c>
    </row>
    <row r="166" spans="1:28" x14ac:dyDescent="0.25">
      <c r="A166" s="13">
        <f>[1]Data!A169</f>
        <v>42461</v>
      </c>
      <c r="B166" s="14">
        <f>[1]Data!B169</f>
        <v>3.9337100574622988E-3</v>
      </c>
      <c r="C166" s="14">
        <f>[1]Data!C169</f>
        <v>2.9387086846344723E-2</v>
      </c>
      <c r="D166" s="15">
        <f>[1]Data!F169</f>
        <v>-1.2713565067709653E-2</v>
      </c>
      <c r="E166" s="16">
        <f>[1]Data!G169</f>
        <v>5.3476681887368515E-3</v>
      </c>
      <c r="F166" s="15">
        <f>[1]Data!H169</f>
        <v>-7.6686592498916486E-3</v>
      </c>
      <c r="G166" s="16">
        <f>[1]Data!I169</f>
        <v>1.9074627177344435E-2</v>
      </c>
      <c r="H166" s="17">
        <f t="shared" si="41"/>
        <v>-1</v>
      </c>
      <c r="I166" s="18">
        <f t="shared" si="50"/>
        <v>1</v>
      </c>
      <c r="J166" s="19">
        <f t="shared" si="42"/>
        <v>0</v>
      </c>
      <c r="K166" s="19">
        <f t="shared" si="43"/>
        <v>1.2713565067709653E-2</v>
      </c>
      <c r="L166" s="19">
        <f t="shared" si="44"/>
        <v>0</v>
      </c>
      <c r="M166" s="19">
        <f t="shared" si="45"/>
        <v>5.3476681887368515E-3</v>
      </c>
      <c r="N166" s="19">
        <f t="shared" si="46"/>
        <v>-7.6686592498916486E-3</v>
      </c>
      <c r="O166" s="19">
        <f t="shared" si="47"/>
        <v>0</v>
      </c>
      <c r="P166" s="19">
        <f t="shared" si="48"/>
        <v>-1.9074627177344435E-2</v>
      </c>
      <c r="Q166" s="19">
        <f t="shared" si="49"/>
        <v>0</v>
      </c>
      <c r="R166" s="19">
        <f t="shared" si="51"/>
        <v>0.53295527427185585</v>
      </c>
      <c r="S166" s="19">
        <f t="shared" si="52"/>
        <v>0.23615051755646979</v>
      </c>
      <c r="T166" s="19">
        <f t="shared" si="53"/>
        <v>-0.1043073287478601</v>
      </c>
      <c r="U166" s="19">
        <f t="shared" si="54"/>
        <v>0.58601137514817747</v>
      </c>
      <c r="V166" s="19">
        <f t="shared" si="55"/>
        <v>0.45215149301692398</v>
      </c>
      <c r="W166" s="19">
        <f t="shared" si="56"/>
        <v>0.18931520102461097</v>
      </c>
      <c r="X166" s="19">
        <f t="shared" si="57"/>
        <v>0.5740712600081378</v>
      </c>
      <c r="Y166" s="19">
        <f t="shared" si="58"/>
        <v>4.5949233320740912E-2</v>
      </c>
      <c r="AA166" s="19">
        <f t="shared" si="59"/>
        <v>2.5122970255990555</v>
      </c>
      <c r="AB166" s="19">
        <f t="shared" si="60"/>
        <v>1.0891909902325785</v>
      </c>
    </row>
    <row r="167" spans="1:28" x14ac:dyDescent="0.25">
      <c r="A167" s="13">
        <f>[1]Data!A170</f>
        <v>42491</v>
      </c>
      <c r="B167" s="14">
        <f>[1]Data!B170</f>
        <v>1.6868509998657973E-2</v>
      </c>
      <c r="C167" s="14">
        <f>[1]Data!C170</f>
        <v>-1.2024554832864567E-2</v>
      </c>
      <c r="D167" s="15">
        <f>[1]Data!F170</f>
        <v>2.0948069375832098E-2</v>
      </c>
      <c r="E167" s="16">
        <f>[1]Data!G170</f>
        <v>7.6827314718135899E-5</v>
      </c>
      <c r="F167" s="15">
        <f>[1]Data!H170</f>
        <v>-2.9612319408264189E-3</v>
      </c>
      <c r="G167" s="16">
        <f>[1]Data!I170</f>
        <v>1.0247475125201449E-2</v>
      </c>
      <c r="H167" s="17">
        <f t="shared" si="41"/>
        <v>1</v>
      </c>
      <c r="I167" s="18">
        <f t="shared" si="50"/>
        <v>1</v>
      </c>
      <c r="J167" s="19">
        <f t="shared" si="42"/>
        <v>2.0948069375832098E-2</v>
      </c>
      <c r="K167" s="19">
        <f t="shared" si="43"/>
        <v>0</v>
      </c>
      <c r="L167" s="19">
        <f t="shared" si="44"/>
        <v>-7.6827314718135899E-5</v>
      </c>
      <c r="M167" s="19">
        <f t="shared" si="45"/>
        <v>0</v>
      </c>
      <c r="N167" s="19">
        <f t="shared" si="46"/>
        <v>-2.9612319408264189E-3</v>
      </c>
      <c r="O167" s="19">
        <f t="shared" si="47"/>
        <v>0</v>
      </c>
      <c r="P167" s="19">
        <f t="shared" si="48"/>
        <v>-1.0247475125201449E-2</v>
      </c>
      <c r="Q167" s="19">
        <f t="shared" si="49"/>
        <v>0</v>
      </c>
      <c r="R167" s="19">
        <f t="shared" si="51"/>
        <v>0.5539033436476879</v>
      </c>
      <c r="S167" s="19">
        <f t="shared" si="52"/>
        <v>0.23615051755646979</v>
      </c>
      <c r="T167" s="19">
        <f t="shared" si="53"/>
        <v>-0.10438415606257824</v>
      </c>
      <c r="U167" s="19">
        <f t="shared" si="54"/>
        <v>0.58601137514817747</v>
      </c>
      <c r="V167" s="19">
        <f t="shared" si="55"/>
        <v>0.44919026107609755</v>
      </c>
      <c r="W167" s="19">
        <f t="shared" si="56"/>
        <v>0.18931520102461097</v>
      </c>
      <c r="X167" s="19">
        <f t="shared" si="57"/>
        <v>0.56382378488293639</v>
      </c>
      <c r="Y167" s="19">
        <f t="shared" si="58"/>
        <v>4.5949233320740912E-2</v>
      </c>
      <c r="AA167" s="19">
        <f t="shared" si="59"/>
        <v>2.5199595605941418</v>
      </c>
      <c r="AB167" s="19">
        <f t="shared" si="60"/>
        <v>1.1060595002312366</v>
      </c>
    </row>
    <row r="168" spans="1:28" x14ac:dyDescent="0.25">
      <c r="A168" s="13">
        <f>[1]Data!A171</f>
        <v>42522</v>
      </c>
      <c r="B168" s="14">
        <f>[1]Data!B171</f>
        <v>3.4697405015064482E-3</v>
      </c>
      <c r="C168" s="14">
        <f>[1]Data!C171</f>
        <v>-2.9197546727335398E-2</v>
      </c>
      <c r="D168" s="15">
        <f>[1]Data!F171</f>
        <v>4.976979285724251E-3</v>
      </c>
      <c r="E168" s="16">
        <f>[1]Data!G171</f>
        <v>3.9352526260214987E-2</v>
      </c>
      <c r="F168" s="15">
        <f>[1]Data!H171</f>
        <v>8.7301279673830338E-3</v>
      </c>
      <c r="G168" s="16">
        <f>[1]Data!I171</f>
        <v>2.0324502796659233E-2</v>
      </c>
      <c r="H168" s="17">
        <f t="shared" si="41"/>
        <v>1</v>
      </c>
      <c r="I168" s="18">
        <f t="shared" si="50"/>
        <v>-1</v>
      </c>
      <c r="J168" s="19">
        <f t="shared" si="42"/>
        <v>4.976979285724251E-3</v>
      </c>
      <c r="K168" s="19">
        <f t="shared" si="43"/>
        <v>0</v>
      </c>
      <c r="L168" s="19">
        <f t="shared" si="44"/>
        <v>-3.9352526260214987E-2</v>
      </c>
      <c r="M168" s="19">
        <f t="shared" si="45"/>
        <v>0</v>
      </c>
      <c r="N168" s="19">
        <f t="shared" si="46"/>
        <v>0</v>
      </c>
      <c r="O168" s="19">
        <f t="shared" si="47"/>
        <v>-8.7301279673830338E-3</v>
      </c>
      <c r="P168" s="19">
        <f t="shared" si="48"/>
        <v>0</v>
      </c>
      <c r="Q168" s="19">
        <f t="shared" si="49"/>
        <v>2.0324502796659233E-2</v>
      </c>
      <c r="R168" s="19">
        <f t="shared" si="51"/>
        <v>0.55888032293341217</v>
      </c>
      <c r="S168" s="19">
        <f t="shared" si="52"/>
        <v>0.23615051755646979</v>
      </c>
      <c r="T168" s="19">
        <f t="shared" si="53"/>
        <v>-0.14373668232279324</v>
      </c>
      <c r="U168" s="19">
        <f t="shared" si="54"/>
        <v>0.58601137514817747</v>
      </c>
      <c r="V168" s="19">
        <f t="shared" si="55"/>
        <v>0.44919026107609755</v>
      </c>
      <c r="W168" s="19">
        <f t="shared" si="56"/>
        <v>0.18058507305722793</v>
      </c>
      <c r="X168" s="19">
        <f t="shared" si="57"/>
        <v>0.56382378488293639</v>
      </c>
      <c r="Y168" s="19">
        <f t="shared" si="58"/>
        <v>6.6273736117400145E-2</v>
      </c>
      <c r="AA168" s="19">
        <f t="shared" si="59"/>
        <v>2.4971783884489271</v>
      </c>
      <c r="AB168" s="19">
        <f t="shared" si="60"/>
        <v>1.1095292407327431</v>
      </c>
    </row>
    <row r="169" spans="1:28" x14ac:dyDescent="0.25">
      <c r="A169" s="13">
        <f>[1]Data!A172</f>
        <v>42552</v>
      </c>
      <c r="B169" s="14">
        <f>[1]Data!B172</f>
        <v>3.5821892100057956E-2</v>
      </c>
      <c r="C169" s="14">
        <f>[1]Data!C172</f>
        <v>3.5256291593103631E-2</v>
      </c>
      <c r="D169" s="15">
        <f>[1]Data!F172</f>
        <v>-5.5268728358230418E-4</v>
      </c>
      <c r="E169" s="16">
        <f>[1]Data!G172</f>
        <v>1.9689017932577588E-2</v>
      </c>
      <c r="F169" s="15">
        <f>[1]Data!H172</f>
        <v>1.5018996527943824E-2</v>
      </c>
      <c r="G169" s="16">
        <f>[1]Data!I172</f>
        <v>3.5115431920828666E-2</v>
      </c>
      <c r="H169" s="17">
        <f t="shared" si="41"/>
        <v>-1</v>
      </c>
      <c r="I169" s="18">
        <f t="shared" si="50"/>
        <v>-1</v>
      </c>
      <c r="J169" s="19">
        <f t="shared" si="42"/>
        <v>0</v>
      </c>
      <c r="K169" s="19">
        <f t="shared" si="43"/>
        <v>5.5268728358230418E-4</v>
      </c>
      <c r="L169" s="19">
        <f t="shared" si="44"/>
        <v>0</v>
      </c>
      <c r="M169" s="19">
        <f t="shared" si="45"/>
        <v>1.9689017932577588E-2</v>
      </c>
      <c r="N169" s="19">
        <f t="shared" si="46"/>
        <v>0</v>
      </c>
      <c r="O169" s="19">
        <f t="shared" si="47"/>
        <v>-1.5018996527943824E-2</v>
      </c>
      <c r="P169" s="19">
        <f t="shared" si="48"/>
        <v>0</v>
      </c>
      <c r="Q169" s="19">
        <f t="shared" si="49"/>
        <v>3.5115431920828666E-2</v>
      </c>
      <c r="R169" s="19">
        <f t="shared" si="51"/>
        <v>0.55888032293341217</v>
      </c>
      <c r="S169" s="19">
        <f t="shared" si="52"/>
        <v>0.23670320484005208</v>
      </c>
      <c r="T169" s="19">
        <f t="shared" si="53"/>
        <v>-0.14373668232279324</v>
      </c>
      <c r="U169" s="19">
        <f t="shared" si="54"/>
        <v>0.60570039308075507</v>
      </c>
      <c r="V169" s="19">
        <f t="shared" si="55"/>
        <v>0.44919026107609755</v>
      </c>
      <c r="W169" s="19">
        <f t="shared" si="56"/>
        <v>0.1655660765292841</v>
      </c>
      <c r="X169" s="19">
        <f t="shared" si="57"/>
        <v>0.56382378488293639</v>
      </c>
      <c r="Y169" s="19">
        <f t="shared" si="58"/>
        <v>0.10138916803822881</v>
      </c>
      <c r="AA169" s="19">
        <f t="shared" si="59"/>
        <v>2.5375165290579718</v>
      </c>
      <c r="AB169" s="19">
        <f t="shared" si="60"/>
        <v>1.145351132832801</v>
      </c>
    </row>
    <row r="170" spans="1:28" x14ac:dyDescent="0.25">
      <c r="A170" s="13">
        <f>[1]Data!A173</f>
        <v>42583</v>
      </c>
      <c r="B170" s="14">
        <f>[1]Data!B173</f>
        <v>1.1966006816287217E-3</v>
      </c>
      <c r="C170" s="14">
        <f>[1]Data!C173</f>
        <v>2.5032391343864535E-2</v>
      </c>
      <c r="D170" s="15">
        <f>[1]Data!F173</f>
        <v>-5.3220209762647325E-3</v>
      </c>
      <c r="E170" s="16">
        <f>[1]Data!G173</f>
        <v>8.3282518549924311E-3</v>
      </c>
      <c r="F170" s="15">
        <f>[1]Data!H173</f>
        <v>4.8704118484129422E-3</v>
      </c>
      <c r="G170" s="16">
        <f>[1]Data!I173</f>
        <v>-2.3645232989533856E-2</v>
      </c>
      <c r="H170" s="17">
        <f t="shared" si="41"/>
        <v>-1</v>
      </c>
      <c r="I170" s="18">
        <f t="shared" si="50"/>
        <v>1</v>
      </c>
      <c r="J170" s="19">
        <f t="shared" si="42"/>
        <v>0</v>
      </c>
      <c r="K170" s="19">
        <f t="shared" si="43"/>
        <v>5.3220209762647325E-3</v>
      </c>
      <c r="L170" s="19">
        <f t="shared" si="44"/>
        <v>0</v>
      </c>
      <c r="M170" s="19">
        <f t="shared" si="45"/>
        <v>8.3282518549924311E-3</v>
      </c>
      <c r="N170" s="19">
        <f t="shared" si="46"/>
        <v>4.8704118484129422E-3</v>
      </c>
      <c r="O170" s="19">
        <f t="shared" si="47"/>
        <v>0</v>
      </c>
      <c r="P170" s="19">
        <f t="shared" si="48"/>
        <v>2.3645232989533856E-2</v>
      </c>
      <c r="Q170" s="19">
        <f t="shared" si="49"/>
        <v>0</v>
      </c>
      <c r="R170" s="19">
        <f t="shared" si="51"/>
        <v>0.55888032293341217</v>
      </c>
      <c r="S170" s="19">
        <f t="shared" si="52"/>
        <v>0.2420252258163168</v>
      </c>
      <c r="T170" s="19">
        <f t="shared" si="53"/>
        <v>-0.14373668232279324</v>
      </c>
      <c r="U170" s="19">
        <f t="shared" si="54"/>
        <v>0.61402864493574749</v>
      </c>
      <c r="V170" s="19">
        <f t="shared" si="55"/>
        <v>0.45406067292451047</v>
      </c>
      <c r="W170" s="19">
        <f t="shared" si="56"/>
        <v>0.1655660765292841</v>
      </c>
      <c r="X170" s="19">
        <f t="shared" si="57"/>
        <v>0.58746901787247019</v>
      </c>
      <c r="Y170" s="19">
        <f t="shared" si="58"/>
        <v>0.10138916803822881</v>
      </c>
      <c r="AA170" s="19">
        <f t="shared" si="59"/>
        <v>2.5796824467271757</v>
      </c>
      <c r="AB170" s="19">
        <f t="shared" si="60"/>
        <v>1.1465477335144296</v>
      </c>
    </row>
    <row r="171" spans="1:28" x14ac:dyDescent="0.25">
      <c r="A171" s="13">
        <f>[1]Data!A174</f>
        <v>42614</v>
      </c>
      <c r="B171" s="14">
        <f>[1]Data!B174</f>
        <v>5.8191036300418372E-5</v>
      </c>
      <c r="C171" s="14">
        <f>[1]Data!C174</f>
        <v>2.3398742123623018E-2</v>
      </c>
      <c r="D171" s="15">
        <f>[1]Data!F174</f>
        <v>-4.0601919171954588E-3</v>
      </c>
      <c r="E171" s="16">
        <f>[1]Data!G174</f>
        <v>4.0808867090001873E-3</v>
      </c>
      <c r="F171" s="15">
        <f>[1]Data!H174</f>
        <v>5.1849225185599795E-3</v>
      </c>
      <c r="G171" s="16">
        <f>[1]Data!I174</f>
        <v>-1.316546767368266E-2</v>
      </c>
      <c r="H171" s="17">
        <f t="shared" si="41"/>
        <v>-1</v>
      </c>
      <c r="I171" s="18">
        <f t="shared" si="50"/>
        <v>1</v>
      </c>
      <c r="J171" s="19">
        <f t="shared" si="42"/>
        <v>0</v>
      </c>
      <c r="K171" s="19">
        <f t="shared" si="43"/>
        <v>4.0601919171954588E-3</v>
      </c>
      <c r="L171" s="19">
        <f t="shared" si="44"/>
        <v>0</v>
      </c>
      <c r="M171" s="19">
        <f t="shared" si="45"/>
        <v>4.0808867090001873E-3</v>
      </c>
      <c r="N171" s="19">
        <f t="shared" si="46"/>
        <v>5.1849225185599795E-3</v>
      </c>
      <c r="O171" s="19">
        <f t="shared" si="47"/>
        <v>0</v>
      </c>
      <c r="P171" s="19">
        <f t="shared" si="48"/>
        <v>1.316546767368266E-2</v>
      </c>
      <c r="Q171" s="19">
        <f t="shared" si="49"/>
        <v>0</v>
      </c>
      <c r="R171" s="19">
        <f t="shared" si="51"/>
        <v>0.55888032293341217</v>
      </c>
      <c r="S171" s="19">
        <f t="shared" si="52"/>
        <v>0.24608541773351225</v>
      </c>
      <c r="T171" s="19">
        <f t="shared" si="53"/>
        <v>-0.14373668232279324</v>
      </c>
      <c r="U171" s="19">
        <f t="shared" si="54"/>
        <v>0.61810953164474769</v>
      </c>
      <c r="V171" s="19">
        <f t="shared" si="55"/>
        <v>0.45924559544307042</v>
      </c>
      <c r="W171" s="19">
        <f t="shared" si="56"/>
        <v>0.1655660765292841</v>
      </c>
      <c r="X171" s="19">
        <f t="shared" si="57"/>
        <v>0.60063448554615284</v>
      </c>
      <c r="Y171" s="19">
        <f t="shared" si="58"/>
        <v>0.10138916803822881</v>
      </c>
      <c r="AA171" s="19">
        <f t="shared" si="59"/>
        <v>2.6061739155456141</v>
      </c>
      <c r="AB171" s="19">
        <f t="shared" si="60"/>
        <v>1.1466059245507301</v>
      </c>
    </row>
    <row r="172" spans="1:28" x14ac:dyDescent="0.25">
      <c r="A172" s="13">
        <f>[1]Data!A175</f>
        <v>42644</v>
      </c>
      <c r="B172" s="14">
        <f>[1]Data!B175</f>
        <v>-1.7489130032062299E-2</v>
      </c>
      <c r="C172" s="14">
        <f>[1]Data!C175</f>
        <v>1.843763743408789E-2</v>
      </c>
      <c r="D172" s="15">
        <f>[1]Data!F175</f>
        <v>-6.7053655742064381E-3</v>
      </c>
      <c r="E172" s="16">
        <f>[1]Data!G175</f>
        <v>-1.5573498428369751E-2</v>
      </c>
      <c r="F172" s="15">
        <f>[1]Data!H175</f>
        <v>-5.8423243318304618E-3</v>
      </c>
      <c r="G172" s="16">
        <f>[1]Data!I175</f>
        <v>-2.4656305720586889E-2</v>
      </c>
      <c r="H172" s="17">
        <f t="shared" si="41"/>
        <v>-1</v>
      </c>
      <c r="I172" s="18">
        <f t="shared" si="50"/>
        <v>1</v>
      </c>
      <c r="J172" s="19">
        <f t="shared" si="42"/>
        <v>0</v>
      </c>
      <c r="K172" s="19">
        <f t="shared" si="43"/>
        <v>6.7053655742064381E-3</v>
      </c>
      <c r="L172" s="19">
        <f t="shared" si="44"/>
        <v>0</v>
      </c>
      <c r="M172" s="19">
        <f t="shared" si="45"/>
        <v>-1.5573498428369751E-2</v>
      </c>
      <c r="N172" s="19">
        <f t="shared" si="46"/>
        <v>-5.8423243318304618E-3</v>
      </c>
      <c r="O172" s="19">
        <f t="shared" si="47"/>
        <v>0</v>
      </c>
      <c r="P172" s="19">
        <f t="shared" si="48"/>
        <v>2.4656305720586889E-2</v>
      </c>
      <c r="Q172" s="19">
        <f t="shared" si="49"/>
        <v>0</v>
      </c>
      <c r="R172" s="19">
        <f t="shared" si="51"/>
        <v>0.55888032293341217</v>
      </c>
      <c r="S172" s="19">
        <f t="shared" si="52"/>
        <v>0.2527907833077187</v>
      </c>
      <c r="T172" s="19">
        <f t="shared" si="53"/>
        <v>-0.14373668232279324</v>
      </c>
      <c r="U172" s="19">
        <f t="shared" si="54"/>
        <v>0.60253603321637794</v>
      </c>
      <c r="V172" s="19">
        <f t="shared" si="55"/>
        <v>0.45340327111123996</v>
      </c>
      <c r="W172" s="19">
        <f t="shared" si="56"/>
        <v>0.1655660765292841</v>
      </c>
      <c r="X172" s="19">
        <f t="shared" si="57"/>
        <v>0.6252907912667397</v>
      </c>
      <c r="Y172" s="19">
        <f t="shared" si="58"/>
        <v>0.10138916803822881</v>
      </c>
      <c r="AA172" s="19">
        <f t="shared" si="59"/>
        <v>2.616119764080207</v>
      </c>
      <c r="AB172" s="19">
        <f t="shared" si="60"/>
        <v>1.1291167945186678</v>
      </c>
    </row>
    <row r="173" spans="1:28" x14ac:dyDescent="0.25">
      <c r="A173" s="13">
        <f>[1]Data!A176</f>
        <v>42675</v>
      </c>
      <c r="B173" s="14">
        <f>[1]Data!B176</f>
        <v>3.6175994356268053E-2</v>
      </c>
      <c r="C173" s="14">
        <f>[1]Data!C176</f>
        <v>0.11329938214783186</v>
      </c>
      <c r="D173" s="15">
        <f>[1]Data!F176</f>
        <v>1.0441599245473053E-3</v>
      </c>
      <c r="E173" s="16">
        <f>[1]Data!G176</f>
        <v>-7.5402400104568456E-3</v>
      </c>
      <c r="F173" s="15">
        <f>[1]Data!H176</f>
        <v>2.8189828397028917E-3</v>
      </c>
      <c r="G173" s="16">
        <f>[1]Data!I176</f>
        <v>-2.9048933488651837E-3</v>
      </c>
      <c r="H173" s="17">
        <f t="shared" si="41"/>
        <v>-1</v>
      </c>
      <c r="I173" s="18">
        <f t="shared" si="50"/>
        <v>1</v>
      </c>
      <c r="J173" s="19">
        <f t="shared" si="42"/>
        <v>0</v>
      </c>
      <c r="K173" s="19">
        <f t="shared" si="43"/>
        <v>-1.0441599245473053E-3</v>
      </c>
      <c r="L173" s="19">
        <f t="shared" si="44"/>
        <v>0</v>
      </c>
      <c r="M173" s="19">
        <f t="shared" si="45"/>
        <v>-7.5402400104568456E-3</v>
      </c>
      <c r="N173" s="19">
        <f t="shared" si="46"/>
        <v>2.8189828397028917E-3</v>
      </c>
      <c r="O173" s="19">
        <f t="shared" si="47"/>
        <v>0</v>
      </c>
      <c r="P173" s="19">
        <f t="shared" si="48"/>
        <v>2.9048933488651837E-3</v>
      </c>
      <c r="Q173" s="19">
        <f t="shared" si="49"/>
        <v>0</v>
      </c>
      <c r="R173" s="19">
        <f t="shared" si="51"/>
        <v>0.55888032293341217</v>
      </c>
      <c r="S173" s="19">
        <f t="shared" si="52"/>
        <v>0.25174662338317139</v>
      </c>
      <c r="T173" s="19">
        <f t="shared" si="53"/>
        <v>-0.14373668232279324</v>
      </c>
      <c r="U173" s="19">
        <f t="shared" si="54"/>
        <v>0.59499579320592111</v>
      </c>
      <c r="V173" s="19">
        <f t="shared" si="55"/>
        <v>0.45622225395094285</v>
      </c>
      <c r="W173" s="19">
        <f t="shared" si="56"/>
        <v>0.1655660765292841</v>
      </c>
      <c r="X173" s="19">
        <f t="shared" si="57"/>
        <v>0.62819568461560493</v>
      </c>
      <c r="Y173" s="19">
        <f t="shared" si="58"/>
        <v>0.10138916803822881</v>
      </c>
      <c r="AA173" s="19">
        <f t="shared" si="59"/>
        <v>2.6132592403337709</v>
      </c>
      <c r="AB173" s="19">
        <f t="shared" si="60"/>
        <v>1.1652927888749358</v>
      </c>
    </row>
    <row r="174" spans="1:28" x14ac:dyDescent="0.25">
      <c r="A174" s="13">
        <f>[1]Data!A177</f>
        <v>42705</v>
      </c>
      <c r="B174" s="14">
        <f>[1]Data!B177</f>
        <v>2.0069241756526267E-2</v>
      </c>
      <c r="C174" s="14">
        <f>[1]Data!C177</f>
        <v>4.4029438272317506E-2</v>
      </c>
      <c r="D174" s="15">
        <f>[1]Data!F177</f>
        <v>-9.971155425087027E-3</v>
      </c>
      <c r="E174" s="16">
        <f>[1]Data!G177</f>
        <v>9.3525906063315466E-3</v>
      </c>
      <c r="F174" s="15">
        <f>[1]Data!H177</f>
        <v>1.8967827059699439E-2</v>
      </c>
      <c r="G174" s="16">
        <f>[1]Data!I177</f>
        <v>3.3527236108205506E-3</v>
      </c>
      <c r="H174" s="17">
        <f t="shared" si="41"/>
        <v>-1</v>
      </c>
      <c r="I174" s="18">
        <f t="shared" si="50"/>
        <v>1</v>
      </c>
      <c r="J174" s="19">
        <f t="shared" si="42"/>
        <v>0</v>
      </c>
      <c r="K174" s="19">
        <f t="shared" si="43"/>
        <v>9.971155425087027E-3</v>
      </c>
      <c r="L174" s="19">
        <f t="shared" si="44"/>
        <v>0</v>
      </c>
      <c r="M174" s="19">
        <f t="shared" si="45"/>
        <v>9.3525906063315466E-3</v>
      </c>
      <c r="N174" s="19">
        <f t="shared" si="46"/>
        <v>1.8967827059699439E-2</v>
      </c>
      <c r="O174" s="19">
        <f t="shared" si="47"/>
        <v>0</v>
      </c>
      <c r="P174" s="19">
        <f t="shared" si="48"/>
        <v>-3.3527236108205506E-3</v>
      </c>
      <c r="Q174" s="19">
        <f t="shared" si="49"/>
        <v>0</v>
      </c>
      <c r="R174" s="19">
        <f t="shared" si="51"/>
        <v>0.55888032293341217</v>
      </c>
      <c r="S174" s="19">
        <f t="shared" si="52"/>
        <v>0.26171777880825842</v>
      </c>
      <c r="T174" s="19">
        <f t="shared" si="53"/>
        <v>-0.14373668232279324</v>
      </c>
      <c r="U174" s="19">
        <f t="shared" si="54"/>
        <v>0.60434838381225264</v>
      </c>
      <c r="V174" s="19">
        <f t="shared" si="55"/>
        <v>0.47519008101064231</v>
      </c>
      <c r="W174" s="19">
        <f t="shared" si="56"/>
        <v>0.1655660765292841</v>
      </c>
      <c r="X174" s="19">
        <f t="shared" si="57"/>
        <v>0.62484296100478443</v>
      </c>
      <c r="Y174" s="19">
        <f t="shared" si="58"/>
        <v>0.10138916803822881</v>
      </c>
      <c r="AA174" s="19">
        <f t="shared" si="59"/>
        <v>2.6481980898140685</v>
      </c>
      <c r="AB174" s="19">
        <f t="shared" si="60"/>
        <v>1.1853620306314621</v>
      </c>
    </row>
    <row r="175" spans="1:28" x14ac:dyDescent="0.25">
      <c r="A175" s="13">
        <f>[1]Data!A178</f>
        <v>42736</v>
      </c>
      <c r="B175" s="14">
        <f>[1]Data!B178</f>
        <v>1.7736630525470413E-2</v>
      </c>
      <c r="C175" s="14">
        <f>[1]Data!C178</f>
        <v>8.1874755330735641E-3</v>
      </c>
      <c r="D175" s="15">
        <f>[1]Data!F178</f>
        <v>-3.0726771553304309E-4</v>
      </c>
      <c r="E175" s="16">
        <f>[1]Data!G178</f>
        <v>-1.7469124949815538E-3</v>
      </c>
      <c r="F175" s="15">
        <f>[1]Data!H178</f>
        <v>1.3022385186892627E-2</v>
      </c>
      <c r="G175" s="16">
        <f>[1]Data!I178</f>
        <v>2.2411345145951694E-2</v>
      </c>
      <c r="H175" s="17">
        <f t="shared" si="41"/>
        <v>-1</v>
      </c>
      <c r="I175" s="18">
        <f t="shared" si="50"/>
        <v>1</v>
      </c>
      <c r="J175" s="19">
        <f t="shared" si="42"/>
        <v>0</v>
      </c>
      <c r="K175" s="19">
        <f t="shared" si="43"/>
        <v>3.0726771553304309E-4</v>
      </c>
      <c r="L175" s="19">
        <f t="shared" si="44"/>
        <v>0</v>
      </c>
      <c r="M175" s="19">
        <f t="shared" si="45"/>
        <v>-1.7469124949815538E-3</v>
      </c>
      <c r="N175" s="19">
        <f t="shared" si="46"/>
        <v>1.3022385186892627E-2</v>
      </c>
      <c r="O175" s="19">
        <f t="shared" si="47"/>
        <v>0</v>
      </c>
      <c r="P175" s="19">
        <f t="shared" si="48"/>
        <v>-2.2411345145951694E-2</v>
      </c>
      <c r="Q175" s="19">
        <f t="shared" si="49"/>
        <v>0</v>
      </c>
      <c r="R175" s="19">
        <f t="shared" si="51"/>
        <v>0.55888032293341217</v>
      </c>
      <c r="S175" s="19">
        <f t="shared" si="52"/>
        <v>0.26202504652379144</v>
      </c>
      <c r="T175" s="19">
        <f t="shared" si="53"/>
        <v>-0.14373668232279324</v>
      </c>
      <c r="U175" s="19">
        <f t="shared" si="54"/>
        <v>0.60260147131727104</v>
      </c>
      <c r="V175" s="19">
        <f t="shared" si="55"/>
        <v>0.48821246619753494</v>
      </c>
      <c r="W175" s="19">
        <f t="shared" si="56"/>
        <v>0.1655660765292841</v>
      </c>
      <c r="X175" s="19">
        <f t="shared" si="57"/>
        <v>0.60243161585883276</v>
      </c>
      <c r="Y175" s="19">
        <f t="shared" si="58"/>
        <v>0.10138916803822881</v>
      </c>
      <c r="AA175" s="19">
        <f t="shared" si="59"/>
        <v>2.6373694850755607</v>
      </c>
      <c r="AB175" s="19">
        <f t="shared" si="60"/>
        <v>1.2030986611569325</v>
      </c>
    </row>
    <row r="176" spans="1:28" x14ac:dyDescent="0.25">
      <c r="A176" s="13">
        <f>[1]Data!A179</f>
        <v>42767</v>
      </c>
      <c r="B176" s="14">
        <f>[1]Data!B179</f>
        <v>3.8538919433910968E-2</v>
      </c>
      <c r="C176" s="14">
        <f>[1]Data!C179</f>
        <v>3.3829412028939944E-2</v>
      </c>
      <c r="D176" s="15">
        <f>[1]Data!F179</f>
        <v>8.0374333251261249E-4</v>
      </c>
      <c r="E176" s="16">
        <f>[1]Data!G179</f>
        <v>1.1815673385502639E-2</v>
      </c>
      <c r="F176" s="15">
        <f>[1]Data!H179</f>
        <v>6.177626594760793E-3</v>
      </c>
      <c r="G176" s="16">
        <f>[1]Data!I179</f>
        <v>6.313412803153901E-3</v>
      </c>
      <c r="H176" s="17">
        <f t="shared" si="41"/>
        <v>-1</v>
      </c>
      <c r="I176" s="18">
        <f t="shared" si="50"/>
        <v>1</v>
      </c>
      <c r="J176" s="19">
        <f t="shared" si="42"/>
        <v>0</v>
      </c>
      <c r="K176" s="19">
        <f t="shared" si="43"/>
        <v>-8.0374333251261249E-4</v>
      </c>
      <c r="L176" s="19">
        <f t="shared" si="44"/>
        <v>0</v>
      </c>
      <c r="M176" s="19">
        <f t="shared" si="45"/>
        <v>1.1815673385502639E-2</v>
      </c>
      <c r="N176" s="19">
        <f t="shared" si="46"/>
        <v>6.177626594760793E-3</v>
      </c>
      <c r="O176" s="19">
        <f t="shared" si="47"/>
        <v>0</v>
      </c>
      <c r="P176" s="19">
        <f t="shared" si="48"/>
        <v>-6.313412803153901E-3</v>
      </c>
      <c r="Q176" s="19">
        <f t="shared" si="49"/>
        <v>0</v>
      </c>
      <c r="R176" s="19">
        <f t="shared" si="51"/>
        <v>0.55888032293341217</v>
      </c>
      <c r="S176" s="19">
        <f t="shared" si="52"/>
        <v>0.26122130319127884</v>
      </c>
      <c r="T176" s="19">
        <f t="shared" si="53"/>
        <v>-0.14373668232279324</v>
      </c>
      <c r="U176" s="19">
        <f t="shared" si="54"/>
        <v>0.61441714470277364</v>
      </c>
      <c r="V176" s="19">
        <f t="shared" si="55"/>
        <v>0.49439009279229573</v>
      </c>
      <c r="W176" s="19">
        <f t="shared" si="56"/>
        <v>0.1655660765292841</v>
      </c>
      <c r="X176" s="19">
        <f t="shared" si="57"/>
        <v>0.59611820305567886</v>
      </c>
      <c r="Y176" s="19">
        <f t="shared" si="58"/>
        <v>0.10138916803822881</v>
      </c>
      <c r="AA176" s="19">
        <f t="shared" si="59"/>
        <v>2.6482456289201575</v>
      </c>
      <c r="AB176" s="19">
        <f t="shared" si="60"/>
        <v>1.2416375805908435</v>
      </c>
    </row>
    <row r="177" spans="1:28" x14ac:dyDescent="0.25">
      <c r="A177" s="13">
        <f>[1]Data!A180</f>
        <v>42795</v>
      </c>
      <c r="B177" s="14">
        <f>[1]Data!B180</f>
        <v>1.2491492693997353E-3</v>
      </c>
      <c r="C177" s="14">
        <f>[1]Data!C180</f>
        <v>3.9922140618984803E-3</v>
      </c>
      <c r="D177" s="15">
        <f>[1]Data!F180</f>
        <v>8.5629368577621219E-3</v>
      </c>
      <c r="E177" s="16">
        <f>[1]Data!G180</f>
        <v>4.7337774498800505E-3</v>
      </c>
      <c r="F177" s="15">
        <f>[1]Data!H180</f>
        <v>2.2389316731830419E-3</v>
      </c>
      <c r="G177" s="16">
        <f>[1]Data!I180</f>
        <v>-2.5725897024647941E-2</v>
      </c>
      <c r="H177" s="17">
        <f t="shared" si="41"/>
        <v>-1</v>
      </c>
      <c r="I177" s="18">
        <f t="shared" si="50"/>
        <v>1</v>
      </c>
      <c r="J177" s="19">
        <f t="shared" si="42"/>
        <v>0</v>
      </c>
      <c r="K177" s="19">
        <f t="shared" si="43"/>
        <v>-8.5629368577621219E-3</v>
      </c>
      <c r="L177" s="19">
        <f t="shared" si="44"/>
        <v>0</v>
      </c>
      <c r="M177" s="19">
        <f t="shared" si="45"/>
        <v>4.7337774498800505E-3</v>
      </c>
      <c r="N177" s="19">
        <f t="shared" si="46"/>
        <v>2.2389316731830419E-3</v>
      </c>
      <c r="O177" s="19">
        <f t="shared" si="47"/>
        <v>0</v>
      </c>
      <c r="P177" s="19">
        <f t="shared" si="48"/>
        <v>2.5725897024647941E-2</v>
      </c>
      <c r="Q177" s="19">
        <f t="shared" si="49"/>
        <v>0</v>
      </c>
      <c r="R177" s="19">
        <f t="shared" si="51"/>
        <v>0.55888032293341217</v>
      </c>
      <c r="S177" s="19">
        <f t="shared" si="52"/>
        <v>0.25265836633351674</v>
      </c>
      <c r="T177" s="19">
        <f t="shared" si="53"/>
        <v>-0.14373668232279324</v>
      </c>
      <c r="U177" s="19">
        <f t="shared" si="54"/>
        <v>0.61915092215265366</v>
      </c>
      <c r="V177" s="19">
        <f t="shared" si="55"/>
        <v>0.4966290244654788</v>
      </c>
      <c r="W177" s="19">
        <f t="shared" si="56"/>
        <v>0.1655660765292841</v>
      </c>
      <c r="X177" s="19">
        <f t="shared" si="57"/>
        <v>0.62184410008032676</v>
      </c>
      <c r="Y177" s="19">
        <f t="shared" si="58"/>
        <v>0.10138916803822881</v>
      </c>
      <c r="AA177" s="19">
        <f t="shared" si="59"/>
        <v>2.6723812982101065</v>
      </c>
      <c r="AB177" s="19">
        <f t="shared" si="60"/>
        <v>1.2428867298602433</v>
      </c>
    </row>
    <row r="178" spans="1:28" x14ac:dyDescent="0.25">
      <c r="A178" s="13">
        <f>[1]Data!A181</f>
        <v>42826</v>
      </c>
      <c r="B178" s="14">
        <f>[1]Data!B181</f>
        <v>9.8773929442588729E-3</v>
      </c>
      <c r="C178" s="14">
        <f>[1]Data!C181</f>
        <v>-1.4290845438842705E-2</v>
      </c>
      <c r="D178" s="15">
        <f>[1]Data!F181</f>
        <v>3.8296605534574131E-3</v>
      </c>
      <c r="E178" s="16">
        <f>[1]Data!G181</f>
        <v>-4.7292438397868088E-3</v>
      </c>
      <c r="F178" s="15">
        <f>[1]Data!H181</f>
        <v>-2.2934516881969926E-3</v>
      </c>
      <c r="G178" s="16">
        <f>[1]Data!I181</f>
        <v>2.1143068773714904E-3</v>
      </c>
      <c r="H178" s="17">
        <f t="shared" si="41"/>
        <v>1</v>
      </c>
      <c r="I178" s="18">
        <f t="shared" si="50"/>
        <v>1</v>
      </c>
      <c r="J178" s="19">
        <f t="shared" si="42"/>
        <v>3.8296605534574131E-3</v>
      </c>
      <c r="K178" s="19">
        <f t="shared" si="43"/>
        <v>0</v>
      </c>
      <c r="L178" s="19">
        <f t="shared" si="44"/>
        <v>4.7292438397868088E-3</v>
      </c>
      <c r="M178" s="19">
        <f t="shared" si="45"/>
        <v>0</v>
      </c>
      <c r="N178" s="19">
        <f t="shared" si="46"/>
        <v>-2.2934516881969926E-3</v>
      </c>
      <c r="O178" s="19">
        <f t="shared" si="47"/>
        <v>0</v>
      </c>
      <c r="P178" s="19">
        <f t="shared" si="48"/>
        <v>-2.1143068773714904E-3</v>
      </c>
      <c r="Q178" s="19">
        <f t="shared" si="49"/>
        <v>0</v>
      </c>
      <c r="R178" s="19">
        <f t="shared" si="51"/>
        <v>0.56270998348686962</v>
      </c>
      <c r="S178" s="19">
        <f t="shared" si="52"/>
        <v>0.25265836633351674</v>
      </c>
      <c r="T178" s="19">
        <f t="shared" si="53"/>
        <v>-0.13900743848300642</v>
      </c>
      <c r="U178" s="19">
        <f t="shared" si="54"/>
        <v>0.61915092215265366</v>
      </c>
      <c r="V178" s="19">
        <f t="shared" si="55"/>
        <v>0.4943355727772818</v>
      </c>
      <c r="W178" s="19">
        <f t="shared" si="56"/>
        <v>0.1655660765292841</v>
      </c>
      <c r="X178" s="19">
        <f t="shared" si="57"/>
        <v>0.61972979320295529</v>
      </c>
      <c r="Y178" s="19">
        <f t="shared" si="58"/>
        <v>0.10138916803822881</v>
      </c>
      <c r="AA178" s="19">
        <f t="shared" si="59"/>
        <v>2.6765324440377825</v>
      </c>
      <c r="AB178" s="19">
        <f t="shared" si="60"/>
        <v>1.2527641228045021</v>
      </c>
    </row>
    <row r="179" spans="1:28" x14ac:dyDescent="0.25">
      <c r="A179" s="13">
        <f>[1]Data!A182</f>
        <v>42856</v>
      </c>
      <c r="B179" s="14">
        <f>[1]Data!B182</f>
        <v>1.4014317538461586E-2</v>
      </c>
      <c r="C179" s="14">
        <f>[1]Data!C182</f>
        <v>-1.2174791707059551E-2</v>
      </c>
      <c r="D179" s="15">
        <f>[1]Data!F182</f>
        <v>1.3048463036209022E-2</v>
      </c>
      <c r="E179" s="16">
        <f>[1]Data!G182</f>
        <v>5.5622347575965247E-3</v>
      </c>
      <c r="F179" s="15">
        <f>[1]Data!H182</f>
        <v>6.7812919234909548E-3</v>
      </c>
      <c r="G179" s="16">
        <f>[1]Data!I182</f>
        <v>-6.6150014584280652E-3</v>
      </c>
      <c r="H179" s="17">
        <f t="shared" si="41"/>
        <v>1</v>
      </c>
      <c r="I179" s="18">
        <f t="shared" si="50"/>
        <v>-1</v>
      </c>
      <c r="J179" s="19">
        <f t="shared" si="42"/>
        <v>1.3048463036209022E-2</v>
      </c>
      <c r="K179" s="19">
        <f t="shared" si="43"/>
        <v>0</v>
      </c>
      <c r="L179" s="19">
        <f t="shared" si="44"/>
        <v>-5.5622347575965247E-3</v>
      </c>
      <c r="M179" s="19">
        <f t="shared" si="45"/>
        <v>0</v>
      </c>
      <c r="N179" s="19">
        <f t="shared" si="46"/>
        <v>0</v>
      </c>
      <c r="O179" s="19">
        <f t="shared" si="47"/>
        <v>-6.7812919234909548E-3</v>
      </c>
      <c r="P179" s="19">
        <f t="shared" si="48"/>
        <v>0</v>
      </c>
      <c r="Q179" s="19">
        <f t="shared" si="49"/>
        <v>-6.6150014584280652E-3</v>
      </c>
      <c r="R179" s="19">
        <f t="shared" si="51"/>
        <v>0.57575844652307862</v>
      </c>
      <c r="S179" s="19">
        <f t="shared" si="52"/>
        <v>0.25265836633351674</v>
      </c>
      <c r="T179" s="19">
        <f t="shared" si="53"/>
        <v>-0.14456967324060294</v>
      </c>
      <c r="U179" s="19">
        <f t="shared" si="54"/>
        <v>0.61915092215265366</v>
      </c>
      <c r="V179" s="19">
        <f t="shared" si="55"/>
        <v>0.4943355727772818</v>
      </c>
      <c r="W179" s="19">
        <f t="shared" si="56"/>
        <v>0.15878478460579315</v>
      </c>
      <c r="X179" s="19">
        <f t="shared" si="57"/>
        <v>0.61972979320295529</v>
      </c>
      <c r="Y179" s="19">
        <f t="shared" si="58"/>
        <v>9.4774166579800742E-2</v>
      </c>
      <c r="AA179" s="19">
        <f t="shared" si="59"/>
        <v>2.6706223789344761</v>
      </c>
      <c r="AB179" s="19">
        <f t="shared" si="60"/>
        <v>1.2667784403429636</v>
      </c>
    </row>
    <row r="180" spans="1:28" x14ac:dyDescent="0.25">
      <c r="A180" s="13">
        <f>[1]Data!A183</f>
        <v>42887</v>
      </c>
      <c r="B180" s="14">
        <f>[1]Data!B183</f>
        <v>6.3545861267207517E-3</v>
      </c>
      <c r="C180" s="14">
        <f>[1]Data!C183</f>
        <v>-1.6101415999681234E-2</v>
      </c>
      <c r="D180" s="15">
        <f>[1]Data!F183</f>
        <v>-4.7446716389456332E-3</v>
      </c>
      <c r="E180" s="16">
        <f>[1]Data!G183</f>
        <v>-1.931330464486547E-2</v>
      </c>
      <c r="F180" s="15">
        <f>[1]Data!H183</f>
        <v>9.1528318163321392E-3</v>
      </c>
      <c r="G180" s="16">
        <f>[1]Data!I183</f>
        <v>6.2874723135301919E-3</v>
      </c>
      <c r="H180" s="17">
        <f t="shared" si="41"/>
        <v>1</v>
      </c>
      <c r="I180" s="18">
        <f t="shared" si="50"/>
        <v>-1</v>
      </c>
      <c r="J180" s="19">
        <f t="shared" si="42"/>
        <v>-4.7446716389456332E-3</v>
      </c>
      <c r="K180" s="19">
        <f t="shared" si="43"/>
        <v>0</v>
      </c>
      <c r="L180" s="19">
        <f t="shared" si="44"/>
        <v>1.931330464486547E-2</v>
      </c>
      <c r="M180" s="19">
        <f t="shared" si="45"/>
        <v>0</v>
      </c>
      <c r="N180" s="19">
        <f t="shared" si="46"/>
        <v>0</v>
      </c>
      <c r="O180" s="19">
        <f t="shared" si="47"/>
        <v>-9.1528318163321392E-3</v>
      </c>
      <c r="P180" s="19">
        <f t="shared" si="48"/>
        <v>0</v>
      </c>
      <c r="Q180" s="19">
        <f t="shared" si="49"/>
        <v>6.2874723135301919E-3</v>
      </c>
      <c r="R180" s="19">
        <f t="shared" si="51"/>
        <v>0.57101377488413296</v>
      </c>
      <c r="S180" s="19">
        <f t="shared" si="52"/>
        <v>0.25265836633351674</v>
      </c>
      <c r="T180" s="19">
        <f t="shared" si="53"/>
        <v>-0.12525636859573747</v>
      </c>
      <c r="U180" s="19">
        <f t="shared" si="54"/>
        <v>0.61915092215265366</v>
      </c>
      <c r="V180" s="19">
        <f t="shared" si="55"/>
        <v>0.4943355727772818</v>
      </c>
      <c r="W180" s="19">
        <f t="shared" si="56"/>
        <v>0.14963195278946101</v>
      </c>
      <c r="X180" s="19">
        <f t="shared" si="57"/>
        <v>0.61972979320295529</v>
      </c>
      <c r="Y180" s="19">
        <f t="shared" si="58"/>
        <v>0.10106163889333093</v>
      </c>
      <c r="AA180" s="19">
        <f t="shared" si="59"/>
        <v>2.6823256524375938</v>
      </c>
      <c r="AB180" s="19">
        <f t="shared" si="60"/>
        <v>1.2731330264696843</v>
      </c>
    </row>
    <row r="181" spans="1:28" x14ac:dyDescent="0.25">
      <c r="A181" s="13">
        <f>[1]Data!A184</f>
        <v>42917</v>
      </c>
      <c r="B181" s="14">
        <f>[1]Data!B184</f>
        <v>2.0345845083848145E-2</v>
      </c>
      <c r="C181" s="14">
        <f>[1]Data!C184</f>
        <v>1.7845544606009206E-2</v>
      </c>
      <c r="D181" s="15">
        <f>[1]Data!F184</f>
        <v>-2.027021590706975E-4</v>
      </c>
      <c r="E181" s="16">
        <f>[1]Data!G184</f>
        <v>-9.3082848650070573E-3</v>
      </c>
      <c r="F181" s="15">
        <f>[1]Data!H184</f>
        <v>2.3545168863634497E-3</v>
      </c>
      <c r="G181" s="16">
        <f>[1]Data!I184</f>
        <v>-1.5838213840254231E-2</v>
      </c>
      <c r="H181" s="17">
        <f t="shared" si="41"/>
        <v>-1</v>
      </c>
      <c r="I181" s="18">
        <f t="shared" si="50"/>
        <v>-1</v>
      </c>
      <c r="J181" s="19">
        <f t="shared" si="42"/>
        <v>0</v>
      </c>
      <c r="K181" s="19">
        <f t="shared" si="43"/>
        <v>2.027021590706975E-4</v>
      </c>
      <c r="L181" s="19">
        <f t="shared" si="44"/>
        <v>0</v>
      </c>
      <c r="M181" s="19">
        <f t="shared" si="45"/>
        <v>-9.3082848650070573E-3</v>
      </c>
      <c r="N181" s="19">
        <f t="shared" si="46"/>
        <v>0</v>
      </c>
      <c r="O181" s="19">
        <f t="shared" si="47"/>
        <v>-2.3545168863634497E-3</v>
      </c>
      <c r="P181" s="19">
        <f t="shared" si="48"/>
        <v>0</v>
      </c>
      <c r="Q181" s="19">
        <f t="shared" si="49"/>
        <v>-1.5838213840254231E-2</v>
      </c>
      <c r="R181" s="19">
        <f t="shared" si="51"/>
        <v>0.57101377488413296</v>
      </c>
      <c r="S181" s="19">
        <f t="shared" si="52"/>
        <v>0.25286106849258744</v>
      </c>
      <c r="T181" s="19">
        <f t="shared" si="53"/>
        <v>-0.12525636859573747</v>
      </c>
      <c r="U181" s="19">
        <f t="shared" si="54"/>
        <v>0.60984263728764665</v>
      </c>
      <c r="V181" s="19">
        <f t="shared" si="55"/>
        <v>0.4943355727772818</v>
      </c>
      <c r="W181" s="19">
        <f t="shared" si="56"/>
        <v>0.14727743590309755</v>
      </c>
      <c r="X181" s="19">
        <f t="shared" si="57"/>
        <v>0.61972979320295529</v>
      </c>
      <c r="Y181" s="19">
        <f t="shared" si="58"/>
        <v>8.5223425053076701E-2</v>
      </c>
      <c r="AA181" s="19">
        <f t="shared" si="59"/>
        <v>2.6550273390050396</v>
      </c>
      <c r="AB181" s="19">
        <f t="shared" si="60"/>
        <v>1.2934788715535324</v>
      </c>
    </row>
    <row r="182" spans="1:28" x14ac:dyDescent="0.25">
      <c r="A182" s="13">
        <f>[1]Data!A185</f>
        <v>42948</v>
      </c>
      <c r="B182" s="14">
        <f>[1]Data!B185</f>
        <v>2.9134528973781262E-3</v>
      </c>
      <c r="C182" s="14">
        <f>[1]Data!C185</f>
        <v>-4.1009972453845592E-2</v>
      </c>
      <c r="D182" s="15">
        <f>[1]Data!F185</f>
        <v>1.8720414788120646E-2</v>
      </c>
      <c r="E182" s="16">
        <f>[1]Data!G185</f>
        <v>8.3160340593675108E-3</v>
      </c>
      <c r="F182" s="15">
        <f>[1]Data!H185</f>
        <v>4.4476018160733407E-3</v>
      </c>
      <c r="G182" s="16">
        <f>[1]Data!I185</f>
        <v>1.0440815111997317E-2</v>
      </c>
      <c r="H182" s="17">
        <f t="shared" si="41"/>
        <v>1</v>
      </c>
      <c r="I182" s="18">
        <f t="shared" si="50"/>
        <v>1</v>
      </c>
      <c r="J182" s="19">
        <f t="shared" si="42"/>
        <v>1.8720414788120646E-2</v>
      </c>
      <c r="K182" s="19">
        <f t="shared" si="43"/>
        <v>0</v>
      </c>
      <c r="L182" s="19">
        <f t="shared" si="44"/>
        <v>-8.3160340593675108E-3</v>
      </c>
      <c r="M182" s="19">
        <f t="shared" si="45"/>
        <v>0</v>
      </c>
      <c r="N182" s="19">
        <f t="shared" si="46"/>
        <v>4.4476018160733407E-3</v>
      </c>
      <c r="O182" s="19">
        <f t="shared" si="47"/>
        <v>0</v>
      </c>
      <c r="P182" s="19">
        <f t="shared" si="48"/>
        <v>-1.0440815111997317E-2</v>
      </c>
      <c r="Q182" s="19">
        <f t="shared" si="49"/>
        <v>0</v>
      </c>
      <c r="R182" s="19">
        <f t="shared" si="51"/>
        <v>0.58973418967225366</v>
      </c>
      <c r="S182" s="19">
        <f t="shared" si="52"/>
        <v>0.25286106849258744</v>
      </c>
      <c r="T182" s="19">
        <f t="shared" si="53"/>
        <v>-0.13357240265510498</v>
      </c>
      <c r="U182" s="19">
        <f t="shared" si="54"/>
        <v>0.60984263728764665</v>
      </c>
      <c r="V182" s="19">
        <f t="shared" si="55"/>
        <v>0.49878317459335514</v>
      </c>
      <c r="W182" s="19">
        <f t="shared" si="56"/>
        <v>0.14727743590309755</v>
      </c>
      <c r="X182" s="19">
        <f t="shared" si="57"/>
        <v>0.60928897809095794</v>
      </c>
      <c r="Y182" s="19">
        <f t="shared" si="58"/>
        <v>8.5223425053076701E-2</v>
      </c>
      <c r="AA182" s="19">
        <f t="shared" si="59"/>
        <v>2.6594385064378687</v>
      </c>
      <c r="AB182" s="19">
        <f t="shared" si="60"/>
        <v>1.2963923244509106</v>
      </c>
    </row>
    <row r="183" spans="1:28" x14ac:dyDescent="0.25">
      <c r="A183" s="13">
        <f>[1]Data!A186</f>
        <v>42979</v>
      </c>
      <c r="B183" s="14">
        <f>[1]Data!B186</f>
        <v>1.9949065315565978E-2</v>
      </c>
      <c r="C183" s="14">
        <f>[1]Data!C186</f>
        <v>2.4825683207458794E-2</v>
      </c>
      <c r="D183" s="15">
        <f>[1]Data!F186</f>
        <v>7.1503780901424818E-3</v>
      </c>
      <c r="E183" s="16">
        <f>[1]Data!G186</f>
        <v>-1.1476065359011158E-2</v>
      </c>
      <c r="F183" s="15">
        <f>[1]Data!H186</f>
        <v>-3.6838284491937236E-3</v>
      </c>
      <c r="G183" s="16">
        <f>[1]Data!I186</f>
        <v>9.9175769496123098E-3</v>
      </c>
      <c r="H183" s="17">
        <f t="shared" si="41"/>
        <v>-1</v>
      </c>
      <c r="I183" s="18">
        <f t="shared" si="50"/>
        <v>-1</v>
      </c>
      <c r="J183" s="19">
        <f t="shared" si="42"/>
        <v>0</v>
      </c>
      <c r="K183" s="19">
        <f t="shared" si="43"/>
        <v>-7.1503780901424818E-3</v>
      </c>
      <c r="L183" s="19">
        <f t="shared" si="44"/>
        <v>0</v>
      </c>
      <c r="M183" s="19">
        <f t="shared" si="45"/>
        <v>-1.1476065359011158E-2</v>
      </c>
      <c r="N183" s="19">
        <f t="shared" si="46"/>
        <v>0</v>
      </c>
      <c r="O183" s="19">
        <f t="shared" si="47"/>
        <v>3.6838284491937236E-3</v>
      </c>
      <c r="P183" s="19">
        <f t="shared" si="48"/>
        <v>0</v>
      </c>
      <c r="Q183" s="19">
        <f t="shared" si="49"/>
        <v>9.9175769496123098E-3</v>
      </c>
      <c r="R183" s="19">
        <f t="shared" si="51"/>
        <v>0.58973418967225366</v>
      </c>
      <c r="S183" s="19">
        <f t="shared" si="52"/>
        <v>0.24571069040244495</v>
      </c>
      <c r="T183" s="19">
        <f t="shared" si="53"/>
        <v>-0.13357240265510498</v>
      </c>
      <c r="U183" s="19">
        <f t="shared" si="54"/>
        <v>0.59836657192863552</v>
      </c>
      <c r="V183" s="19">
        <f t="shared" si="55"/>
        <v>0.49878317459335514</v>
      </c>
      <c r="W183" s="19">
        <f t="shared" si="56"/>
        <v>0.15096126435229126</v>
      </c>
      <c r="X183" s="19">
        <f t="shared" si="57"/>
        <v>0.60928897809095794</v>
      </c>
      <c r="Y183" s="19">
        <f t="shared" si="58"/>
        <v>9.5141002002689018E-2</v>
      </c>
      <c r="AA183" s="19">
        <f t="shared" si="59"/>
        <v>2.6544134683875211</v>
      </c>
      <c r="AB183" s="19">
        <f t="shared" si="60"/>
        <v>1.3163413897664766</v>
      </c>
    </row>
    <row r="184" spans="1:28" x14ac:dyDescent="0.25">
      <c r="A184" s="13">
        <f>[1]Data!A187</f>
        <v>43009</v>
      </c>
      <c r="B184" s="14">
        <f>[1]Data!B187</f>
        <v>2.3290794499632155E-2</v>
      </c>
      <c r="C184" s="14">
        <f>[1]Data!C187</f>
        <v>2.7384725407794141E-2</v>
      </c>
      <c r="D184" s="15">
        <f>[1]Data!F187</f>
        <v>1.5569506471131917E-4</v>
      </c>
      <c r="E184" s="16">
        <f>[1]Data!G187</f>
        <v>3.8642134794598494E-3</v>
      </c>
      <c r="F184" s="15">
        <f>[1]Data!H187</f>
        <v>1.2421072327983434E-2</v>
      </c>
      <c r="G184" s="16">
        <f>[1]Data!I187</f>
        <v>-7.4003364513960937E-3</v>
      </c>
      <c r="H184" s="17">
        <f t="shared" si="41"/>
        <v>-1</v>
      </c>
      <c r="I184" s="18">
        <f t="shared" si="50"/>
        <v>1</v>
      </c>
      <c r="J184" s="19">
        <f t="shared" si="42"/>
        <v>0</v>
      </c>
      <c r="K184" s="19">
        <f t="shared" si="43"/>
        <v>-1.5569506471131917E-4</v>
      </c>
      <c r="L184" s="19">
        <f t="shared" si="44"/>
        <v>0</v>
      </c>
      <c r="M184" s="19">
        <f t="shared" si="45"/>
        <v>3.8642134794598494E-3</v>
      </c>
      <c r="N184" s="19">
        <f t="shared" si="46"/>
        <v>1.2421072327983434E-2</v>
      </c>
      <c r="O184" s="19">
        <f t="shared" si="47"/>
        <v>0</v>
      </c>
      <c r="P184" s="19">
        <f t="shared" si="48"/>
        <v>7.4003364513960937E-3</v>
      </c>
      <c r="Q184" s="19">
        <f t="shared" si="49"/>
        <v>0</v>
      </c>
      <c r="R184" s="19">
        <f t="shared" si="51"/>
        <v>0.58973418967225366</v>
      </c>
      <c r="S184" s="19">
        <f t="shared" si="52"/>
        <v>0.24555499533773362</v>
      </c>
      <c r="T184" s="19">
        <f t="shared" si="53"/>
        <v>-0.13357240265510498</v>
      </c>
      <c r="U184" s="19">
        <f t="shared" si="54"/>
        <v>0.60223078540809538</v>
      </c>
      <c r="V184" s="19">
        <f t="shared" si="55"/>
        <v>0.51120424692133859</v>
      </c>
      <c r="W184" s="19">
        <f t="shared" si="56"/>
        <v>0.15096126435229126</v>
      </c>
      <c r="X184" s="19">
        <f t="shared" si="57"/>
        <v>0.61668931454235398</v>
      </c>
      <c r="Y184" s="19">
        <f t="shared" si="58"/>
        <v>9.5141002002689018E-2</v>
      </c>
      <c r="AA184" s="19">
        <f t="shared" si="59"/>
        <v>2.6779433955816492</v>
      </c>
      <c r="AB184" s="19">
        <f t="shared" si="60"/>
        <v>1.3396321842661087</v>
      </c>
    </row>
    <row r="185" spans="1:28" x14ac:dyDescent="0.25">
      <c r="A185" s="13">
        <f>[1]Data!A188</f>
        <v>43040</v>
      </c>
      <c r="B185" s="14">
        <f>[1]Data!B188</f>
        <v>3.0108033419569857E-2</v>
      </c>
      <c r="C185" s="14">
        <f>[1]Data!C188</f>
        <v>-9.2851896473847284E-3</v>
      </c>
      <c r="D185" s="15">
        <f>[1]Data!F188</f>
        <v>1.9124491699953942E-2</v>
      </c>
      <c r="E185" s="16">
        <f>[1]Data!G188</f>
        <v>-1.2864800095172853E-2</v>
      </c>
      <c r="F185" s="15">
        <f>[1]Data!H188</f>
        <v>5.8935784243084929E-3</v>
      </c>
      <c r="G185" s="16">
        <f>[1]Data!I188</f>
        <v>1.9478850220005867E-2</v>
      </c>
      <c r="H185" s="17">
        <f t="shared" si="41"/>
        <v>1</v>
      </c>
      <c r="I185" s="18">
        <f t="shared" si="50"/>
        <v>1</v>
      </c>
      <c r="J185" s="19">
        <f t="shared" si="42"/>
        <v>1.9124491699953942E-2</v>
      </c>
      <c r="K185" s="19">
        <f t="shared" si="43"/>
        <v>0</v>
      </c>
      <c r="L185" s="19">
        <f t="shared" si="44"/>
        <v>1.2864800095172853E-2</v>
      </c>
      <c r="M185" s="19">
        <f t="shared" si="45"/>
        <v>0</v>
      </c>
      <c r="N185" s="19">
        <f t="shared" si="46"/>
        <v>5.8935784243084929E-3</v>
      </c>
      <c r="O185" s="19">
        <f t="shared" si="47"/>
        <v>0</v>
      </c>
      <c r="P185" s="19">
        <f t="shared" si="48"/>
        <v>-1.9478850220005867E-2</v>
      </c>
      <c r="Q185" s="19">
        <f t="shared" si="49"/>
        <v>0</v>
      </c>
      <c r="R185" s="19">
        <f t="shared" si="51"/>
        <v>0.60885868137220756</v>
      </c>
      <c r="S185" s="19">
        <f t="shared" si="52"/>
        <v>0.24555499533773362</v>
      </c>
      <c r="T185" s="19">
        <f t="shared" si="53"/>
        <v>-0.12070760255993213</v>
      </c>
      <c r="U185" s="19">
        <f t="shared" si="54"/>
        <v>0.60223078540809538</v>
      </c>
      <c r="V185" s="19">
        <f t="shared" si="55"/>
        <v>0.51709782534564708</v>
      </c>
      <c r="W185" s="19">
        <f t="shared" si="56"/>
        <v>0.15096126435229126</v>
      </c>
      <c r="X185" s="19">
        <f t="shared" si="57"/>
        <v>0.59721046432234814</v>
      </c>
      <c r="Y185" s="19">
        <f t="shared" si="58"/>
        <v>9.5141002002689018E-2</v>
      </c>
      <c r="AA185" s="19">
        <f t="shared" si="59"/>
        <v>2.6963474155810787</v>
      </c>
      <c r="AB185" s="19">
        <f t="shared" si="60"/>
        <v>1.3697402176856786</v>
      </c>
    </row>
    <row r="186" spans="1:28" x14ac:dyDescent="0.25">
      <c r="A186" s="13">
        <f>[1]Data!A189</f>
        <v>43070</v>
      </c>
      <c r="B186" s="14">
        <f>[1]Data!B189</f>
        <v>1.2054926300833912E-2</v>
      </c>
      <c r="C186" s="14">
        <f>[1]Data!C189</f>
        <v>1.4761218569910816E-2</v>
      </c>
      <c r="D186" s="15">
        <f>[1]Data!F189</f>
        <v>-2.6943650722405415E-3</v>
      </c>
      <c r="E186" s="16">
        <f>[1]Data!G189</f>
        <v>1.797561517747976E-2</v>
      </c>
      <c r="F186" s="15">
        <f>[1]Data!H189</f>
        <v>-3.5535092876116834E-3</v>
      </c>
      <c r="G186" s="16">
        <f>[1]Data!I189</f>
        <v>1.4431380571680936E-2</v>
      </c>
      <c r="H186" s="17">
        <f t="shared" si="41"/>
        <v>-1</v>
      </c>
      <c r="I186" s="18">
        <f t="shared" si="50"/>
        <v>-1</v>
      </c>
      <c r="J186" s="19">
        <f t="shared" si="42"/>
        <v>0</v>
      </c>
      <c r="K186" s="19">
        <f t="shared" si="43"/>
        <v>2.6943650722405415E-3</v>
      </c>
      <c r="L186" s="19">
        <f t="shared" si="44"/>
        <v>0</v>
      </c>
      <c r="M186" s="19">
        <f t="shared" si="45"/>
        <v>1.797561517747976E-2</v>
      </c>
      <c r="N186" s="19">
        <f t="shared" si="46"/>
        <v>0</v>
      </c>
      <c r="O186" s="19">
        <f t="shared" si="47"/>
        <v>3.5535092876116834E-3</v>
      </c>
      <c r="P186" s="19">
        <f t="shared" si="48"/>
        <v>0</v>
      </c>
      <c r="Q186" s="19">
        <f t="shared" si="49"/>
        <v>1.4431380571680936E-2</v>
      </c>
      <c r="R186" s="19">
        <f t="shared" si="51"/>
        <v>0.60885868137220756</v>
      </c>
      <c r="S186" s="19">
        <f t="shared" si="52"/>
        <v>0.24824936040997417</v>
      </c>
      <c r="T186" s="19">
        <f t="shared" si="53"/>
        <v>-0.12070760255993213</v>
      </c>
      <c r="U186" s="19">
        <f t="shared" si="54"/>
        <v>0.62020640058557519</v>
      </c>
      <c r="V186" s="19">
        <f t="shared" si="55"/>
        <v>0.51709782534564708</v>
      </c>
      <c r="W186" s="19">
        <f t="shared" si="56"/>
        <v>0.15451477363990296</v>
      </c>
      <c r="X186" s="19">
        <f t="shared" si="57"/>
        <v>0.59721046432234814</v>
      </c>
      <c r="Y186" s="19">
        <f t="shared" si="58"/>
        <v>0.10957238257436995</v>
      </c>
      <c r="AA186" s="19">
        <f t="shared" si="59"/>
        <v>2.7350022856900917</v>
      </c>
      <c r="AB186" s="19">
        <f t="shared" si="60"/>
        <v>1.3817951439865124</v>
      </c>
    </row>
    <row r="187" spans="1:28" x14ac:dyDescent="0.25">
      <c r="A187" s="13">
        <f>[1]Data!A190</f>
        <v>43101</v>
      </c>
      <c r="B187" s="14">
        <f>[1]Data!B190</f>
        <v>5.4828271854461215E-2</v>
      </c>
      <c r="C187" s="14">
        <f>[1]Data!C190</f>
        <v>8.489099216019512E-2</v>
      </c>
      <c r="D187" s="15">
        <f>[1]Data!F190</f>
        <v>-4.9188412320792449E-3</v>
      </c>
      <c r="E187" s="16">
        <f>[1]Data!G190</f>
        <v>-7.953068046105842E-3</v>
      </c>
      <c r="F187" s="15">
        <f>[1]Data!H190</f>
        <v>2.611185060363698E-2</v>
      </c>
      <c r="G187" s="16">
        <f>[1]Data!I190</f>
        <v>-9.7429498527237257E-3</v>
      </c>
      <c r="H187" s="17">
        <f t="shared" si="41"/>
        <v>-1</v>
      </c>
      <c r="I187" s="18">
        <f t="shared" si="50"/>
        <v>1</v>
      </c>
      <c r="J187" s="19">
        <f t="shared" si="42"/>
        <v>0</v>
      </c>
      <c r="K187" s="19">
        <f t="shared" si="43"/>
        <v>4.9188412320792449E-3</v>
      </c>
      <c r="L187" s="19">
        <f t="shared" si="44"/>
        <v>0</v>
      </c>
      <c r="M187" s="19">
        <f t="shared" si="45"/>
        <v>-7.953068046105842E-3</v>
      </c>
      <c r="N187" s="19">
        <f t="shared" si="46"/>
        <v>2.611185060363698E-2</v>
      </c>
      <c r="O187" s="19">
        <f t="shared" si="47"/>
        <v>0</v>
      </c>
      <c r="P187" s="19">
        <f t="shared" si="48"/>
        <v>9.7429498527237257E-3</v>
      </c>
      <c r="Q187" s="19">
        <f t="shared" si="49"/>
        <v>0</v>
      </c>
      <c r="R187" s="19">
        <f t="shared" si="51"/>
        <v>0.60885868137220756</v>
      </c>
      <c r="S187" s="19">
        <f t="shared" si="52"/>
        <v>0.25316820164205339</v>
      </c>
      <c r="T187" s="19">
        <f t="shared" si="53"/>
        <v>-0.12070760255993213</v>
      </c>
      <c r="U187" s="19">
        <f t="shared" si="54"/>
        <v>0.61225333253946934</v>
      </c>
      <c r="V187" s="19">
        <f t="shared" si="55"/>
        <v>0.54320967594928404</v>
      </c>
      <c r="W187" s="19">
        <f t="shared" si="56"/>
        <v>0.15451477363990296</v>
      </c>
      <c r="X187" s="19">
        <f t="shared" si="57"/>
        <v>0.60695341417507187</v>
      </c>
      <c r="Y187" s="19">
        <f t="shared" si="58"/>
        <v>0.10957238257436995</v>
      </c>
      <c r="AA187" s="19">
        <f t="shared" si="59"/>
        <v>2.7678228593324259</v>
      </c>
      <c r="AB187" s="19">
        <f t="shared" si="60"/>
        <v>1.4366234158409736</v>
      </c>
    </row>
    <row r="188" spans="1:28" x14ac:dyDescent="0.25">
      <c r="A188" s="13">
        <f>[1]Data!A191</f>
        <v>43132</v>
      </c>
      <c r="B188" s="14">
        <f>[1]Data!B191</f>
        <v>-3.7037849864770427E-2</v>
      </c>
      <c r="C188" s="14">
        <f>[1]Data!C191</f>
        <v>3.3142235625002285E-3</v>
      </c>
      <c r="D188" s="15">
        <f>[1]Data!F191</f>
        <v>4.612206093618048E-3</v>
      </c>
      <c r="E188" s="16">
        <f>[1]Data!G191</f>
        <v>1.4077719218767796E-2</v>
      </c>
      <c r="F188" s="15">
        <f>[1]Data!H191</f>
        <v>-5.1797452432327633E-2</v>
      </c>
      <c r="G188" s="16">
        <f>[1]Data!I191</f>
        <v>-3.0297480730135874E-2</v>
      </c>
      <c r="H188" s="17">
        <f t="shared" si="41"/>
        <v>-1</v>
      </c>
      <c r="I188" s="18">
        <f t="shared" si="50"/>
        <v>1</v>
      </c>
      <c r="J188" s="19">
        <f t="shared" si="42"/>
        <v>0</v>
      </c>
      <c r="K188" s="19">
        <f t="shared" si="43"/>
        <v>-4.612206093618048E-3</v>
      </c>
      <c r="L188" s="19">
        <f t="shared" si="44"/>
        <v>0</v>
      </c>
      <c r="M188" s="19">
        <f t="shared" si="45"/>
        <v>1.4077719218767796E-2</v>
      </c>
      <c r="N188" s="19">
        <f t="shared" si="46"/>
        <v>-5.1797452432327633E-2</v>
      </c>
      <c r="O188" s="19">
        <f t="shared" si="47"/>
        <v>0</v>
      </c>
      <c r="P188" s="19">
        <f t="shared" si="48"/>
        <v>3.0297480730135874E-2</v>
      </c>
      <c r="Q188" s="19">
        <f t="shared" si="49"/>
        <v>0</v>
      </c>
      <c r="R188" s="19">
        <f t="shared" si="51"/>
        <v>0.60885868137220756</v>
      </c>
      <c r="S188" s="19">
        <f t="shared" si="52"/>
        <v>0.24855599554843535</v>
      </c>
      <c r="T188" s="19">
        <f t="shared" si="53"/>
        <v>-0.12070760255993213</v>
      </c>
      <c r="U188" s="19">
        <f t="shared" si="54"/>
        <v>0.62633105175823711</v>
      </c>
      <c r="V188" s="19">
        <f t="shared" si="55"/>
        <v>0.4914122235169564</v>
      </c>
      <c r="W188" s="19">
        <f t="shared" si="56"/>
        <v>0.15451477363990296</v>
      </c>
      <c r="X188" s="19">
        <f t="shared" si="57"/>
        <v>0.6372508949052077</v>
      </c>
      <c r="Y188" s="19">
        <f t="shared" si="58"/>
        <v>0.10957238257436995</v>
      </c>
      <c r="AA188" s="19">
        <f t="shared" si="59"/>
        <v>2.7557884007553839</v>
      </c>
      <c r="AB188" s="19">
        <f t="shared" si="60"/>
        <v>1.3995855659762033</v>
      </c>
    </row>
    <row r="189" spans="1:28" x14ac:dyDescent="0.25">
      <c r="A189" s="13">
        <f>[1]Data!A192</f>
        <v>43160</v>
      </c>
      <c r="B189" s="14">
        <f>[1]Data!B192</f>
        <v>-2.7793433573292677E-2</v>
      </c>
      <c r="C189" s="14">
        <f>[1]Data!C192</f>
        <v>-5.2935112321216594E-3</v>
      </c>
      <c r="D189" s="15">
        <f>[1]Data!F192</f>
        <v>-2.7289331721891623E-2</v>
      </c>
      <c r="E189" s="16">
        <f>[1]Data!G192</f>
        <v>2.3406021679418101E-2</v>
      </c>
      <c r="F189" s="15">
        <f>[1]Data!H192</f>
        <v>4.1509370241881328E-3</v>
      </c>
      <c r="G189" s="16">
        <f>[1]Data!I192</f>
        <v>-4.2362346869143676E-3</v>
      </c>
      <c r="H189" s="17">
        <f t="shared" si="41"/>
        <v>1</v>
      </c>
      <c r="I189" s="18">
        <f t="shared" si="50"/>
        <v>1</v>
      </c>
      <c r="J189" s="19">
        <f t="shared" si="42"/>
        <v>-2.7289331721891623E-2</v>
      </c>
      <c r="K189" s="19">
        <f t="shared" si="43"/>
        <v>0</v>
      </c>
      <c r="L189" s="19">
        <f t="shared" si="44"/>
        <v>-2.3406021679418101E-2</v>
      </c>
      <c r="M189" s="19">
        <f t="shared" si="45"/>
        <v>0</v>
      </c>
      <c r="N189" s="19">
        <f t="shared" si="46"/>
        <v>4.1509370241881328E-3</v>
      </c>
      <c r="O189" s="19">
        <f t="shared" si="47"/>
        <v>0</v>
      </c>
      <c r="P189" s="19">
        <f t="shared" si="48"/>
        <v>4.2362346869143676E-3</v>
      </c>
      <c r="Q189" s="19">
        <f t="shared" si="49"/>
        <v>0</v>
      </c>
      <c r="R189" s="19">
        <f t="shared" si="51"/>
        <v>0.58156934965031593</v>
      </c>
      <c r="S189" s="19">
        <f t="shared" si="52"/>
        <v>0.24855599554843535</v>
      </c>
      <c r="T189" s="19">
        <f t="shared" si="53"/>
        <v>-0.14411362423935023</v>
      </c>
      <c r="U189" s="19">
        <f t="shared" si="54"/>
        <v>0.62633105175823711</v>
      </c>
      <c r="V189" s="19">
        <f t="shared" si="55"/>
        <v>0.49556316054114452</v>
      </c>
      <c r="W189" s="19">
        <f t="shared" si="56"/>
        <v>0.15451477363990296</v>
      </c>
      <c r="X189" s="19">
        <f t="shared" si="57"/>
        <v>0.64148712959212206</v>
      </c>
      <c r="Y189" s="19">
        <f t="shared" si="58"/>
        <v>0.10957238257436995</v>
      </c>
      <c r="AA189" s="19">
        <f t="shared" si="59"/>
        <v>2.7134802190651768</v>
      </c>
      <c r="AB189" s="19">
        <f t="shared" si="60"/>
        <v>1.3717921324029105</v>
      </c>
    </row>
    <row r="190" spans="1:28" x14ac:dyDescent="0.25">
      <c r="A190" s="13">
        <f>[1]Data!A193</f>
        <v>43191</v>
      </c>
      <c r="B190" s="14">
        <f>[1]Data!B193</f>
        <v>5.155135816983761E-3</v>
      </c>
      <c r="C190" s="14">
        <f>[1]Data!C193</f>
        <v>3.9553379733160809E-2</v>
      </c>
      <c r="D190" s="15">
        <f>[1]Data!F193</f>
        <v>-7.907851804735291E-3</v>
      </c>
      <c r="E190" s="16">
        <f>[1]Data!G193</f>
        <v>5.3875995769281076E-3</v>
      </c>
      <c r="F190" s="15">
        <f>[1]Data!H193</f>
        <v>-1.3120120457373973E-2</v>
      </c>
      <c r="G190" s="16">
        <f>[1]Data!I193</f>
        <v>-4.4493660091164625E-3</v>
      </c>
      <c r="H190" s="17">
        <f t="shared" si="41"/>
        <v>-1</v>
      </c>
      <c r="I190" s="18">
        <f t="shared" si="50"/>
        <v>-1</v>
      </c>
      <c r="J190" s="19">
        <f t="shared" si="42"/>
        <v>0</v>
      </c>
      <c r="K190" s="19">
        <f t="shared" si="43"/>
        <v>7.907851804735291E-3</v>
      </c>
      <c r="L190" s="19">
        <f t="shared" si="44"/>
        <v>0</v>
      </c>
      <c r="M190" s="19">
        <f t="shared" si="45"/>
        <v>5.3875995769281076E-3</v>
      </c>
      <c r="N190" s="19">
        <f t="shared" si="46"/>
        <v>0</v>
      </c>
      <c r="O190" s="19">
        <f t="shared" si="47"/>
        <v>1.3120120457373973E-2</v>
      </c>
      <c r="P190" s="19">
        <f t="shared" si="48"/>
        <v>0</v>
      </c>
      <c r="Q190" s="19">
        <f t="shared" si="49"/>
        <v>-4.4493660091164625E-3</v>
      </c>
      <c r="R190" s="19">
        <f t="shared" si="51"/>
        <v>0.58156934965031593</v>
      </c>
      <c r="S190" s="19">
        <f t="shared" si="52"/>
        <v>0.25646384735317063</v>
      </c>
      <c r="T190" s="19">
        <f t="shared" si="53"/>
        <v>-0.14411362423935023</v>
      </c>
      <c r="U190" s="19">
        <f t="shared" si="54"/>
        <v>0.63171865133516525</v>
      </c>
      <c r="V190" s="19">
        <f t="shared" si="55"/>
        <v>0.49556316054114452</v>
      </c>
      <c r="W190" s="19">
        <f t="shared" si="56"/>
        <v>0.16763489409727694</v>
      </c>
      <c r="X190" s="19">
        <f t="shared" si="57"/>
        <v>0.64148712959212206</v>
      </c>
      <c r="Y190" s="19">
        <f t="shared" si="58"/>
        <v>0.10512301656525348</v>
      </c>
      <c r="AA190" s="19">
        <f t="shared" si="59"/>
        <v>2.7354464248950978</v>
      </c>
      <c r="AB190" s="19">
        <f t="shared" si="60"/>
        <v>1.3769472682198942</v>
      </c>
    </row>
    <row r="191" spans="1:28" x14ac:dyDescent="0.25">
      <c r="A191" s="13">
        <f>[1]Data!A194</f>
        <v>43221</v>
      </c>
      <c r="B191" s="14">
        <f>[1]Data!B194</f>
        <v>2.4018339830640102E-2</v>
      </c>
      <c r="C191" s="14">
        <f>[1]Data!C194</f>
        <v>4.622878211369133E-2</v>
      </c>
      <c r="D191" s="15">
        <f>[1]Data!F194</f>
        <v>-8.9288138674606353E-3</v>
      </c>
      <c r="E191" s="16">
        <f>[1]Data!G194</f>
        <v>3.3127622359462053E-2</v>
      </c>
      <c r="F191" s="15">
        <f>[1]Data!H194</f>
        <v>9.0696994359868478E-3</v>
      </c>
      <c r="G191" s="16">
        <f>[1]Data!I194</f>
        <v>-3.1973625113052581E-4</v>
      </c>
      <c r="H191" s="17">
        <f t="shared" si="41"/>
        <v>-1</v>
      </c>
      <c r="I191" s="18">
        <f t="shared" si="50"/>
        <v>1</v>
      </c>
      <c r="J191" s="19">
        <f t="shared" si="42"/>
        <v>0</v>
      </c>
      <c r="K191" s="19">
        <f t="shared" si="43"/>
        <v>8.9288138674606353E-3</v>
      </c>
      <c r="L191" s="19">
        <f t="shared" si="44"/>
        <v>0</v>
      </c>
      <c r="M191" s="19">
        <f t="shared" si="45"/>
        <v>3.3127622359462053E-2</v>
      </c>
      <c r="N191" s="19">
        <f t="shared" si="46"/>
        <v>9.0696994359868478E-3</v>
      </c>
      <c r="O191" s="19">
        <f t="shared" si="47"/>
        <v>0</v>
      </c>
      <c r="P191" s="19">
        <f t="shared" si="48"/>
        <v>3.1973625113052581E-4</v>
      </c>
      <c r="Q191" s="19">
        <f t="shared" si="49"/>
        <v>0</v>
      </c>
      <c r="R191" s="19">
        <f t="shared" si="51"/>
        <v>0.58156934965031593</v>
      </c>
      <c r="S191" s="19">
        <f t="shared" si="52"/>
        <v>0.26539266122063127</v>
      </c>
      <c r="T191" s="19">
        <f t="shared" si="53"/>
        <v>-0.14411362423935023</v>
      </c>
      <c r="U191" s="19">
        <f t="shared" si="54"/>
        <v>0.66484627369462734</v>
      </c>
      <c r="V191" s="19">
        <f t="shared" si="55"/>
        <v>0.50463285997713136</v>
      </c>
      <c r="W191" s="19">
        <f t="shared" si="56"/>
        <v>0.16763489409727694</v>
      </c>
      <c r="X191" s="19">
        <f t="shared" si="57"/>
        <v>0.64180686584325264</v>
      </c>
      <c r="Y191" s="19">
        <f t="shared" si="58"/>
        <v>0.10512301656525348</v>
      </c>
      <c r="AA191" s="19">
        <f t="shared" si="59"/>
        <v>2.7868922968091381</v>
      </c>
      <c r="AB191" s="19">
        <f t="shared" si="60"/>
        <v>1.4009656080505344</v>
      </c>
    </row>
    <row r="192" spans="1:28" x14ac:dyDescent="0.25">
      <c r="A192" s="13">
        <f>[1]Data!A195</f>
        <v>43252</v>
      </c>
      <c r="B192" s="14">
        <f>[1]Data!B195</f>
        <v>5.7342135862078081E-3</v>
      </c>
      <c r="C192" s="14">
        <f>[1]Data!C195</f>
        <v>1.9890913306014949E-2</v>
      </c>
      <c r="D192" s="15">
        <f>[1]Data!F195</f>
        <v>-1.0852293153218664E-2</v>
      </c>
      <c r="E192" s="16">
        <f>[1]Data!G195</f>
        <v>9.7416301856381483E-3</v>
      </c>
      <c r="F192" s="15">
        <f>[1]Data!H195</f>
        <v>2.3455087543905965E-2</v>
      </c>
      <c r="G192" s="16">
        <f>[1]Data!I195</f>
        <v>-8.7115890843291292E-3</v>
      </c>
      <c r="H192" s="17">
        <f t="shared" si="41"/>
        <v>-1</v>
      </c>
      <c r="I192" s="18">
        <f t="shared" si="50"/>
        <v>1</v>
      </c>
      <c r="J192" s="19">
        <f t="shared" si="42"/>
        <v>0</v>
      </c>
      <c r="K192" s="19">
        <f t="shared" si="43"/>
        <v>1.0852293153218664E-2</v>
      </c>
      <c r="L192" s="19">
        <f t="shared" si="44"/>
        <v>0</v>
      </c>
      <c r="M192" s="19">
        <f t="shared" si="45"/>
        <v>9.7416301856381483E-3</v>
      </c>
      <c r="N192" s="19">
        <f t="shared" si="46"/>
        <v>2.3455087543905965E-2</v>
      </c>
      <c r="O192" s="19">
        <f t="shared" si="47"/>
        <v>0</v>
      </c>
      <c r="P192" s="19">
        <f t="shared" si="48"/>
        <v>8.7115890843291292E-3</v>
      </c>
      <c r="Q192" s="19">
        <f t="shared" si="49"/>
        <v>0</v>
      </c>
      <c r="R192" s="19">
        <f t="shared" si="51"/>
        <v>0.58156934965031593</v>
      </c>
      <c r="S192" s="19">
        <f t="shared" si="52"/>
        <v>0.27624495437384994</v>
      </c>
      <c r="T192" s="19">
        <f t="shared" si="53"/>
        <v>-0.14411362423935023</v>
      </c>
      <c r="U192" s="19">
        <f t="shared" si="54"/>
        <v>0.67458790388026546</v>
      </c>
      <c r="V192" s="19">
        <f t="shared" si="55"/>
        <v>0.52808794752103738</v>
      </c>
      <c r="W192" s="19">
        <f t="shared" si="56"/>
        <v>0.16763489409727694</v>
      </c>
      <c r="X192" s="19">
        <f t="shared" si="57"/>
        <v>0.65051845492758176</v>
      </c>
      <c r="Y192" s="19">
        <f t="shared" si="58"/>
        <v>0.10512301656525348</v>
      </c>
      <c r="AA192" s="19">
        <f t="shared" si="59"/>
        <v>2.8396528967762298</v>
      </c>
      <c r="AB192" s="19">
        <f t="shared" si="60"/>
        <v>1.4066998216367421</v>
      </c>
    </row>
    <row r="193" spans="1:28" x14ac:dyDescent="0.25">
      <c r="A193" s="13">
        <f>[1]Data!A196</f>
        <v>43282</v>
      </c>
      <c r="B193" s="14">
        <f>[1]Data!B196</f>
        <v>3.6376741452448347E-2</v>
      </c>
      <c r="C193" s="14">
        <f>[1]Data!C196</f>
        <v>5.0424260444974993E-2</v>
      </c>
      <c r="D193" s="15">
        <f>[1]Data!F196</f>
        <v>4.0243726201898361E-3</v>
      </c>
      <c r="E193" s="16">
        <f>[1]Data!G196</f>
        <v>3.5988725289574108E-3</v>
      </c>
      <c r="F193" s="15">
        <f>[1]Data!H196</f>
        <v>2.4109842838069995E-2</v>
      </c>
      <c r="G193" s="16">
        <f>[1]Data!I196</f>
        <v>4.2316357374993256E-3</v>
      </c>
      <c r="H193" s="17">
        <f t="shared" si="41"/>
        <v>-1</v>
      </c>
      <c r="I193" s="18">
        <f t="shared" si="50"/>
        <v>1</v>
      </c>
      <c r="J193" s="19">
        <f t="shared" si="42"/>
        <v>0</v>
      </c>
      <c r="K193" s="19">
        <f t="shared" si="43"/>
        <v>-4.0243726201898361E-3</v>
      </c>
      <c r="L193" s="19">
        <f t="shared" si="44"/>
        <v>0</v>
      </c>
      <c r="M193" s="19">
        <f t="shared" si="45"/>
        <v>3.5988725289574108E-3</v>
      </c>
      <c r="N193" s="19">
        <f t="shared" si="46"/>
        <v>2.4109842838069995E-2</v>
      </c>
      <c r="O193" s="19">
        <f t="shared" si="47"/>
        <v>0</v>
      </c>
      <c r="P193" s="19">
        <f t="shared" si="48"/>
        <v>-4.2316357374993256E-3</v>
      </c>
      <c r="Q193" s="19">
        <f t="shared" si="49"/>
        <v>0</v>
      </c>
      <c r="R193" s="19">
        <f t="shared" si="51"/>
        <v>0.58156934965031593</v>
      </c>
      <c r="S193" s="19">
        <f t="shared" si="52"/>
        <v>0.2722205817536601</v>
      </c>
      <c r="T193" s="19">
        <f t="shared" si="53"/>
        <v>-0.14411362423935023</v>
      </c>
      <c r="U193" s="19">
        <f t="shared" si="54"/>
        <v>0.67818677640922287</v>
      </c>
      <c r="V193" s="19">
        <f t="shared" si="55"/>
        <v>0.55219779035910732</v>
      </c>
      <c r="W193" s="19">
        <f t="shared" si="56"/>
        <v>0.16763489409727694</v>
      </c>
      <c r="X193" s="19">
        <f t="shared" si="57"/>
        <v>0.64628681919008246</v>
      </c>
      <c r="Y193" s="19">
        <f t="shared" si="58"/>
        <v>0.10512301656525348</v>
      </c>
      <c r="AA193" s="19">
        <f t="shared" si="59"/>
        <v>2.8591056037855682</v>
      </c>
      <c r="AB193" s="19">
        <f t="shared" si="60"/>
        <v>1.4430765630891904</v>
      </c>
    </row>
    <row r="194" spans="1:28" x14ac:dyDescent="0.25">
      <c r="A194" s="13">
        <f>[1]Data!A197</f>
        <v>43313</v>
      </c>
      <c r="B194" s="14">
        <f>[1]Data!B197</f>
        <v>3.1421186958409397E-2</v>
      </c>
      <c r="C194" s="14">
        <f>[1]Data!C197</f>
        <v>1.4811586670283932E-3</v>
      </c>
      <c r="D194" s="15">
        <f>[1]Data!F197</f>
        <v>1.3769505626484929E-2</v>
      </c>
      <c r="E194" s="16">
        <f>[1]Data!G197</f>
        <v>-3.1356211291794739E-3</v>
      </c>
      <c r="F194" s="15">
        <f>[1]Data!H197</f>
        <v>1.499390366819545E-2</v>
      </c>
      <c r="G194" s="16">
        <f>[1]Data!I197</f>
        <v>-6.4092701862888662E-3</v>
      </c>
      <c r="H194" s="17">
        <f t="shared" ref="H194:H257" si="61">IF(C194&gt;0,-1,1)</f>
        <v>-1</v>
      </c>
      <c r="I194" s="18">
        <f t="shared" si="50"/>
        <v>1</v>
      </c>
      <c r="J194" s="19">
        <f t="shared" ref="J194:J257" si="62">IF(H194=1,D194,0)</f>
        <v>0</v>
      </c>
      <c r="K194" s="19">
        <f t="shared" ref="K194:K257" si="63">IF(H194=-1,-D194,0)</f>
        <v>-1.3769505626484929E-2</v>
      </c>
      <c r="L194" s="19">
        <f t="shared" ref="L194:L257" si="64">IF(H194=1,-E194,0)</f>
        <v>0</v>
      </c>
      <c r="M194" s="19">
        <f t="shared" ref="M194:M257" si="65">IF(H194=-1,E194,0)</f>
        <v>-3.1356211291794739E-3</v>
      </c>
      <c r="N194" s="19">
        <f t="shared" ref="N194:N257" si="66">IF(I194=1,F194,0)</f>
        <v>1.499390366819545E-2</v>
      </c>
      <c r="O194" s="19">
        <f t="shared" ref="O194:O257" si="67">IF(I194=-1,-F194,0)</f>
        <v>0</v>
      </c>
      <c r="P194" s="19">
        <f t="shared" ref="P194:P257" si="68">IF(I194=1,-G194,0)</f>
        <v>6.4092701862888662E-3</v>
      </c>
      <c r="Q194" s="19">
        <f t="shared" ref="Q194:Q257" si="69">IF(I194=-1,G194,0)</f>
        <v>0</v>
      </c>
      <c r="R194" s="19">
        <f t="shared" si="51"/>
        <v>0.58156934965031593</v>
      </c>
      <c r="S194" s="19">
        <f t="shared" si="52"/>
        <v>0.25845107612717516</v>
      </c>
      <c r="T194" s="19">
        <f t="shared" si="53"/>
        <v>-0.14411362423935023</v>
      </c>
      <c r="U194" s="19">
        <f t="shared" si="54"/>
        <v>0.67505115528004345</v>
      </c>
      <c r="V194" s="19">
        <f t="shared" si="55"/>
        <v>0.56719169402730274</v>
      </c>
      <c r="W194" s="19">
        <f t="shared" si="56"/>
        <v>0.16763489409727694</v>
      </c>
      <c r="X194" s="19">
        <f t="shared" si="57"/>
        <v>0.65269608937637136</v>
      </c>
      <c r="Y194" s="19">
        <f t="shared" si="58"/>
        <v>0.10512301656525348</v>
      </c>
      <c r="AA194" s="19">
        <f t="shared" si="59"/>
        <v>2.8636036508843881</v>
      </c>
      <c r="AB194" s="19">
        <f t="shared" si="60"/>
        <v>1.4744977500475998</v>
      </c>
    </row>
    <row r="195" spans="1:28" x14ac:dyDescent="0.25">
      <c r="A195" s="13">
        <f>[1]Data!A198</f>
        <v>43344</v>
      </c>
      <c r="B195" s="14">
        <f>[1]Data!B198</f>
        <v>5.927802348534324E-3</v>
      </c>
      <c r="C195" s="14">
        <f>[1]Data!C198</f>
        <v>4.003650712396669E-2</v>
      </c>
      <c r="D195" s="15">
        <f>[1]Data!F198</f>
        <v>-1.0316341066677899E-3</v>
      </c>
      <c r="E195" s="16">
        <f>[1]Data!G198</f>
        <v>4.0162620680217831E-3</v>
      </c>
      <c r="F195" s="15">
        <f>[1]Data!H198</f>
        <v>-7.6417809972011853E-3</v>
      </c>
      <c r="G195" s="16">
        <f>[1]Data!I198</f>
        <v>-9.638032562270242E-3</v>
      </c>
      <c r="H195" s="17">
        <f t="shared" si="61"/>
        <v>-1</v>
      </c>
      <c r="I195" s="18">
        <f t="shared" ref="I195:I258" si="70">IF(C194&gt;0,1,-1)</f>
        <v>1</v>
      </c>
      <c r="J195" s="19">
        <f t="shared" si="62"/>
        <v>0</v>
      </c>
      <c r="K195" s="19">
        <f t="shared" si="63"/>
        <v>1.0316341066677899E-3</v>
      </c>
      <c r="L195" s="19">
        <f t="shared" si="64"/>
        <v>0</v>
      </c>
      <c r="M195" s="19">
        <f t="shared" si="65"/>
        <v>4.0162620680217831E-3</v>
      </c>
      <c r="N195" s="19">
        <f t="shared" si="66"/>
        <v>-7.6417809972011853E-3</v>
      </c>
      <c r="O195" s="19">
        <f t="shared" si="67"/>
        <v>0</v>
      </c>
      <c r="P195" s="19">
        <f t="shared" si="68"/>
        <v>9.638032562270242E-3</v>
      </c>
      <c r="Q195" s="19">
        <f t="shared" si="69"/>
        <v>0</v>
      </c>
      <c r="R195" s="19">
        <f t="shared" ref="R195:R258" si="71">J195+R194</f>
        <v>0.58156934965031593</v>
      </c>
      <c r="S195" s="19">
        <f t="shared" ref="S195:S258" si="72">K195+S194</f>
        <v>0.25948271023384295</v>
      </c>
      <c r="T195" s="19">
        <f t="shared" ref="T195:T258" si="73">L195+T194</f>
        <v>-0.14411362423935023</v>
      </c>
      <c r="U195" s="19">
        <f t="shared" ref="U195:U258" si="74">M195+U194</f>
        <v>0.67906741734806519</v>
      </c>
      <c r="V195" s="19">
        <f t="shared" ref="V195:V258" si="75">N195+V194</f>
        <v>0.5595499130301016</v>
      </c>
      <c r="W195" s="19">
        <f t="shared" ref="W195:W258" si="76">O195+W194</f>
        <v>0.16763489409727694</v>
      </c>
      <c r="X195" s="19">
        <f t="shared" ref="X195:X258" si="77">P195+X194</f>
        <v>0.66233412193864161</v>
      </c>
      <c r="Y195" s="19">
        <f t="shared" ref="Y195:Y258" si="78">Q195+Y194</f>
        <v>0.10512301656525348</v>
      </c>
      <c r="AA195" s="19">
        <f t="shared" ref="AA195:AA258" si="79">SUM(J195:Q195)+AA194</f>
        <v>2.8706477986241468</v>
      </c>
      <c r="AB195" s="19">
        <f t="shared" ref="AB195:AB258" si="80">B195+AB194</f>
        <v>1.480425552396134</v>
      </c>
    </row>
    <row r="196" spans="1:28" x14ac:dyDescent="0.25">
      <c r="A196" s="13">
        <f>[1]Data!A199</f>
        <v>43374</v>
      </c>
      <c r="B196" s="14">
        <f>[1]Data!B199</f>
        <v>-7.1608176933506767E-2</v>
      </c>
      <c r="C196" s="14">
        <f>[1]Data!C199</f>
        <v>-2.2454685946034773E-2</v>
      </c>
      <c r="D196" s="15">
        <f>[1]Data!F199</f>
        <v>-2.0553717379581858E-2</v>
      </c>
      <c r="E196" s="16">
        <f>[1]Data!G199</f>
        <v>-1.143701118667192E-3</v>
      </c>
      <c r="F196" s="15">
        <f>[1]Data!H199</f>
        <v>-1.0025517699890484E-2</v>
      </c>
      <c r="G196" s="16">
        <f>[1]Data!I199</f>
        <v>-3.4509257523105241E-2</v>
      </c>
      <c r="H196" s="17">
        <f t="shared" si="61"/>
        <v>1</v>
      </c>
      <c r="I196" s="18">
        <f t="shared" si="70"/>
        <v>1</v>
      </c>
      <c r="J196" s="19">
        <f t="shared" si="62"/>
        <v>-2.0553717379581858E-2</v>
      </c>
      <c r="K196" s="19">
        <f t="shared" si="63"/>
        <v>0</v>
      </c>
      <c r="L196" s="19">
        <f t="shared" si="64"/>
        <v>1.143701118667192E-3</v>
      </c>
      <c r="M196" s="19">
        <f t="shared" si="65"/>
        <v>0</v>
      </c>
      <c r="N196" s="19">
        <f t="shared" si="66"/>
        <v>-1.0025517699890484E-2</v>
      </c>
      <c r="O196" s="19">
        <f t="shared" si="67"/>
        <v>0</v>
      </c>
      <c r="P196" s="19">
        <f t="shared" si="68"/>
        <v>3.4509257523105241E-2</v>
      </c>
      <c r="Q196" s="19">
        <f t="shared" si="69"/>
        <v>0</v>
      </c>
      <c r="R196" s="19">
        <f t="shared" si="71"/>
        <v>0.56101563227073403</v>
      </c>
      <c r="S196" s="19">
        <f t="shared" si="72"/>
        <v>0.25948271023384295</v>
      </c>
      <c r="T196" s="19">
        <f t="shared" si="73"/>
        <v>-0.14296992312068305</v>
      </c>
      <c r="U196" s="19">
        <f t="shared" si="74"/>
        <v>0.67906741734806519</v>
      </c>
      <c r="V196" s="19">
        <f t="shared" si="75"/>
        <v>0.54952439533021114</v>
      </c>
      <c r="W196" s="19">
        <f t="shared" si="76"/>
        <v>0.16763489409727694</v>
      </c>
      <c r="X196" s="19">
        <f t="shared" si="77"/>
        <v>0.69684337946174679</v>
      </c>
      <c r="Y196" s="19">
        <f t="shared" si="78"/>
        <v>0.10512301656525348</v>
      </c>
      <c r="AA196" s="19">
        <f t="shared" si="79"/>
        <v>2.8757215221864469</v>
      </c>
      <c r="AB196" s="19">
        <f t="shared" si="80"/>
        <v>1.4088173754626272</v>
      </c>
    </row>
    <row r="197" spans="1:28" x14ac:dyDescent="0.25">
      <c r="A197" s="13">
        <f>[1]Data!A200</f>
        <v>43405</v>
      </c>
      <c r="B197" s="14">
        <f>[1]Data!B200</f>
        <v>1.8379691391875903E-2</v>
      </c>
      <c r="C197" s="14">
        <f>[1]Data!C200</f>
        <v>-3.5969844062635793E-2</v>
      </c>
      <c r="D197" s="15">
        <f>[1]Data!F200</f>
        <v>3.9326840232530066E-2</v>
      </c>
      <c r="E197" s="16">
        <f>[1]Data!G200</f>
        <v>2.6912111481402364E-3</v>
      </c>
      <c r="F197" s="15">
        <f>[1]Data!H200</f>
        <v>3.7637580457190539E-2</v>
      </c>
      <c r="G197" s="16">
        <f>[1]Data!I200</f>
        <v>-6.9525341384052705E-3</v>
      </c>
      <c r="H197" s="17">
        <f t="shared" si="61"/>
        <v>1</v>
      </c>
      <c r="I197" s="18">
        <f t="shared" si="70"/>
        <v>-1</v>
      </c>
      <c r="J197" s="19">
        <f t="shared" si="62"/>
        <v>3.9326840232530066E-2</v>
      </c>
      <c r="K197" s="19">
        <f t="shared" si="63"/>
        <v>0</v>
      </c>
      <c r="L197" s="19">
        <f t="shared" si="64"/>
        <v>-2.6912111481402364E-3</v>
      </c>
      <c r="M197" s="19">
        <f t="shared" si="65"/>
        <v>0</v>
      </c>
      <c r="N197" s="19">
        <f t="shared" si="66"/>
        <v>0</v>
      </c>
      <c r="O197" s="19">
        <f t="shared" si="67"/>
        <v>-3.7637580457190539E-2</v>
      </c>
      <c r="P197" s="19">
        <f t="shared" si="68"/>
        <v>0</v>
      </c>
      <c r="Q197" s="19">
        <f t="shared" si="69"/>
        <v>-6.9525341384052705E-3</v>
      </c>
      <c r="R197" s="19">
        <f t="shared" si="71"/>
        <v>0.60034247250326411</v>
      </c>
      <c r="S197" s="19">
        <f t="shared" si="72"/>
        <v>0.25948271023384295</v>
      </c>
      <c r="T197" s="19">
        <f t="shared" si="73"/>
        <v>-0.14566113426882329</v>
      </c>
      <c r="U197" s="19">
        <f t="shared" si="74"/>
        <v>0.67906741734806519</v>
      </c>
      <c r="V197" s="19">
        <f t="shared" si="75"/>
        <v>0.54952439533021114</v>
      </c>
      <c r="W197" s="19">
        <f t="shared" si="76"/>
        <v>0.1299973136400864</v>
      </c>
      <c r="X197" s="19">
        <f t="shared" si="77"/>
        <v>0.69684337946174679</v>
      </c>
      <c r="Y197" s="19">
        <f t="shared" si="78"/>
        <v>9.8170482426848213E-2</v>
      </c>
      <c r="AA197" s="19">
        <f t="shared" si="79"/>
        <v>2.8677670366752408</v>
      </c>
      <c r="AB197" s="19">
        <f t="shared" si="80"/>
        <v>1.4271970668545031</v>
      </c>
    </row>
    <row r="198" spans="1:28" x14ac:dyDescent="0.25">
      <c r="A198" s="13">
        <f>[1]Data!A201</f>
        <v>43435</v>
      </c>
      <c r="B198" s="14">
        <f>[1]Data!B201</f>
        <v>-9.2168749331661873E-2</v>
      </c>
      <c r="C198" s="14">
        <f>[1]Data!C201</f>
        <v>-0.21185768769194702</v>
      </c>
      <c r="D198" s="15">
        <f>[1]Data!F201</f>
        <v>6.4367590049125331E-2</v>
      </c>
      <c r="E198" s="16">
        <f>[1]Data!G201</f>
        <v>1.5648958771348532E-3</v>
      </c>
      <c r="F198" s="15">
        <f>[1]Data!H201</f>
        <v>-4.2918108101582725E-2</v>
      </c>
      <c r="G198" s="16">
        <f>[1]Data!I201</f>
        <v>3.2803510581793024E-2</v>
      </c>
      <c r="H198" s="17">
        <f t="shared" si="61"/>
        <v>1</v>
      </c>
      <c r="I198" s="18">
        <f t="shared" si="70"/>
        <v>-1</v>
      </c>
      <c r="J198" s="19">
        <f t="shared" si="62"/>
        <v>6.4367590049125331E-2</v>
      </c>
      <c r="K198" s="19">
        <f t="shared" si="63"/>
        <v>0</v>
      </c>
      <c r="L198" s="19">
        <f t="shared" si="64"/>
        <v>-1.5648958771348532E-3</v>
      </c>
      <c r="M198" s="19">
        <f t="shared" si="65"/>
        <v>0</v>
      </c>
      <c r="N198" s="19">
        <f t="shared" si="66"/>
        <v>0</v>
      </c>
      <c r="O198" s="19">
        <f t="shared" si="67"/>
        <v>4.2918108101582725E-2</v>
      </c>
      <c r="P198" s="19">
        <f t="shared" si="68"/>
        <v>0</v>
      </c>
      <c r="Q198" s="19">
        <f t="shared" si="69"/>
        <v>3.2803510581793024E-2</v>
      </c>
      <c r="R198" s="19">
        <f t="shared" si="71"/>
        <v>0.6647100625523894</v>
      </c>
      <c r="S198" s="19">
        <f t="shared" si="72"/>
        <v>0.25948271023384295</v>
      </c>
      <c r="T198" s="19">
        <f t="shared" si="73"/>
        <v>-0.14722603014595814</v>
      </c>
      <c r="U198" s="19">
        <f t="shared" si="74"/>
        <v>0.67906741734806519</v>
      </c>
      <c r="V198" s="19">
        <f t="shared" si="75"/>
        <v>0.54952439533021114</v>
      </c>
      <c r="W198" s="19">
        <f t="shared" si="76"/>
        <v>0.17291542174166913</v>
      </c>
      <c r="X198" s="19">
        <f t="shared" si="77"/>
        <v>0.69684337946174679</v>
      </c>
      <c r="Y198" s="19">
        <f t="shared" si="78"/>
        <v>0.13097399300864124</v>
      </c>
      <c r="AA198" s="19">
        <f t="shared" si="79"/>
        <v>3.0062913495306072</v>
      </c>
      <c r="AB198" s="19">
        <f t="shared" si="80"/>
        <v>1.3350283175228412</v>
      </c>
    </row>
    <row r="199" spans="1:28" x14ac:dyDescent="0.25">
      <c r="A199" s="13">
        <f>[1]Data!A202</f>
        <v>43466</v>
      </c>
      <c r="B199" s="14">
        <f>[1]Data!B202</f>
        <v>7.7021910778385203E-2</v>
      </c>
      <c r="C199" s="14">
        <f>[1]Data!C202</f>
        <v>6.2412897833737845E-2</v>
      </c>
      <c r="D199" s="15">
        <f>[1]Data!F202</f>
        <v>2.4450809983496139E-2</v>
      </c>
      <c r="E199" s="16">
        <f>[1]Data!G202</f>
        <v>1.3620232353698167E-2</v>
      </c>
      <c r="F199" s="15">
        <f>[1]Data!H202</f>
        <v>2.7040014402131642E-2</v>
      </c>
      <c r="G199" s="16">
        <f>[1]Data!I202</f>
        <v>-6.588298738461275E-4</v>
      </c>
      <c r="H199" s="17">
        <f t="shared" si="61"/>
        <v>-1</v>
      </c>
      <c r="I199" s="18">
        <f t="shared" si="70"/>
        <v>-1</v>
      </c>
      <c r="J199" s="19">
        <f t="shared" si="62"/>
        <v>0</v>
      </c>
      <c r="K199" s="19">
        <f t="shared" si="63"/>
        <v>-2.4450809983496139E-2</v>
      </c>
      <c r="L199" s="19">
        <f t="shared" si="64"/>
        <v>0</v>
      </c>
      <c r="M199" s="19">
        <f t="shared" si="65"/>
        <v>1.3620232353698167E-2</v>
      </c>
      <c r="N199" s="19">
        <f t="shared" si="66"/>
        <v>0</v>
      </c>
      <c r="O199" s="19">
        <f t="shared" si="67"/>
        <v>-2.7040014402131642E-2</v>
      </c>
      <c r="P199" s="19">
        <f t="shared" si="68"/>
        <v>0</v>
      </c>
      <c r="Q199" s="19">
        <f t="shared" si="69"/>
        <v>-6.588298738461275E-4</v>
      </c>
      <c r="R199" s="19">
        <f t="shared" si="71"/>
        <v>0.6647100625523894</v>
      </c>
      <c r="S199" s="19">
        <f t="shared" si="72"/>
        <v>0.23503190025034681</v>
      </c>
      <c r="T199" s="19">
        <f t="shared" si="73"/>
        <v>-0.14722603014595814</v>
      </c>
      <c r="U199" s="19">
        <f t="shared" si="74"/>
        <v>0.69268764970176333</v>
      </c>
      <c r="V199" s="19">
        <f t="shared" si="75"/>
        <v>0.54952439533021114</v>
      </c>
      <c r="W199" s="19">
        <f t="shared" si="76"/>
        <v>0.14587540733953749</v>
      </c>
      <c r="X199" s="19">
        <f t="shared" si="77"/>
        <v>0.69684337946174679</v>
      </c>
      <c r="Y199" s="19">
        <f t="shared" si="78"/>
        <v>0.1303151631347951</v>
      </c>
      <c r="AA199" s="19">
        <f t="shared" si="79"/>
        <v>2.9677619276248315</v>
      </c>
      <c r="AB199" s="19">
        <f t="shared" si="80"/>
        <v>1.4120502283012264</v>
      </c>
    </row>
    <row r="200" spans="1:28" x14ac:dyDescent="0.25">
      <c r="A200" s="13">
        <f>[1]Data!A203</f>
        <v>43497</v>
      </c>
      <c r="B200" s="14">
        <f>[1]Data!B203</f>
        <v>3.1901454536871036E-2</v>
      </c>
      <c r="C200" s="14">
        <f>[1]Data!C203</f>
        <v>3.4578791536887671E-2</v>
      </c>
      <c r="D200" s="15">
        <f>[1]Data!F203</f>
        <v>-1.6496818060871888E-3</v>
      </c>
      <c r="E200" s="16">
        <f>[1]Data!G203</f>
        <v>-1.2831582499350359E-2</v>
      </c>
      <c r="F200" s="15">
        <f>[1]Data!H203</f>
        <v>7.7779418502615071E-4</v>
      </c>
      <c r="G200" s="16">
        <f>[1]Data!I203</f>
        <v>1.1087989592116305E-3</v>
      </c>
      <c r="H200" s="17">
        <f t="shared" si="61"/>
        <v>-1</v>
      </c>
      <c r="I200" s="18">
        <f t="shared" si="70"/>
        <v>1</v>
      </c>
      <c r="J200" s="19">
        <f t="shared" si="62"/>
        <v>0</v>
      </c>
      <c r="K200" s="19">
        <f t="shared" si="63"/>
        <v>1.6496818060871888E-3</v>
      </c>
      <c r="L200" s="19">
        <f t="shared" si="64"/>
        <v>0</v>
      </c>
      <c r="M200" s="19">
        <f t="shared" si="65"/>
        <v>-1.2831582499350359E-2</v>
      </c>
      <c r="N200" s="19">
        <f t="shared" si="66"/>
        <v>7.7779418502615071E-4</v>
      </c>
      <c r="O200" s="19">
        <f t="shared" si="67"/>
        <v>0</v>
      </c>
      <c r="P200" s="19">
        <f t="shared" si="68"/>
        <v>-1.1087989592116305E-3</v>
      </c>
      <c r="Q200" s="19">
        <f t="shared" si="69"/>
        <v>0</v>
      </c>
      <c r="R200" s="19">
        <f t="shared" si="71"/>
        <v>0.6647100625523894</v>
      </c>
      <c r="S200" s="19">
        <f t="shared" si="72"/>
        <v>0.236681582056434</v>
      </c>
      <c r="T200" s="19">
        <f t="shared" si="73"/>
        <v>-0.14722603014595814</v>
      </c>
      <c r="U200" s="19">
        <f t="shared" si="74"/>
        <v>0.67985606720241298</v>
      </c>
      <c r="V200" s="19">
        <f t="shared" si="75"/>
        <v>0.55030218951523724</v>
      </c>
      <c r="W200" s="19">
        <f t="shared" si="76"/>
        <v>0.14587540733953749</v>
      </c>
      <c r="X200" s="19">
        <f t="shared" si="77"/>
        <v>0.69573458050253512</v>
      </c>
      <c r="Y200" s="19">
        <f t="shared" si="78"/>
        <v>0.1303151631347951</v>
      </c>
      <c r="AA200" s="19">
        <f t="shared" si="79"/>
        <v>2.9562490221573827</v>
      </c>
      <c r="AB200" s="19">
        <f t="shared" si="80"/>
        <v>1.4439516828380974</v>
      </c>
    </row>
    <row r="201" spans="1:28" x14ac:dyDescent="0.25">
      <c r="A201" s="13">
        <f>[1]Data!A204</f>
        <v>43525</v>
      </c>
      <c r="B201" s="14">
        <f>[1]Data!B204</f>
        <v>1.793895013713236E-2</v>
      </c>
      <c r="C201" s="14">
        <f>[1]Data!C204</f>
        <v>-3.5669839480469839E-4</v>
      </c>
      <c r="D201" s="15">
        <f>[1]Data!F204</f>
        <v>-7.9335959042815991E-3</v>
      </c>
      <c r="E201" s="16">
        <f>[1]Data!G204</f>
        <v>2.7990327444829342E-2</v>
      </c>
      <c r="F201" s="15">
        <f>[1]Data!H204</f>
        <v>-1.32564783316515E-2</v>
      </c>
      <c r="G201" s="16">
        <f>[1]Data!I204</f>
        <v>1.0738075946087874E-2</v>
      </c>
      <c r="H201" s="17">
        <f t="shared" si="61"/>
        <v>1</v>
      </c>
      <c r="I201" s="18">
        <f t="shared" si="70"/>
        <v>1</v>
      </c>
      <c r="J201" s="19">
        <f t="shared" si="62"/>
        <v>-7.9335959042815991E-3</v>
      </c>
      <c r="K201" s="19">
        <f t="shared" si="63"/>
        <v>0</v>
      </c>
      <c r="L201" s="19">
        <f t="shared" si="64"/>
        <v>-2.7990327444829342E-2</v>
      </c>
      <c r="M201" s="19">
        <f t="shared" si="65"/>
        <v>0</v>
      </c>
      <c r="N201" s="19">
        <f t="shared" si="66"/>
        <v>-1.32564783316515E-2</v>
      </c>
      <c r="O201" s="19">
        <f t="shared" si="67"/>
        <v>0</v>
      </c>
      <c r="P201" s="19">
        <f t="shared" si="68"/>
        <v>-1.0738075946087874E-2</v>
      </c>
      <c r="Q201" s="19">
        <f t="shared" si="69"/>
        <v>0</v>
      </c>
      <c r="R201" s="19">
        <f t="shared" si="71"/>
        <v>0.65677646664810785</v>
      </c>
      <c r="S201" s="19">
        <f t="shared" si="72"/>
        <v>0.236681582056434</v>
      </c>
      <c r="T201" s="19">
        <f t="shared" si="73"/>
        <v>-0.17521635759078749</v>
      </c>
      <c r="U201" s="19">
        <f t="shared" si="74"/>
        <v>0.67985606720241298</v>
      </c>
      <c r="V201" s="19">
        <f t="shared" si="75"/>
        <v>0.53704571118358579</v>
      </c>
      <c r="W201" s="19">
        <f t="shared" si="76"/>
        <v>0.14587540733953749</v>
      </c>
      <c r="X201" s="19">
        <f t="shared" si="77"/>
        <v>0.68499650455644723</v>
      </c>
      <c r="Y201" s="19">
        <f t="shared" si="78"/>
        <v>0.1303151631347951</v>
      </c>
      <c r="AA201" s="19">
        <f t="shared" si="79"/>
        <v>2.8963305445305325</v>
      </c>
      <c r="AB201" s="19">
        <f t="shared" si="80"/>
        <v>1.4618906329752297</v>
      </c>
    </row>
    <row r="202" spans="1:28" x14ac:dyDescent="0.25">
      <c r="A202" s="13">
        <f>[1]Data!A205</f>
        <v>43556</v>
      </c>
      <c r="B202" s="14">
        <f>[1]Data!B205</f>
        <v>4.0039738729214951E-2</v>
      </c>
      <c r="C202" s="14">
        <f>[1]Data!C205</f>
        <v>5.8211696101089103E-2</v>
      </c>
      <c r="D202" s="15">
        <f>[1]Data!F205</f>
        <v>1.2836208250145786E-2</v>
      </c>
      <c r="E202" s="16">
        <f>[1]Data!G205</f>
        <v>1.0896548044421583E-2</v>
      </c>
      <c r="F202" s="15">
        <f>[1]Data!H205</f>
        <v>2.1329952712746219E-2</v>
      </c>
      <c r="G202" s="16">
        <f>[1]Data!I205</f>
        <v>-1.7043418807385507E-2</v>
      </c>
      <c r="H202" s="17">
        <f t="shared" si="61"/>
        <v>-1</v>
      </c>
      <c r="I202" s="18">
        <f t="shared" si="70"/>
        <v>-1</v>
      </c>
      <c r="J202" s="19">
        <f t="shared" si="62"/>
        <v>0</v>
      </c>
      <c r="K202" s="19">
        <f t="shared" si="63"/>
        <v>-1.2836208250145786E-2</v>
      </c>
      <c r="L202" s="19">
        <f t="shared" si="64"/>
        <v>0</v>
      </c>
      <c r="M202" s="19">
        <f t="shared" si="65"/>
        <v>1.0896548044421583E-2</v>
      </c>
      <c r="N202" s="19">
        <f t="shared" si="66"/>
        <v>0</v>
      </c>
      <c r="O202" s="19">
        <f t="shared" si="67"/>
        <v>-2.1329952712746219E-2</v>
      </c>
      <c r="P202" s="19">
        <f t="shared" si="68"/>
        <v>0</v>
      </c>
      <c r="Q202" s="19">
        <f t="shared" si="69"/>
        <v>-1.7043418807385507E-2</v>
      </c>
      <c r="R202" s="19">
        <f t="shared" si="71"/>
        <v>0.65677646664810785</v>
      </c>
      <c r="S202" s="19">
        <f t="shared" si="72"/>
        <v>0.22384537380628822</v>
      </c>
      <c r="T202" s="19">
        <f t="shared" si="73"/>
        <v>-0.17521635759078749</v>
      </c>
      <c r="U202" s="19">
        <f t="shared" si="74"/>
        <v>0.69075261524683462</v>
      </c>
      <c r="V202" s="19">
        <f t="shared" si="75"/>
        <v>0.53704571118358579</v>
      </c>
      <c r="W202" s="19">
        <f t="shared" si="76"/>
        <v>0.12454545462679127</v>
      </c>
      <c r="X202" s="19">
        <f t="shared" si="77"/>
        <v>0.68499650455644723</v>
      </c>
      <c r="Y202" s="19">
        <f t="shared" si="78"/>
        <v>0.11327174432740959</v>
      </c>
      <c r="AA202" s="19">
        <f t="shared" si="79"/>
        <v>2.8560175128046765</v>
      </c>
      <c r="AB202" s="19">
        <f t="shared" si="80"/>
        <v>1.5019303717044445</v>
      </c>
    </row>
    <row r="203" spans="1:28" x14ac:dyDescent="0.25">
      <c r="A203" s="13">
        <f>[1]Data!A206</f>
        <v>43586</v>
      </c>
      <c r="B203" s="14">
        <f>[1]Data!B206</f>
        <v>-6.5895104484750014E-2</v>
      </c>
      <c r="C203" s="14">
        <f>[1]Data!C206</f>
        <v>-4.3060739153136685E-2</v>
      </c>
      <c r="D203" s="15">
        <f>[1]Data!F206</f>
        <v>-4.0020836287496545E-2</v>
      </c>
      <c r="E203" s="16">
        <f>[1]Data!G206</f>
        <v>4.8968361084669731E-2</v>
      </c>
      <c r="F203" s="15">
        <f>[1]Data!H206</f>
        <v>-2.0930417113664015E-2</v>
      </c>
      <c r="G203" s="16">
        <f>[1]Data!I206</f>
        <v>1.2555292621467427E-2</v>
      </c>
      <c r="H203" s="17">
        <f t="shared" si="61"/>
        <v>1</v>
      </c>
      <c r="I203" s="18">
        <f t="shared" si="70"/>
        <v>1</v>
      </c>
      <c r="J203" s="19">
        <f t="shared" si="62"/>
        <v>-4.0020836287496545E-2</v>
      </c>
      <c r="K203" s="19">
        <f t="shared" si="63"/>
        <v>0</v>
      </c>
      <c r="L203" s="19">
        <f t="shared" si="64"/>
        <v>-4.8968361084669731E-2</v>
      </c>
      <c r="M203" s="19">
        <f t="shared" si="65"/>
        <v>0</v>
      </c>
      <c r="N203" s="19">
        <f t="shared" si="66"/>
        <v>-2.0930417113664015E-2</v>
      </c>
      <c r="O203" s="19">
        <f t="shared" si="67"/>
        <v>0</v>
      </c>
      <c r="P203" s="19">
        <f t="shared" si="68"/>
        <v>-1.2555292621467427E-2</v>
      </c>
      <c r="Q203" s="19">
        <f t="shared" si="69"/>
        <v>0</v>
      </c>
      <c r="R203" s="19">
        <f t="shared" si="71"/>
        <v>0.61675563036061132</v>
      </c>
      <c r="S203" s="19">
        <f t="shared" si="72"/>
        <v>0.22384537380628822</v>
      </c>
      <c r="T203" s="19">
        <f t="shared" si="73"/>
        <v>-0.22418471867545722</v>
      </c>
      <c r="U203" s="19">
        <f t="shared" si="74"/>
        <v>0.69075261524683462</v>
      </c>
      <c r="V203" s="19">
        <f t="shared" si="75"/>
        <v>0.51611529406992174</v>
      </c>
      <c r="W203" s="19">
        <f t="shared" si="76"/>
        <v>0.12454545462679127</v>
      </c>
      <c r="X203" s="19">
        <f t="shared" si="77"/>
        <v>0.67244121193497985</v>
      </c>
      <c r="Y203" s="19">
        <f t="shared" si="78"/>
        <v>0.11327174432740959</v>
      </c>
      <c r="AA203" s="19">
        <f t="shared" si="79"/>
        <v>2.7335426056973788</v>
      </c>
      <c r="AB203" s="19">
        <f t="shared" si="80"/>
        <v>1.4360352672196945</v>
      </c>
    </row>
    <row r="204" spans="1:28" x14ac:dyDescent="0.25">
      <c r="A204" s="13">
        <f>[1]Data!A207</f>
        <v>43617</v>
      </c>
      <c r="B204" s="14">
        <f>[1]Data!B207</f>
        <v>6.7272022468448489E-2</v>
      </c>
      <c r="C204" s="14">
        <f>[1]Data!C207</f>
        <v>7.1667902578850279E-2</v>
      </c>
      <c r="D204" s="15">
        <f>[1]Data!F207</f>
        <v>-3.4073026851065384E-3</v>
      </c>
      <c r="E204" s="16">
        <f>[1]Data!G207</f>
        <v>1.0444911862299582E-2</v>
      </c>
      <c r="F204" s="15">
        <f>[1]Data!H207</f>
        <v>4.399190773026062E-2</v>
      </c>
      <c r="G204" s="16">
        <f>[1]Data!I207</f>
        <v>1.3671303040833308E-3</v>
      </c>
      <c r="H204" s="17">
        <f t="shared" si="61"/>
        <v>-1</v>
      </c>
      <c r="I204" s="18">
        <f t="shared" si="70"/>
        <v>-1</v>
      </c>
      <c r="J204" s="19">
        <f t="shared" si="62"/>
        <v>0</v>
      </c>
      <c r="K204" s="19">
        <f t="shared" si="63"/>
        <v>3.4073026851065384E-3</v>
      </c>
      <c r="L204" s="19">
        <f t="shared" si="64"/>
        <v>0</v>
      </c>
      <c r="M204" s="19">
        <f t="shared" si="65"/>
        <v>1.0444911862299582E-2</v>
      </c>
      <c r="N204" s="19">
        <f t="shared" si="66"/>
        <v>0</v>
      </c>
      <c r="O204" s="19">
        <f t="shared" si="67"/>
        <v>-4.399190773026062E-2</v>
      </c>
      <c r="P204" s="19">
        <f t="shared" si="68"/>
        <v>0</v>
      </c>
      <c r="Q204" s="19">
        <f t="shared" si="69"/>
        <v>1.3671303040833308E-3</v>
      </c>
      <c r="R204" s="19">
        <f t="shared" si="71"/>
        <v>0.61675563036061132</v>
      </c>
      <c r="S204" s="19">
        <f t="shared" si="72"/>
        <v>0.22725267649139475</v>
      </c>
      <c r="T204" s="19">
        <f t="shared" si="73"/>
        <v>-0.22418471867545722</v>
      </c>
      <c r="U204" s="19">
        <f t="shared" si="74"/>
        <v>0.70119752710913419</v>
      </c>
      <c r="V204" s="19">
        <f t="shared" si="75"/>
        <v>0.51611529406992174</v>
      </c>
      <c r="W204" s="19">
        <f t="shared" si="76"/>
        <v>8.0553546896530659E-2</v>
      </c>
      <c r="X204" s="19">
        <f t="shared" si="77"/>
        <v>0.67244121193497985</v>
      </c>
      <c r="Y204" s="19">
        <f t="shared" si="78"/>
        <v>0.11463887463149293</v>
      </c>
      <c r="AA204" s="19">
        <f t="shared" si="79"/>
        <v>2.7047700428186077</v>
      </c>
      <c r="AB204" s="19">
        <f t="shared" si="80"/>
        <v>1.503307289688143</v>
      </c>
    </row>
    <row r="205" spans="1:28" x14ac:dyDescent="0.25">
      <c r="A205" s="13">
        <f>[1]Data!A208</f>
        <v>43647</v>
      </c>
      <c r="B205" s="14">
        <f>[1]Data!B208</f>
        <v>1.500620137629358E-2</v>
      </c>
      <c r="C205" s="14">
        <f>[1]Data!C208</f>
        <v>2.1197709253571204E-2</v>
      </c>
      <c r="D205" s="15">
        <f>[1]Data!F208</f>
        <v>-1.5790180353129762E-3</v>
      </c>
      <c r="E205" s="16">
        <f>[1]Data!G208</f>
        <v>7.174392460381933E-3</v>
      </c>
      <c r="F205" s="15">
        <f>[1]Data!H208</f>
        <v>1.2953234765340405E-2</v>
      </c>
      <c r="G205" s="16">
        <f>[1]Data!I208</f>
        <v>4.5282474430382831E-4</v>
      </c>
      <c r="H205" s="17">
        <f t="shared" si="61"/>
        <v>-1</v>
      </c>
      <c r="I205" s="18">
        <f t="shared" si="70"/>
        <v>1</v>
      </c>
      <c r="J205" s="19">
        <f t="shared" si="62"/>
        <v>0</v>
      </c>
      <c r="K205" s="19">
        <f t="shared" si="63"/>
        <v>1.5790180353129762E-3</v>
      </c>
      <c r="L205" s="19">
        <f t="shared" si="64"/>
        <v>0</v>
      </c>
      <c r="M205" s="19">
        <f t="shared" si="65"/>
        <v>7.174392460381933E-3</v>
      </c>
      <c r="N205" s="19">
        <f t="shared" si="66"/>
        <v>1.2953234765340405E-2</v>
      </c>
      <c r="O205" s="19">
        <f t="shared" si="67"/>
        <v>0</v>
      </c>
      <c r="P205" s="19">
        <f t="shared" si="68"/>
        <v>-4.5282474430382831E-4</v>
      </c>
      <c r="Q205" s="19">
        <f t="shared" si="69"/>
        <v>0</v>
      </c>
      <c r="R205" s="19">
        <f t="shared" si="71"/>
        <v>0.61675563036061132</v>
      </c>
      <c r="S205" s="19">
        <f t="shared" si="72"/>
        <v>0.22883169452670771</v>
      </c>
      <c r="T205" s="19">
        <f t="shared" si="73"/>
        <v>-0.22418471867545722</v>
      </c>
      <c r="U205" s="19">
        <f t="shared" si="74"/>
        <v>0.70837191956951617</v>
      </c>
      <c r="V205" s="19">
        <f t="shared" si="75"/>
        <v>0.52906852883526212</v>
      </c>
      <c r="W205" s="19">
        <f t="shared" si="76"/>
        <v>8.0553546896530659E-2</v>
      </c>
      <c r="X205" s="19">
        <f t="shared" si="77"/>
        <v>0.671988387190676</v>
      </c>
      <c r="Y205" s="19">
        <f t="shared" si="78"/>
        <v>0.11463887463149293</v>
      </c>
      <c r="AA205" s="19">
        <f t="shared" si="79"/>
        <v>2.7260238633353393</v>
      </c>
      <c r="AB205" s="19">
        <f t="shared" si="80"/>
        <v>1.5183134910644365</v>
      </c>
    </row>
    <row r="206" spans="1:28" x14ac:dyDescent="0.25">
      <c r="A206" s="13">
        <f>[1]Data!A209</f>
        <v>43678</v>
      </c>
      <c r="B206" s="14">
        <f>[1]Data!B209</f>
        <v>-1.6885378364657398E-2</v>
      </c>
      <c r="C206" s="14">
        <f>[1]Data!C209</f>
        <v>-0.10304671415057169</v>
      </c>
      <c r="D206" s="15">
        <f>[1]Data!F209</f>
        <v>-8.5760391843603401E-17</v>
      </c>
      <c r="E206" s="16">
        <f>[1]Data!G209</f>
        <v>1.8640966382109898E-2</v>
      </c>
      <c r="F206" s="15">
        <f>[1]Data!H209</f>
        <v>-3.2322727118099921E-2</v>
      </c>
      <c r="G206" s="16">
        <f>[1]Data!I209</f>
        <v>5.4323258675608874E-2</v>
      </c>
      <c r="H206" s="17">
        <f t="shared" si="61"/>
        <v>1</v>
      </c>
      <c r="I206" s="18">
        <f t="shared" si="70"/>
        <v>1</v>
      </c>
      <c r="J206" s="19">
        <f t="shared" si="62"/>
        <v>-8.5760391843603401E-17</v>
      </c>
      <c r="K206" s="19">
        <f t="shared" si="63"/>
        <v>0</v>
      </c>
      <c r="L206" s="19">
        <f t="shared" si="64"/>
        <v>-1.8640966382109898E-2</v>
      </c>
      <c r="M206" s="19">
        <f t="shared" si="65"/>
        <v>0</v>
      </c>
      <c r="N206" s="19">
        <f t="shared" si="66"/>
        <v>-3.2322727118099921E-2</v>
      </c>
      <c r="O206" s="19">
        <f t="shared" si="67"/>
        <v>0</v>
      </c>
      <c r="P206" s="19">
        <f t="shared" si="68"/>
        <v>-5.4323258675608874E-2</v>
      </c>
      <c r="Q206" s="19">
        <f t="shared" si="69"/>
        <v>0</v>
      </c>
      <c r="R206" s="19">
        <f t="shared" si="71"/>
        <v>0.61675563036061121</v>
      </c>
      <c r="S206" s="19">
        <f t="shared" si="72"/>
        <v>0.22883169452670771</v>
      </c>
      <c r="T206" s="19">
        <f t="shared" si="73"/>
        <v>-0.24282568505756713</v>
      </c>
      <c r="U206" s="19">
        <f t="shared" si="74"/>
        <v>0.70837191956951617</v>
      </c>
      <c r="V206" s="19">
        <f t="shared" si="75"/>
        <v>0.49674580171716221</v>
      </c>
      <c r="W206" s="19">
        <f t="shared" si="76"/>
        <v>8.0553546896530659E-2</v>
      </c>
      <c r="X206" s="19">
        <f t="shared" si="77"/>
        <v>0.61766512851506716</v>
      </c>
      <c r="Y206" s="19">
        <f t="shared" si="78"/>
        <v>0.11463887463149293</v>
      </c>
      <c r="AA206" s="19">
        <f t="shared" si="79"/>
        <v>2.6207369111595207</v>
      </c>
      <c r="AB206" s="19">
        <f t="shared" si="80"/>
        <v>1.501428112699779</v>
      </c>
    </row>
    <row r="207" spans="1:28" x14ac:dyDescent="0.25">
      <c r="A207" s="13">
        <f>[1]Data!A210</f>
        <v>43709</v>
      </c>
      <c r="B207" s="14">
        <f>[1]Data!B210</f>
        <v>1.9271248211454543E-2</v>
      </c>
      <c r="C207" s="14">
        <f>[1]Data!C210</f>
        <v>5.9839293231491952E-2</v>
      </c>
      <c r="D207" s="15">
        <f>[1]Data!F210</f>
        <v>-4.8403196492609636E-3</v>
      </c>
      <c r="E207" s="16">
        <f>[1]Data!G210</f>
        <v>8.5631392488743178E-3</v>
      </c>
      <c r="F207" s="15">
        <f>[1]Data!H210</f>
        <v>1.9470701481444874E-2</v>
      </c>
      <c r="G207" s="16">
        <f>[1]Data!I210</f>
        <v>-2.6326017837039459E-2</v>
      </c>
      <c r="H207" s="17">
        <f t="shared" si="61"/>
        <v>-1</v>
      </c>
      <c r="I207" s="18">
        <f t="shared" si="70"/>
        <v>-1</v>
      </c>
      <c r="J207" s="19">
        <f t="shared" si="62"/>
        <v>0</v>
      </c>
      <c r="K207" s="19">
        <f t="shared" si="63"/>
        <v>4.8403196492609636E-3</v>
      </c>
      <c r="L207" s="19">
        <f t="shared" si="64"/>
        <v>0</v>
      </c>
      <c r="M207" s="19">
        <f t="shared" si="65"/>
        <v>8.5631392488743178E-3</v>
      </c>
      <c r="N207" s="19">
        <f t="shared" si="66"/>
        <v>0</v>
      </c>
      <c r="O207" s="19">
        <f t="shared" si="67"/>
        <v>-1.9470701481444874E-2</v>
      </c>
      <c r="P207" s="19">
        <f t="shared" si="68"/>
        <v>0</v>
      </c>
      <c r="Q207" s="19">
        <f t="shared" si="69"/>
        <v>-2.6326017837039459E-2</v>
      </c>
      <c r="R207" s="19">
        <f t="shared" si="71"/>
        <v>0.61675563036061121</v>
      </c>
      <c r="S207" s="19">
        <f t="shared" si="72"/>
        <v>0.23367201417596867</v>
      </c>
      <c r="T207" s="19">
        <f t="shared" si="73"/>
        <v>-0.24282568505756713</v>
      </c>
      <c r="U207" s="19">
        <f t="shared" si="74"/>
        <v>0.71693505881839048</v>
      </c>
      <c r="V207" s="19">
        <f t="shared" si="75"/>
        <v>0.49674580171716221</v>
      </c>
      <c r="W207" s="19">
        <f t="shared" si="76"/>
        <v>6.1082845415085782E-2</v>
      </c>
      <c r="X207" s="19">
        <f t="shared" si="77"/>
        <v>0.61766512851506716</v>
      </c>
      <c r="Y207" s="19">
        <f t="shared" si="78"/>
        <v>8.831285679445347E-2</v>
      </c>
      <c r="AA207" s="19">
        <f t="shared" si="79"/>
        <v>2.5883436507391715</v>
      </c>
      <c r="AB207" s="19">
        <f t="shared" si="80"/>
        <v>1.5206993609112336</v>
      </c>
    </row>
    <row r="208" spans="1:28" x14ac:dyDescent="0.25">
      <c r="A208" s="13">
        <f>[1]Data!A211</f>
        <v>43739</v>
      </c>
      <c r="B208" s="14">
        <f>[1]Data!B211</f>
        <v>2.1863755855332775E-2</v>
      </c>
      <c r="C208" s="14">
        <f>[1]Data!C211</f>
        <v>4.1360021286653836E-2</v>
      </c>
      <c r="D208" s="15">
        <f>[1]Data!F211</f>
        <v>1.1071934002620127E-2</v>
      </c>
      <c r="E208" s="16">
        <f>[1]Data!G211</f>
        <v>1.9373662194019918E-2</v>
      </c>
      <c r="F208" s="15">
        <f>[1]Data!H211</f>
        <v>-1.2512001002066814E-2</v>
      </c>
      <c r="G208" s="16">
        <f>[1]Data!I211</f>
        <v>1.3560329364563601E-2</v>
      </c>
      <c r="H208" s="17">
        <f t="shared" si="61"/>
        <v>-1</v>
      </c>
      <c r="I208" s="18">
        <f t="shared" si="70"/>
        <v>1</v>
      </c>
      <c r="J208" s="19">
        <f t="shared" si="62"/>
        <v>0</v>
      </c>
      <c r="K208" s="19">
        <f t="shared" si="63"/>
        <v>-1.1071934002620127E-2</v>
      </c>
      <c r="L208" s="19">
        <f t="shared" si="64"/>
        <v>0</v>
      </c>
      <c r="M208" s="19">
        <f t="shared" si="65"/>
        <v>1.9373662194019918E-2</v>
      </c>
      <c r="N208" s="19">
        <f t="shared" si="66"/>
        <v>-1.2512001002066814E-2</v>
      </c>
      <c r="O208" s="19">
        <f t="shared" si="67"/>
        <v>0</v>
      </c>
      <c r="P208" s="19">
        <f t="shared" si="68"/>
        <v>-1.3560329364563601E-2</v>
      </c>
      <c r="Q208" s="19">
        <f t="shared" si="69"/>
        <v>0</v>
      </c>
      <c r="R208" s="19">
        <f t="shared" si="71"/>
        <v>0.61675563036061121</v>
      </c>
      <c r="S208" s="19">
        <f t="shared" si="72"/>
        <v>0.22260008017334854</v>
      </c>
      <c r="T208" s="19">
        <f t="shared" si="73"/>
        <v>-0.24282568505756713</v>
      </c>
      <c r="U208" s="19">
        <f t="shared" si="74"/>
        <v>0.73630872101241041</v>
      </c>
      <c r="V208" s="19">
        <f t="shared" si="75"/>
        <v>0.48423380071509536</v>
      </c>
      <c r="W208" s="19">
        <f t="shared" si="76"/>
        <v>6.1082845415085782E-2</v>
      </c>
      <c r="X208" s="19">
        <f t="shared" si="77"/>
        <v>0.60410479915050352</v>
      </c>
      <c r="Y208" s="19">
        <f t="shared" si="78"/>
        <v>8.831285679445347E-2</v>
      </c>
      <c r="AA208" s="19">
        <f t="shared" si="79"/>
        <v>2.5705730485639409</v>
      </c>
      <c r="AB208" s="19">
        <f t="shared" si="80"/>
        <v>1.5425631167665663</v>
      </c>
    </row>
    <row r="209" spans="1:28" x14ac:dyDescent="0.25">
      <c r="A209" s="13">
        <f>[1]Data!A212</f>
        <v>43770</v>
      </c>
      <c r="B209" s="14">
        <f>[1]Data!B212</f>
        <v>3.5558706102376735E-2</v>
      </c>
      <c r="C209" s="14">
        <f>[1]Data!C212</f>
        <v>3.1698852310559578E-2</v>
      </c>
      <c r="D209" s="15">
        <f>[1]Data!F212</f>
        <v>1.2936920610405946E-2</v>
      </c>
      <c r="E209" s="16">
        <f>[1]Data!G212</f>
        <v>4.9981935904771166E-3</v>
      </c>
      <c r="F209" s="15">
        <f>[1]Data!H212</f>
        <v>1.5862863522568556E-2</v>
      </c>
      <c r="G209" s="16">
        <f>[1]Data!I212</f>
        <v>-3.9893326980146304E-2</v>
      </c>
      <c r="H209" s="17">
        <f t="shared" si="61"/>
        <v>-1</v>
      </c>
      <c r="I209" s="18">
        <f t="shared" si="70"/>
        <v>1</v>
      </c>
      <c r="J209" s="19">
        <f t="shared" si="62"/>
        <v>0</v>
      </c>
      <c r="K209" s="19">
        <f t="shared" si="63"/>
        <v>-1.2936920610405946E-2</v>
      </c>
      <c r="L209" s="19">
        <f t="shared" si="64"/>
        <v>0</v>
      </c>
      <c r="M209" s="19">
        <f t="shared" si="65"/>
        <v>4.9981935904771166E-3</v>
      </c>
      <c r="N209" s="19">
        <f t="shared" si="66"/>
        <v>1.5862863522568556E-2</v>
      </c>
      <c r="O209" s="19">
        <f t="shared" si="67"/>
        <v>0</v>
      </c>
      <c r="P209" s="19">
        <f t="shared" si="68"/>
        <v>3.9893326980146304E-2</v>
      </c>
      <c r="Q209" s="19">
        <f t="shared" si="69"/>
        <v>0</v>
      </c>
      <c r="R209" s="19">
        <f t="shared" si="71"/>
        <v>0.61675563036061121</v>
      </c>
      <c r="S209" s="19">
        <f t="shared" si="72"/>
        <v>0.2096631595629426</v>
      </c>
      <c r="T209" s="19">
        <f t="shared" si="73"/>
        <v>-0.24282568505756713</v>
      </c>
      <c r="U209" s="19">
        <f t="shared" si="74"/>
        <v>0.74130691460288756</v>
      </c>
      <c r="V209" s="19">
        <f t="shared" si="75"/>
        <v>0.50009666423766397</v>
      </c>
      <c r="W209" s="19">
        <f t="shared" si="76"/>
        <v>6.1082845415085782E-2</v>
      </c>
      <c r="X209" s="19">
        <f t="shared" si="77"/>
        <v>0.64399812613064977</v>
      </c>
      <c r="Y209" s="19">
        <f t="shared" si="78"/>
        <v>8.831285679445347E-2</v>
      </c>
      <c r="AA209" s="19">
        <f t="shared" si="79"/>
        <v>2.618390512046727</v>
      </c>
      <c r="AB209" s="19">
        <f t="shared" si="80"/>
        <v>1.5781218228689431</v>
      </c>
    </row>
    <row r="210" spans="1:28" x14ac:dyDescent="0.25">
      <c r="A210" s="13">
        <f>[1]Data!A213</f>
        <v>43800</v>
      </c>
      <c r="B210" s="14">
        <f>[1]Data!B213</f>
        <v>2.8641314403768072E-2</v>
      </c>
      <c r="C210" s="14">
        <f>[1]Data!C213</f>
        <v>4.9023676097155258E-2</v>
      </c>
      <c r="D210" s="15">
        <f>[1]Data!F213</f>
        <v>3.5169616754017132E-3</v>
      </c>
      <c r="E210" s="16">
        <f>[1]Data!G213</f>
        <v>-8.598696048661968E-3</v>
      </c>
      <c r="F210" s="15">
        <f>[1]Data!H213</f>
        <v>1.7801957500472544E-3</v>
      </c>
      <c r="G210" s="16">
        <f>[1]Data!I213</f>
        <v>-1.313465865478125E-2</v>
      </c>
      <c r="H210" s="17">
        <f t="shared" si="61"/>
        <v>-1</v>
      </c>
      <c r="I210" s="18">
        <f t="shared" si="70"/>
        <v>1</v>
      </c>
      <c r="J210" s="19">
        <f t="shared" si="62"/>
        <v>0</v>
      </c>
      <c r="K210" s="19">
        <f t="shared" si="63"/>
        <v>-3.5169616754017132E-3</v>
      </c>
      <c r="L210" s="19">
        <f t="shared" si="64"/>
        <v>0</v>
      </c>
      <c r="M210" s="19">
        <f t="shared" si="65"/>
        <v>-8.598696048661968E-3</v>
      </c>
      <c r="N210" s="19">
        <f t="shared" si="66"/>
        <v>1.7801957500472544E-3</v>
      </c>
      <c r="O210" s="19">
        <f t="shared" si="67"/>
        <v>0</v>
      </c>
      <c r="P210" s="19">
        <f t="shared" si="68"/>
        <v>1.313465865478125E-2</v>
      </c>
      <c r="Q210" s="19">
        <f t="shared" si="69"/>
        <v>0</v>
      </c>
      <c r="R210" s="19">
        <f t="shared" si="71"/>
        <v>0.61675563036061121</v>
      </c>
      <c r="S210" s="19">
        <f t="shared" si="72"/>
        <v>0.20614619788754088</v>
      </c>
      <c r="T210" s="19">
        <f t="shared" si="73"/>
        <v>-0.24282568505756713</v>
      </c>
      <c r="U210" s="19">
        <f t="shared" si="74"/>
        <v>0.73270821855422563</v>
      </c>
      <c r="V210" s="19">
        <f t="shared" si="75"/>
        <v>0.50187685998771125</v>
      </c>
      <c r="W210" s="19">
        <f t="shared" si="76"/>
        <v>6.1082845415085782E-2</v>
      </c>
      <c r="X210" s="19">
        <f t="shared" si="77"/>
        <v>0.65713278478543102</v>
      </c>
      <c r="Y210" s="19">
        <f t="shared" si="78"/>
        <v>8.831285679445347E-2</v>
      </c>
      <c r="AA210" s="19">
        <f t="shared" si="79"/>
        <v>2.621189708727492</v>
      </c>
      <c r="AB210" s="19">
        <f t="shared" si="80"/>
        <v>1.6067631372727111</v>
      </c>
    </row>
    <row r="211" spans="1:28" x14ac:dyDescent="0.25">
      <c r="A211" s="13">
        <f>[1]Data!A214</f>
        <v>43831</v>
      </c>
      <c r="B211" s="14">
        <f>[1]Data!B214</f>
        <v>-4.039889798689994E-4</v>
      </c>
      <c r="C211" s="14">
        <f>[1]Data!C214</f>
        <v>-9.3355575274019637E-3</v>
      </c>
      <c r="D211" s="15">
        <f>[1]Data!F214</f>
        <v>-3.0578533959365453E-2</v>
      </c>
      <c r="E211" s="16">
        <f>[1]Data!G214</f>
        <v>3.4587267214807121E-2</v>
      </c>
      <c r="F211" s="15">
        <f>[1]Data!H214</f>
        <v>8.0147708123337359E-3</v>
      </c>
      <c r="G211" s="16">
        <f>[1]Data!I214</f>
        <v>9.2572618468068392E-3</v>
      </c>
      <c r="H211" s="17">
        <f t="shared" si="61"/>
        <v>1</v>
      </c>
      <c r="I211" s="18">
        <f t="shared" si="70"/>
        <v>1</v>
      </c>
      <c r="J211" s="19">
        <f t="shared" si="62"/>
        <v>-3.0578533959365453E-2</v>
      </c>
      <c r="K211" s="19">
        <f t="shared" si="63"/>
        <v>0</v>
      </c>
      <c r="L211" s="19">
        <f t="shared" si="64"/>
        <v>-3.4587267214807121E-2</v>
      </c>
      <c r="M211" s="19">
        <f t="shared" si="65"/>
        <v>0</v>
      </c>
      <c r="N211" s="19">
        <f t="shared" si="66"/>
        <v>8.0147708123337359E-3</v>
      </c>
      <c r="O211" s="19">
        <f t="shared" si="67"/>
        <v>0</v>
      </c>
      <c r="P211" s="19">
        <f t="shared" si="68"/>
        <v>-9.2572618468068392E-3</v>
      </c>
      <c r="Q211" s="19">
        <f t="shared" si="69"/>
        <v>0</v>
      </c>
      <c r="R211" s="19">
        <f t="shared" si="71"/>
        <v>0.58617709640124571</v>
      </c>
      <c r="S211" s="19">
        <f t="shared" si="72"/>
        <v>0.20614619788754088</v>
      </c>
      <c r="T211" s="19">
        <f t="shared" si="73"/>
        <v>-0.27741295227237428</v>
      </c>
      <c r="U211" s="19">
        <f t="shared" si="74"/>
        <v>0.73270821855422563</v>
      </c>
      <c r="V211" s="19">
        <f t="shared" si="75"/>
        <v>0.50989163080004496</v>
      </c>
      <c r="W211" s="19">
        <f t="shared" si="76"/>
        <v>6.1082845415085782E-2</v>
      </c>
      <c r="X211" s="19">
        <f t="shared" si="77"/>
        <v>0.64787552293862416</v>
      </c>
      <c r="Y211" s="19">
        <f t="shared" si="78"/>
        <v>8.831285679445347E-2</v>
      </c>
      <c r="AA211" s="19">
        <f t="shared" si="79"/>
        <v>2.5547814165188463</v>
      </c>
      <c r="AB211" s="19">
        <f t="shared" si="80"/>
        <v>1.6063591482928421</v>
      </c>
    </row>
    <row r="212" spans="1:28" x14ac:dyDescent="0.25">
      <c r="A212" s="13">
        <f>[1]Data!A215</f>
        <v>43862</v>
      </c>
      <c r="B212" s="14">
        <f>[1]Data!B215</f>
        <v>-8.2475534437916068E-2</v>
      </c>
      <c r="C212" s="14">
        <f>[1]Data!C215</f>
        <v>-2.8896455353091689E-2</v>
      </c>
      <c r="D212" s="15">
        <f>[1]Data!F215</f>
        <v>-8.4617817573889573E-2</v>
      </c>
      <c r="E212" s="16">
        <f>[1]Data!G215</f>
        <v>3.3122523406681939E-2</v>
      </c>
      <c r="F212" s="15">
        <f>[1]Data!H215</f>
        <v>3.2024609406970363E-2</v>
      </c>
      <c r="G212" s="16">
        <f>[1]Data!I215</f>
        <v>-8.4663006108253135E-3</v>
      </c>
      <c r="H212" s="17">
        <f t="shared" si="61"/>
        <v>1</v>
      </c>
      <c r="I212" s="18">
        <f t="shared" si="70"/>
        <v>-1</v>
      </c>
      <c r="J212" s="19">
        <f t="shared" si="62"/>
        <v>-8.4617817573889573E-2</v>
      </c>
      <c r="K212" s="19">
        <f t="shared" si="63"/>
        <v>0</v>
      </c>
      <c r="L212" s="19">
        <f t="shared" si="64"/>
        <v>-3.3122523406681939E-2</v>
      </c>
      <c r="M212" s="19">
        <f t="shared" si="65"/>
        <v>0</v>
      </c>
      <c r="N212" s="19">
        <f t="shared" si="66"/>
        <v>0</v>
      </c>
      <c r="O212" s="19">
        <f t="shared" si="67"/>
        <v>-3.2024609406970363E-2</v>
      </c>
      <c r="P212" s="19">
        <f t="shared" si="68"/>
        <v>0</v>
      </c>
      <c r="Q212" s="19">
        <f t="shared" si="69"/>
        <v>-8.4663006108253135E-3</v>
      </c>
      <c r="R212" s="19">
        <f t="shared" si="71"/>
        <v>0.50155927882735618</v>
      </c>
      <c r="S212" s="19">
        <f t="shared" si="72"/>
        <v>0.20614619788754088</v>
      </c>
      <c r="T212" s="19">
        <f t="shared" si="73"/>
        <v>-0.31053547567905621</v>
      </c>
      <c r="U212" s="19">
        <f t="shared" si="74"/>
        <v>0.73270821855422563</v>
      </c>
      <c r="V212" s="19">
        <f t="shared" si="75"/>
        <v>0.50989163080004496</v>
      </c>
      <c r="W212" s="19">
        <f t="shared" si="76"/>
        <v>2.9058236008115419E-2</v>
      </c>
      <c r="X212" s="19">
        <f t="shared" si="77"/>
        <v>0.64787552293862416</v>
      </c>
      <c r="Y212" s="19">
        <f t="shared" si="78"/>
        <v>7.9846556183628153E-2</v>
      </c>
      <c r="AA212" s="19">
        <f t="shared" si="79"/>
        <v>2.3965501655204791</v>
      </c>
      <c r="AB212" s="19">
        <f t="shared" si="80"/>
        <v>1.5238836138549261</v>
      </c>
    </row>
    <row r="213" spans="1:28" x14ac:dyDescent="0.25">
      <c r="A213" s="13">
        <f>[1]Data!A216</f>
        <v>43891</v>
      </c>
      <c r="B213" s="14">
        <f>[1]Data!B216</f>
        <v>-0.13338385101653819</v>
      </c>
      <c r="C213" s="14">
        <f>[1]Data!C216</f>
        <v>-0.28018376553683783</v>
      </c>
      <c r="D213" s="15">
        <f>[1]Data!F216</f>
        <v>0.11914184455184304</v>
      </c>
      <c r="E213" s="16">
        <f>[1]Data!G216</f>
        <v>3.4158472861818862E-2</v>
      </c>
      <c r="F213" s="15">
        <f>[1]Data!H216</f>
        <v>4.0424781829973243E-3</v>
      </c>
      <c r="G213" s="16">
        <f>[1]Data!I216</f>
        <v>7.2668897470410485E-2</v>
      </c>
      <c r="H213" s="17">
        <f t="shared" si="61"/>
        <v>1</v>
      </c>
      <c r="I213" s="18">
        <f t="shared" si="70"/>
        <v>-1</v>
      </c>
      <c r="J213" s="19">
        <f t="shared" si="62"/>
        <v>0.11914184455184304</v>
      </c>
      <c r="K213" s="19">
        <f t="shared" si="63"/>
        <v>0</v>
      </c>
      <c r="L213" s="19">
        <f t="shared" si="64"/>
        <v>-3.4158472861818862E-2</v>
      </c>
      <c r="M213" s="19">
        <f t="shared" si="65"/>
        <v>0</v>
      </c>
      <c r="N213" s="19">
        <f t="shared" si="66"/>
        <v>0</v>
      </c>
      <c r="O213" s="19">
        <f t="shared" si="67"/>
        <v>-4.0424781829973243E-3</v>
      </c>
      <c r="P213" s="19">
        <f t="shared" si="68"/>
        <v>0</v>
      </c>
      <c r="Q213" s="19">
        <f t="shared" si="69"/>
        <v>7.2668897470410485E-2</v>
      </c>
      <c r="R213" s="19">
        <f t="shared" si="71"/>
        <v>0.62070112337919925</v>
      </c>
      <c r="S213" s="19">
        <f t="shared" si="72"/>
        <v>0.20614619788754088</v>
      </c>
      <c r="T213" s="19">
        <f t="shared" si="73"/>
        <v>-0.34469394854087509</v>
      </c>
      <c r="U213" s="19">
        <f t="shared" si="74"/>
        <v>0.73270821855422563</v>
      </c>
      <c r="V213" s="19">
        <f t="shared" si="75"/>
        <v>0.50989163080004496</v>
      </c>
      <c r="W213" s="19">
        <f t="shared" si="76"/>
        <v>2.5015757825118095E-2</v>
      </c>
      <c r="X213" s="19">
        <f t="shared" si="77"/>
        <v>0.64787552293862416</v>
      </c>
      <c r="Y213" s="19">
        <f t="shared" si="78"/>
        <v>0.15251545365403862</v>
      </c>
      <c r="AA213" s="19">
        <f t="shared" si="79"/>
        <v>2.5501599564979163</v>
      </c>
      <c r="AB213" s="19">
        <f t="shared" si="80"/>
        <v>1.3904997628383879</v>
      </c>
    </row>
    <row r="214" spans="1:28" x14ac:dyDescent="0.25">
      <c r="A214" s="13">
        <f>[1]Data!A217</f>
        <v>43922</v>
      </c>
      <c r="B214" s="14">
        <f>[1]Data!B217</f>
        <v>0.11954483405199261</v>
      </c>
      <c r="C214" s="14">
        <f>[1]Data!C217</f>
        <v>5.0810756795842009E-2</v>
      </c>
      <c r="D214" s="15">
        <f>[1]Data!F217</f>
        <v>3.9964976912821498E-2</v>
      </c>
      <c r="E214" s="16">
        <f>[1]Data!G217</f>
        <v>-1.6652988985195807E-2</v>
      </c>
      <c r="F214" s="15">
        <f>[1]Data!H217</f>
        <v>2.8230113492507286E-2</v>
      </c>
      <c r="G214" s="16">
        <f>[1]Data!I217</f>
        <v>9.4731254942713415E-3</v>
      </c>
      <c r="H214" s="17">
        <f t="shared" si="61"/>
        <v>-1</v>
      </c>
      <c r="I214" s="18">
        <f t="shared" si="70"/>
        <v>-1</v>
      </c>
      <c r="J214" s="19">
        <f t="shared" si="62"/>
        <v>0</v>
      </c>
      <c r="K214" s="19">
        <f t="shared" si="63"/>
        <v>-3.9964976912821498E-2</v>
      </c>
      <c r="L214" s="19">
        <f t="shared" si="64"/>
        <v>0</v>
      </c>
      <c r="M214" s="19">
        <f t="shared" si="65"/>
        <v>-1.6652988985195807E-2</v>
      </c>
      <c r="N214" s="19">
        <f t="shared" si="66"/>
        <v>0</v>
      </c>
      <c r="O214" s="19">
        <f t="shared" si="67"/>
        <v>-2.8230113492507286E-2</v>
      </c>
      <c r="P214" s="19">
        <f t="shared" si="68"/>
        <v>0</v>
      </c>
      <c r="Q214" s="19">
        <f t="shared" si="69"/>
        <v>9.4731254942713415E-3</v>
      </c>
      <c r="R214" s="19">
        <f t="shared" si="71"/>
        <v>0.62070112337919925</v>
      </c>
      <c r="S214" s="19">
        <f t="shared" si="72"/>
        <v>0.16618122097471938</v>
      </c>
      <c r="T214" s="19">
        <f t="shared" si="73"/>
        <v>-0.34469394854087509</v>
      </c>
      <c r="U214" s="19">
        <f t="shared" si="74"/>
        <v>0.71605522956902978</v>
      </c>
      <c r="V214" s="19">
        <f t="shared" si="75"/>
        <v>0.50989163080004496</v>
      </c>
      <c r="W214" s="19">
        <f t="shared" si="76"/>
        <v>-3.2143556673891911E-3</v>
      </c>
      <c r="X214" s="19">
        <f t="shared" si="77"/>
        <v>0.64787552293862416</v>
      </c>
      <c r="Y214" s="19">
        <f t="shared" si="78"/>
        <v>0.16198857914830997</v>
      </c>
      <c r="AA214" s="19">
        <f t="shared" si="79"/>
        <v>2.4747850026016631</v>
      </c>
      <c r="AB214" s="19">
        <f t="shared" si="80"/>
        <v>1.5100445968903806</v>
      </c>
    </row>
    <row r="215" spans="1:28" x14ac:dyDescent="0.25">
      <c r="A215" s="13">
        <f>[1]Data!A218</f>
        <v>43952</v>
      </c>
      <c r="B215" s="14">
        <f>[1]Data!B218</f>
        <v>4.6544875288220017E-2</v>
      </c>
      <c r="C215" s="14">
        <f>[1]Data!C218</f>
        <v>2.6897857213899284E-2</v>
      </c>
      <c r="D215" s="15">
        <f>[1]Data!F218</f>
        <v>3.1511637601687931E-2</v>
      </c>
      <c r="E215" s="16">
        <f>[1]Data!G218</f>
        <v>-5.912094715439368E-3</v>
      </c>
      <c r="F215" s="15">
        <f>[1]Data!H218</f>
        <v>-9.686525317039155E-3</v>
      </c>
      <c r="G215" s="16">
        <f>[1]Data!I218</f>
        <v>-2.3090651334060804E-3</v>
      </c>
      <c r="H215" s="17">
        <f t="shared" si="61"/>
        <v>-1</v>
      </c>
      <c r="I215" s="18">
        <f t="shared" si="70"/>
        <v>1</v>
      </c>
      <c r="J215" s="19">
        <f t="shared" si="62"/>
        <v>0</v>
      </c>
      <c r="K215" s="19">
        <f t="shared" si="63"/>
        <v>-3.1511637601687931E-2</v>
      </c>
      <c r="L215" s="19">
        <f t="shared" si="64"/>
        <v>0</v>
      </c>
      <c r="M215" s="19">
        <f t="shared" si="65"/>
        <v>-5.912094715439368E-3</v>
      </c>
      <c r="N215" s="19">
        <f t="shared" si="66"/>
        <v>-9.686525317039155E-3</v>
      </c>
      <c r="O215" s="19">
        <f t="shared" si="67"/>
        <v>0</v>
      </c>
      <c r="P215" s="19">
        <f t="shared" si="68"/>
        <v>2.3090651334060804E-3</v>
      </c>
      <c r="Q215" s="19">
        <f t="shared" si="69"/>
        <v>0</v>
      </c>
      <c r="R215" s="19">
        <f t="shared" si="71"/>
        <v>0.62070112337919925</v>
      </c>
      <c r="S215" s="19">
        <f t="shared" si="72"/>
        <v>0.13466958337303145</v>
      </c>
      <c r="T215" s="19">
        <f t="shared" si="73"/>
        <v>-0.34469394854087509</v>
      </c>
      <c r="U215" s="19">
        <f t="shared" si="74"/>
        <v>0.71014313485359037</v>
      </c>
      <c r="V215" s="19">
        <f t="shared" si="75"/>
        <v>0.50020510548300579</v>
      </c>
      <c r="W215" s="19">
        <f t="shared" si="76"/>
        <v>-3.2143556673891911E-3</v>
      </c>
      <c r="X215" s="19">
        <f t="shared" si="77"/>
        <v>0.65018458807203028</v>
      </c>
      <c r="Y215" s="19">
        <f t="shared" si="78"/>
        <v>0.16198857914830997</v>
      </c>
      <c r="AA215" s="19">
        <f t="shared" si="79"/>
        <v>2.4299838101009028</v>
      </c>
      <c r="AB215" s="19">
        <f t="shared" si="80"/>
        <v>1.5565894721786007</v>
      </c>
    </row>
    <row r="216" spans="1:28" x14ac:dyDescent="0.25">
      <c r="A216" s="13">
        <f>[1]Data!A219</f>
        <v>43983</v>
      </c>
      <c r="B216" s="14">
        <f>[1]Data!B219</f>
        <v>1.7578794828849852E-2</v>
      </c>
      <c r="C216" s="14">
        <f>[1]Data!C219</f>
        <v>2.4563997019679484E-2</v>
      </c>
      <c r="D216" s="15">
        <f>[1]Data!F219</f>
        <v>-9.077189236067415E-4</v>
      </c>
      <c r="E216" s="16">
        <f>[1]Data!G219</f>
        <v>9.4382102108475086E-3</v>
      </c>
      <c r="F216" s="15">
        <f>[1]Data!H219</f>
        <v>4.8176311604839213E-2</v>
      </c>
      <c r="G216" s="16">
        <f>[1]Data!I219</f>
        <v>-4.5517773957081412E-2</v>
      </c>
      <c r="H216" s="17">
        <f t="shared" si="61"/>
        <v>-1</v>
      </c>
      <c r="I216" s="18">
        <f t="shared" si="70"/>
        <v>1</v>
      </c>
      <c r="J216" s="19">
        <f t="shared" si="62"/>
        <v>0</v>
      </c>
      <c r="K216" s="19">
        <f t="shared" si="63"/>
        <v>9.077189236067415E-4</v>
      </c>
      <c r="L216" s="19">
        <f t="shared" si="64"/>
        <v>0</v>
      </c>
      <c r="M216" s="19">
        <f t="shared" si="65"/>
        <v>9.4382102108475086E-3</v>
      </c>
      <c r="N216" s="19">
        <f t="shared" si="66"/>
        <v>4.8176311604839213E-2</v>
      </c>
      <c r="O216" s="19">
        <f t="shared" si="67"/>
        <v>0</v>
      </c>
      <c r="P216" s="19">
        <f t="shared" si="68"/>
        <v>4.5517773957081412E-2</v>
      </c>
      <c r="Q216" s="19">
        <f t="shared" si="69"/>
        <v>0</v>
      </c>
      <c r="R216" s="19">
        <f t="shared" si="71"/>
        <v>0.62070112337919925</v>
      </c>
      <c r="S216" s="19">
        <f t="shared" si="72"/>
        <v>0.1355773022966382</v>
      </c>
      <c r="T216" s="19">
        <f t="shared" si="73"/>
        <v>-0.34469394854087509</v>
      </c>
      <c r="U216" s="19">
        <f t="shared" si="74"/>
        <v>0.71958134506443794</v>
      </c>
      <c r="V216" s="19">
        <f t="shared" si="75"/>
        <v>0.54838141708784505</v>
      </c>
      <c r="W216" s="19">
        <f t="shared" si="76"/>
        <v>-3.2143556673891911E-3</v>
      </c>
      <c r="X216" s="19">
        <f t="shared" si="77"/>
        <v>0.69570236202911173</v>
      </c>
      <c r="Y216" s="19">
        <f t="shared" si="78"/>
        <v>0.16198857914830997</v>
      </c>
      <c r="AA216" s="19">
        <f t="shared" si="79"/>
        <v>2.5340238247972775</v>
      </c>
      <c r="AB216" s="19">
        <f t="shared" si="80"/>
        <v>1.5741682670074506</v>
      </c>
    </row>
    <row r="217" spans="1:28" x14ac:dyDescent="0.25">
      <c r="A217" s="13">
        <f>[1]Data!A220</f>
        <v>44013</v>
      </c>
      <c r="B217" s="14">
        <f>[1]Data!B220</f>
        <v>5.7223117971709883E-2</v>
      </c>
      <c r="C217" s="14">
        <f>[1]Data!C220</f>
        <v>3.381857113333079E-2</v>
      </c>
      <c r="D217" s="15">
        <f>[1]Data!F220</f>
        <v>-1.0409730545889451E-3</v>
      </c>
      <c r="E217" s="16">
        <f>[1]Data!G220</f>
        <v>1.8950940809573213E-2</v>
      </c>
      <c r="F217" s="15">
        <f>[1]Data!H220</f>
        <v>2.5043734133579919E-2</v>
      </c>
      <c r="G217" s="16">
        <f>[1]Data!I220</f>
        <v>4.9474103268462005E-3</v>
      </c>
      <c r="H217" s="17">
        <f t="shared" si="61"/>
        <v>-1</v>
      </c>
      <c r="I217" s="18">
        <f t="shared" si="70"/>
        <v>1</v>
      </c>
      <c r="J217" s="19">
        <f t="shared" si="62"/>
        <v>0</v>
      </c>
      <c r="K217" s="19">
        <f t="shared" si="63"/>
        <v>1.0409730545889451E-3</v>
      </c>
      <c r="L217" s="19">
        <f t="shared" si="64"/>
        <v>0</v>
      </c>
      <c r="M217" s="19">
        <f t="shared" si="65"/>
        <v>1.8950940809573213E-2</v>
      </c>
      <c r="N217" s="19">
        <f t="shared" si="66"/>
        <v>2.5043734133579919E-2</v>
      </c>
      <c r="O217" s="19">
        <f t="shared" si="67"/>
        <v>0</v>
      </c>
      <c r="P217" s="19">
        <f t="shared" si="68"/>
        <v>-4.9474103268462005E-3</v>
      </c>
      <c r="Q217" s="19">
        <f t="shared" si="69"/>
        <v>0</v>
      </c>
      <c r="R217" s="19">
        <f t="shared" si="71"/>
        <v>0.62070112337919925</v>
      </c>
      <c r="S217" s="19">
        <f t="shared" si="72"/>
        <v>0.13661827535122714</v>
      </c>
      <c r="T217" s="19">
        <f t="shared" si="73"/>
        <v>-0.34469394854087509</v>
      </c>
      <c r="U217" s="19">
        <f t="shared" si="74"/>
        <v>0.7385322858740111</v>
      </c>
      <c r="V217" s="19">
        <f t="shared" si="75"/>
        <v>0.57342515122142501</v>
      </c>
      <c r="W217" s="19">
        <f t="shared" si="76"/>
        <v>-3.2143556673891911E-3</v>
      </c>
      <c r="X217" s="19">
        <f t="shared" si="77"/>
        <v>0.69075495170226553</v>
      </c>
      <c r="Y217" s="19">
        <f t="shared" si="78"/>
        <v>0.16198857914830997</v>
      </c>
      <c r="AA217" s="19">
        <f t="shared" si="79"/>
        <v>2.5741120624681733</v>
      </c>
      <c r="AB217" s="19">
        <f t="shared" si="80"/>
        <v>1.6313913849791606</v>
      </c>
    </row>
    <row r="218" spans="1:28" x14ac:dyDescent="0.25">
      <c r="A218" s="13">
        <f>[1]Data!A221</f>
        <v>44044</v>
      </c>
      <c r="B218" s="14">
        <f>[1]Data!B221</f>
        <v>6.7468973641364963E-2</v>
      </c>
      <c r="C218" s="14">
        <f>[1]Data!C221</f>
        <v>6.6284061528658747E-2</v>
      </c>
      <c r="D218" s="15">
        <f>[1]Data!F221</f>
        <v>2.8544745681194899E-2</v>
      </c>
      <c r="E218" s="16">
        <f>[1]Data!G221</f>
        <v>-2.4423499225942866E-2</v>
      </c>
      <c r="F218" s="15">
        <f>[1]Data!H221</f>
        <v>2.435536138477289E-2</v>
      </c>
      <c r="G218" s="16">
        <f>[1]Data!I221</f>
        <v>-5.4595417744939118E-3</v>
      </c>
      <c r="H218" s="17">
        <f t="shared" si="61"/>
        <v>-1</v>
      </c>
      <c r="I218" s="18">
        <f t="shared" si="70"/>
        <v>1</v>
      </c>
      <c r="J218" s="19">
        <f t="shared" si="62"/>
        <v>0</v>
      </c>
      <c r="K218" s="19">
        <f t="shared" si="63"/>
        <v>-2.8544745681194899E-2</v>
      </c>
      <c r="L218" s="19">
        <f t="shared" si="64"/>
        <v>0</v>
      </c>
      <c r="M218" s="19">
        <f t="shared" si="65"/>
        <v>-2.4423499225942866E-2</v>
      </c>
      <c r="N218" s="19">
        <f t="shared" si="66"/>
        <v>2.435536138477289E-2</v>
      </c>
      <c r="O218" s="19">
        <f t="shared" si="67"/>
        <v>0</v>
      </c>
      <c r="P218" s="19">
        <f t="shared" si="68"/>
        <v>5.4595417744939118E-3</v>
      </c>
      <c r="Q218" s="19">
        <f t="shared" si="69"/>
        <v>0</v>
      </c>
      <c r="R218" s="19">
        <f t="shared" si="71"/>
        <v>0.62070112337919925</v>
      </c>
      <c r="S218" s="19">
        <f t="shared" si="72"/>
        <v>0.10807352967003224</v>
      </c>
      <c r="T218" s="19">
        <f t="shared" si="73"/>
        <v>-0.34469394854087509</v>
      </c>
      <c r="U218" s="19">
        <f t="shared" si="74"/>
        <v>0.71410878664806821</v>
      </c>
      <c r="V218" s="19">
        <f t="shared" si="75"/>
        <v>0.59778051260619791</v>
      </c>
      <c r="W218" s="19">
        <f t="shared" si="76"/>
        <v>-3.2143556673891911E-3</v>
      </c>
      <c r="X218" s="19">
        <f t="shared" si="77"/>
        <v>0.69621449347675946</v>
      </c>
      <c r="Y218" s="19">
        <f t="shared" si="78"/>
        <v>0.16198857914830997</v>
      </c>
      <c r="AA218" s="19">
        <f t="shared" si="79"/>
        <v>2.5509587207203022</v>
      </c>
      <c r="AB218" s="19">
        <f t="shared" si="80"/>
        <v>1.6988603586205255</v>
      </c>
    </row>
    <row r="219" spans="1:28" x14ac:dyDescent="0.25">
      <c r="A219" s="13">
        <f>[1]Data!A222</f>
        <v>44075</v>
      </c>
      <c r="B219" s="14">
        <f>[1]Data!B222</f>
        <v>-3.8162637604299825E-2</v>
      </c>
      <c r="C219" s="14">
        <f>[1]Data!C222</f>
        <v>-6.5835196447114802E-2</v>
      </c>
      <c r="D219" s="15">
        <f>[1]Data!F222</f>
        <v>1.3801127197242125E-2</v>
      </c>
      <c r="E219" s="16">
        <f>[1]Data!G222</f>
        <v>-6.1671171111852439E-3</v>
      </c>
      <c r="F219" s="15">
        <f>[1]Data!H222</f>
        <v>-4.7187031607900776E-2</v>
      </c>
      <c r="G219" s="16">
        <f>[1]Data!I222</f>
        <v>1.0640009348219716E-2</v>
      </c>
      <c r="H219" s="17">
        <f t="shared" si="61"/>
        <v>1</v>
      </c>
      <c r="I219" s="18">
        <f t="shared" si="70"/>
        <v>1</v>
      </c>
      <c r="J219" s="19">
        <f t="shared" si="62"/>
        <v>1.3801127197242125E-2</v>
      </c>
      <c r="K219" s="19">
        <f t="shared" si="63"/>
        <v>0</v>
      </c>
      <c r="L219" s="19">
        <f t="shared" si="64"/>
        <v>6.1671171111852439E-3</v>
      </c>
      <c r="M219" s="19">
        <f t="shared" si="65"/>
        <v>0</v>
      </c>
      <c r="N219" s="19">
        <f t="shared" si="66"/>
        <v>-4.7187031607900776E-2</v>
      </c>
      <c r="O219" s="19">
        <f t="shared" si="67"/>
        <v>0</v>
      </c>
      <c r="P219" s="19">
        <f t="shared" si="68"/>
        <v>-1.0640009348219716E-2</v>
      </c>
      <c r="Q219" s="19">
        <f t="shared" si="69"/>
        <v>0</v>
      </c>
      <c r="R219" s="19">
        <f t="shared" si="71"/>
        <v>0.63450225057644138</v>
      </c>
      <c r="S219" s="19">
        <f t="shared" si="72"/>
        <v>0.10807352967003224</v>
      </c>
      <c r="T219" s="19">
        <f t="shared" si="73"/>
        <v>-0.33852683142968987</v>
      </c>
      <c r="U219" s="19">
        <f t="shared" si="74"/>
        <v>0.71410878664806821</v>
      </c>
      <c r="V219" s="19">
        <f t="shared" si="75"/>
        <v>0.55059348099829708</v>
      </c>
      <c r="W219" s="19">
        <f t="shared" si="76"/>
        <v>-3.2143556673891911E-3</v>
      </c>
      <c r="X219" s="19">
        <f t="shared" si="77"/>
        <v>0.68557448412853972</v>
      </c>
      <c r="Y219" s="19">
        <f t="shared" si="78"/>
        <v>0.16198857914830997</v>
      </c>
      <c r="AA219" s="19">
        <f t="shared" si="79"/>
        <v>2.5130999240726091</v>
      </c>
      <c r="AB219" s="19">
        <f t="shared" si="80"/>
        <v>1.6606977210162257</v>
      </c>
    </row>
    <row r="220" spans="1:28" x14ac:dyDescent="0.25">
      <c r="A220" s="13">
        <f>[1]Data!A223</f>
        <v>44105</v>
      </c>
      <c r="B220" s="14">
        <f>[1]Data!B223</f>
        <v>-2.5249895399426077E-2</v>
      </c>
      <c r="C220" s="14">
        <f>[1]Data!C223</f>
        <v>5.0433310915136788E-2</v>
      </c>
      <c r="D220" s="15">
        <f>[1]Data!F223</f>
        <v>-4.8390562265195107E-2</v>
      </c>
      <c r="E220" s="16">
        <f>[1]Data!G223</f>
        <v>-7.1460642012588504E-3</v>
      </c>
      <c r="F220" s="15">
        <f>[1]Data!H223</f>
        <v>1.7376122530387436E-2</v>
      </c>
      <c r="G220" s="16">
        <f>[1]Data!I223</f>
        <v>-2.3770397829058831E-2</v>
      </c>
      <c r="H220" s="17">
        <f t="shared" si="61"/>
        <v>-1</v>
      </c>
      <c r="I220" s="18">
        <f t="shared" si="70"/>
        <v>-1</v>
      </c>
      <c r="J220" s="19">
        <f t="shared" si="62"/>
        <v>0</v>
      </c>
      <c r="K220" s="19">
        <f t="shared" si="63"/>
        <v>4.8390562265195107E-2</v>
      </c>
      <c r="L220" s="19">
        <f t="shared" si="64"/>
        <v>0</v>
      </c>
      <c r="M220" s="19">
        <f t="shared" si="65"/>
        <v>-7.1460642012588504E-3</v>
      </c>
      <c r="N220" s="19">
        <f t="shared" si="66"/>
        <v>0</v>
      </c>
      <c r="O220" s="19">
        <f t="shared" si="67"/>
        <v>-1.7376122530387436E-2</v>
      </c>
      <c r="P220" s="19">
        <f t="shared" si="68"/>
        <v>0</v>
      </c>
      <c r="Q220" s="19">
        <f t="shared" si="69"/>
        <v>-2.3770397829058831E-2</v>
      </c>
      <c r="R220" s="19">
        <f t="shared" si="71"/>
        <v>0.63450225057644138</v>
      </c>
      <c r="S220" s="19">
        <f t="shared" si="72"/>
        <v>0.15646409193522734</v>
      </c>
      <c r="T220" s="19">
        <f t="shared" si="73"/>
        <v>-0.33852683142968987</v>
      </c>
      <c r="U220" s="19">
        <f t="shared" si="74"/>
        <v>0.70696272244680936</v>
      </c>
      <c r="V220" s="19">
        <f t="shared" si="75"/>
        <v>0.55059348099829708</v>
      </c>
      <c r="W220" s="19">
        <f t="shared" si="76"/>
        <v>-2.0590478197776627E-2</v>
      </c>
      <c r="X220" s="19">
        <f t="shared" si="77"/>
        <v>0.68557448412853972</v>
      </c>
      <c r="Y220" s="19">
        <f t="shared" si="78"/>
        <v>0.13821818131925115</v>
      </c>
      <c r="AA220" s="19">
        <f t="shared" si="79"/>
        <v>2.5131979017770991</v>
      </c>
      <c r="AB220" s="19">
        <f t="shared" si="80"/>
        <v>1.6354478256167997</v>
      </c>
    </row>
    <row r="221" spans="1:28" x14ac:dyDescent="0.25">
      <c r="A221" s="13">
        <f>[1]Data!A224</f>
        <v>44136</v>
      </c>
      <c r="B221" s="14">
        <f>[1]Data!B224</f>
        <v>0.10325725550094472</v>
      </c>
      <c r="C221" s="14">
        <f>[1]Data!C224</f>
        <v>5.8724078336053101E-2</v>
      </c>
      <c r="D221" s="15">
        <f>[1]Data!F224</f>
        <v>1.8762721466198451E-2</v>
      </c>
      <c r="E221" s="16">
        <f>[1]Data!G224</f>
        <v>-9.2682344533405788E-3</v>
      </c>
      <c r="F221" s="15">
        <f>[1]Data!H224</f>
        <v>6.9837669112041478E-2</v>
      </c>
      <c r="G221" s="16">
        <f>[1]Data!I224</f>
        <v>1.2683144314982917E-2</v>
      </c>
      <c r="H221" s="17">
        <f t="shared" si="61"/>
        <v>-1</v>
      </c>
      <c r="I221" s="18">
        <f t="shared" si="70"/>
        <v>1</v>
      </c>
      <c r="J221" s="19">
        <f t="shared" si="62"/>
        <v>0</v>
      </c>
      <c r="K221" s="19">
        <f t="shared" si="63"/>
        <v>-1.8762721466198451E-2</v>
      </c>
      <c r="L221" s="19">
        <f t="shared" si="64"/>
        <v>0</v>
      </c>
      <c r="M221" s="19">
        <f t="shared" si="65"/>
        <v>-9.2682344533405788E-3</v>
      </c>
      <c r="N221" s="19">
        <f t="shared" si="66"/>
        <v>6.9837669112041478E-2</v>
      </c>
      <c r="O221" s="19">
        <f t="shared" si="67"/>
        <v>0</v>
      </c>
      <c r="P221" s="19">
        <f t="shared" si="68"/>
        <v>-1.2683144314982917E-2</v>
      </c>
      <c r="Q221" s="19">
        <f t="shared" si="69"/>
        <v>0</v>
      </c>
      <c r="R221" s="19">
        <f t="shared" si="71"/>
        <v>0.63450225057644138</v>
      </c>
      <c r="S221" s="19">
        <f t="shared" si="72"/>
        <v>0.13770137046902889</v>
      </c>
      <c r="T221" s="19">
        <f t="shared" si="73"/>
        <v>-0.33852683142968987</v>
      </c>
      <c r="U221" s="19">
        <f t="shared" si="74"/>
        <v>0.69769448799346878</v>
      </c>
      <c r="V221" s="19">
        <f t="shared" si="75"/>
        <v>0.62043115011033856</v>
      </c>
      <c r="W221" s="19">
        <f t="shared" si="76"/>
        <v>-2.0590478197776627E-2</v>
      </c>
      <c r="X221" s="19">
        <f t="shared" si="77"/>
        <v>0.67289133981355675</v>
      </c>
      <c r="Y221" s="19">
        <f t="shared" si="78"/>
        <v>0.13821818131925115</v>
      </c>
      <c r="AA221" s="19">
        <f t="shared" si="79"/>
        <v>2.5423214706546187</v>
      </c>
      <c r="AB221" s="19">
        <f t="shared" si="80"/>
        <v>1.7387050811177445</v>
      </c>
    </row>
    <row r="222" spans="1:28" x14ac:dyDescent="0.25">
      <c r="A222" s="13">
        <f>[1]Data!A225</f>
        <v>44166</v>
      </c>
      <c r="B222" s="14">
        <f>[1]Data!B225</f>
        <v>3.6378837239044566E-2</v>
      </c>
      <c r="C222" s="14">
        <f>[1]Data!C225</f>
        <v>3.7455498346783508E-2</v>
      </c>
      <c r="D222" s="15">
        <f>[1]Data!F225</f>
        <v>1.6232651290830739E-2</v>
      </c>
      <c r="E222" s="16">
        <f>[1]Data!G225</f>
        <v>4.9572194513811414E-3</v>
      </c>
      <c r="F222" s="15">
        <f>[1]Data!H225</f>
        <v>1.9231100883604513E-2</v>
      </c>
      <c r="G222" s="16">
        <f>[1]Data!I225</f>
        <v>-2.0584412472849062E-2</v>
      </c>
      <c r="H222" s="17">
        <f t="shared" si="61"/>
        <v>-1</v>
      </c>
      <c r="I222" s="18">
        <f t="shared" si="70"/>
        <v>1</v>
      </c>
      <c r="J222" s="19">
        <f t="shared" si="62"/>
        <v>0</v>
      </c>
      <c r="K222" s="19">
        <f t="shared" si="63"/>
        <v>-1.6232651290830739E-2</v>
      </c>
      <c r="L222" s="19">
        <f t="shared" si="64"/>
        <v>0</v>
      </c>
      <c r="M222" s="19">
        <f t="shared" si="65"/>
        <v>4.9572194513811414E-3</v>
      </c>
      <c r="N222" s="19">
        <f t="shared" si="66"/>
        <v>1.9231100883604513E-2</v>
      </c>
      <c r="O222" s="19">
        <f t="shared" si="67"/>
        <v>0</v>
      </c>
      <c r="P222" s="19">
        <f t="shared" si="68"/>
        <v>2.0584412472849062E-2</v>
      </c>
      <c r="Q222" s="19">
        <f t="shared" si="69"/>
        <v>0</v>
      </c>
      <c r="R222" s="19">
        <f t="shared" si="71"/>
        <v>0.63450225057644138</v>
      </c>
      <c r="S222" s="19">
        <f t="shared" si="72"/>
        <v>0.12146871917819815</v>
      </c>
      <c r="T222" s="19">
        <f t="shared" si="73"/>
        <v>-0.33852683142968987</v>
      </c>
      <c r="U222" s="19">
        <f t="shared" si="74"/>
        <v>0.70265170744484995</v>
      </c>
      <c r="V222" s="19">
        <f t="shared" si="75"/>
        <v>0.63966225099394303</v>
      </c>
      <c r="W222" s="19">
        <f t="shared" si="76"/>
        <v>-2.0590478197776627E-2</v>
      </c>
      <c r="X222" s="19">
        <f t="shared" si="77"/>
        <v>0.69347575228640579</v>
      </c>
      <c r="Y222" s="19">
        <f t="shared" si="78"/>
        <v>0.13821818131925115</v>
      </c>
      <c r="AA222" s="19">
        <f t="shared" si="79"/>
        <v>2.5708615521716225</v>
      </c>
      <c r="AB222" s="19">
        <f t="shared" si="80"/>
        <v>1.775083918356789</v>
      </c>
    </row>
    <row r="223" spans="1:28" x14ac:dyDescent="0.25">
      <c r="A223" s="13">
        <f>[1]Data!A226</f>
        <v>44197</v>
      </c>
      <c r="B223" s="14">
        <f>[1]Data!B226</f>
        <v>-1.0242863776633608E-2</v>
      </c>
      <c r="C223" s="14">
        <f>[1]Data!C226</f>
        <v>5.3800505606036331E-2</v>
      </c>
      <c r="D223" s="15">
        <f>[1]Data!F226</f>
        <v>-3.7965943621629986E-2</v>
      </c>
      <c r="E223" s="16">
        <f>[1]Data!G226</f>
        <v>-1.0926908059107593E-2</v>
      </c>
      <c r="F223" s="15">
        <f>[1]Data!H226</f>
        <v>1.9546640054376244E-2</v>
      </c>
      <c r="G223" s="16">
        <f>[1]Data!I226</f>
        <v>-4.1488033938793661E-2</v>
      </c>
      <c r="H223" s="17">
        <f t="shared" si="61"/>
        <v>-1</v>
      </c>
      <c r="I223" s="18">
        <f t="shared" si="70"/>
        <v>1</v>
      </c>
      <c r="J223" s="19">
        <f t="shared" si="62"/>
        <v>0</v>
      </c>
      <c r="K223" s="19">
        <f t="shared" si="63"/>
        <v>3.7965943621629986E-2</v>
      </c>
      <c r="L223" s="19">
        <f t="shared" si="64"/>
        <v>0</v>
      </c>
      <c r="M223" s="19">
        <f t="shared" si="65"/>
        <v>-1.0926908059107593E-2</v>
      </c>
      <c r="N223" s="19">
        <f t="shared" si="66"/>
        <v>1.9546640054376244E-2</v>
      </c>
      <c r="O223" s="19">
        <f t="shared" si="67"/>
        <v>0</v>
      </c>
      <c r="P223" s="19">
        <f t="shared" si="68"/>
        <v>4.1488033938793661E-2</v>
      </c>
      <c r="Q223" s="19">
        <f t="shared" si="69"/>
        <v>0</v>
      </c>
      <c r="R223" s="19">
        <f t="shared" si="71"/>
        <v>0.63450225057644138</v>
      </c>
      <c r="S223" s="19">
        <f t="shared" si="72"/>
        <v>0.15943466279982815</v>
      </c>
      <c r="T223" s="19">
        <f t="shared" si="73"/>
        <v>-0.33852683142968987</v>
      </c>
      <c r="U223" s="19">
        <f t="shared" si="74"/>
        <v>0.69172479938574238</v>
      </c>
      <c r="V223" s="19">
        <f t="shared" si="75"/>
        <v>0.65920889104831926</v>
      </c>
      <c r="W223" s="19">
        <f t="shared" si="76"/>
        <v>-2.0590478197776627E-2</v>
      </c>
      <c r="X223" s="19">
        <f t="shared" si="77"/>
        <v>0.73496378622519942</v>
      </c>
      <c r="Y223" s="19">
        <f t="shared" si="78"/>
        <v>0.13821818131925115</v>
      </c>
      <c r="AA223" s="19">
        <f t="shared" si="79"/>
        <v>2.658935261727315</v>
      </c>
      <c r="AB223" s="19">
        <f t="shared" si="80"/>
        <v>1.7648410545801554</v>
      </c>
    </row>
    <row r="224" spans="1:28" x14ac:dyDescent="0.25">
      <c r="A224" s="13">
        <f>[1]Data!A227</f>
        <v>44228</v>
      </c>
      <c r="B224" s="14">
        <f>[1]Data!B227</f>
        <v>2.742605383338521E-2</v>
      </c>
      <c r="C224" s="14">
        <f>[1]Data!C227</f>
        <v>0.11043778553510218</v>
      </c>
      <c r="D224" s="15">
        <f>[1]Data!F227</f>
        <v>-1.7384024666514359E-2</v>
      </c>
      <c r="E224" s="16">
        <f>[1]Data!G227</f>
        <v>6.5892914761212194E-3</v>
      </c>
      <c r="F224" s="15">
        <f>[1]Data!H227</f>
        <v>4.6565654072414545E-2</v>
      </c>
      <c r="G224" s="16">
        <f>[1]Data!I227</f>
        <v>-2.5307333706020389E-2</v>
      </c>
      <c r="H224" s="17">
        <f t="shared" si="61"/>
        <v>-1</v>
      </c>
      <c r="I224" s="18">
        <f t="shared" si="70"/>
        <v>1</v>
      </c>
      <c r="J224" s="19">
        <f t="shared" si="62"/>
        <v>0</v>
      </c>
      <c r="K224" s="19">
        <f t="shared" si="63"/>
        <v>1.7384024666514359E-2</v>
      </c>
      <c r="L224" s="19">
        <f t="shared" si="64"/>
        <v>0</v>
      </c>
      <c r="M224" s="19">
        <f t="shared" si="65"/>
        <v>6.5892914761212194E-3</v>
      </c>
      <c r="N224" s="19">
        <f t="shared" si="66"/>
        <v>4.6565654072414545E-2</v>
      </c>
      <c r="O224" s="19">
        <f t="shared" si="67"/>
        <v>0</v>
      </c>
      <c r="P224" s="19">
        <f t="shared" si="68"/>
        <v>2.5307333706020389E-2</v>
      </c>
      <c r="Q224" s="19">
        <f t="shared" si="69"/>
        <v>0</v>
      </c>
      <c r="R224" s="19">
        <f t="shared" si="71"/>
        <v>0.63450225057644138</v>
      </c>
      <c r="S224" s="19">
        <f t="shared" si="72"/>
        <v>0.17681868746634252</v>
      </c>
      <c r="T224" s="19">
        <f t="shared" si="73"/>
        <v>-0.33852683142968987</v>
      </c>
      <c r="U224" s="19">
        <f t="shared" si="74"/>
        <v>0.69831409086186358</v>
      </c>
      <c r="V224" s="19">
        <f t="shared" si="75"/>
        <v>0.70577454512073379</v>
      </c>
      <c r="W224" s="19">
        <f t="shared" si="76"/>
        <v>-2.0590478197776627E-2</v>
      </c>
      <c r="X224" s="19">
        <f t="shared" si="77"/>
        <v>0.76027111993121976</v>
      </c>
      <c r="Y224" s="19">
        <f t="shared" si="78"/>
        <v>0.13821818131925115</v>
      </c>
      <c r="AA224" s="19">
        <f t="shared" si="79"/>
        <v>2.7547815656483854</v>
      </c>
      <c r="AB224" s="19">
        <f t="shared" si="80"/>
        <v>1.7922671084135406</v>
      </c>
    </row>
    <row r="225" spans="1:28" x14ac:dyDescent="0.25">
      <c r="A225" s="13">
        <f>[1]Data!A228</f>
        <v>44256</v>
      </c>
      <c r="B225" s="14">
        <f>[1]Data!B228</f>
        <v>4.4398912813180841E-2</v>
      </c>
      <c r="C225" s="14">
        <f>[1]Data!C228</f>
        <v>8.602422644532659E-2</v>
      </c>
      <c r="D225" s="15">
        <f>[1]Data!F228</f>
        <v>1.7434699494535747E-2</v>
      </c>
      <c r="E225" s="16">
        <f>[1]Data!G228</f>
        <v>5.1815325318994637E-3</v>
      </c>
      <c r="F225" s="15">
        <f>[1]Data!H228</f>
        <v>8.5603789557191674E-3</v>
      </c>
      <c r="G225" s="16">
        <f>[1]Data!I228</f>
        <v>-2.8655038580267456E-2</v>
      </c>
      <c r="H225" s="17">
        <f t="shared" si="61"/>
        <v>-1</v>
      </c>
      <c r="I225" s="18">
        <f t="shared" si="70"/>
        <v>1</v>
      </c>
      <c r="J225" s="19">
        <f t="shared" si="62"/>
        <v>0</v>
      </c>
      <c r="K225" s="19">
        <f t="shared" si="63"/>
        <v>-1.7434699494535747E-2</v>
      </c>
      <c r="L225" s="19">
        <f t="shared" si="64"/>
        <v>0</v>
      </c>
      <c r="M225" s="19">
        <f t="shared" si="65"/>
        <v>5.1815325318994637E-3</v>
      </c>
      <c r="N225" s="19">
        <f t="shared" si="66"/>
        <v>8.5603789557191674E-3</v>
      </c>
      <c r="O225" s="19">
        <f t="shared" si="67"/>
        <v>0</v>
      </c>
      <c r="P225" s="19">
        <f t="shared" si="68"/>
        <v>2.8655038580267456E-2</v>
      </c>
      <c r="Q225" s="19">
        <f t="shared" si="69"/>
        <v>0</v>
      </c>
      <c r="R225" s="19">
        <f t="shared" si="71"/>
        <v>0.63450225057644138</v>
      </c>
      <c r="S225" s="19">
        <f t="shared" si="72"/>
        <v>0.15938398797180678</v>
      </c>
      <c r="T225" s="19">
        <f t="shared" si="73"/>
        <v>-0.33852683142968987</v>
      </c>
      <c r="U225" s="19">
        <f t="shared" si="74"/>
        <v>0.70349562339376304</v>
      </c>
      <c r="V225" s="19">
        <f t="shared" si="75"/>
        <v>0.71433492407645294</v>
      </c>
      <c r="W225" s="19">
        <f t="shared" si="76"/>
        <v>-2.0590478197776627E-2</v>
      </c>
      <c r="X225" s="19">
        <f t="shared" si="77"/>
        <v>0.78892615851148717</v>
      </c>
      <c r="Y225" s="19">
        <f t="shared" si="78"/>
        <v>0.13821818131925115</v>
      </c>
      <c r="AA225" s="19">
        <f t="shared" si="79"/>
        <v>2.7797438162217358</v>
      </c>
      <c r="AB225" s="19">
        <f t="shared" si="80"/>
        <v>1.8366660212267214</v>
      </c>
    </row>
    <row r="226" spans="1:28" x14ac:dyDescent="0.25">
      <c r="A226" s="13">
        <f>[1]Data!A229</f>
        <v>44287</v>
      </c>
      <c r="B226" s="14">
        <f>[1]Data!B229</f>
        <v>5.1558238542363341E-2</v>
      </c>
      <c r="C226" s="14">
        <f>[1]Data!C229</f>
        <v>2.2431054914758015E-3</v>
      </c>
      <c r="D226" s="15">
        <f>[1]Data!F229</f>
        <v>1.2126781256457655E-2</v>
      </c>
      <c r="E226" s="16">
        <f>[1]Data!G229</f>
        <v>-1.2543451851814881E-2</v>
      </c>
      <c r="F226" s="15">
        <f>[1]Data!H229</f>
        <v>3.0293643363770127E-2</v>
      </c>
      <c r="G226" s="16">
        <f>[1]Data!I229</f>
        <v>2.0090355650542794E-2</v>
      </c>
      <c r="H226" s="17">
        <f t="shared" si="61"/>
        <v>-1</v>
      </c>
      <c r="I226" s="18">
        <f t="shared" si="70"/>
        <v>1</v>
      </c>
      <c r="J226" s="19">
        <f t="shared" si="62"/>
        <v>0</v>
      </c>
      <c r="K226" s="19">
        <f t="shared" si="63"/>
        <v>-1.2126781256457655E-2</v>
      </c>
      <c r="L226" s="19">
        <f t="shared" si="64"/>
        <v>0</v>
      </c>
      <c r="M226" s="19">
        <f t="shared" si="65"/>
        <v>-1.2543451851814881E-2</v>
      </c>
      <c r="N226" s="19">
        <f t="shared" si="66"/>
        <v>3.0293643363770127E-2</v>
      </c>
      <c r="O226" s="19">
        <f t="shared" si="67"/>
        <v>0</v>
      </c>
      <c r="P226" s="19">
        <f t="shared" si="68"/>
        <v>-2.0090355650542794E-2</v>
      </c>
      <c r="Q226" s="19">
        <f t="shared" si="69"/>
        <v>0</v>
      </c>
      <c r="R226" s="19">
        <f t="shared" si="71"/>
        <v>0.63450225057644138</v>
      </c>
      <c r="S226" s="19">
        <f t="shared" si="72"/>
        <v>0.14725720671534911</v>
      </c>
      <c r="T226" s="19">
        <f t="shared" si="73"/>
        <v>-0.33852683142968987</v>
      </c>
      <c r="U226" s="19">
        <f t="shared" si="74"/>
        <v>0.6909521715419481</v>
      </c>
      <c r="V226" s="19">
        <f t="shared" si="75"/>
        <v>0.7446285674402231</v>
      </c>
      <c r="W226" s="19">
        <f t="shared" si="76"/>
        <v>-2.0590478197776627E-2</v>
      </c>
      <c r="X226" s="19">
        <f t="shared" si="77"/>
        <v>0.76883580286094433</v>
      </c>
      <c r="Y226" s="19">
        <f t="shared" si="78"/>
        <v>0.13821818131925115</v>
      </c>
      <c r="AA226" s="19">
        <f t="shared" si="79"/>
        <v>2.7652768708266908</v>
      </c>
      <c r="AB226" s="19">
        <f t="shared" si="80"/>
        <v>1.8882242597690848</v>
      </c>
    </row>
    <row r="227" spans="1:28" x14ac:dyDescent="0.25">
      <c r="A227" s="13">
        <f>[1]Data!A230</f>
        <v>44317</v>
      </c>
      <c r="B227" s="14">
        <f>[1]Data!B230</f>
        <v>6.5446098984584186E-3</v>
      </c>
      <c r="C227" s="14">
        <f>[1]Data!C230</f>
        <v>-1.151218306930323E-4</v>
      </c>
      <c r="D227" s="15">
        <f>[1]Data!F230</f>
        <v>1.2215842357166922E-2</v>
      </c>
      <c r="E227" s="16">
        <f>[1]Data!G230</f>
        <v>5.5777026221061465E-3</v>
      </c>
      <c r="F227" s="15">
        <f>[1]Data!H230</f>
        <v>1.148423361336148E-2</v>
      </c>
      <c r="G227" s="16">
        <f>[1]Data!I230</f>
        <v>5.7119539558551256E-3</v>
      </c>
      <c r="H227" s="17">
        <f t="shared" si="61"/>
        <v>1</v>
      </c>
      <c r="I227" s="18">
        <f t="shared" si="70"/>
        <v>1</v>
      </c>
      <c r="J227" s="19">
        <f t="shared" si="62"/>
        <v>1.2215842357166922E-2</v>
      </c>
      <c r="K227" s="19">
        <f t="shared" si="63"/>
        <v>0</v>
      </c>
      <c r="L227" s="19">
        <f t="shared" si="64"/>
        <v>-5.5777026221061465E-3</v>
      </c>
      <c r="M227" s="19">
        <f t="shared" si="65"/>
        <v>0</v>
      </c>
      <c r="N227" s="19">
        <f t="shared" si="66"/>
        <v>1.148423361336148E-2</v>
      </c>
      <c r="O227" s="19">
        <f t="shared" si="67"/>
        <v>0</v>
      </c>
      <c r="P227" s="19">
        <f t="shared" si="68"/>
        <v>-5.7119539558551256E-3</v>
      </c>
      <c r="Q227" s="19">
        <f t="shared" si="69"/>
        <v>0</v>
      </c>
      <c r="R227" s="19">
        <f t="shared" si="71"/>
        <v>0.64671809293360827</v>
      </c>
      <c r="S227" s="19">
        <f t="shared" si="72"/>
        <v>0.14725720671534911</v>
      </c>
      <c r="T227" s="19">
        <f t="shared" si="73"/>
        <v>-0.34410453405179603</v>
      </c>
      <c r="U227" s="19">
        <f t="shared" si="74"/>
        <v>0.6909521715419481</v>
      </c>
      <c r="V227" s="19">
        <f t="shared" si="75"/>
        <v>0.75611280105358458</v>
      </c>
      <c r="W227" s="19">
        <f t="shared" si="76"/>
        <v>-2.0590478197776627E-2</v>
      </c>
      <c r="X227" s="19">
        <f t="shared" si="77"/>
        <v>0.76312384890508922</v>
      </c>
      <c r="Y227" s="19">
        <f t="shared" si="78"/>
        <v>0.13821818131925115</v>
      </c>
      <c r="AA227" s="19">
        <f t="shared" si="79"/>
        <v>2.7776872902192578</v>
      </c>
      <c r="AB227" s="19">
        <f t="shared" si="80"/>
        <v>1.8947688696675433</v>
      </c>
    </row>
    <row r="228" spans="1:28" x14ac:dyDescent="0.25">
      <c r="A228" s="13">
        <f>[1]Data!A231</f>
        <v>44348</v>
      </c>
      <c r="B228" s="14">
        <f>[1]Data!B231</f>
        <v>2.2179778274440821E-2</v>
      </c>
      <c r="C228" s="14">
        <f>[1]Data!C231</f>
        <v>-3.0655097020226812E-2</v>
      </c>
      <c r="D228" s="15">
        <f>[1]Data!F231</f>
        <v>1.696333741766997E-2</v>
      </c>
      <c r="E228" s="16">
        <f>[1]Data!G231</f>
        <v>7.3711573761226874E-3</v>
      </c>
      <c r="F228" s="15">
        <f>[1]Data!H231</f>
        <v>5.10547761978978E-3</v>
      </c>
      <c r="G228" s="16">
        <f>[1]Data!I231</f>
        <v>8.8507930187924858E-3</v>
      </c>
      <c r="H228" s="17">
        <f t="shared" si="61"/>
        <v>1</v>
      </c>
      <c r="I228" s="18">
        <f t="shared" si="70"/>
        <v>-1</v>
      </c>
      <c r="J228" s="19">
        <f t="shared" si="62"/>
        <v>1.696333741766997E-2</v>
      </c>
      <c r="K228" s="19">
        <f t="shared" si="63"/>
        <v>0</v>
      </c>
      <c r="L228" s="19">
        <f t="shared" si="64"/>
        <v>-7.3711573761226874E-3</v>
      </c>
      <c r="M228" s="19">
        <f t="shared" si="65"/>
        <v>0</v>
      </c>
      <c r="N228" s="19">
        <f t="shared" si="66"/>
        <v>0</v>
      </c>
      <c r="O228" s="19">
        <f t="shared" si="67"/>
        <v>-5.10547761978978E-3</v>
      </c>
      <c r="P228" s="19">
        <f t="shared" si="68"/>
        <v>0</v>
      </c>
      <c r="Q228" s="19">
        <f t="shared" si="69"/>
        <v>8.8507930187924858E-3</v>
      </c>
      <c r="R228" s="19">
        <f t="shared" si="71"/>
        <v>0.66368143035127825</v>
      </c>
      <c r="S228" s="19">
        <f t="shared" si="72"/>
        <v>0.14725720671534911</v>
      </c>
      <c r="T228" s="19">
        <f t="shared" si="73"/>
        <v>-0.35147569142791873</v>
      </c>
      <c r="U228" s="19">
        <f t="shared" si="74"/>
        <v>0.6909521715419481</v>
      </c>
      <c r="V228" s="19">
        <f t="shared" si="75"/>
        <v>0.75611280105358458</v>
      </c>
      <c r="W228" s="19">
        <f t="shared" si="76"/>
        <v>-2.5695955817566406E-2</v>
      </c>
      <c r="X228" s="19">
        <f t="shared" si="77"/>
        <v>0.76312384890508922</v>
      </c>
      <c r="Y228" s="19">
        <f t="shared" si="78"/>
        <v>0.14706897433804364</v>
      </c>
      <c r="AA228" s="19">
        <f t="shared" si="79"/>
        <v>2.7910247856598076</v>
      </c>
      <c r="AB228" s="19">
        <f t="shared" si="80"/>
        <v>1.9169486479419842</v>
      </c>
    </row>
    <row r="229" spans="1:28" x14ac:dyDescent="0.25">
      <c r="A229" s="13">
        <f>[1]Data!A232</f>
        <v>44378</v>
      </c>
      <c r="B229" s="14">
        <f>[1]Data!B232</f>
        <v>2.4119266388236284E-2</v>
      </c>
      <c r="C229" s="14">
        <f>[1]Data!C232</f>
        <v>-1.9218809799632017E-2</v>
      </c>
      <c r="D229" s="15">
        <f>[1]Data!F232</f>
        <v>6.9798021718870265E-3</v>
      </c>
      <c r="E229" s="16">
        <f>[1]Data!G232</f>
        <v>1.3392975497376024E-4</v>
      </c>
      <c r="F229" s="15">
        <f>[1]Data!H232</f>
        <v>6.6590971395921635E-3</v>
      </c>
      <c r="G229" s="16">
        <f>[1]Data!I232</f>
        <v>3.0454553422428508E-2</v>
      </c>
      <c r="H229" s="17">
        <f t="shared" si="61"/>
        <v>1</v>
      </c>
      <c r="I229" s="18">
        <f t="shared" si="70"/>
        <v>-1</v>
      </c>
      <c r="J229" s="19">
        <f t="shared" si="62"/>
        <v>6.9798021718870265E-3</v>
      </c>
      <c r="K229" s="19">
        <f t="shared" si="63"/>
        <v>0</v>
      </c>
      <c r="L229" s="19">
        <f t="shared" si="64"/>
        <v>-1.3392975497376024E-4</v>
      </c>
      <c r="M229" s="19">
        <f t="shared" si="65"/>
        <v>0</v>
      </c>
      <c r="N229" s="19">
        <f t="shared" si="66"/>
        <v>0</v>
      </c>
      <c r="O229" s="19">
        <f t="shared" si="67"/>
        <v>-6.6590971395921635E-3</v>
      </c>
      <c r="P229" s="19">
        <f t="shared" si="68"/>
        <v>0</v>
      </c>
      <c r="Q229" s="19">
        <f t="shared" si="69"/>
        <v>3.0454553422428508E-2</v>
      </c>
      <c r="R229" s="19">
        <f t="shared" si="71"/>
        <v>0.67066123252316523</v>
      </c>
      <c r="S229" s="19">
        <f t="shared" si="72"/>
        <v>0.14725720671534911</v>
      </c>
      <c r="T229" s="19">
        <f t="shared" si="73"/>
        <v>-0.35160962118289252</v>
      </c>
      <c r="U229" s="19">
        <f t="shared" si="74"/>
        <v>0.6909521715419481</v>
      </c>
      <c r="V229" s="19">
        <f t="shared" si="75"/>
        <v>0.75611280105358458</v>
      </c>
      <c r="W229" s="19">
        <f t="shared" si="76"/>
        <v>-3.235505295715857E-2</v>
      </c>
      <c r="X229" s="19">
        <f t="shared" si="77"/>
        <v>0.76312384890508922</v>
      </c>
      <c r="Y229" s="19">
        <f t="shared" si="78"/>
        <v>0.17752352776047214</v>
      </c>
      <c r="AA229" s="19">
        <f t="shared" si="79"/>
        <v>2.8216661143595574</v>
      </c>
      <c r="AB229" s="19">
        <f t="shared" si="80"/>
        <v>1.9410679143302205</v>
      </c>
    </row>
    <row r="230" spans="1:28" x14ac:dyDescent="0.25">
      <c r="A230" s="13">
        <f>[1]Data!A233</f>
        <v>44409</v>
      </c>
      <c r="B230" s="14">
        <f>[1]Data!B233</f>
        <v>2.9325454689421535E-2</v>
      </c>
      <c r="C230" s="14">
        <f>[1]Data!C233</f>
        <v>2.9162464152286509E-3</v>
      </c>
      <c r="D230" s="15">
        <f>[1]Data!F233</f>
        <v>1.8326270727281269E-2</v>
      </c>
      <c r="E230" s="16">
        <f>[1]Data!G233</f>
        <v>-1.1490464061884264E-2</v>
      </c>
      <c r="F230" s="15">
        <f>[1]Data!H233</f>
        <v>9.0350287328493824E-3</v>
      </c>
      <c r="G230" s="16">
        <f>[1]Data!I233</f>
        <v>-1.0487486988141873E-2</v>
      </c>
      <c r="H230" s="17">
        <f t="shared" si="61"/>
        <v>-1</v>
      </c>
      <c r="I230" s="18">
        <f t="shared" si="70"/>
        <v>-1</v>
      </c>
      <c r="J230" s="19">
        <f t="shared" si="62"/>
        <v>0</v>
      </c>
      <c r="K230" s="19">
        <f t="shared" si="63"/>
        <v>-1.8326270727281269E-2</v>
      </c>
      <c r="L230" s="19">
        <f t="shared" si="64"/>
        <v>0</v>
      </c>
      <c r="M230" s="19">
        <f t="shared" si="65"/>
        <v>-1.1490464061884264E-2</v>
      </c>
      <c r="N230" s="19">
        <f t="shared" si="66"/>
        <v>0</v>
      </c>
      <c r="O230" s="19">
        <f t="shared" si="67"/>
        <v>-9.0350287328493824E-3</v>
      </c>
      <c r="P230" s="19">
        <f t="shared" si="68"/>
        <v>0</v>
      </c>
      <c r="Q230" s="19">
        <f t="shared" si="69"/>
        <v>-1.0487486988141873E-2</v>
      </c>
      <c r="R230" s="19">
        <f t="shared" si="71"/>
        <v>0.67066123252316523</v>
      </c>
      <c r="S230" s="19">
        <f t="shared" si="72"/>
        <v>0.12893093598806785</v>
      </c>
      <c r="T230" s="19">
        <f t="shared" si="73"/>
        <v>-0.35160962118289252</v>
      </c>
      <c r="U230" s="19">
        <f t="shared" si="74"/>
        <v>0.67946170748006385</v>
      </c>
      <c r="V230" s="19">
        <f t="shared" si="75"/>
        <v>0.75611280105358458</v>
      </c>
      <c r="W230" s="19">
        <f t="shared" si="76"/>
        <v>-4.1390081690007949E-2</v>
      </c>
      <c r="X230" s="19">
        <f t="shared" si="77"/>
        <v>0.76312384890508922</v>
      </c>
      <c r="Y230" s="19">
        <f t="shared" si="78"/>
        <v>0.16703604077233028</v>
      </c>
      <c r="AA230" s="19">
        <f t="shared" si="79"/>
        <v>2.7723268638494005</v>
      </c>
      <c r="AB230" s="19">
        <f t="shared" si="80"/>
        <v>1.970393369019642</v>
      </c>
    </row>
    <row r="231" spans="1:28" x14ac:dyDescent="0.25">
      <c r="A231" s="13">
        <f>[1]Data!A234</f>
        <v>44440</v>
      </c>
      <c r="B231" s="14">
        <f>[1]Data!B234</f>
        <v>-4.772644369023616E-2</v>
      </c>
      <c r="C231" s="14">
        <f>[1]Data!C234</f>
        <v>-4.8574503818244685E-2</v>
      </c>
      <c r="D231" s="15">
        <f>[1]Data!F234</f>
        <v>-2.0115820546968352E-2</v>
      </c>
      <c r="E231" s="16">
        <f>[1]Data!G234</f>
        <v>-5.0464856597345863E-2</v>
      </c>
      <c r="F231" s="15">
        <f>[1]Data!H234</f>
        <v>-1.4405299472210753E-3</v>
      </c>
      <c r="G231" s="16">
        <f>[1]Data!I234</f>
        <v>-4.7948403519810535E-3</v>
      </c>
      <c r="H231" s="17">
        <f t="shared" si="61"/>
        <v>1</v>
      </c>
      <c r="I231" s="18">
        <f t="shared" si="70"/>
        <v>1</v>
      </c>
      <c r="J231" s="19">
        <f t="shared" si="62"/>
        <v>-2.0115820546968352E-2</v>
      </c>
      <c r="K231" s="19">
        <f t="shared" si="63"/>
        <v>0</v>
      </c>
      <c r="L231" s="19">
        <f t="shared" si="64"/>
        <v>5.0464856597345863E-2</v>
      </c>
      <c r="M231" s="19">
        <f t="shared" si="65"/>
        <v>0</v>
      </c>
      <c r="N231" s="19">
        <f t="shared" si="66"/>
        <v>-1.4405299472210753E-3</v>
      </c>
      <c r="O231" s="19">
        <f t="shared" si="67"/>
        <v>0</v>
      </c>
      <c r="P231" s="19">
        <f t="shared" si="68"/>
        <v>4.7948403519810535E-3</v>
      </c>
      <c r="Q231" s="19">
        <f t="shared" si="69"/>
        <v>0</v>
      </c>
      <c r="R231" s="19">
        <f t="shared" si="71"/>
        <v>0.65054541197619686</v>
      </c>
      <c r="S231" s="19">
        <f t="shared" si="72"/>
        <v>0.12893093598806785</v>
      </c>
      <c r="T231" s="19">
        <f t="shared" si="73"/>
        <v>-0.30114476458554668</v>
      </c>
      <c r="U231" s="19">
        <f t="shared" si="74"/>
        <v>0.67946170748006385</v>
      </c>
      <c r="V231" s="19">
        <f t="shared" si="75"/>
        <v>0.75467227110636348</v>
      </c>
      <c r="W231" s="19">
        <f t="shared" si="76"/>
        <v>-4.1390081690007949E-2</v>
      </c>
      <c r="X231" s="19">
        <f t="shared" si="77"/>
        <v>0.7679186892570703</v>
      </c>
      <c r="Y231" s="19">
        <f t="shared" si="78"/>
        <v>0.16703604077233028</v>
      </c>
      <c r="AA231" s="19">
        <f t="shared" si="79"/>
        <v>2.806030210304538</v>
      </c>
      <c r="AB231" s="19">
        <f t="shared" si="80"/>
        <v>1.9226669253294058</v>
      </c>
    </row>
    <row r="232" spans="1:28" x14ac:dyDescent="0.25">
      <c r="A232" s="13">
        <f>[1]Data!A235</f>
        <v>44470</v>
      </c>
      <c r="B232" s="14">
        <f>[1]Data!B235</f>
        <v>6.7811520185359464E-2</v>
      </c>
      <c r="C232" s="14">
        <f>[1]Data!C235</f>
        <v>6.641177784413213E-2</v>
      </c>
      <c r="D232" s="15">
        <f>[1]Data!F235</f>
        <v>1.2401001113649456E-2</v>
      </c>
      <c r="E232" s="16">
        <f>[1]Data!G235</f>
        <v>3.5352190616262616E-2</v>
      </c>
      <c r="F232" s="15">
        <f>[1]Data!H235</f>
        <v>2.1941322895229948E-2</v>
      </c>
      <c r="G232" s="16">
        <f>[1]Data!I235</f>
        <v>-8.7589070445465121E-3</v>
      </c>
      <c r="H232" s="17">
        <f t="shared" si="61"/>
        <v>-1</v>
      </c>
      <c r="I232" s="18">
        <f t="shared" si="70"/>
        <v>-1</v>
      </c>
      <c r="J232" s="19">
        <f t="shared" si="62"/>
        <v>0</v>
      </c>
      <c r="K232" s="19">
        <f t="shared" si="63"/>
        <v>-1.2401001113649456E-2</v>
      </c>
      <c r="L232" s="19">
        <f t="shared" si="64"/>
        <v>0</v>
      </c>
      <c r="M232" s="19">
        <f t="shared" si="65"/>
        <v>3.5352190616262616E-2</v>
      </c>
      <c r="N232" s="19">
        <f t="shared" si="66"/>
        <v>0</v>
      </c>
      <c r="O232" s="19">
        <f t="shared" si="67"/>
        <v>-2.1941322895229948E-2</v>
      </c>
      <c r="P232" s="19">
        <f t="shared" si="68"/>
        <v>0</v>
      </c>
      <c r="Q232" s="19">
        <f t="shared" si="69"/>
        <v>-8.7589070445465121E-3</v>
      </c>
      <c r="R232" s="19">
        <f t="shared" si="71"/>
        <v>0.65054541197619686</v>
      </c>
      <c r="S232" s="19">
        <f t="shared" si="72"/>
        <v>0.11652993487441839</v>
      </c>
      <c r="T232" s="19">
        <f t="shared" si="73"/>
        <v>-0.30114476458554668</v>
      </c>
      <c r="U232" s="19">
        <f t="shared" si="74"/>
        <v>0.71481389809632645</v>
      </c>
      <c r="V232" s="19">
        <f t="shared" si="75"/>
        <v>0.75467227110636348</v>
      </c>
      <c r="W232" s="19">
        <f t="shared" si="76"/>
        <v>-6.3331404585237894E-2</v>
      </c>
      <c r="X232" s="19">
        <f t="shared" si="77"/>
        <v>0.7679186892570703</v>
      </c>
      <c r="Y232" s="19">
        <f t="shared" si="78"/>
        <v>0.15827713372778376</v>
      </c>
      <c r="AA232" s="19">
        <f t="shared" si="79"/>
        <v>2.7982811698673746</v>
      </c>
      <c r="AB232" s="19">
        <f t="shared" si="80"/>
        <v>1.9904784455147653</v>
      </c>
    </row>
    <row r="233" spans="1:28" x14ac:dyDescent="0.25">
      <c r="A233" s="13">
        <f>[1]Data!A236</f>
        <v>44501</v>
      </c>
      <c r="B233" s="14">
        <f>[1]Data!B236</f>
        <v>-8.0673554045536805E-3</v>
      </c>
      <c r="C233" s="14">
        <f>[1]Data!C236</f>
        <v>1.4972978925412972E-2</v>
      </c>
      <c r="D233" s="15">
        <f>[1]Data!F236</f>
        <v>-2.8840826497794219E-2</v>
      </c>
      <c r="E233" s="16">
        <f>[1]Data!G236</f>
        <v>2.1537887401986894E-2</v>
      </c>
      <c r="F233" s="15">
        <f>[1]Data!H236</f>
        <v>2.0005490052964581E-2</v>
      </c>
      <c r="G233" s="16">
        <f>[1]Data!I236</f>
        <v>1.2116522201603058E-2</v>
      </c>
      <c r="H233" s="17">
        <f t="shared" si="61"/>
        <v>-1</v>
      </c>
      <c r="I233" s="18">
        <f t="shared" si="70"/>
        <v>1</v>
      </c>
      <c r="J233" s="19">
        <f t="shared" si="62"/>
        <v>0</v>
      </c>
      <c r="K233" s="19">
        <f t="shared" si="63"/>
        <v>2.8840826497794219E-2</v>
      </c>
      <c r="L233" s="19">
        <f t="shared" si="64"/>
        <v>0</v>
      </c>
      <c r="M233" s="19">
        <f t="shared" si="65"/>
        <v>2.1537887401986894E-2</v>
      </c>
      <c r="N233" s="19">
        <f t="shared" si="66"/>
        <v>2.0005490052964581E-2</v>
      </c>
      <c r="O233" s="19">
        <f t="shared" si="67"/>
        <v>0</v>
      </c>
      <c r="P233" s="19">
        <f t="shared" si="68"/>
        <v>-1.2116522201603058E-2</v>
      </c>
      <c r="Q233" s="19">
        <f t="shared" si="69"/>
        <v>0</v>
      </c>
      <c r="R233" s="19">
        <f t="shared" si="71"/>
        <v>0.65054541197619686</v>
      </c>
      <c r="S233" s="19">
        <f t="shared" si="72"/>
        <v>0.14537076137221261</v>
      </c>
      <c r="T233" s="19">
        <f t="shared" si="73"/>
        <v>-0.30114476458554668</v>
      </c>
      <c r="U233" s="19">
        <f t="shared" si="74"/>
        <v>0.73635178549831337</v>
      </c>
      <c r="V233" s="19">
        <f t="shared" si="75"/>
        <v>0.77467776115932807</v>
      </c>
      <c r="W233" s="19">
        <f t="shared" si="76"/>
        <v>-6.3331404585237894E-2</v>
      </c>
      <c r="X233" s="19">
        <f t="shared" si="77"/>
        <v>0.75580216705546721</v>
      </c>
      <c r="Y233" s="19">
        <f t="shared" si="78"/>
        <v>0.15827713372778376</v>
      </c>
      <c r="AA233" s="19">
        <f t="shared" si="79"/>
        <v>2.8565488516185171</v>
      </c>
      <c r="AB233" s="19">
        <f t="shared" si="80"/>
        <v>1.9824110901102117</v>
      </c>
    </row>
    <row r="234" spans="1:28" x14ac:dyDescent="0.25">
      <c r="A234" s="13">
        <f>[1]Data!A237</f>
        <v>44531</v>
      </c>
      <c r="B234" s="14">
        <f>[1]Data!B237</f>
        <v>4.5210268361061477E-2</v>
      </c>
      <c r="C234" s="14">
        <f>[1]Data!C237</f>
        <v>3.3856448687732785E-2</v>
      </c>
      <c r="D234" s="15">
        <f>[1]Data!F237</f>
        <v>2.5374119839260571E-2</v>
      </c>
      <c r="E234" s="16">
        <f>[1]Data!G237</f>
        <v>-6.323674093309908E-3</v>
      </c>
      <c r="F234" s="15">
        <f>[1]Data!H237</f>
        <v>2.7538990939022526E-2</v>
      </c>
      <c r="G234" s="16">
        <f>[1]Data!I237</f>
        <v>-2.6852351765409531E-3</v>
      </c>
      <c r="H234" s="17">
        <f t="shared" si="61"/>
        <v>-1</v>
      </c>
      <c r="I234" s="18">
        <f t="shared" si="70"/>
        <v>1</v>
      </c>
      <c r="J234" s="19">
        <f t="shared" si="62"/>
        <v>0</v>
      </c>
      <c r="K234" s="19">
        <f t="shared" si="63"/>
        <v>-2.5374119839260571E-2</v>
      </c>
      <c r="L234" s="19">
        <f t="shared" si="64"/>
        <v>0</v>
      </c>
      <c r="M234" s="19">
        <f t="shared" si="65"/>
        <v>-6.323674093309908E-3</v>
      </c>
      <c r="N234" s="19">
        <f t="shared" si="66"/>
        <v>2.7538990939022526E-2</v>
      </c>
      <c r="O234" s="19">
        <f t="shared" si="67"/>
        <v>0</v>
      </c>
      <c r="P234" s="19">
        <f t="shared" si="68"/>
        <v>2.6852351765409531E-3</v>
      </c>
      <c r="Q234" s="19">
        <f t="shared" si="69"/>
        <v>0</v>
      </c>
      <c r="R234" s="19">
        <f t="shared" si="71"/>
        <v>0.65054541197619686</v>
      </c>
      <c r="S234" s="19">
        <f t="shared" si="72"/>
        <v>0.11999664153295203</v>
      </c>
      <c r="T234" s="19">
        <f t="shared" si="73"/>
        <v>-0.30114476458554668</v>
      </c>
      <c r="U234" s="19">
        <f t="shared" si="74"/>
        <v>0.73002811140500345</v>
      </c>
      <c r="V234" s="19">
        <f t="shared" si="75"/>
        <v>0.80221675209835064</v>
      </c>
      <c r="W234" s="19">
        <f t="shared" si="76"/>
        <v>-6.3331404585237894E-2</v>
      </c>
      <c r="X234" s="19">
        <f t="shared" si="77"/>
        <v>0.75848740223200817</v>
      </c>
      <c r="Y234" s="19">
        <f t="shared" si="78"/>
        <v>0.15827713372778376</v>
      </c>
      <c r="AA234" s="19">
        <f t="shared" si="79"/>
        <v>2.8550752838015101</v>
      </c>
      <c r="AB234" s="19">
        <f t="shared" si="80"/>
        <v>2.027621358471273</v>
      </c>
    </row>
    <row r="235" spans="1:28" x14ac:dyDescent="0.25">
      <c r="A235" s="13">
        <f>[1]Data!A238</f>
        <v>44562</v>
      </c>
      <c r="B235" s="14">
        <f>[1]Data!B238</f>
        <v>-5.4183147552412894E-2</v>
      </c>
      <c r="C235" s="14">
        <f>[1]Data!C238</f>
        <v>-3.7315541756700842E-2</v>
      </c>
      <c r="D235" s="15">
        <f>[1]Data!F238</f>
        <v>2.2636409234365662E-2</v>
      </c>
      <c r="E235" s="16">
        <f>[1]Data!G238</f>
        <v>-4.2129798501501243E-4</v>
      </c>
      <c r="F235" s="15">
        <f>[1]Data!H238</f>
        <v>-1.8851744402737389E-2</v>
      </c>
      <c r="G235" s="16">
        <f>[1]Data!I238</f>
        <v>-4.0838967133271536E-2</v>
      </c>
      <c r="H235" s="17">
        <f t="shared" si="61"/>
        <v>1</v>
      </c>
      <c r="I235" s="18">
        <f t="shared" si="70"/>
        <v>1</v>
      </c>
      <c r="J235" s="19">
        <f t="shared" si="62"/>
        <v>2.2636409234365662E-2</v>
      </c>
      <c r="K235" s="19">
        <f t="shared" si="63"/>
        <v>0</v>
      </c>
      <c r="L235" s="19">
        <f t="shared" si="64"/>
        <v>4.2129798501501243E-4</v>
      </c>
      <c r="M235" s="19">
        <f t="shared" si="65"/>
        <v>0</v>
      </c>
      <c r="N235" s="19">
        <f t="shared" si="66"/>
        <v>-1.8851744402737389E-2</v>
      </c>
      <c r="O235" s="19">
        <f t="shared" si="67"/>
        <v>0</v>
      </c>
      <c r="P235" s="19">
        <f t="shared" si="68"/>
        <v>4.0838967133271536E-2</v>
      </c>
      <c r="Q235" s="19">
        <f t="shared" si="69"/>
        <v>0</v>
      </c>
      <c r="R235" s="19">
        <f t="shared" si="71"/>
        <v>0.67318182121056247</v>
      </c>
      <c r="S235" s="19">
        <f t="shared" si="72"/>
        <v>0.11999664153295203</v>
      </c>
      <c r="T235" s="19">
        <f t="shared" si="73"/>
        <v>-0.30072346660053167</v>
      </c>
      <c r="U235" s="19">
        <f t="shared" si="74"/>
        <v>0.73002811140500345</v>
      </c>
      <c r="V235" s="19">
        <f t="shared" si="75"/>
        <v>0.78336500769561324</v>
      </c>
      <c r="W235" s="19">
        <f t="shared" si="76"/>
        <v>-6.3331404585237894E-2</v>
      </c>
      <c r="X235" s="19">
        <f t="shared" si="77"/>
        <v>0.79932636936527968</v>
      </c>
      <c r="Y235" s="19">
        <f t="shared" si="78"/>
        <v>0.15827713372778376</v>
      </c>
      <c r="AA235" s="19">
        <f t="shared" si="79"/>
        <v>2.9001202137514248</v>
      </c>
      <c r="AB235" s="19">
        <f t="shared" si="80"/>
        <v>1.9734382109188602</v>
      </c>
    </row>
    <row r="236" spans="1:28" x14ac:dyDescent="0.25">
      <c r="A236" s="13">
        <f>[1]Data!A239</f>
        <v>44593</v>
      </c>
      <c r="B236" s="14">
        <f>[1]Data!B239</f>
        <v>-2.9961465282810056E-2</v>
      </c>
      <c r="C236" s="14">
        <f>[1]Data!C239</f>
        <v>-2.0604266682628408E-2</v>
      </c>
      <c r="D236" s="15">
        <f>[1]Data!F239</f>
        <v>1.6301219398284696E-2</v>
      </c>
      <c r="E236" s="16">
        <f>[1]Data!G239</f>
        <v>9.1934973856490493E-3</v>
      </c>
      <c r="F236" s="15">
        <f>[1]Data!H239</f>
        <v>-5.9072520587277015E-3</v>
      </c>
      <c r="G236" s="16">
        <f>[1]Data!I239</f>
        <v>-2.1985102829656576E-2</v>
      </c>
      <c r="H236" s="17">
        <f t="shared" si="61"/>
        <v>1</v>
      </c>
      <c r="I236" s="18">
        <f t="shared" si="70"/>
        <v>-1</v>
      </c>
      <c r="J236" s="19">
        <f t="shared" si="62"/>
        <v>1.6301219398284696E-2</v>
      </c>
      <c r="K236" s="19">
        <f t="shared" si="63"/>
        <v>0</v>
      </c>
      <c r="L236" s="19">
        <f t="shared" si="64"/>
        <v>-9.1934973856490493E-3</v>
      </c>
      <c r="M236" s="19">
        <f t="shared" si="65"/>
        <v>0</v>
      </c>
      <c r="N236" s="19">
        <f t="shared" si="66"/>
        <v>0</v>
      </c>
      <c r="O236" s="19">
        <f t="shared" si="67"/>
        <v>5.9072520587277015E-3</v>
      </c>
      <c r="P236" s="19">
        <f t="shared" si="68"/>
        <v>0</v>
      </c>
      <c r="Q236" s="19">
        <f t="shared" si="69"/>
        <v>-2.1985102829656576E-2</v>
      </c>
      <c r="R236" s="19">
        <f t="shared" si="71"/>
        <v>0.68948304060884713</v>
      </c>
      <c r="S236" s="19">
        <f t="shared" si="72"/>
        <v>0.11999664153295203</v>
      </c>
      <c r="T236" s="19">
        <f t="shared" si="73"/>
        <v>-0.30991696398618074</v>
      </c>
      <c r="U236" s="19">
        <f t="shared" si="74"/>
        <v>0.73002811140500345</v>
      </c>
      <c r="V236" s="19">
        <f t="shared" si="75"/>
        <v>0.78336500769561324</v>
      </c>
      <c r="W236" s="19">
        <f t="shared" si="76"/>
        <v>-5.7424152526510189E-2</v>
      </c>
      <c r="X236" s="19">
        <f t="shared" si="77"/>
        <v>0.79932636936527968</v>
      </c>
      <c r="Y236" s="19">
        <f t="shared" si="78"/>
        <v>0.13629203089812719</v>
      </c>
      <c r="AA236" s="19">
        <f t="shared" si="79"/>
        <v>2.8911500849931318</v>
      </c>
      <c r="AB236" s="19">
        <f t="shared" si="80"/>
        <v>1.9434767456360502</v>
      </c>
    </row>
    <row r="237" spans="1:28" x14ac:dyDescent="0.25">
      <c r="A237" s="13">
        <f>[1]Data!A240</f>
        <v>44621</v>
      </c>
      <c r="B237" s="14">
        <f>[1]Data!B240</f>
        <v>3.6901152909018811E-2</v>
      </c>
      <c r="C237" s="14">
        <f>[1]Data!C240</f>
        <v>8.9885063159876544E-2</v>
      </c>
      <c r="D237" s="15">
        <f>[1]Data!F240</f>
        <v>1.6182762188979259E-2</v>
      </c>
      <c r="E237" s="16">
        <f>[1]Data!G240</f>
        <v>1.3184671065982648E-2</v>
      </c>
      <c r="F237" s="15">
        <f>[1]Data!H240</f>
        <v>-4.0189359076868367E-2</v>
      </c>
      <c r="G237" s="16">
        <f>[1]Data!I240</f>
        <v>-3.6936724875798934E-3</v>
      </c>
      <c r="H237" s="17">
        <f t="shared" si="61"/>
        <v>-1</v>
      </c>
      <c r="I237" s="18">
        <f t="shared" si="70"/>
        <v>-1</v>
      </c>
      <c r="J237" s="19">
        <f t="shared" si="62"/>
        <v>0</v>
      </c>
      <c r="K237" s="19">
        <f t="shared" si="63"/>
        <v>-1.6182762188979259E-2</v>
      </c>
      <c r="L237" s="19">
        <f t="shared" si="64"/>
        <v>0</v>
      </c>
      <c r="M237" s="19">
        <f t="shared" si="65"/>
        <v>1.3184671065982648E-2</v>
      </c>
      <c r="N237" s="19">
        <f t="shared" si="66"/>
        <v>0</v>
      </c>
      <c r="O237" s="19">
        <f t="shared" si="67"/>
        <v>4.0189359076868367E-2</v>
      </c>
      <c r="P237" s="19">
        <f t="shared" si="68"/>
        <v>0</v>
      </c>
      <c r="Q237" s="19">
        <f t="shared" si="69"/>
        <v>-3.6936724875798934E-3</v>
      </c>
      <c r="R237" s="19">
        <f t="shared" si="71"/>
        <v>0.68948304060884713</v>
      </c>
      <c r="S237" s="19">
        <f t="shared" si="72"/>
        <v>0.10381387934397276</v>
      </c>
      <c r="T237" s="19">
        <f t="shared" si="73"/>
        <v>-0.30991696398618074</v>
      </c>
      <c r="U237" s="19">
        <f t="shared" si="74"/>
        <v>0.7432127824709861</v>
      </c>
      <c r="V237" s="19">
        <f t="shared" si="75"/>
        <v>0.78336500769561324</v>
      </c>
      <c r="W237" s="19">
        <f t="shared" si="76"/>
        <v>-1.7234793449641822E-2</v>
      </c>
      <c r="X237" s="19">
        <f t="shared" si="77"/>
        <v>0.79932636936527968</v>
      </c>
      <c r="Y237" s="19">
        <f t="shared" si="78"/>
        <v>0.13259835841054729</v>
      </c>
      <c r="AA237" s="19">
        <f t="shared" si="79"/>
        <v>2.9246476804594237</v>
      </c>
      <c r="AB237" s="19">
        <f t="shared" si="80"/>
        <v>1.9803778985450691</v>
      </c>
    </row>
    <row r="238" spans="1:28" x14ac:dyDescent="0.25">
      <c r="A238" s="13">
        <f>[1]Data!A241</f>
        <v>44652</v>
      </c>
      <c r="B238" s="14">
        <f>[1]Data!B241</f>
        <v>-9.1862059431613879E-2</v>
      </c>
      <c r="C238" s="14">
        <f>[1]Data!C241</f>
        <v>3.6116596232121351E-2</v>
      </c>
      <c r="D238" s="15">
        <f>[1]Data!F241</f>
        <v>-3.3509970123769106E-2</v>
      </c>
      <c r="E238" s="16">
        <f>[1]Data!G241</f>
        <v>-4.5106034144923278E-3</v>
      </c>
      <c r="F238" s="15">
        <f>[1]Data!H241</f>
        <v>-6.3748698554428338E-3</v>
      </c>
      <c r="G238" s="16">
        <f>[1]Data!I241</f>
        <v>-4.1713923872158269E-2</v>
      </c>
      <c r="H238" s="17">
        <f t="shared" si="61"/>
        <v>-1</v>
      </c>
      <c r="I238" s="18">
        <f t="shared" si="70"/>
        <v>1</v>
      </c>
      <c r="J238" s="19">
        <f t="shared" si="62"/>
        <v>0</v>
      </c>
      <c r="K238" s="19">
        <f t="shared" si="63"/>
        <v>3.3509970123769106E-2</v>
      </c>
      <c r="L238" s="19">
        <f t="shared" si="64"/>
        <v>0</v>
      </c>
      <c r="M238" s="19">
        <f t="shared" si="65"/>
        <v>-4.5106034144923278E-3</v>
      </c>
      <c r="N238" s="19">
        <f t="shared" si="66"/>
        <v>-6.3748698554428338E-3</v>
      </c>
      <c r="O238" s="19">
        <f t="shared" si="67"/>
        <v>0</v>
      </c>
      <c r="P238" s="19">
        <f t="shared" si="68"/>
        <v>4.1713923872158269E-2</v>
      </c>
      <c r="Q238" s="19">
        <f t="shared" si="69"/>
        <v>0</v>
      </c>
      <c r="R238" s="19">
        <f t="shared" si="71"/>
        <v>0.68948304060884713</v>
      </c>
      <c r="S238" s="19">
        <f t="shared" si="72"/>
        <v>0.13732384946774187</v>
      </c>
      <c r="T238" s="19">
        <f t="shared" si="73"/>
        <v>-0.30991696398618074</v>
      </c>
      <c r="U238" s="19">
        <f t="shared" si="74"/>
        <v>0.73870217905649382</v>
      </c>
      <c r="V238" s="19">
        <f t="shared" si="75"/>
        <v>0.77699013784017035</v>
      </c>
      <c r="W238" s="19">
        <f t="shared" si="76"/>
        <v>-1.7234793449641822E-2</v>
      </c>
      <c r="X238" s="19">
        <f t="shared" si="77"/>
        <v>0.8410402932374379</v>
      </c>
      <c r="Y238" s="19">
        <f t="shared" si="78"/>
        <v>0.13259835841054729</v>
      </c>
      <c r="AA238" s="19">
        <f t="shared" si="79"/>
        <v>2.9889861011854157</v>
      </c>
      <c r="AB238" s="19">
        <f t="shared" si="80"/>
        <v>1.8885158391134551</v>
      </c>
    </row>
    <row r="239" spans="1:28" x14ac:dyDescent="0.25">
      <c r="A239" s="13">
        <f>[1]Data!A242</f>
        <v>44682</v>
      </c>
      <c r="B239" s="14">
        <f>[1]Data!B242</f>
        <v>2.2547708845364368E-3</v>
      </c>
      <c r="C239" s="14">
        <f>[1]Data!C242</f>
        <v>-4.9625936824924513E-2</v>
      </c>
      <c r="D239" s="15">
        <f>[1]Data!F242</f>
        <v>5.8080529031280477E-2</v>
      </c>
      <c r="E239" s="16">
        <f>[1]Data!G242</f>
        <v>-1.6590826960377794E-2</v>
      </c>
      <c r="F239" s="15">
        <f>[1]Data!H242</f>
        <v>-1.6031069070328533E-3</v>
      </c>
      <c r="G239" s="16">
        <f>[1]Data!I242</f>
        <v>-4.7897659323441547E-2</v>
      </c>
      <c r="H239" s="17">
        <f t="shared" si="61"/>
        <v>1</v>
      </c>
      <c r="I239" s="18">
        <f t="shared" si="70"/>
        <v>1</v>
      </c>
      <c r="J239" s="19">
        <f t="shared" si="62"/>
        <v>5.8080529031280477E-2</v>
      </c>
      <c r="K239" s="19">
        <f t="shared" si="63"/>
        <v>0</v>
      </c>
      <c r="L239" s="19">
        <f t="shared" si="64"/>
        <v>1.6590826960377794E-2</v>
      </c>
      <c r="M239" s="19">
        <f t="shared" si="65"/>
        <v>0</v>
      </c>
      <c r="N239" s="19">
        <f t="shared" si="66"/>
        <v>-1.6031069070328533E-3</v>
      </c>
      <c r="O239" s="19">
        <f t="shared" si="67"/>
        <v>0</v>
      </c>
      <c r="P239" s="19">
        <f t="shared" si="68"/>
        <v>4.7897659323441547E-2</v>
      </c>
      <c r="Q239" s="19">
        <f t="shared" si="69"/>
        <v>0</v>
      </c>
      <c r="R239" s="19">
        <f t="shared" si="71"/>
        <v>0.7475635696401276</v>
      </c>
      <c r="S239" s="19">
        <f t="shared" si="72"/>
        <v>0.13732384946774187</v>
      </c>
      <c r="T239" s="19">
        <f t="shared" si="73"/>
        <v>-0.29332613702580296</v>
      </c>
      <c r="U239" s="19">
        <f t="shared" si="74"/>
        <v>0.73870217905649382</v>
      </c>
      <c r="V239" s="19">
        <f t="shared" si="75"/>
        <v>0.77538703093313754</v>
      </c>
      <c r="W239" s="19">
        <f t="shared" si="76"/>
        <v>-1.7234793449641822E-2</v>
      </c>
      <c r="X239" s="19">
        <f t="shared" si="77"/>
        <v>0.88893795256087949</v>
      </c>
      <c r="Y239" s="19">
        <f t="shared" si="78"/>
        <v>0.13259835841054729</v>
      </c>
      <c r="AA239" s="19">
        <f t="shared" si="79"/>
        <v>3.1099520095934827</v>
      </c>
      <c r="AB239" s="19">
        <f t="shared" si="80"/>
        <v>1.8907706099979915</v>
      </c>
    </row>
    <row r="240" spans="1:28" x14ac:dyDescent="0.25">
      <c r="A240" s="13">
        <f>[1]Data!A243</f>
        <v>44713</v>
      </c>
      <c r="B240" s="14">
        <f>[1]Data!B243</f>
        <v>-8.6059583848674445E-2</v>
      </c>
      <c r="C240" s="14">
        <f>[1]Data!C243</f>
        <v>-6.6284959335857985E-2</v>
      </c>
      <c r="D240" s="15">
        <f>[1]Data!F243</f>
        <v>7.6098943102592912E-3</v>
      </c>
      <c r="E240" s="16">
        <f>[1]Data!G243</f>
        <v>1.4556806555055089E-2</v>
      </c>
      <c r="F240" s="15">
        <f>[1]Data!H243</f>
        <v>6.7820448430330922E-3</v>
      </c>
      <c r="G240" s="16">
        <f>[1]Data!I243</f>
        <v>-1.0653574469724036E-2</v>
      </c>
      <c r="H240" s="17">
        <f t="shared" si="61"/>
        <v>1</v>
      </c>
      <c r="I240" s="18">
        <f t="shared" si="70"/>
        <v>-1</v>
      </c>
      <c r="J240" s="19">
        <f t="shared" si="62"/>
        <v>7.6098943102592912E-3</v>
      </c>
      <c r="K240" s="19">
        <f t="shared" si="63"/>
        <v>0</v>
      </c>
      <c r="L240" s="19">
        <f t="shared" si="64"/>
        <v>-1.4556806555055089E-2</v>
      </c>
      <c r="M240" s="19">
        <f t="shared" si="65"/>
        <v>0</v>
      </c>
      <c r="N240" s="19">
        <f t="shared" si="66"/>
        <v>0</v>
      </c>
      <c r="O240" s="19">
        <f t="shared" si="67"/>
        <v>-6.7820448430330922E-3</v>
      </c>
      <c r="P240" s="19">
        <f t="shared" si="68"/>
        <v>0</v>
      </c>
      <c r="Q240" s="19">
        <f t="shared" si="69"/>
        <v>-1.0653574469724036E-2</v>
      </c>
      <c r="R240" s="19">
        <f t="shared" si="71"/>
        <v>0.75517346395038687</v>
      </c>
      <c r="S240" s="19">
        <f t="shared" si="72"/>
        <v>0.13732384946774187</v>
      </c>
      <c r="T240" s="19">
        <f t="shared" si="73"/>
        <v>-0.30788294358085805</v>
      </c>
      <c r="U240" s="19">
        <f t="shared" si="74"/>
        <v>0.73870217905649382</v>
      </c>
      <c r="V240" s="19">
        <f t="shared" si="75"/>
        <v>0.77538703093313754</v>
      </c>
      <c r="W240" s="19">
        <f t="shared" si="76"/>
        <v>-2.4016838292674914E-2</v>
      </c>
      <c r="X240" s="19">
        <f t="shared" si="77"/>
        <v>0.88893795256087949</v>
      </c>
      <c r="Y240" s="19">
        <f t="shared" si="78"/>
        <v>0.12194478394082325</v>
      </c>
      <c r="AA240" s="19">
        <f t="shared" si="79"/>
        <v>3.08556947803593</v>
      </c>
      <c r="AB240" s="19">
        <f t="shared" si="80"/>
        <v>1.8047110261493171</v>
      </c>
    </row>
    <row r="241" spans="1:28" x14ac:dyDescent="0.25">
      <c r="A241" s="13">
        <f>[1]Data!A244</f>
        <v>44743</v>
      </c>
      <c r="B241" s="14">
        <f>[1]Data!B244</f>
        <v>8.8091124831144063E-2</v>
      </c>
      <c r="C241" s="14">
        <f>[1]Data!C244</f>
        <v>1.2693886789839605E-2</v>
      </c>
      <c r="D241" s="15">
        <f>[1]Data!F244</f>
        <v>4.1885610161670708E-2</v>
      </c>
      <c r="E241" s="16">
        <f>[1]Data!G244</f>
        <v>-9.4922099550556385E-3</v>
      </c>
      <c r="F241" s="15">
        <f>[1]Data!H244</f>
        <v>2.9822572227213E-2</v>
      </c>
      <c r="G241" s="16">
        <f>[1]Data!I244</f>
        <v>-1.886995706164055E-2</v>
      </c>
      <c r="H241" s="17">
        <f t="shared" si="61"/>
        <v>-1</v>
      </c>
      <c r="I241" s="18">
        <f t="shared" si="70"/>
        <v>-1</v>
      </c>
      <c r="J241" s="19">
        <f t="shared" si="62"/>
        <v>0</v>
      </c>
      <c r="K241" s="19">
        <f t="shared" si="63"/>
        <v>-4.1885610161670708E-2</v>
      </c>
      <c r="L241" s="19">
        <f t="shared" si="64"/>
        <v>0</v>
      </c>
      <c r="M241" s="19">
        <f t="shared" si="65"/>
        <v>-9.4922099550556385E-3</v>
      </c>
      <c r="N241" s="19">
        <f t="shared" si="66"/>
        <v>0</v>
      </c>
      <c r="O241" s="19">
        <f t="shared" si="67"/>
        <v>-2.9822572227213E-2</v>
      </c>
      <c r="P241" s="19">
        <f t="shared" si="68"/>
        <v>0</v>
      </c>
      <c r="Q241" s="19">
        <f t="shared" si="69"/>
        <v>-1.886995706164055E-2</v>
      </c>
      <c r="R241" s="19">
        <f t="shared" si="71"/>
        <v>0.75517346395038687</v>
      </c>
      <c r="S241" s="19">
        <f t="shared" si="72"/>
        <v>9.5438239306071163E-2</v>
      </c>
      <c r="T241" s="19">
        <f t="shared" si="73"/>
        <v>-0.30788294358085805</v>
      </c>
      <c r="U241" s="19">
        <f t="shared" si="74"/>
        <v>0.7292099691014382</v>
      </c>
      <c r="V241" s="19">
        <f t="shared" si="75"/>
        <v>0.77538703093313754</v>
      </c>
      <c r="W241" s="19">
        <f t="shared" si="76"/>
        <v>-5.3839410519887915E-2</v>
      </c>
      <c r="X241" s="19">
        <f t="shared" si="77"/>
        <v>0.88893795256087949</v>
      </c>
      <c r="Y241" s="19">
        <f t="shared" si="78"/>
        <v>0.10307482687918271</v>
      </c>
      <c r="AA241" s="19">
        <f t="shared" si="79"/>
        <v>2.9854991286303503</v>
      </c>
      <c r="AB241" s="19">
        <f t="shared" si="80"/>
        <v>1.8928021509804611</v>
      </c>
    </row>
    <row r="242" spans="1:28" x14ac:dyDescent="0.25">
      <c r="A242" s="13">
        <f>[1]Data!A245</f>
        <v>44774</v>
      </c>
      <c r="B242" s="14">
        <f>[1]Data!B245</f>
        <v>-4.1657799857286626E-2</v>
      </c>
      <c r="C242" s="14">
        <f>[1]Data!C245</f>
        <v>6.062324073068464E-2</v>
      </c>
      <c r="D242" s="15">
        <f>[1]Data!F245</f>
        <v>-6.5995677701862043E-2</v>
      </c>
      <c r="E242" s="16">
        <f>[1]Data!G245</f>
        <v>-1.0315013568283377E-2</v>
      </c>
      <c r="F242" s="15">
        <f>[1]Data!H245</f>
        <v>3.5858619216959159E-3</v>
      </c>
      <c r="G242" s="16">
        <f>[1]Data!I245</f>
        <v>-6.3932624235382499E-3</v>
      </c>
      <c r="H242" s="17">
        <f t="shared" si="61"/>
        <v>-1</v>
      </c>
      <c r="I242" s="18">
        <f t="shared" si="70"/>
        <v>1</v>
      </c>
      <c r="J242" s="19">
        <f t="shared" si="62"/>
        <v>0</v>
      </c>
      <c r="K242" s="19">
        <f t="shared" si="63"/>
        <v>6.5995677701862043E-2</v>
      </c>
      <c r="L242" s="19">
        <f t="shared" si="64"/>
        <v>0</v>
      </c>
      <c r="M242" s="19">
        <f t="shared" si="65"/>
        <v>-1.0315013568283377E-2</v>
      </c>
      <c r="N242" s="19">
        <f t="shared" si="66"/>
        <v>3.5858619216959159E-3</v>
      </c>
      <c r="O242" s="19">
        <f t="shared" si="67"/>
        <v>0</v>
      </c>
      <c r="P242" s="19">
        <f t="shared" si="68"/>
        <v>6.3932624235382499E-3</v>
      </c>
      <c r="Q242" s="19">
        <f t="shared" si="69"/>
        <v>0</v>
      </c>
      <c r="R242" s="19">
        <f t="shared" si="71"/>
        <v>0.75517346395038687</v>
      </c>
      <c r="S242" s="19">
        <f t="shared" si="72"/>
        <v>0.16143391700793319</v>
      </c>
      <c r="T242" s="19">
        <f t="shared" si="73"/>
        <v>-0.30788294358085805</v>
      </c>
      <c r="U242" s="19">
        <f t="shared" si="74"/>
        <v>0.71889495553315486</v>
      </c>
      <c r="V242" s="19">
        <f t="shared" si="75"/>
        <v>0.77897289285483351</v>
      </c>
      <c r="W242" s="19">
        <f t="shared" si="76"/>
        <v>-5.3839410519887915E-2</v>
      </c>
      <c r="X242" s="19">
        <f t="shared" si="77"/>
        <v>0.8953312149844177</v>
      </c>
      <c r="Y242" s="19">
        <f t="shared" si="78"/>
        <v>0.10307482687918271</v>
      </c>
      <c r="AA242" s="19">
        <f t="shared" si="79"/>
        <v>3.0511589171091633</v>
      </c>
      <c r="AB242" s="19">
        <f t="shared" si="80"/>
        <v>1.8511443511231744</v>
      </c>
    </row>
    <row r="243" spans="1:28" x14ac:dyDescent="0.25">
      <c r="A243" s="13">
        <f>[1]Data!A246</f>
        <v>44805</v>
      </c>
      <c r="B243" s="14">
        <f>[1]Data!B246</f>
        <v>-9.7002169996013396E-2</v>
      </c>
      <c r="C243" s="14">
        <f>[1]Data!C246</f>
        <v>8.3886388646190434E-3</v>
      </c>
      <c r="D243" s="15">
        <f>[1]Data!F246</f>
        <v>-4.6603959657814595E-2</v>
      </c>
      <c r="E243" s="16">
        <f>[1]Data!G246</f>
        <v>-2.7153218540924524E-2</v>
      </c>
      <c r="F243" s="15">
        <f>[1]Data!H246</f>
        <v>1.3072733488800007E-2</v>
      </c>
      <c r="G243" s="16">
        <f>[1]Data!I246</f>
        <v>-3.2535810818751787E-2</v>
      </c>
      <c r="H243" s="17">
        <f t="shared" si="61"/>
        <v>-1</v>
      </c>
      <c r="I243" s="18">
        <f t="shared" si="70"/>
        <v>1</v>
      </c>
      <c r="J243" s="19">
        <f t="shared" si="62"/>
        <v>0</v>
      </c>
      <c r="K243" s="19">
        <f t="shared" si="63"/>
        <v>4.6603959657814595E-2</v>
      </c>
      <c r="L243" s="19">
        <f t="shared" si="64"/>
        <v>0</v>
      </c>
      <c r="M243" s="19">
        <f t="shared" si="65"/>
        <v>-2.7153218540924524E-2</v>
      </c>
      <c r="N243" s="19">
        <f t="shared" si="66"/>
        <v>1.3072733488800007E-2</v>
      </c>
      <c r="O243" s="19">
        <f t="shared" si="67"/>
        <v>0</v>
      </c>
      <c r="P243" s="19">
        <f t="shared" si="68"/>
        <v>3.2535810818751787E-2</v>
      </c>
      <c r="Q243" s="19">
        <f t="shared" si="69"/>
        <v>0</v>
      </c>
      <c r="R243" s="19">
        <f t="shared" si="71"/>
        <v>0.75517346395038687</v>
      </c>
      <c r="S243" s="19">
        <f t="shared" si="72"/>
        <v>0.2080378766657478</v>
      </c>
      <c r="T243" s="19">
        <f t="shared" si="73"/>
        <v>-0.30788294358085805</v>
      </c>
      <c r="U243" s="19">
        <f t="shared" si="74"/>
        <v>0.69174173699223029</v>
      </c>
      <c r="V243" s="19">
        <f t="shared" si="75"/>
        <v>0.79204562634363351</v>
      </c>
      <c r="W243" s="19">
        <f t="shared" si="76"/>
        <v>-5.3839410519887915E-2</v>
      </c>
      <c r="X243" s="19">
        <f t="shared" si="77"/>
        <v>0.92786702580316949</v>
      </c>
      <c r="Y243" s="19">
        <f t="shared" si="78"/>
        <v>0.10307482687918271</v>
      </c>
      <c r="AA243" s="19">
        <f t="shared" si="79"/>
        <v>3.1162182025336054</v>
      </c>
      <c r="AB243" s="19">
        <f t="shared" si="80"/>
        <v>1.7541421811271611</v>
      </c>
    </row>
    <row r="244" spans="1:28" x14ac:dyDescent="0.25">
      <c r="A244" s="13">
        <f>[1]Data!A247</f>
        <v>44835</v>
      </c>
      <c r="B244" s="14">
        <f>[1]Data!B247</f>
        <v>7.8141380151404344E-2</v>
      </c>
      <c r="C244" s="14">
        <f>[1]Data!C247</f>
        <v>0.13935565166982827</v>
      </c>
      <c r="D244" s="15">
        <f>[1]Data!F247</f>
        <v>3.1350248517966972E-2</v>
      </c>
      <c r="E244" s="16">
        <f>[1]Data!G247</f>
        <v>3.1067135403424123E-2</v>
      </c>
      <c r="F244" s="15">
        <f>[1]Data!H247</f>
        <v>1.5584465585531511E-2</v>
      </c>
      <c r="G244" s="16">
        <f>[1]Data!I247</f>
        <v>-1.1968878114308447E-2</v>
      </c>
      <c r="H244" s="17">
        <f t="shared" si="61"/>
        <v>-1</v>
      </c>
      <c r="I244" s="18">
        <f t="shared" si="70"/>
        <v>1</v>
      </c>
      <c r="J244" s="19">
        <f t="shared" si="62"/>
        <v>0</v>
      </c>
      <c r="K244" s="19">
        <f t="shared" si="63"/>
        <v>-3.1350248517966972E-2</v>
      </c>
      <c r="L244" s="19">
        <f t="shared" si="64"/>
        <v>0</v>
      </c>
      <c r="M244" s="19">
        <f t="shared" si="65"/>
        <v>3.1067135403424123E-2</v>
      </c>
      <c r="N244" s="19">
        <f t="shared" si="66"/>
        <v>1.5584465585531511E-2</v>
      </c>
      <c r="O244" s="19">
        <f t="shared" si="67"/>
        <v>0</v>
      </c>
      <c r="P244" s="19">
        <f t="shared" si="68"/>
        <v>1.1968878114308447E-2</v>
      </c>
      <c r="Q244" s="19">
        <f t="shared" si="69"/>
        <v>0</v>
      </c>
      <c r="R244" s="19">
        <f t="shared" si="71"/>
        <v>0.75517346395038687</v>
      </c>
      <c r="S244" s="19">
        <f t="shared" si="72"/>
        <v>0.17668762814778083</v>
      </c>
      <c r="T244" s="19">
        <f t="shared" si="73"/>
        <v>-0.30788294358085805</v>
      </c>
      <c r="U244" s="19">
        <f t="shared" si="74"/>
        <v>0.72280887239565439</v>
      </c>
      <c r="V244" s="19">
        <f t="shared" si="75"/>
        <v>0.80763009192916502</v>
      </c>
      <c r="W244" s="19">
        <f t="shared" si="76"/>
        <v>-5.3839410519887915E-2</v>
      </c>
      <c r="X244" s="19">
        <f t="shared" si="77"/>
        <v>0.93983590391747796</v>
      </c>
      <c r="Y244" s="19">
        <f t="shared" si="78"/>
        <v>0.10307482687918271</v>
      </c>
      <c r="AA244" s="19">
        <f t="shared" si="79"/>
        <v>3.1434884331189026</v>
      </c>
      <c r="AB244" s="19">
        <f t="shared" si="80"/>
        <v>1.8322835612785655</v>
      </c>
    </row>
    <row r="245" spans="1:28" x14ac:dyDescent="0.25">
      <c r="A245" s="13">
        <f>[1]Data!A248</f>
        <v>44866</v>
      </c>
      <c r="B245" s="14">
        <f>[1]Data!B248</f>
        <v>5.4101386552727962E-2</v>
      </c>
      <c r="C245" s="14">
        <f>[1]Data!C248</f>
        <v>-2.1269418729255508E-2</v>
      </c>
      <c r="D245" s="15">
        <f>[1]Data!F248</f>
        <v>3.2635390949806997E-2</v>
      </c>
      <c r="E245" s="16">
        <f>[1]Data!G248</f>
        <v>2.6334171503575893E-2</v>
      </c>
      <c r="F245" s="15">
        <f>[1]Data!H248</f>
        <v>-1.6341383721180588E-2</v>
      </c>
      <c r="G245" s="16">
        <f>[1]Data!I248</f>
        <v>-2.7428896165786927E-2</v>
      </c>
      <c r="H245" s="17">
        <f t="shared" si="61"/>
        <v>1</v>
      </c>
      <c r="I245" s="18">
        <f t="shared" si="70"/>
        <v>1</v>
      </c>
      <c r="J245" s="19">
        <f t="shared" si="62"/>
        <v>3.2635390949806997E-2</v>
      </c>
      <c r="K245" s="19">
        <f t="shared" si="63"/>
        <v>0</v>
      </c>
      <c r="L245" s="19">
        <f t="shared" si="64"/>
        <v>-2.6334171503575893E-2</v>
      </c>
      <c r="M245" s="19">
        <f t="shared" si="65"/>
        <v>0</v>
      </c>
      <c r="N245" s="19">
        <f t="shared" si="66"/>
        <v>-1.6341383721180588E-2</v>
      </c>
      <c r="O245" s="19">
        <f t="shared" si="67"/>
        <v>0</v>
      </c>
      <c r="P245" s="19">
        <f t="shared" si="68"/>
        <v>2.7428896165786927E-2</v>
      </c>
      <c r="Q245" s="19">
        <f t="shared" si="69"/>
        <v>0</v>
      </c>
      <c r="R245" s="19">
        <f t="shared" si="71"/>
        <v>0.78780885490019381</v>
      </c>
      <c r="S245" s="19">
        <f t="shared" si="72"/>
        <v>0.17668762814778083</v>
      </c>
      <c r="T245" s="19">
        <f t="shared" si="73"/>
        <v>-0.33421711508443397</v>
      </c>
      <c r="U245" s="19">
        <f t="shared" si="74"/>
        <v>0.72280887239565439</v>
      </c>
      <c r="V245" s="19">
        <f t="shared" si="75"/>
        <v>0.79128870820798447</v>
      </c>
      <c r="W245" s="19">
        <f t="shared" si="76"/>
        <v>-5.3839410519887915E-2</v>
      </c>
      <c r="X245" s="19">
        <f t="shared" si="77"/>
        <v>0.96726480008326488</v>
      </c>
      <c r="Y245" s="19">
        <f t="shared" si="78"/>
        <v>0.10307482687918271</v>
      </c>
      <c r="AA245" s="19">
        <f t="shared" si="79"/>
        <v>3.1608771650097398</v>
      </c>
      <c r="AB245" s="19">
        <f t="shared" si="80"/>
        <v>1.8863849478312935</v>
      </c>
    </row>
    <row r="246" spans="1:28" x14ac:dyDescent="0.25">
      <c r="A246" s="13">
        <f>[1]Data!A249</f>
        <v>44896</v>
      </c>
      <c r="B246" s="14">
        <f>[1]Data!B249</f>
        <v>-5.9355424807020774E-2</v>
      </c>
      <c r="C246" s="14">
        <f>[1]Data!C249</f>
        <v>-6.3660020850272947E-2</v>
      </c>
      <c r="D246" s="15">
        <f>[1]Data!F249</f>
        <v>-9.8873564368634689E-3</v>
      </c>
      <c r="E246" s="16">
        <f>[1]Data!G249</f>
        <v>-4.0741727636447671E-2</v>
      </c>
      <c r="F246" s="15">
        <f>[1]Data!H249</f>
        <v>-3.6265950376248794E-2</v>
      </c>
      <c r="G246" s="16">
        <f>[1]Data!I249</f>
        <v>6.592438389733847E-2</v>
      </c>
      <c r="H246" s="17">
        <f t="shared" si="61"/>
        <v>1</v>
      </c>
      <c r="I246" s="18">
        <f t="shared" si="70"/>
        <v>-1</v>
      </c>
      <c r="J246" s="19">
        <f t="shared" si="62"/>
        <v>-9.8873564368634689E-3</v>
      </c>
      <c r="K246" s="19">
        <f t="shared" si="63"/>
        <v>0</v>
      </c>
      <c r="L246" s="19">
        <f t="shared" si="64"/>
        <v>4.0741727636447671E-2</v>
      </c>
      <c r="M246" s="19">
        <f t="shared" si="65"/>
        <v>0</v>
      </c>
      <c r="N246" s="19">
        <f t="shared" si="66"/>
        <v>0</v>
      </c>
      <c r="O246" s="19">
        <f t="shared" si="67"/>
        <v>3.6265950376248794E-2</v>
      </c>
      <c r="P246" s="19">
        <f t="shared" si="68"/>
        <v>0</v>
      </c>
      <c r="Q246" s="19">
        <f t="shared" si="69"/>
        <v>6.592438389733847E-2</v>
      </c>
      <c r="R246" s="19">
        <f t="shared" si="71"/>
        <v>0.77792149846333036</v>
      </c>
      <c r="S246" s="19">
        <f t="shared" si="72"/>
        <v>0.17668762814778083</v>
      </c>
      <c r="T246" s="19">
        <f t="shared" si="73"/>
        <v>-0.29347538744798629</v>
      </c>
      <c r="U246" s="19">
        <f t="shared" si="74"/>
        <v>0.72280887239565439</v>
      </c>
      <c r="V246" s="19">
        <f t="shared" si="75"/>
        <v>0.79128870820798447</v>
      </c>
      <c r="W246" s="19">
        <f t="shared" si="76"/>
        <v>-1.7573460143639121E-2</v>
      </c>
      <c r="X246" s="19">
        <f t="shared" si="77"/>
        <v>0.96726480008326488</v>
      </c>
      <c r="Y246" s="19">
        <f t="shared" si="78"/>
        <v>0.16899921077652119</v>
      </c>
      <c r="AA246" s="19">
        <f t="shared" si="79"/>
        <v>3.2939218704829112</v>
      </c>
      <c r="AB246" s="19">
        <f t="shared" si="80"/>
        <v>1.8270295230242728</v>
      </c>
    </row>
    <row r="247" spans="1:28" x14ac:dyDescent="0.25">
      <c r="A247" s="13">
        <f>[1]Data!A250</f>
        <v>44927</v>
      </c>
      <c r="B247" s="14">
        <f>[1]Data!B250</f>
        <v>6.0989042987148877E-2</v>
      </c>
      <c r="C247" s="14">
        <f>[1]Data!C250</f>
        <v>-2.8703901397100898E-2</v>
      </c>
      <c r="D247" s="15">
        <f>[1]Data!F250</f>
        <v>1.5570332348981508E-2</v>
      </c>
      <c r="E247" s="16">
        <f>[1]Data!G250</f>
        <v>-4.6658610633868586E-4</v>
      </c>
      <c r="F247" s="15">
        <f>[1]Data!H250</f>
        <v>1.4098805850262989E-2</v>
      </c>
      <c r="G247" s="16">
        <f>[1]Data!I250</f>
        <v>6.0223087445092256E-2</v>
      </c>
      <c r="H247" s="17">
        <f t="shared" si="61"/>
        <v>1</v>
      </c>
      <c r="I247" s="18">
        <f t="shared" si="70"/>
        <v>-1</v>
      </c>
      <c r="J247" s="19">
        <f t="shared" si="62"/>
        <v>1.5570332348981508E-2</v>
      </c>
      <c r="K247" s="19">
        <f t="shared" si="63"/>
        <v>0</v>
      </c>
      <c r="L247" s="19">
        <f t="shared" si="64"/>
        <v>4.6658610633868586E-4</v>
      </c>
      <c r="M247" s="19">
        <f t="shared" si="65"/>
        <v>0</v>
      </c>
      <c r="N247" s="19">
        <f t="shared" si="66"/>
        <v>0</v>
      </c>
      <c r="O247" s="19">
        <f t="shared" si="67"/>
        <v>-1.4098805850262989E-2</v>
      </c>
      <c r="P247" s="19">
        <f t="shared" si="68"/>
        <v>0</v>
      </c>
      <c r="Q247" s="19">
        <f t="shared" si="69"/>
        <v>6.0223087445092256E-2</v>
      </c>
      <c r="R247" s="19">
        <f t="shared" si="71"/>
        <v>0.79349183081231189</v>
      </c>
      <c r="S247" s="19">
        <f t="shared" si="72"/>
        <v>0.17668762814778083</v>
      </c>
      <c r="T247" s="19">
        <f t="shared" si="73"/>
        <v>-0.29300880134164758</v>
      </c>
      <c r="U247" s="19">
        <f t="shared" si="74"/>
        <v>0.72280887239565439</v>
      </c>
      <c r="V247" s="19">
        <f t="shared" si="75"/>
        <v>0.79128870820798447</v>
      </c>
      <c r="W247" s="19">
        <f t="shared" si="76"/>
        <v>-3.1672265993902111E-2</v>
      </c>
      <c r="X247" s="19">
        <f t="shared" si="77"/>
        <v>0.96726480008326488</v>
      </c>
      <c r="Y247" s="19">
        <f t="shared" si="78"/>
        <v>0.22922229822161344</v>
      </c>
      <c r="AA247" s="19">
        <f t="shared" si="79"/>
        <v>3.3560830705330607</v>
      </c>
      <c r="AB247" s="19">
        <f t="shared" si="80"/>
        <v>1.8880185660114217</v>
      </c>
    </row>
    <row r="248" spans="1:28" x14ac:dyDescent="0.25">
      <c r="A248" s="13">
        <f>[1]Data!A251</f>
        <v>44958</v>
      </c>
      <c r="B248" s="14">
        <f>[1]Data!B251</f>
        <v>-2.5464125557989256E-2</v>
      </c>
      <c r="C248" s="14">
        <f>[1]Data!C251</f>
        <v>3.393514641699949E-2</v>
      </c>
      <c r="D248" s="15">
        <f>[1]Data!F251</f>
        <v>-5.7373839170864645E-3</v>
      </c>
      <c r="E248" s="16">
        <f>[1]Data!G251</f>
        <v>3.9404879804261807E-3</v>
      </c>
      <c r="F248" s="15">
        <f>[1]Data!H251</f>
        <v>2.120154946171568E-2</v>
      </c>
      <c r="G248" s="16">
        <f>[1]Data!I251</f>
        <v>-1.7315227024552043E-2</v>
      </c>
      <c r="H248" s="17">
        <f t="shared" si="61"/>
        <v>-1</v>
      </c>
      <c r="I248" s="18">
        <f t="shared" si="70"/>
        <v>-1</v>
      </c>
      <c r="J248" s="19">
        <f t="shared" si="62"/>
        <v>0</v>
      </c>
      <c r="K248" s="19">
        <f t="shared" si="63"/>
        <v>5.7373839170864645E-3</v>
      </c>
      <c r="L248" s="19">
        <f t="shared" si="64"/>
        <v>0</v>
      </c>
      <c r="M248" s="19">
        <f t="shared" si="65"/>
        <v>3.9404879804261807E-3</v>
      </c>
      <c r="N248" s="19">
        <f t="shared" si="66"/>
        <v>0</v>
      </c>
      <c r="O248" s="19">
        <f t="shared" si="67"/>
        <v>-2.120154946171568E-2</v>
      </c>
      <c r="P248" s="19">
        <f t="shared" si="68"/>
        <v>0</v>
      </c>
      <c r="Q248" s="19">
        <f t="shared" si="69"/>
        <v>-1.7315227024552043E-2</v>
      </c>
      <c r="R248" s="19">
        <f t="shared" si="71"/>
        <v>0.79349183081231189</v>
      </c>
      <c r="S248" s="19">
        <f t="shared" si="72"/>
        <v>0.1824250120648673</v>
      </c>
      <c r="T248" s="19">
        <f t="shared" si="73"/>
        <v>-0.29300880134164758</v>
      </c>
      <c r="U248" s="19">
        <f t="shared" si="74"/>
        <v>0.72674936037608062</v>
      </c>
      <c r="V248" s="19">
        <f t="shared" si="75"/>
        <v>0.79128870820798447</v>
      </c>
      <c r="W248" s="19">
        <f t="shared" si="76"/>
        <v>-5.2873815455617791E-2</v>
      </c>
      <c r="X248" s="19">
        <f t="shared" si="77"/>
        <v>0.96726480008326488</v>
      </c>
      <c r="Y248" s="19">
        <f t="shared" si="78"/>
        <v>0.2119070711970614</v>
      </c>
      <c r="AA248" s="19">
        <f t="shared" si="79"/>
        <v>3.3272441659443057</v>
      </c>
      <c r="AB248" s="19">
        <f t="shared" si="80"/>
        <v>1.8625544404534324</v>
      </c>
    </row>
    <row r="249" spans="1:28" x14ac:dyDescent="0.25">
      <c r="A249" s="13">
        <f>[1]Data!A252</f>
        <v>44986</v>
      </c>
      <c r="B249" s="14">
        <f>[1]Data!B252</f>
        <v>3.640694729499569E-2</v>
      </c>
      <c r="C249" s="14">
        <f>[1]Data!C252</f>
        <v>-2.3821380612611725E-2</v>
      </c>
      <c r="D249" s="15">
        <f>[1]Data!F252</f>
        <v>2.5932478440488804E-2</v>
      </c>
      <c r="E249" s="16">
        <f>[1]Data!G252</f>
        <v>1.296305279039766E-2</v>
      </c>
      <c r="F249" s="15">
        <f>[1]Data!H252</f>
        <v>5.0595579084371876E-3</v>
      </c>
      <c r="G249" s="16">
        <f>[1]Data!I252</f>
        <v>2.5590878126626132E-3</v>
      </c>
      <c r="H249" s="17">
        <f t="shared" si="61"/>
        <v>1</v>
      </c>
      <c r="I249" s="18">
        <f t="shared" si="70"/>
        <v>1</v>
      </c>
      <c r="J249" s="19">
        <f t="shared" si="62"/>
        <v>2.5932478440488804E-2</v>
      </c>
      <c r="K249" s="19">
        <f t="shared" si="63"/>
        <v>0</v>
      </c>
      <c r="L249" s="19">
        <f t="shared" si="64"/>
        <v>-1.296305279039766E-2</v>
      </c>
      <c r="M249" s="19">
        <f t="shared" si="65"/>
        <v>0</v>
      </c>
      <c r="N249" s="19">
        <f t="shared" si="66"/>
        <v>5.0595579084371876E-3</v>
      </c>
      <c r="O249" s="19">
        <f t="shared" si="67"/>
        <v>0</v>
      </c>
      <c r="P249" s="19">
        <f t="shared" si="68"/>
        <v>-2.5590878126626132E-3</v>
      </c>
      <c r="Q249" s="19">
        <f t="shared" si="69"/>
        <v>0</v>
      </c>
      <c r="R249" s="19">
        <f t="shared" si="71"/>
        <v>0.81942430925280074</v>
      </c>
      <c r="S249" s="19">
        <f t="shared" si="72"/>
        <v>0.1824250120648673</v>
      </c>
      <c r="T249" s="19">
        <f t="shared" si="73"/>
        <v>-0.30597185413204525</v>
      </c>
      <c r="U249" s="19">
        <f t="shared" si="74"/>
        <v>0.72674936037608062</v>
      </c>
      <c r="V249" s="19">
        <f t="shared" si="75"/>
        <v>0.79634826611642162</v>
      </c>
      <c r="W249" s="19">
        <f t="shared" si="76"/>
        <v>-5.2873815455617791E-2</v>
      </c>
      <c r="X249" s="19">
        <f t="shared" si="77"/>
        <v>0.96470571227060231</v>
      </c>
      <c r="Y249" s="19">
        <f t="shared" si="78"/>
        <v>0.2119070711970614</v>
      </c>
      <c r="AA249" s="19">
        <f t="shared" si="79"/>
        <v>3.3427140616901716</v>
      </c>
      <c r="AB249" s="19">
        <f t="shared" si="80"/>
        <v>1.8989613877484282</v>
      </c>
    </row>
    <row r="250" spans="1:28" x14ac:dyDescent="0.25">
      <c r="A250" s="13">
        <f>[1]Data!A253</f>
        <v>45017</v>
      </c>
      <c r="B250" s="14">
        <f>[1]Data!B253</f>
        <v>1.58486521482058E-2</v>
      </c>
      <c r="C250" s="14">
        <f>[1]Data!C253</f>
        <v>1.4416909340226054E-2</v>
      </c>
      <c r="D250" s="15">
        <f>[1]Data!F253</f>
        <v>7.9656680460839097E-3</v>
      </c>
      <c r="E250" s="16">
        <f>[1]Data!G253</f>
        <v>9.9117768762516031E-3</v>
      </c>
      <c r="F250" s="15">
        <f>[1]Data!H253</f>
        <v>5.3723531069235515E-4</v>
      </c>
      <c r="G250" s="16">
        <f>[1]Data!I253</f>
        <v>6.3793332121780538E-3</v>
      </c>
      <c r="H250" s="17">
        <f t="shared" si="61"/>
        <v>-1</v>
      </c>
      <c r="I250" s="18">
        <f t="shared" si="70"/>
        <v>-1</v>
      </c>
      <c r="J250" s="19">
        <f t="shared" si="62"/>
        <v>0</v>
      </c>
      <c r="K250" s="19">
        <f t="shared" si="63"/>
        <v>-7.9656680460839097E-3</v>
      </c>
      <c r="L250" s="19">
        <f t="shared" si="64"/>
        <v>0</v>
      </c>
      <c r="M250" s="19">
        <f t="shared" si="65"/>
        <v>9.9117768762516031E-3</v>
      </c>
      <c r="N250" s="19">
        <f t="shared" si="66"/>
        <v>0</v>
      </c>
      <c r="O250" s="19">
        <f t="shared" si="67"/>
        <v>-5.3723531069235515E-4</v>
      </c>
      <c r="P250" s="19">
        <f t="shared" si="68"/>
        <v>0</v>
      </c>
      <c r="Q250" s="19">
        <f t="shared" si="69"/>
        <v>6.3793332121780538E-3</v>
      </c>
      <c r="R250" s="19">
        <f t="shared" si="71"/>
        <v>0.81942430925280074</v>
      </c>
      <c r="S250" s="19">
        <f t="shared" si="72"/>
        <v>0.17445934401878338</v>
      </c>
      <c r="T250" s="19">
        <f t="shared" si="73"/>
        <v>-0.30597185413204525</v>
      </c>
      <c r="U250" s="19">
        <f t="shared" si="74"/>
        <v>0.73666113725233218</v>
      </c>
      <c r="V250" s="19">
        <f t="shared" si="75"/>
        <v>0.79634826611642162</v>
      </c>
      <c r="W250" s="19">
        <f t="shared" si="76"/>
        <v>-5.3411050766310149E-2</v>
      </c>
      <c r="X250" s="19">
        <f t="shared" si="77"/>
        <v>0.96470571227060231</v>
      </c>
      <c r="Y250" s="19">
        <f t="shared" si="78"/>
        <v>0.21828640440923947</v>
      </c>
      <c r="AA250" s="19">
        <f t="shared" si="79"/>
        <v>3.3505022684218249</v>
      </c>
      <c r="AB250" s="19">
        <f t="shared" si="80"/>
        <v>1.9148100398966339</v>
      </c>
    </row>
    <row r="251" spans="1:28" x14ac:dyDescent="0.25">
      <c r="A251" s="13">
        <f>[1]Data!A254</f>
        <v>45047</v>
      </c>
      <c r="B251" s="14">
        <f>[1]Data!B254</f>
        <v>4.6056456231339778E-3</v>
      </c>
      <c r="C251" s="14">
        <f>[1]Data!C254</f>
        <v>5.558518579025535E-2</v>
      </c>
      <c r="D251" s="15">
        <f>[1]Data!F254</f>
        <v>-1.8409776175125152E-3</v>
      </c>
      <c r="E251" s="16">
        <f>[1]Data!G254</f>
        <v>1.8521673682312632E-2</v>
      </c>
      <c r="F251" s="15">
        <f>[1]Data!H254</f>
        <v>-7.9656680460839582E-3</v>
      </c>
      <c r="G251" s="16">
        <f>[1]Data!I254</f>
        <v>-1.233665227295235E-2</v>
      </c>
      <c r="H251" s="17">
        <f t="shared" si="61"/>
        <v>-1</v>
      </c>
      <c r="I251" s="18">
        <f t="shared" si="70"/>
        <v>1</v>
      </c>
      <c r="J251" s="19">
        <f t="shared" si="62"/>
        <v>0</v>
      </c>
      <c r="K251" s="19">
        <f t="shared" si="63"/>
        <v>1.8409776175125152E-3</v>
      </c>
      <c r="L251" s="19">
        <f t="shared" si="64"/>
        <v>0</v>
      </c>
      <c r="M251" s="19">
        <f t="shared" si="65"/>
        <v>1.8521673682312632E-2</v>
      </c>
      <c r="N251" s="19">
        <f t="shared" si="66"/>
        <v>-7.9656680460839582E-3</v>
      </c>
      <c r="O251" s="19">
        <f t="shared" si="67"/>
        <v>0</v>
      </c>
      <c r="P251" s="19">
        <f t="shared" si="68"/>
        <v>1.233665227295235E-2</v>
      </c>
      <c r="Q251" s="19">
        <f t="shared" si="69"/>
        <v>0</v>
      </c>
      <c r="R251" s="19">
        <f t="shared" si="71"/>
        <v>0.81942430925280074</v>
      </c>
      <c r="S251" s="19">
        <f t="shared" si="72"/>
        <v>0.17630032163629589</v>
      </c>
      <c r="T251" s="19">
        <f t="shared" si="73"/>
        <v>-0.30597185413204525</v>
      </c>
      <c r="U251" s="19">
        <f t="shared" si="74"/>
        <v>0.75518281093464479</v>
      </c>
      <c r="V251" s="19">
        <f t="shared" si="75"/>
        <v>0.78838259807033761</v>
      </c>
      <c r="W251" s="19">
        <f t="shared" si="76"/>
        <v>-5.3411050766310149E-2</v>
      </c>
      <c r="X251" s="19">
        <f t="shared" si="77"/>
        <v>0.97704236454355464</v>
      </c>
      <c r="Y251" s="19">
        <f t="shared" si="78"/>
        <v>0.21828640440923947</v>
      </c>
      <c r="AA251" s="19">
        <f t="shared" si="79"/>
        <v>3.3752359039485182</v>
      </c>
      <c r="AB251" s="19">
        <f t="shared" si="80"/>
        <v>1.9194156855197679</v>
      </c>
    </row>
    <row r="252" spans="1:28" x14ac:dyDescent="0.25">
      <c r="A252" s="13">
        <f>[1]Data!A255</f>
        <v>45078</v>
      </c>
      <c r="B252" s="14">
        <f>[1]Data!B255</f>
        <v>6.2786786809685191E-2</v>
      </c>
      <c r="C252" s="14">
        <f>[1]Data!C255</f>
        <v>5.1366834277172271E-2</v>
      </c>
      <c r="D252" s="15">
        <f>[1]Data!F255</f>
        <v>1.539028211431351E-2</v>
      </c>
      <c r="E252" s="16">
        <f>[1]Data!G255</f>
        <v>6.1389511311554651E-3</v>
      </c>
      <c r="F252" s="15">
        <f>[1]Data!H255</f>
        <v>2.0607024806775186E-2</v>
      </c>
      <c r="G252" s="16">
        <f>[1]Data!I255</f>
        <v>-1.8046065467901554E-2</v>
      </c>
      <c r="H252" s="17">
        <f t="shared" si="61"/>
        <v>-1</v>
      </c>
      <c r="I252" s="18">
        <f t="shared" si="70"/>
        <v>1</v>
      </c>
      <c r="J252" s="19">
        <f t="shared" si="62"/>
        <v>0</v>
      </c>
      <c r="K252" s="19">
        <f t="shared" si="63"/>
        <v>-1.539028211431351E-2</v>
      </c>
      <c r="L252" s="19">
        <f t="shared" si="64"/>
        <v>0</v>
      </c>
      <c r="M252" s="19">
        <f t="shared" si="65"/>
        <v>6.1389511311554651E-3</v>
      </c>
      <c r="N252" s="19">
        <f t="shared" si="66"/>
        <v>2.0607024806775186E-2</v>
      </c>
      <c r="O252" s="19">
        <f t="shared" si="67"/>
        <v>0</v>
      </c>
      <c r="P252" s="19">
        <f t="shared" si="68"/>
        <v>1.8046065467901554E-2</v>
      </c>
      <c r="Q252" s="19">
        <f t="shared" si="69"/>
        <v>0</v>
      </c>
      <c r="R252" s="19">
        <f t="shared" si="71"/>
        <v>0.81942430925280074</v>
      </c>
      <c r="S252" s="19">
        <f t="shared" si="72"/>
        <v>0.16091003952198238</v>
      </c>
      <c r="T252" s="19">
        <f t="shared" si="73"/>
        <v>-0.30597185413204525</v>
      </c>
      <c r="U252" s="19">
        <f t="shared" si="74"/>
        <v>0.76132176206580027</v>
      </c>
      <c r="V252" s="19">
        <f t="shared" si="75"/>
        <v>0.80898962287711285</v>
      </c>
      <c r="W252" s="19">
        <f t="shared" si="76"/>
        <v>-5.3411050766310149E-2</v>
      </c>
      <c r="X252" s="19">
        <f t="shared" si="77"/>
        <v>0.99508843001145619</v>
      </c>
      <c r="Y252" s="19">
        <f t="shared" si="78"/>
        <v>0.21828640440923947</v>
      </c>
      <c r="AA252" s="19">
        <f t="shared" si="79"/>
        <v>3.4046376632400368</v>
      </c>
      <c r="AB252" s="19">
        <f t="shared" si="80"/>
        <v>1.9822024723294531</v>
      </c>
    </row>
    <row r="253" spans="1:28" x14ac:dyDescent="0.25">
      <c r="A253" s="13">
        <f>[1]Data!A256</f>
        <v>45108</v>
      </c>
      <c r="B253" s="14">
        <f>[1]Data!B256</f>
        <v>3.2209042036108075E-2</v>
      </c>
      <c r="C253" s="14">
        <f>[1]Data!C256</f>
        <v>3.7099351628328815E-2</v>
      </c>
      <c r="D253" s="15">
        <f>[1]Data!F256</f>
        <v>7.8730585470919226E-3</v>
      </c>
      <c r="E253" s="16">
        <f>[1]Data!G256</f>
        <v>-1.3008261248185188E-2</v>
      </c>
      <c r="F253" s="15">
        <f>[1]Data!H256</f>
        <v>-8.1998711954159188E-3</v>
      </c>
      <c r="G253" s="16">
        <f>[1]Data!I256</f>
        <v>-3.4203228368274614E-2</v>
      </c>
      <c r="H253" s="17">
        <f t="shared" si="61"/>
        <v>-1</v>
      </c>
      <c r="I253" s="18">
        <f t="shared" si="70"/>
        <v>1</v>
      </c>
      <c r="J253" s="19">
        <f t="shared" si="62"/>
        <v>0</v>
      </c>
      <c r="K253" s="19">
        <f t="shared" si="63"/>
        <v>-7.8730585470919226E-3</v>
      </c>
      <c r="L253" s="19">
        <f t="shared" si="64"/>
        <v>0</v>
      </c>
      <c r="M253" s="19">
        <f t="shared" si="65"/>
        <v>-1.3008261248185188E-2</v>
      </c>
      <c r="N253" s="19">
        <f t="shared" si="66"/>
        <v>-8.1998711954159188E-3</v>
      </c>
      <c r="O253" s="19">
        <f t="shared" si="67"/>
        <v>0</v>
      </c>
      <c r="P253" s="19">
        <f t="shared" si="68"/>
        <v>3.4203228368274614E-2</v>
      </c>
      <c r="Q253" s="19">
        <f t="shared" si="69"/>
        <v>0</v>
      </c>
      <c r="R253" s="19">
        <f t="shared" si="71"/>
        <v>0.81942430925280074</v>
      </c>
      <c r="S253" s="19">
        <f t="shared" si="72"/>
        <v>0.15303698097489046</v>
      </c>
      <c r="T253" s="19">
        <f t="shared" si="73"/>
        <v>-0.30597185413204525</v>
      </c>
      <c r="U253" s="19">
        <f t="shared" si="74"/>
        <v>0.74831350081761505</v>
      </c>
      <c r="V253" s="19">
        <f t="shared" si="75"/>
        <v>0.80078975168169697</v>
      </c>
      <c r="W253" s="19">
        <f t="shared" si="76"/>
        <v>-5.3411050766310149E-2</v>
      </c>
      <c r="X253" s="19">
        <f t="shared" si="77"/>
        <v>1.0292916583797309</v>
      </c>
      <c r="Y253" s="19">
        <f t="shared" si="78"/>
        <v>0.21828640440923947</v>
      </c>
      <c r="AA253" s="19">
        <f t="shared" si="79"/>
        <v>3.4097597006176183</v>
      </c>
      <c r="AB253" s="19">
        <f t="shared" si="80"/>
        <v>2.0144115143655612</v>
      </c>
    </row>
    <row r="254" spans="1:28" x14ac:dyDescent="0.25">
      <c r="A254" s="13">
        <f>[1]Data!A257</f>
        <v>45139</v>
      </c>
      <c r="B254" s="14">
        <f>[1]Data!B257</f>
        <v>-1.6385701417559566E-2</v>
      </c>
      <c r="C254" s="14">
        <f>[1]Data!C257</f>
        <v>3.4355888593008435E-2</v>
      </c>
      <c r="D254" s="15">
        <f>[1]Data!F257</f>
        <v>2.4751390414202261E-2</v>
      </c>
      <c r="E254" s="16">
        <f>[1]Data!G257</f>
        <v>4.3567907116918693E-2</v>
      </c>
      <c r="F254" s="15">
        <f>[1]Data!H257</f>
        <v>-1.5586547649061687E-2</v>
      </c>
      <c r="G254" s="16">
        <f>[1]Data!I257</f>
        <v>-4.2954270293844576E-2</v>
      </c>
      <c r="H254" s="17">
        <f t="shared" si="61"/>
        <v>-1</v>
      </c>
      <c r="I254" s="18">
        <f t="shared" si="70"/>
        <v>1</v>
      </c>
      <c r="J254" s="19">
        <f t="shared" si="62"/>
        <v>0</v>
      </c>
      <c r="K254" s="19">
        <f t="shared" si="63"/>
        <v>-2.4751390414202261E-2</v>
      </c>
      <c r="L254" s="19">
        <f t="shared" si="64"/>
        <v>0</v>
      </c>
      <c r="M254" s="19">
        <f t="shared" si="65"/>
        <v>4.3567907116918693E-2</v>
      </c>
      <c r="N254" s="19">
        <f t="shared" si="66"/>
        <v>-1.5586547649061687E-2</v>
      </c>
      <c r="O254" s="19">
        <f t="shared" si="67"/>
        <v>0</v>
      </c>
      <c r="P254" s="19">
        <f t="shared" si="68"/>
        <v>4.2954270293844576E-2</v>
      </c>
      <c r="Q254" s="19">
        <f t="shared" si="69"/>
        <v>0</v>
      </c>
      <c r="R254" s="19">
        <f t="shared" si="71"/>
        <v>0.81942430925280074</v>
      </c>
      <c r="S254" s="19">
        <f t="shared" si="72"/>
        <v>0.1282855905606882</v>
      </c>
      <c r="T254" s="19">
        <f t="shared" si="73"/>
        <v>-0.30597185413204525</v>
      </c>
      <c r="U254" s="19">
        <f t="shared" si="74"/>
        <v>0.79188140793453377</v>
      </c>
      <c r="V254" s="19">
        <f t="shared" si="75"/>
        <v>0.78520320403263533</v>
      </c>
      <c r="W254" s="19">
        <f t="shared" si="76"/>
        <v>-5.3411050766310149E-2</v>
      </c>
      <c r="X254" s="19">
        <f t="shared" si="77"/>
        <v>1.0722459286735755</v>
      </c>
      <c r="Y254" s="19">
        <f t="shared" si="78"/>
        <v>0.21828640440923947</v>
      </c>
      <c r="AA254" s="19">
        <f t="shared" si="79"/>
        <v>3.4559439399651177</v>
      </c>
      <c r="AB254" s="19">
        <f t="shared" si="80"/>
        <v>1.9980258129480017</v>
      </c>
    </row>
    <row r="255" spans="1:28" x14ac:dyDescent="0.25">
      <c r="A255" s="13">
        <f>[1]Data!A258</f>
        <v>45170</v>
      </c>
      <c r="B255" s="14">
        <f>[1]Data!B258</f>
        <v>-4.8596290544066056E-2</v>
      </c>
      <c r="C255" s="14">
        <f>[1]Data!C258</f>
        <v>1.0681884654112257E-2</v>
      </c>
      <c r="D255" s="15">
        <f>[1]Data!F258</f>
        <v>-6.8539573097565684E-3</v>
      </c>
      <c r="E255" s="16">
        <f>[1]Data!G258</f>
        <v>-3.0426348947618843E-2</v>
      </c>
      <c r="F255" s="15">
        <f>[1]Data!H258</f>
        <v>-1.0782916968361523E-2</v>
      </c>
      <c r="G255" s="16">
        <f>[1]Data!I258</f>
        <v>-2.0774505230996245E-2</v>
      </c>
      <c r="H255" s="17">
        <f t="shared" si="61"/>
        <v>-1</v>
      </c>
      <c r="I255" s="18">
        <f t="shared" si="70"/>
        <v>1</v>
      </c>
      <c r="J255" s="19">
        <f t="shared" si="62"/>
        <v>0</v>
      </c>
      <c r="K255" s="19">
        <f t="shared" si="63"/>
        <v>6.8539573097565684E-3</v>
      </c>
      <c r="L255" s="19">
        <f t="shared" si="64"/>
        <v>0</v>
      </c>
      <c r="M255" s="19">
        <f t="shared" si="65"/>
        <v>-3.0426348947618843E-2</v>
      </c>
      <c r="N255" s="19">
        <f t="shared" si="66"/>
        <v>-1.0782916968361523E-2</v>
      </c>
      <c r="O255" s="19">
        <f t="shared" si="67"/>
        <v>0</v>
      </c>
      <c r="P255" s="19">
        <f t="shared" si="68"/>
        <v>2.0774505230996245E-2</v>
      </c>
      <c r="Q255" s="19">
        <f t="shared" si="69"/>
        <v>0</v>
      </c>
      <c r="R255" s="19">
        <f t="shared" si="71"/>
        <v>0.81942430925280074</v>
      </c>
      <c r="S255" s="19">
        <f t="shared" si="72"/>
        <v>0.13513954787044477</v>
      </c>
      <c r="T255" s="19">
        <f t="shared" si="73"/>
        <v>-0.30597185413204525</v>
      </c>
      <c r="U255" s="19">
        <f t="shared" si="74"/>
        <v>0.7614550589869149</v>
      </c>
      <c r="V255" s="19">
        <f t="shared" si="75"/>
        <v>0.77442028706427379</v>
      </c>
      <c r="W255" s="19">
        <f t="shared" si="76"/>
        <v>-5.3411050766310149E-2</v>
      </c>
      <c r="X255" s="19">
        <f t="shared" si="77"/>
        <v>1.0930204339045717</v>
      </c>
      <c r="Y255" s="19">
        <f t="shared" si="78"/>
        <v>0.21828640440923947</v>
      </c>
      <c r="AA255" s="19">
        <f t="shared" si="79"/>
        <v>3.4423631365898903</v>
      </c>
      <c r="AB255" s="19">
        <f t="shared" si="80"/>
        <v>1.9494295224039357</v>
      </c>
    </row>
    <row r="256" spans="1:28" x14ac:dyDescent="0.25">
      <c r="A256" s="13">
        <f>[1]Data!A259</f>
        <v>45200</v>
      </c>
      <c r="B256" s="14">
        <f>[1]Data!B259</f>
        <v>-2.1947724150478545E-2</v>
      </c>
      <c r="C256" s="14">
        <f>[1]Data!C259</f>
        <v>4.5433788607178741E-2</v>
      </c>
      <c r="D256" s="15">
        <f>[1]Data!F259</f>
        <v>-7.1241208321481874E-3</v>
      </c>
      <c r="E256" s="16">
        <f>[1]Data!G259</f>
        <v>4.0761703172671072E-3</v>
      </c>
      <c r="F256" s="15">
        <f>[1]Data!H259</f>
        <v>4.8073716103814489E-3</v>
      </c>
      <c r="G256" s="16">
        <f>[1]Data!I259</f>
        <v>-4.1807514329919145E-2</v>
      </c>
      <c r="H256" s="17">
        <f t="shared" si="61"/>
        <v>-1</v>
      </c>
      <c r="I256" s="18">
        <f t="shared" si="70"/>
        <v>1</v>
      </c>
      <c r="J256" s="19">
        <f t="shared" si="62"/>
        <v>0</v>
      </c>
      <c r="K256" s="19">
        <f t="shared" si="63"/>
        <v>7.1241208321481874E-3</v>
      </c>
      <c r="L256" s="19">
        <f t="shared" si="64"/>
        <v>0</v>
      </c>
      <c r="M256" s="19">
        <f t="shared" si="65"/>
        <v>4.0761703172671072E-3</v>
      </c>
      <c r="N256" s="19">
        <f t="shared" si="66"/>
        <v>4.8073716103814489E-3</v>
      </c>
      <c r="O256" s="19">
        <f t="shared" si="67"/>
        <v>0</v>
      </c>
      <c r="P256" s="19">
        <f t="shared" si="68"/>
        <v>4.1807514329919145E-2</v>
      </c>
      <c r="Q256" s="19">
        <f t="shared" si="69"/>
        <v>0</v>
      </c>
      <c r="R256" s="19">
        <f t="shared" si="71"/>
        <v>0.81942430925280074</v>
      </c>
      <c r="S256" s="19">
        <f t="shared" si="72"/>
        <v>0.14226366870259297</v>
      </c>
      <c r="T256" s="19">
        <f t="shared" si="73"/>
        <v>-0.30597185413204525</v>
      </c>
      <c r="U256" s="19">
        <f t="shared" si="74"/>
        <v>0.76553122930418205</v>
      </c>
      <c r="V256" s="19">
        <f t="shared" si="75"/>
        <v>0.77922765867465527</v>
      </c>
      <c r="W256" s="19">
        <f t="shared" si="76"/>
        <v>-5.3411050766310149E-2</v>
      </c>
      <c r="X256" s="19">
        <f t="shared" si="77"/>
        <v>1.134827948234491</v>
      </c>
      <c r="Y256" s="19">
        <f t="shared" si="78"/>
        <v>0.21828640440923947</v>
      </c>
      <c r="AA256" s="19">
        <f t="shared" si="79"/>
        <v>3.5001783136796063</v>
      </c>
      <c r="AB256" s="19">
        <f t="shared" si="80"/>
        <v>1.9274817982534571</v>
      </c>
    </row>
    <row r="257" spans="1:28" x14ac:dyDescent="0.25">
      <c r="A257" s="13">
        <f>[1]Data!A260</f>
        <v>45231</v>
      </c>
      <c r="B257" s="14">
        <f>[1]Data!B260</f>
        <v>8.7409824483363888E-2</v>
      </c>
      <c r="C257" s="14">
        <f>[1]Data!C260</f>
        <v>-2.9977367869131852E-3</v>
      </c>
      <c r="D257" s="15">
        <f>[1]Data!F260</f>
        <v>6.8817742481404858E-3</v>
      </c>
      <c r="E257" s="16">
        <f>[1]Data!G260</f>
        <v>1.1092712032213549E-2</v>
      </c>
      <c r="F257" s="15">
        <f>[1]Data!H260</f>
        <v>4.3813207279914342E-2</v>
      </c>
      <c r="G257" s="16">
        <f>[1]Data!I260</f>
        <v>5.5642173558489175E-2</v>
      </c>
      <c r="H257" s="17">
        <f t="shared" si="61"/>
        <v>1</v>
      </c>
      <c r="I257" s="18">
        <f t="shared" si="70"/>
        <v>1</v>
      </c>
      <c r="J257" s="19">
        <f t="shared" si="62"/>
        <v>6.8817742481404858E-3</v>
      </c>
      <c r="K257" s="19">
        <f t="shared" si="63"/>
        <v>0</v>
      </c>
      <c r="L257" s="19">
        <f t="shared" si="64"/>
        <v>-1.1092712032213549E-2</v>
      </c>
      <c r="M257" s="19">
        <f t="shared" si="65"/>
        <v>0</v>
      </c>
      <c r="N257" s="19">
        <f t="shared" si="66"/>
        <v>4.3813207279914342E-2</v>
      </c>
      <c r="O257" s="19">
        <f t="shared" si="67"/>
        <v>0</v>
      </c>
      <c r="P257" s="19">
        <f t="shared" si="68"/>
        <v>-5.5642173558489175E-2</v>
      </c>
      <c r="Q257" s="19">
        <f t="shared" si="69"/>
        <v>0</v>
      </c>
      <c r="R257" s="19">
        <f t="shared" si="71"/>
        <v>0.82630608350094126</v>
      </c>
      <c r="S257" s="19">
        <f t="shared" si="72"/>
        <v>0.14226366870259297</v>
      </c>
      <c r="T257" s="19">
        <f t="shared" si="73"/>
        <v>-0.31706456616425882</v>
      </c>
      <c r="U257" s="19">
        <f t="shared" si="74"/>
        <v>0.76553122930418205</v>
      </c>
      <c r="V257" s="19">
        <f t="shared" si="75"/>
        <v>0.8230408659545696</v>
      </c>
      <c r="W257" s="19">
        <f t="shared" si="76"/>
        <v>-5.3411050766310149E-2</v>
      </c>
      <c r="X257" s="19">
        <f t="shared" si="77"/>
        <v>1.0791857746760019</v>
      </c>
      <c r="Y257" s="19">
        <f t="shared" si="78"/>
        <v>0.21828640440923947</v>
      </c>
      <c r="AA257" s="19">
        <f t="shared" si="79"/>
        <v>3.4841384096169583</v>
      </c>
      <c r="AB257" s="19">
        <f t="shared" si="80"/>
        <v>2.0148916227368212</v>
      </c>
    </row>
    <row r="258" spans="1:28" x14ac:dyDescent="0.25">
      <c r="A258" s="13">
        <f>[1]Data!A261</f>
        <v>45261</v>
      </c>
      <c r="B258" s="14">
        <f>[1]Data!B261</f>
        <v>4.4643772916211313E-2</v>
      </c>
      <c r="C258" s="14">
        <f>[1]Data!C261</f>
        <v>-4.4658325790076607E-2</v>
      </c>
      <c r="D258" s="15">
        <f>[1]Data!F261</f>
        <v>5.5062902406491348E-3</v>
      </c>
      <c r="E258" s="16">
        <f>[1]Data!G261</f>
        <v>-5.0551421704840213E-4</v>
      </c>
      <c r="F258" s="15">
        <f>[1]Data!H261</f>
        <v>4.0016389801776379E-3</v>
      </c>
      <c r="G258" s="16">
        <f>[1]Data!I261</f>
        <v>4.3406286384425376E-2</v>
      </c>
      <c r="H258" s="17">
        <f t="shared" ref="H258:H280" si="81">IF(C258&gt;0,-1,1)</f>
        <v>1</v>
      </c>
      <c r="I258" s="18">
        <f t="shared" si="70"/>
        <v>-1</v>
      </c>
      <c r="J258" s="19">
        <f t="shared" ref="J258:J280" si="82">IF(H258=1,D258,0)</f>
        <v>5.5062902406491348E-3</v>
      </c>
      <c r="K258" s="19">
        <f t="shared" ref="K258:K280" si="83">IF(H258=-1,-D258,0)</f>
        <v>0</v>
      </c>
      <c r="L258" s="19">
        <f t="shared" ref="L258:L280" si="84">IF(H258=1,-E258,0)</f>
        <v>5.0551421704840213E-4</v>
      </c>
      <c r="M258" s="19">
        <f t="shared" ref="M258:M280" si="85">IF(H258=-1,E258,0)</f>
        <v>0</v>
      </c>
      <c r="N258" s="19">
        <f t="shared" ref="N258:N280" si="86">IF(I258=1,F258,0)</f>
        <v>0</v>
      </c>
      <c r="O258" s="19">
        <f t="shared" ref="O258:O280" si="87">IF(I258=-1,-F258,0)</f>
        <v>-4.0016389801776379E-3</v>
      </c>
      <c r="P258" s="19">
        <f t="shared" ref="P258:P280" si="88">IF(I258=1,-G258,0)</f>
        <v>0</v>
      </c>
      <c r="Q258" s="19">
        <f t="shared" ref="Q258:Q280" si="89">IF(I258=-1,G258,0)</f>
        <v>4.3406286384425376E-2</v>
      </c>
      <c r="R258" s="19">
        <f t="shared" si="71"/>
        <v>0.83181237374159034</v>
      </c>
      <c r="S258" s="19">
        <f t="shared" si="72"/>
        <v>0.14226366870259297</v>
      </c>
      <c r="T258" s="19">
        <f t="shared" si="73"/>
        <v>-0.3165590519472104</v>
      </c>
      <c r="U258" s="19">
        <f t="shared" si="74"/>
        <v>0.76553122930418205</v>
      </c>
      <c r="V258" s="19">
        <f t="shared" si="75"/>
        <v>0.8230408659545696</v>
      </c>
      <c r="W258" s="19">
        <f t="shared" si="76"/>
        <v>-5.7412689746487784E-2</v>
      </c>
      <c r="X258" s="19">
        <f t="shared" si="77"/>
        <v>1.0791857746760019</v>
      </c>
      <c r="Y258" s="19">
        <f t="shared" si="78"/>
        <v>0.26169269079366486</v>
      </c>
      <c r="AA258" s="19">
        <f t="shared" si="79"/>
        <v>3.5295548614789034</v>
      </c>
      <c r="AB258" s="19">
        <f t="shared" si="80"/>
        <v>2.0595353956530325</v>
      </c>
    </row>
    <row r="259" spans="1:28" x14ac:dyDescent="0.25">
      <c r="A259" s="13">
        <f>[1]Data!A262</f>
        <v>45292</v>
      </c>
      <c r="B259" s="14">
        <f>[1]Data!B262</f>
        <v>1.5800957516541425E-2</v>
      </c>
      <c r="C259" s="14">
        <f>[1]Data!C262</f>
        <v>7.1569505137652881E-2</v>
      </c>
      <c r="D259" s="15">
        <f>[1]Data!F262</f>
        <v>-4.0919138594321634E-3</v>
      </c>
      <c r="E259" s="16">
        <f>[1]Data!G262</f>
        <v>2.8969369212235873E-2</v>
      </c>
      <c r="F259" s="15">
        <f>[1]Data!H262</f>
        <v>-1.4948636087541312E-3</v>
      </c>
      <c r="G259" s="16">
        <f>[1]Data!I262</f>
        <v>-1.6724934027748946E-2</v>
      </c>
      <c r="H259" s="17">
        <f t="shared" si="81"/>
        <v>-1</v>
      </c>
      <c r="I259" s="18">
        <f t="shared" ref="I259:I280" si="90">IF(C258&gt;0,1,-1)</f>
        <v>-1</v>
      </c>
      <c r="J259" s="19">
        <f t="shared" si="82"/>
        <v>0</v>
      </c>
      <c r="K259" s="19">
        <f t="shared" si="83"/>
        <v>4.0919138594321634E-3</v>
      </c>
      <c r="L259" s="19">
        <f t="shared" si="84"/>
        <v>0</v>
      </c>
      <c r="M259" s="19">
        <f t="shared" si="85"/>
        <v>2.8969369212235873E-2</v>
      </c>
      <c r="N259" s="19">
        <f t="shared" si="86"/>
        <v>0</v>
      </c>
      <c r="O259" s="19">
        <f t="shared" si="87"/>
        <v>1.4948636087541312E-3</v>
      </c>
      <c r="P259" s="19">
        <f t="shared" si="88"/>
        <v>0</v>
      </c>
      <c r="Q259" s="19">
        <f t="shared" si="89"/>
        <v>-1.6724934027748946E-2</v>
      </c>
      <c r="R259" s="19">
        <f t="shared" ref="R259:R280" si="91">J259+R258</f>
        <v>0.83181237374159034</v>
      </c>
      <c r="S259" s="19">
        <f t="shared" ref="S259:S280" si="92">K259+S258</f>
        <v>0.14635558256202513</v>
      </c>
      <c r="T259" s="19">
        <f t="shared" ref="T259:T280" si="93">L259+T258</f>
        <v>-0.3165590519472104</v>
      </c>
      <c r="U259" s="19">
        <f t="shared" ref="U259:U280" si="94">M259+U258</f>
        <v>0.79450059851641797</v>
      </c>
      <c r="V259" s="19">
        <f t="shared" ref="V259:V280" si="95">N259+V258</f>
        <v>0.8230408659545696</v>
      </c>
      <c r="W259" s="19">
        <f t="shared" ref="W259:W280" si="96">O259+W258</f>
        <v>-5.5917826137733655E-2</v>
      </c>
      <c r="X259" s="19">
        <f t="shared" ref="X259:X280" si="97">P259+X258</f>
        <v>1.0791857746760019</v>
      </c>
      <c r="Y259" s="19">
        <f t="shared" ref="Y259:Y280" si="98">Q259+Y258</f>
        <v>0.24496775676591592</v>
      </c>
      <c r="AA259" s="19">
        <f t="shared" ref="AA259:AA280" si="99">SUM(J259:Q259)+AA258</f>
        <v>3.5473860741315768</v>
      </c>
      <c r="AB259" s="19">
        <f t="shared" ref="AB259:AB280" si="100">B259+AB258</f>
        <v>2.0753363531695737</v>
      </c>
    </row>
    <row r="260" spans="1:28" x14ac:dyDescent="0.25">
      <c r="A260" s="13">
        <f>[1]Data!A263</f>
        <v>45323</v>
      </c>
      <c r="B260" s="14">
        <f>[1]Data!B263</f>
        <v>5.0870715521053947E-2</v>
      </c>
      <c r="C260" s="14">
        <f>[1]Data!C263</f>
        <v>8.9102841275943034E-2</v>
      </c>
      <c r="D260" s="15">
        <f>[1]Data!F263</f>
        <v>1.1421240067535665E-3</v>
      </c>
      <c r="E260" s="16">
        <f>[1]Data!G263</f>
        <v>1.6594409000635822E-2</v>
      </c>
      <c r="F260" s="15">
        <f>[1]Data!H263</f>
        <v>3.1032701476210567E-2</v>
      </c>
      <c r="G260" s="16">
        <f>[1]Data!I263</f>
        <v>-1.8435637178925084E-2</v>
      </c>
      <c r="H260" s="17">
        <f t="shared" si="81"/>
        <v>-1</v>
      </c>
      <c r="I260" s="18">
        <f t="shared" si="90"/>
        <v>1</v>
      </c>
      <c r="J260" s="19">
        <f t="shared" si="82"/>
        <v>0</v>
      </c>
      <c r="K260" s="19">
        <f t="shared" si="83"/>
        <v>-1.1421240067535665E-3</v>
      </c>
      <c r="L260" s="19">
        <f t="shared" si="84"/>
        <v>0</v>
      </c>
      <c r="M260" s="19">
        <f t="shared" si="85"/>
        <v>1.6594409000635822E-2</v>
      </c>
      <c r="N260" s="19">
        <f t="shared" si="86"/>
        <v>3.1032701476210567E-2</v>
      </c>
      <c r="O260" s="19">
        <f t="shared" si="87"/>
        <v>0</v>
      </c>
      <c r="P260" s="19">
        <f t="shared" si="88"/>
        <v>1.8435637178925084E-2</v>
      </c>
      <c r="Q260" s="19">
        <f t="shared" si="89"/>
        <v>0</v>
      </c>
      <c r="R260" s="19">
        <f t="shared" si="91"/>
        <v>0.83181237374159034</v>
      </c>
      <c r="S260" s="19">
        <f t="shared" si="92"/>
        <v>0.14521345855527157</v>
      </c>
      <c r="T260" s="19">
        <f t="shared" si="93"/>
        <v>-0.3165590519472104</v>
      </c>
      <c r="U260" s="19">
        <f t="shared" si="94"/>
        <v>0.81109500751705377</v>
      </c>
      <c r="V260" s="19">
        <f t="shared" si="95"/>
        <v>0.85407356743078022</v>
      </c>
      <c r="W260" s="19">
        <f t="shared" si="96"/>
        <v>-5.5917826137733655E-2</v>
      </c>
      <c r="X260" s="19">
        <f t="shared" si="97"/>
        <v>1.097621411854927</v>
      </c>
      <c r="Y260" s="19">
        <f t="shared" si="98"/>
        <v>0.24496775676591592</v>
      </c>
      <c r="AA260" s="19">
        <f t="shared" si="99"/>
        <v>3.6123066977805949</v>
      </c>
      <c r="AB260" s="19">
        <f t="shared" si="100"/>
        <v>2.1262070686906278</v>
      </c>
    </row>
    <row r="261" spans="1:28" x14ac:dyDescent="0.25">
      <c r="A261" s="13">
        <f>[1]Data!A264</f>
        <v>45352</v>
      </c>
      <c r="B261" s="14">
        <f>[1]Data!B264</f>
        <v>3.2178750060169029E-2</v>
      </c>
      <c r="C261" s="14">
        <f>[1]Data!C264</f>
        <v>3.901761419476165E-2</v>
      </c>
      <c r="D261" s="15">
        <f>[1]Data!F264</f>
        <v>1.6648253842542285E-3</v>
      </c>
      <c r="E261" s="16">
        <f>[1]Data!G264</f>
        <v>1.6302003058535058E-2</v>
      </c>
      <c r="F261" s="15">
        <f>[1]Data!H264</f>
        <v>1.3159058951112419E-2</v>
      </c>
      <c r="G261" s="16">
        <f>[1]Data!I264</f>
        <v>2.1235647958883171E-2</v>
      </c>
      <c r="H261" s="17">
        <f t="shared" si="81"/>
        <v>-1</v>
      </c>
      <c r="I261" s="18">
        <f t="shared" si="90"/>
        <v>1</v>
      </c>
      <c r="J261" s="19">
        <f t="shared" si="82"/>
        <v>0</v>
      </c>
      <c r="K261" s="19">
        <f t="shared" si="83"/>
        <v>-1.6648253842542285E-3</v>
      </c>
      <c r="L261" s="19">
        <f t="shared" si="84"/>
        <v>0</v>
      </c>
      <c r="M261" s="19">
        <f t="shared" si="85"/>
        <v>1.6302003058535058E-2</v>
      </c>
      <c r="N261" s="19">
        <f t="shared" si="86"/>
        <v>1.3159058951112419E-2</v>
      </c>
      <c r="O261" s="19">
        <f t="shared" si="87"/>
        <v>0</v>
      </c>
      <c r="P261" s="19">
        <f t="shared" si="88"/>
        <v>-2.1235647958883171E-2</v>
      </c>
      <c r="Q261" s="19">
        <f t="shared" si="89"/>
        <v>0</v>
      </c>
      <c r="R261" s="19">
        <f t="shared" si="91"/>
        <v>0.83181237374159034</v>
      </c>
      <c r="S261" s="19">
        <f t="shared" si="92"/>
        <v>0.14354863317101735</v>
      </c>
      <c r="T261" s="19">
        <f t="shared" si="93"/>
        <v>-0.3165590519472104</v>
      </c>
      <c r="U261" s="19">
        <f t="shared" si="94"/>
        <v>0.82739701057558879</v>
      </c>
      <c r="V261" s="19">
        <f t="shared" si="95"/>
        <v>0.86723262638189269</v>
      </c>
      <c r="W261" s="19">
        <f t="shared" si="96"/>
        <v>-5.5917826137733655E-2</v>
      </c>
      <c r="X261" s="19">
        <f t="shared" si="97"/>
        <v>1.0763857638960439</v>
      </c>
      <c r="Y261" s="19">
        <f t="shared" si="98"/>
        <v>0.24496775676591592</v>
      </c>
      <c r="AA261" s="19">
        <f t="shared" si="99"/>
        <v>3.618867286447105</v>
      </c>
      <c r="AB261" s="19">
        <f t="shared" si="100"/>
        <v>2.1583858187507969</v>
      </c>
    </row>
    <row r="262" spans="1:28" x14ac:dyDescent="0.25">
      <c r="A262" s="13">
        <f>[1]Data!A265</f>
        <v>45383</v>
      </c>
      <c r="B262" s="14">
        <f>[1]Data!B265</f>
        <v>-4.1155041750283824E-2</v>
      </c>
      <c r="C262" s="14">
        <f>[1]Data!C265</f>
        <v>1.4109990981579848E-3</v>
      </c>
      <c r="D262" s="15">
        <f>[1]Data!F265</f>
        <v>1.3679412404378172E-2</v>
      </c>
      <c r="E262" s="16">
        <f>[1]Data!G265</f>
        <v>-1.0486649375916802E-2</v>
      </c>
      <c r="F262" s="15">
        <f>[1]Data!H265</f>
        <v>-8.9104523069123732E-3</v>
      </c>
      <c r="G262" s="16">
        <f>[1]Data!I265</f>
        <v>-3.1429933253891595E-2</v>
      </c>
      <c r="H262" s="17">
        <f t="shared" si="81"/>
        <v>-1</v>
      </c>
      <c r="I262" s="18">
        <f t="shared" si="90"/>
        <v>1</v>
      </c>
      <c r="J262" s="19">
        <f t="shared" si="82"/>
        <v>0</v>
      </c>
      <c r="K262" s="19">
        <f t="shared" si="83"/>
        <v>-1.3679412404378172E-2</v>
      </c>
      <c r="L262" s="19">
        <f t="shared" si="84"/>
        <v>0</v>
      </c>
      <c r="M262" s="19">
        <f t="shared" si="85"/>
        <v>-1.0486649375916802E-2</v>
      </c>
      <c r="N262" s="19">
        <f t="shared" si="86"/>
        <v>-8.9104523069123732E-3</v>
      </c>
      <c r="O262" s="19">
        <f t="shared" si="87"/>
        <v>0</v>
      </c>
      <c r="P262" s="19">
        <f t="shared" si="88"/>
        <v>3.1429933253891595E-2</v>
      </c>
      <c r="Q262" s="19">
        <f t="shared" si="89"/>
        <v>0</v>
      </c>
      <c r="R262" s="19">
        <f t="shared" si="91"/>
        <v>0.83181237374159034</v>
      </c>
      <c r="S262" s="19">
        <f t="shared" si="92"/>
        <v>0.12986922076663918</v>
      </c>
      <c r="T262" s="19">
        <f t="shared" si="93"/>
        <v>-0.3165590519472104</v>
      </c>
      <c r="U262" s="19">
        <f t="shared" si="94"/>
        <v>0.81691036119967197</v>
      </c>
      <c r="V262" s="19">
        <f t="shared" si="95"/>
        <v>0.85832217407498035</v>
      </c>
      <c r="W262" s="19">
        <f t="shared" si="96"/>
        <v>-5.5917826137733655E-2</v>
      </c>
      <c r="X262" s="19">
        <f t="shared" si="97"/>
        <v>1.1078156971499356</v>
      </c>
      <c r="Y262" s="19">
        <f t="shared" si="98"/>
        <v>0.24496775676591592</v>
      </c>
      <c r="AA262" s="19">
        <f t="shared" si="99"/>
        <v>3.6172207056137893</v>
      </c>
      <c r="AB262" s="19">
        <f t="shared" si="100"/>
        <v>2.117230777000513</v>
      </c>
    </row>
    <row r="263" spans="1:28" x14ac:dyDescent="0.25">
      <c r="A263" s="13">
        <f>[1]Data!A266</f>
        <v>45413</v>
      </c>
      <c r="B263" s="14">
        <f>[1]Data!B266</f>
        <v>4.9341926200576133E-2</v>
      </c>
      <c r="C263" s="14">
        <f>[1]Data!C266</f>
        <v>1.5893809749767701E-2</v>
      </c>
      <c r="D263" s="15">
        <f>[1]Data!F266</f>
        <v>-7.5375643514422695E-3</v>
      </c>
      <c r="E263" s="16">
        <f>[1]Data!G266</f>
        <v>-1.2524900429691337E-2</v>
      </c>
      <c r="F263" s="15">
        <f>[1]Data!H266</f>
        <v>2.9753173513714228E-2</v>
      </c>
      <c r="G263" s="16">
        <f>[1]Data!I266</f>
        <v>3.1661917816724595E-2</v>
      </c>
      <c r="H263" s="17">
        <f t="shared" si="81"/>
        <v>-1</v>
      </c>
      <c r="I263" s="18">
        <f t="shared" si="90"/>
        <v>1</v>
      </c>
      <c r="J263" s="19">
        <f t="shared" si="82"/>
        <v>0</v>
      </c>
      <c r="K263" s="19">
        <f t="shared" si="83"/>
        <v>7.5375643514422695E-3</v>
      </c>
      <c r="L263" s="19">
        <f t="shared" si="84"/>
        <v>0</v>
      </c>
      <c r="M263" s="19">
        <f t="shared" si="85"/>
        <v>-1.2524900429691337E-2</v>
      </c>
      <c r="N263" s="19">
        <f t="shared" si="86"/>
        <v>2.9753173513714228E-2</v>
      </c>
      <c r="O263" s="19">
        <f t="shared" si="87"/>
        <v>0</v>
      </c>
      <c r="P263" s="19">
        <f t="shared" si="88"/>
        <v>-3.1661917816724595E-2</v>
      </c>
      <c r="Q263" s="19">
        <f t="shared" si="89"/>
        <v>0</v>
      </c>
      <c r="R263" s="19">
        <f t="shared" si="91"/>
        <v>0.83181237374159034</v>
      </c>
      <c r="S263" s="19">
        <f t="shared" si="92"/>
        <v>0.13740678511808144</v>
      </c>
      <c r="T263" s="19">
        <f t="shared" si="93"/>
        <v>-0.3165590519472104</v>
      </c>
      <c r="U263" s="19">
        <f t="shared" si="94"/>
        <v>0.80438546076998063</v>
      </c>
      <c r="V263" s="19">
        <f t="shared" si="95"/>
        <v>0.88807534758869455</v>
      </c>
      <c r="W263" s="19">
        <f t="shared" si="96"/>
        <v>-5.5917826137733655E-2</v>
      </c>
      <c r="X263" s="19">
        <f t="shared" si="97"/>
        <v>1.076153779333211</v>
      </c>
      <c r="Y263" s="19">
        <f t="shared" si="98"/>
        <v>0.24496775676591592</v>
      </c>
      <c r="AA263" s="19">
        <f t="shared" si="99"/>
        <v>3.6103246252325301</v>
      </c>
      <c r="AB263" s="19">
        <f t="shared" si="100"/>
        <v>2.1665727032010893</v>
      </c>
    </row>
    <row r="264" spans="1:28" x14ac:dyDescent="0.25">
      <c r="A264" s="13">
        <f>[1]Data!A267</f>
        <v>45444</v>
      </c>
      <c r="B264" s="14">
        <f>[1]Data!B267</f>
        <v>3.4672137981978199E-2</v>
      </c>
      <c r="C264" s="14">
        <f>[1]Data!C267</f>
        <v>-1.3570107312282052E-2</v>
      </c>
      <c r="D264" s="15">
        <f>[1]Data!F267</f>
        <v>2.723190918377312E-3</v>
      </c>
      <c r="E264" s="16">
        <f>[1]Data!G267</f>
        <v>-2.7510876495499673E-2</v>
      </c>
      <c r="F264" s="15">
        <f>[1]Data!H267</f>
        <v>1.2512304391934124E-2</v>
      </c>
      <c r="G264" s="16">
        <f>[1]Data!I267</f>
        <v>1.4952763595864015E-2</v>
      </c>
      <c r="H264" s="17">
        <f t="shared" si="81"/>
        <v>1</v>
      </c>
      <c r="I264" s="18">
        <f t="shared" si="90"/>
        <v>1</v>
      </c>
      <c r="J264" s="19">
        <f t="shared" si="82"/>
        <v>2.723190918377312E-3</v>
      </c>
      <c r="K264" s="19">
        <f t="shared" si="83"/>
        <v>0</v>
      </c>
      <c r="L264" s="19">
        <f t="shared" si="84"/>
        <v>2.7510876495499673E-2</v>
      </c>
      <c r="M264" s="19">
        <f t="shared" si="85"/>
        <v>0</v>
      </c>
      <c r="N264" s="19">
        <f t="shared" si="86"/>
        <v>1.2512304391934124E-2</v>
      </c>
      <c r="O264" s="19">
        <f t="shared" si="87"/>
        <v>0</v>
      </c>
      <c r="P264" s="19">
        <f t="shared" si="88"/>
        <v>-1.4952763595864015E-2</v>
      </c>
      <c r="Q264" s="19">
        <f t="shared" si="89"/>
        <v>0</v>
      </c>
      <c r="R264" s="19">
        <f t="shared" si="91"/>
        <v>0.8345355646599677</v>
      </c>
      <c r="S264" s="19">
        <f t="shared" si="92"/>
        <v>0.13740678511808144</v>
      </c>
      <c r="T264" s="19">
        <f t="shared" si="93"/>
        <v>-0.28904817545171074</v>
      </c>
      <c r="U264" s="19">
        <f t="shared" si="94"/>
        <v>0.80438546076998063</v>
      </c>
      <c r="V264" s="19">
        <f t="shared" si="95"/>
        <v>0.90058765198062862</v>
      </c>
      <c r="W264" s="19">
        <f t="shared" si="96"/>
        <v>-5.5917826137733655E-2</v>
      </c>
      <c r="X264" s="19">
        <f t="shared" si="97"/>
        <v>1.061201015737347</v>
      </c>
      <c r="Y264" s="19">
        <f t="shared" si="98"/>
        <v>0.24496775676591592</v>
      </c>
      <c r="AA264" s="19">
        <f t="shared" si="99"/>
        <v>3.6381182334424773</v>
      </c>
      <c r="AB264" s="19">
        <f t="shared" si="100"/>
        <v>2.2012448411830676</v>
      </c>
    </row>
    <row r="265" spans="1:28" x14ac:dyDescent="0.25">
      <c r="A265" s="13">
        <f>[1]Data!A268</f>
        <v>45474</v>
      </c>
      <c r="B265" s="14">
        <f>[1]Data!B268</f>
        <v>1.2036422652770377E-2</v>
      </c>
      <c r="C265" s="14">
        <f>[1]Data!C268</f>
        <v>6.3733967610182553E-3</v>
      </c>
      <c r="D265" s="15">
        <f>[1]Data!F268</f>
        <v>-6.9474075330781503E-3</v>
      </c>
      <c r="E265" s="16">
        <f>[1]Data!G268</f>
        <v>2.3045732831310929E-2</v>
      </c>
      <c r="F265" s="15">
        <f>[1]Data!H268</f>
        <v>2.0119043559437007E-2</v>
      </c>
      <c r="G265" s="16">
        <f>[1]Data!I268</f>
        <v>1.37970494602731E-2</v>
      </c>
      <c r="H265" s="17">
        <f t="shared" si="81"/>
        <v>-1</v>
      </c>
      <c r="I265" s="18">
        <f t="shared" si="90"/>
        <v>-1</v>
      </c>
      <c r="J265" s="19">
        <f t="shared" si="82"/>
        <v>0</v>
      </c>
      <c r="K265" s="19">
        <f t="shared" si="83"/>
        <v>6.9474075330781503E-3</v>
      </c>
      <c r="L265" s="19">
        <f t="shared" si="84"/>
        <v>0</v>
      </c>
      <c r="M265" s="19">
        <f t="shared" si="85"/>
        <v>2.3045732831310929E-2</v>
      </c>
      <c r="N265" s="19">
        <f t="shared" si="86"/>
        <v>0</v>
      </c>
      <c r="O265" s="19">
        <f t="shared" si="87"/>
        <v>-2.0119043559437007E-2</v>
      </c>
      <c r="P265" s="19">
        <f t="shared" si="88"/>
        <v>0</v>
      </c>
      <c r="Q265" s="19">
        <f t="shared" si="89"/>
        <v>1.37970494602731E-2</v>
      </c>
      <c r="R265" s="19">
        <f t="shared" si="91"/>
        <v>0.8345355646599677</v>
      </c>
      <c r="S265" s="19">
        <f t="shared" si="92"/>
        <v>0.14435419265115959</v>
      </c>
      <c r="T265" s="19">
        <f t="shared" si="93"/>
        <v>-0.28904817545171074</v>
      </c>
      <c r="U265" s="19">
        <f t="shared" si="94"/>
        <v>0.82743119360129158</v>
      </c>
      <c r="V265" s="19">
        <f t="shared" si="95"/>
        <v>0.90058765198062862</v>
      </c>
      <c r="W265" s="19">
        <f t="shared" si="96"/>
        <v>-7.6036869697170661E-2</v>
      </c>
      <c r="X265" s="19">
        <f t="shared" si="97"/>
        <v>1.061201015737347</v>
      </c>
      <c r="Y265" s="19">
        <f t="shared" si="98"/>
        <v>0.25876480622618903</v>
      </c>
      <c r="AA265" s="19">
        <f t="shared" si="99"/>
        <v>3.6617893797077024</v>
      </c>
      <c r="AB265" s="19">
        <f t="shared" si="100"/>
        <v>2.2132812638358379</v>
      </c>
    </row>
    <row r="266" spans="1:28" x14ac:dyDescent="0.25">
      <c r="A266" s="13">
        <f>[1]Data!A269</f>
        <v>45505</v>
      </c>
      <c r="B266" s="14">
        <f>[1]Data!B269</f>
        <v>2.3096674300165244E-2</v>
      </c>
      <c r="C266" s="14">
        <f>[1]Data!C269</f>
        <v>-2.6188565902419116E-2</v>
      </c>
      <c r="D266" s="15">
        <f>[1]Data!F269</f>
        <v>5.4432595171319481E-3</v>
      </c>
      <c r="E266" s="16">
        <f>[1]Data!G269</f>
        <v>-2.2949531899315638E-2</v>
      </c>
      <c r="F266" s="15">
        <f>[1]Data!H269</f>
        <v>-6.0141403170915958E-2</v>
      </c>
      <c r="G266" s="16">
        <f>[1]Data!I269</f>
        <v>1.4863421378237351E-2</v>
      </c>
      <c r="H266" s="17">
        <f t="shared" si="81"/>
        <v>1</v>
      </c>
      <c r="I266" s="18">
        <f t="shared" si="90"/>
        <v>1</v>
      </c>
      <c r="J266" s="19">
        <f t="shared" si="82"/>
        <v>5.4432595171319481E-3</v>
      </c>
      <c r="K266" s="19">
        <f t="shared" si="83"/>
        <v>0</v>
      </c>
      <c r="L266" s="19">
        <f t="shared" si="84"/>
        <v>2.2949531899315638E-2</v>
      </c>
      <c r="M266" s="19">
        <f t="shared" si="85"/>
        <v>0</v>
      </c>
      <c r="N266" s="19">
        <f t="shared" si="86"/>
        <v>-6.0141403170915958E-2</v>
      </c>
      <c r="O266" s="19">
        <f t="shared" si="87"/>
        <v>0</v>
      </c>
      <c r="P266" s="19">
        <f t="shared" si="88"/>
        <v>-1.4863421378237351E-2</v>
      </c>
      <c r="Q266" s="19">
        <f t="shared" si="89"/>
        <v>0</v>
      </c>
      <c r="R266" s="19">
        <f t="shared" si="91"/>
        <v>0.83997882417709968</v>
      </c>
      <c r="S266" s="19">
        <f t="shared" si="92"/>
        <v>0.14435419265115959</v>
      </c>
      <c r="T266" s="19">
        <f t="shared" si="93"/>
        <v>-0.2660986435523951</v>
      </c>
      <c r="U266" s="19">
        <f t="shared" si="94"/>
        <v>0.82743119360129158</v>
      </c>
      <c r="V266" s="19">
        <f t="shared" si="95"/>
        <v>0.84044624880971264</v>
      </c>
      <c r="W266" s="19">
        <f t="shared" si="96"/>
        <v>-7.6036869697170661E-2</v>
      </c>
      <c r="X266" s="19">
        <f t="shared" si="97"/>
        <v>1.0463375943591098</v>
      </c>
      <c r="Y266" s="19">
        <f t="shared" si="98"/>
        <v>0.25876480622618903</v>
      </c>
      <c r="AA266" s="19">
        <f t="shared" si="99"/>
        <v>3.6151773465749968</v>
      </c>
      <c r="AB266" s="19">
        <f t="shared" si="100"/>
        <v>2.2363779381360032</v>
      </c>
    </row>
    <row r="267" spans="1:28" x14ac:dyDescent="0.25">
      <c r="A267" s="13">
        <f>[1]Data!A270</f>
        <v>45536</v>
      </c>
      <c r="B267" s="14">
        <f>[1]Data!B270</f>
        <v>2.0787250725068776E-2</v>
      </c>
      <c r="C267" s="14">
        <f>[1]Data!C270</f>
        <v>-1.1957683430430775E-2</v>
      </c>
      <c r="D267" s="15">
        <f>[1]Data!F270</f>
        <v>7.1541371203220332E-3</v>
      </c>
      <c r="E267" s="16">
        <f>[1]Data!G270</f>
        <v>-5.7935885191071632E-3</v>
      </c>
      <c r="F267" s="15">
        <f>[1]Data!H270</f>
        <v>-3.1117013644920338E-2</v>
      </c>
      <c r="G267" s="16">
        <f>[1]Data!I270</f>
        <v>3.8879968116322536E-2</v>
      </c>
      <c r="H267" s="17">
        <f t="shared" si="81"/>
        <v>1</v>
      </c>
      <c r="I267" s="18">
        <f t="shared" si="90"/>
        <v>-1</v>
      </c>
      <c r="J267" s="19">
        <f t="shared" si="82"/>
        <v>7.1541371203220332E-3</v>
      </c>
      <c r="K267" s="19">
        <f t="shared" si="83"/>
        <v>0</v>
      </c>
      <c r="L267" s="19">
        <f t="shared" si="84"/>
        <v>5.7935885191071632E-3</v>
      </c>
      <c r="M267" s="19">
        <f t="shared" si="85"/>
        <v>0</v>
      </c>
      <c r="N267" s="19">
        <f t="shared" si="86"/>
        <v>0</v>
      </c>
      <c r="O267" s="19">
        <f t="shared" si="87"/>
        <v>3.1117013644920338E-2</v>
      </c>
      <c r="P267" s="19">
        <f t="shared" si="88"/>
        <v>0</v>
      </c>
      <c r="Q267" s="19">
        <f t="shared" si="89"/>
        <v>3.8879968116322536E-2</v>
      </c>
      <c r="R267" s="19">
        <f t="shared" si="91"/>
        <v>0.84713296129742166</v>
      </c>
      <c r="S267" s="19">
        <f t="shared" si="92"/>
        <v>0.14435419265115959</v>
      </c>
      <c r="T267" s="19">
        <f t="shared" si="93"/>
        <v>-0.26030505503328794</v>
      </c>
      <c r="U267" s="19">
        <f t="shared" si="94"/>
        <v>0.82743119360129158</v>
      </c>
      <c r="V267" s="19">
        <f t="shared" si="95"/>
        <v>0.84044624880971264</v>
      </c>
      <c r="W267" s="19">
        <f t="shared" si="96"/>
        <v>-4.4919856052250323E-2</v>
      </c>
      <c r="X267" s="19">
        <f t="shared" si="97"/>
        <v>1.0463375943591098</v>
      </c>
      <c r="Y267" s="19">
        <f t="shared" si="98"/>
        <v>0.29764477434251158</v>
      </c>
      <c r="AA267" s="19">
        <f t="shared" si="99"/>
        <v>3.698122053975669</v>
      </c>
      <c r="AB267" s="19">
        <f t="shared" si="100"/>
        <v>2.2571651888610718</v>
      </c>
    </row>
    <row r="268" spans="1:28" x14ac:dyDescent="0.25">
      <c r="A268" s="13">
        <f>[1]Data!A271</f>
        <v>45566</v>
      </c>
      <c r="B268" s="14">
        <f>[1]Data!B271</f>
        <v>-8.9637250286328206E-3</v>
      </c>
      <c r="C268" s="14">
        <f>[1]Data!C271</f>
        <v>7.5531379394351394E-2</v>
      </c>
      <c r="D268" s="15">
        <f>[1]Data!F271</f>
        <v>-2.601957976440664E-2</v>
      </c>
      <c r="E268" s="16">
        <f>[1]Data!G271</f>
        <v>2.3824947236706136E-3</v>
      </c>
      <c r="F268" s="15">
        <f>[1]Data!H271</f>
        <v>-1.0442140020132771E-2</v>
      </c>
      <c r="G268" s="16">
        <f>[1]Data!I271</f>
        <v>-3.0675082917408353E-2</v>
      </c>
      <c r="H268" s="17">
        <f t="shared" si="81"/>
        <v>-1</v>
      </c>
      <c r="I268" s="18">
        <f t="shared" si="90"/>
        <v>-1</v>
      </c>
      <c r="J268" s="19">
        <f t="shared" si="82"/>
        <v>0</v>
      </c>
      <c r="K268" s="19">
        <f t="shared" si="83"/>
        <v>2.601957976440664E-2</v>
      </c>
      <c r="L268" s="19">
        <f t="shared" si="84"/>
        <v>0</v>
      </c>
      <c r="M268" s="19">
        <f t="shared" si="85"/>
        <v>2.3824947236706136E-3</v>
      </c>
      <c r="N268" s="19">
        <f t="shared" si="86"/>
        <v>0</v>
      </c>
      <c r="O268" s="19">
        <f t="shared" si="87"/>
        <v>1.0442140020132771E-2</v>
      </c>
      <c r="P268" s="19">
        <f t="shared" si="88"/>
        <v>0</v>
      </c>
      <c r="Q268" s="19">
        <f t="shared" si="89"/>
        <v>-3.0675082917408353E-2</v>
      </c>
      <c r="R268" s="19">
        <f t="shared" si="91"/>
        <v>0.84713296129742166</v>
      </c>
      <c r="S268" s="19">
        <f t="shared" si="92"/>
        <v>0.17037377241556623</v>
      </c>
      <c r="T268" s="19">
        <f t="shared" si="93"/>
        <v>-0.26030505503328794</v>
      </c>
      <c r="U268" s="19">
        <f t="shared" si="94"/>
        <v>0.82981368832496216</v>
      </c>
      <c r="V268" s="19">
        <f t="shared" si="95"/>
        <v>0.84044624880971264</v>
      </c>
      <c r="W268" s="19">
        <f t="shared" si="96"/>
        <v>-3.447771603211755E-2</v>
      </c>
      <c r="X268" s="19">
        <f t="shared" si="97"/>
        <v>1.0463375943591098</v>
      </c>
      <c r="Y268" s="19">
        <f t="shared" si="98"/>
        <v>0.26696969142510324</v>
      </c>
      <c r="AA268" s="19">
        <f t="shared" si="99"/>
        <v>3.7062911855664704</v>
      </c>
      <c r="AB268" s="19">
        <f t="shared" si="100"/>
        <v>2.248201463832439</v>
      </c>
    </row>
    <row r="269" spans="1:28" x14ac:dyDescent="0.25">
      <c r="A269" s="13">
        <f>[1]Data!A272</f>
        <v>45597</v>
      </c>
      <c r="B269" s="14">
        <f>[1]Data!B272</f>
        <v>5.7923013086624189E-2</v>
      </c>
      <c r="C269" s="14">
        <f>[1]Data!C272</f>
        <v>6.2794062589265745E-2</v>
      </c>
      <c r="D269" s="15">
        <f>[1]Data!F272</f>
        <v>1.4846949421476317E-2</v>
      </c>
      <c r="E269" s="16">
        <f>[1]Data!G272</f>
        <v>3.9395219458884141E-2</v>
      </c>
      <c r="F269" s="15">
        <f>[1]Data!H272</f>
        <v>4.6338520008788547E-2</v>
      </c>
      <c r="G269" s="16">
        <f>[1]Data!I272</f>
        <v>-8.818994088863677E-3</v>
      </c>
      <c r="H269" s="17">
        <f t="shared" si="81"/>
        <v>-1</v>
      </c>
      <c r="I269" s="18">
        <f t="shared" si="90"/>
        <v>1</v>
      </c>
      <c r="J269" s="19">
        <f t="shared" si="82"/>
        <v>0</v>
      </c>
      <c r="K269" s="19">
        <f t="shared" si="83"/>
        <v>-1.4846949421476317E-2</v>
      </c>
      <c r="L269" s="19">
        <f t="shared" si="84"/>
        <v>0</v>
      </c>
      <c r="M269" s="19">
        <f t="shared" si="85"/>
        <v>3.9395219458884141E-2</v>
      </c>
      <c r="N269" s="19">
        <f t="shared" si="86"/>
        <v>4.6338520008788547E-2</v>
      </c>
      <c r="O269" s="19">
        <f t="shared" si="87"/>
        <v>0</v>
      </c>
      <c r="P269" s="19">
        <f t="shared" si="88"/>
        <v>8.818994088863677E-3</v>
      </c>
      <c r="Q269" s="19">
        <f t="shared" si="89"/>
        <v>0</v>
      </c>
      <c r="R269" s="19">
        <f t="shared" si="91"/>
        <v>0.84713296129742166</v>
      </c>
      <c r="S269" s="19">
        <f t="shared" si="92"/>
        <v>0.1555268229940899</v>
      </c>
      <c r="T269" s="19">
        <f t="shared" si="93"/>
        <v>-0.26030505503328794</v>
      </c>
      <c r="U269" s="19">
        <f t="shared" si="94"/>
        <v>0.8692089077838463</v>
      </c>
      <c r="V269" s="19">
        <f t="shared" si="95"/>
        <v>0.88678476881850121</v>
      </c>
      <c r="W269" s="19">
        <f t="shared" si="96"/>
        <v>-3.447771603211755E-2</v>
      </c>
      <c r="X269" s="19">
        <f t="shared" si="97"/>
        <v>1.0551565884479734</v>
      </c>
      <c r="Y269" s="19">
        <f t="shared" si="98"/>
        <v>0.26696969142510324</v>
      </c>
      <c r="AA269" s="19">
        <f t="shared" si="99"/>
        <v>3.7859969697015305</v>
      </c>
      <c r="AB269" s="19">
        <f t="shared" si="100"/>
        <v>2.3061244769190634</v>
      </c>
    </row>
    <row r="270" spans="1:28" x14ac:dyDescent="0.25">
      <c r="A270" s="13">
        <f>[1]Data!A273</f>
        <v>45627</v>
      </c>
      <c r="B270" s="14">
        <f>[1]Data!B273</f>
        <v>-2.4354253846920634E-2</v>
      </c>
      <c r="C270" s="14">
        <f>[1]Data!C273</f>
        <v>3.9036998208068344E-2</v>
      </c>
      <c r="D270" s="15">
        <f>[1]Data!F273</f>
        <v>-8.6135309785591897E-3</v>
      </c>
      <c r="E270" s="16">
        <f>[1]Data!G273</f>
        <v>-1.115924717554876E-2</v>
      </c>
      <c r="F270" s="15">
        <f>[1]Data!H273</f>
        <v>8.6917097530328155E-3</v>
      </c>
      <c r="G270" s="16">
        <f>[1]Data!I273</f>
        <v>7.9242570584242746E-3</v>
      </c>
      <c r="H270" s="17">
        <f t="shared" si="81"/>
        <v>-1</v>
      </c>
      <c r="I270" s="18">
        <f t="shared" si="90"/>
        <v>1</v>
      </c>
      <c r="J270" s="19">
        <f t="shared" si="82"/>
        <v>0</v>
      </c>
      <c r="K270" s="19">
        <f t="shared" si="83"/>
        <v>8.6135309785591897E-3</v>
      </c>
      <c r="L270" s="19">
        <f t="shared" si="84"/>
        <v>0</v>
      </c>
      <c r="M270" s="19">
        <f t="shared" si="85"/>
        <v>-1.115924717554876E-2</v>
      </c>
      <c r="N270" s="19">
        <f t="shared" si="86"/>
        <v>8.6917097530328155E-3</v>
      </c>
      <c r="O270" s="19">
        <f t="shared" si="87"/>
        <v>0</v>
      </c>
      <c r="P270" s="19">
        <f t="shared" si="88"/>
        <v>-7.9242570584242746E-3</v>
      </c>
      <c r="Q270" s="19">
        <f t="shared" si="89"/>
        <v>0</v>
      </c>
      <c r="R270" s="19">
        <f t="shared" si="91"/>
        <v>0.84713296129742166</v>
      </c>
      <c r="S270" s="19">
        <f t="shared" si="92"/>
        <v>0.16414035397264909</v>
      </c>
      <c r="T270" s="19">
        <f t="shared" si="93"/>
        <v>-0.26030505503328794</v>
      </c>
      <c r="U270" s="19">
        <f t="shared" si="94"/>
        <v>0.85804966060829757</v>
      </c>
      <c r="V270" s="19">
        <f t="shared" si="95"/>
        <v>0.89547647857153401</v>
      </c>
      <c r="W270" s="19">
        <f t="shared" si="96"/>
        <v>-3.447771603211755E-2</v>
      </c>
      <c r="X270" s="19">
        <f t="shared" si="97"/>
        <v>1.0472323313895491</v>
      </c>
      <c r="Y270" s="19">
        <f t="shared" si="98"/>
        <v>0.26696969142510324</v>
      </c>
      <c r="AA270" s="19">
        <f t="shared" si="99"/>
        <v>3.7842187061991495</v>
      </c>
      <c r="AB270" s="19">
        <f t="shared" si="100"/>
        <v>2.2817702230721428</v>
      </c>
    </row>
    <row r="271" spans="1:28" x14ac:dyDescent="0.25">
      <c r="A271" s="13">
        <f>[1]Data!A274</f>
        <v>45658</v>
      </c>
      <c r="B271" s="14">
        <f>[1]Data!B274</f>
        <v>2.6502009567008759E-2</v>
      </c>
      <c r="C271" s="14">
        <f>[1]Data!C274</f>
        <v>3.7929519450425733E-2</v>
      </c>
      <c r="D271" s="15">
        <f>[1]Data!F274</f>
        <v>-1.0167113227328512E-2</v>
      </c>
      <c r="E271" s="16">
        <f>[1]Data!G274</f>
        <v>6.1722234289853725E-3</v>
      </c>
      <c r="F271" s="15">
        <f>[1]Data!H274</f>
        <v>5.8013851190404702E-3</v>
      </c>
      <c r="G271" s="16">
        <f>[1]Data!I274</f>
        <v>-1.499805088929935E-2</v>
      </c>
      <c r="H271" s="17">
        <f t="shared" si="81"/>
        <v>-1</v>
      </c>
      <c r="I271" s="18">
        <f t="shared" si="90"/>
        <v>1</v>
      </c>
      <c r="J271" s="19">
        <f t="shared" si="82"/>
        <v>0</v>
      </c>
      <c r="K271" s="19">
        <f t="shared" si="83"/>
        <v>1.0167113227328512E-2</v>
      </c>
      <c r="L271" s="19">
        <f t="shared" si="84"/>
        <v>0</v>
      </c>
      <c r="M271" s="19">
        <f t="shared" si="85"/>
        <v>6.1722234289853725E-3</v>
      </c>
      <c r="N271" s="19">
        <f t="shared" si="86"/>
        <v>5.8013851190404702E-3</v>
      </c>
      <c r="O271" s="19">
        <f t="shared" si="87"/>
        <v>0</v>
      </c>
      <c r="P271" s="19">
        <f t="shared" si="88"/>
        <v>1.499805088929935E-2</v>
      </c>
      <c r="Q271" s="19">
        <f t="shared" si="89"/>
        <v>0</v>
      </c>
      <c r="R271" s="19">
        <f t="shared" si="91"/>
        <v>0.84713296129742166</v>
      </c>
      <c r="S271" s="19">
        <f t="shared" si="92"/>
        <v>0.17430746719997761</v>
      </c>
      <c r="T271" s="19">
        <f t="shared" si="93"/>
        <v>-0.26030505503328794</v>
      </c>
      <c r="U271" s="19">
        <f t="shared" si="94"/>
        <v>0.86422188403728295</v>
      </c>
      <c r="V271" s="19">
        <f t="shared" si="95"/>
        <v>0.9012778636905745</v>
      </c>
      <c r="W271" s="19">
        <f t="shared" si="96"/>
        <v>-3.447771603211755E-2</v>
      </c>
      <c r="X271" s="19">
        <f t="shared" si="97"/>
        <v>1.0622303822788484</v>
      </c>
      <c r="Y271" s="19">
        <f t="shared" si="98"/>
        <v>0.26696969142510324</v>
      </c>
      <c r="AA271" s="19">
        <f t="shared" si="99"/>
        <v>3.8213574788638032</v>
      </c>
      <c r="AB271" s="19">
        <f t="shared" si="100"/>
        <v>2.3082722326391516</v>
      </c>
    </row>
    <row r="272" spans="1:28" x14ac:dyDescent="0.25">
      <c r="A272" s="13">
        <f>[1]Data!A275</f>
        <v>45689</v>
      </c>
      <c r="B272" s="14">
        <f>[1]Data!B275</f>
        <v>-1.2776043967811583E-2</v>
      </c>
      <c r="C272" s="14">
        <f>[1]Data!C275</f>
        <v>-3.500936501709119E-2</v>
      </c>
      <c r="D272" s="15">
        <f>[1]Data!F275</f>
        <v>-5.0865333317791379E-3</v>
      </c>
      <c r="E272" s="16">
        <f>[1]Data!G275</f>
        <v>2.8087473180161238E-2</v>
      </c>
      <c r="F272" s="15">
        <f>[1]Data!H275</f>
        <v>-1.7461244313232028E-3</v>
      </c>
      <c r="G272" s="16">
        <f>[1]Data!I275</f>
        <v>2.0621095775060161E-2</v>
      </c>
      <c r="H272" s="17">
        <f t="shared" si="81"/>
        <v>1</v>
      </c>
      <c r="I272" s="18">
        <f t="shared" si="90"/>
        <v>1</v>
      </c>
      <c r="J272" s="19">
        <f t="shared" si="82"/>
        <v>-5.0865333317791379E-3</v>
      </c>
      <c r="K272" s="19">
        <f t="shared" si="83"/>
        <v>0</v>
      </c>
      <c r="L272" s="19">
        <f t="shared" si="84"/>
        <v>-2.8087473180161238E-2</v>
      </c>
      <c r="M272" s="19">
        <f t="shared" si="85"/>
        <v>0</v>
      </c>
      <c r="N272" s="19">
        <f t="shared" si="86"/>
        <v>-1.7461244313232028E-3</v>
      </c>
      <c r="O272" s="19">
        <f t="shared" si="87"/>
        <v>0</v>
      </c>
      <c r="P272" s="19">
        <f t="shared" si="88"/>
        <v>-2.0621095775060161E-2</v>
      </c>
      <c r="Q272" s="19">
        <f t="shared" si="89"/>
        <v>0</v>
      </c>
      <c r="R272" s="19">
        <f t="shared" si="91"/>
        <v>0.84204642796564255</v>
      </c>
      <c r="S272" s="19">
        <f t="shared" si="92"/>
        <v>0.17430746719997761</v>
      </c>
      <c r="T272" s="19">
        <f t="shared" si="93"/>
        <v>-0.28839252821344918</v>
      </c>
      <c r="U272" s="19">
        <f t="shared" si="94"/>
        <v>0.86422188403728295</v>
      </c>
      <c r="V272" s="19">
        <f t="shared" si="95"/>
        <v>0.89953173925925134</v>
      </c>
      <c r="W272" s="19">
        <f t="shared" si="96"/>
        <v>-3.447771603211755E-2</v>
      </c>
      <c r="X272" s="19">
        <f t="shared" si="97"/>
        <v>1.0416092865037883</v>
      </c>
      <c r="Y272" s="19">
        <f t="shared" si="98"/>
        <v>0.26696969142510324</v>
      </c>
      <c r="AA272" s="19">
        <f t="shared" si="99"/>
        <v>3.7658162521454792</v>
      </c>
      <c r="AB272" s="19">
        <f t="shared" si="100"/>
        <v>2.2954961886713399</v>
      </c>
    </row>
    <row r="273" spans="1:28" x14ac:dyDescent="0.25">
      <c r="A273" s="13">
        <f>[1]Data!A276</f>
        <v>45717</v>
      </c>
      <c r="B273" s="14">
        <f>[1]Data!B276</f>
        <v>-5.7331697768171243E-2</v>
      </c>
      <c r="C273" s="14">
        <f>[1]Data!C276</f>
        <v>-3.3407846146737079E-2</v>
      </c>
      <c r="D273" s="15">
        <f>[1]Data!F276</f>
        <v>-8.1718970707223143E-3</v>
      </c>
      <c r="E273" s="16">
        <f>[1]Data!G276</f>
        <v>3.6319127510171141E-3</v>
      </c>
      <c r="F273" s="15">
        <f>[1]Data!H276</f>
        <v>-3.1213501580951396E-2</v>
      </c>
      <c r="G273" s="16">
        <f>[1]Data!I276</f>
        <v>-2.2278008159225978E-2</v>
      </c>
      <c r="H273" s="17">
        <f t="shared" si="81"/>
        <v>1</v>
      </c>
      <c r="I273" s="18">
        <f t="shared" si="90"/>
        <v>-1</v>
      </c>
      <c r="J273" s="19">
        <f t="shared" si="82"/>
        <v>-8.1718970707223143E-3</v>
      </c>
      <c r="K273" s="19">
        <f t="shared" si="83"/>
        <v>0</v>
      </c>
      <c r="L273" s="19">
        <f t="shared" si="84"/>
        <v>-3.6319127510171141E-3</v>
      </c>
      <c r="M273" s="19">
        <f t="shared" si="85"/>
        <v>0</v>
      </c>
      <c r="N273" s="19">
        <f t="shared" si="86"/>
        <v>0</v>
      </c>
      <c r="O273" s="19">
        <f t="shared" si="87"/>
        <v>3.1213501580951396E-2</v>
      </c>
      <c r="P273" s="19">
        <f t="shared" si="88"/>
        <v>0</v>
      </c>
      <c r="Q273" s="19">
        <f t="shared" si="89"/>
        <v>-2.2278008159225978E-2</v>
      </c>
      <c r="R273" s="19">
        <f t="shared" si="91"/>
        <v>0.83387453089492025</v>
      </c>
      <c r="S273" s="19">
        <f t="shared" si="92"/>
        <v>0.17430746719997761</v>
      </c>
      <c r="T273" s="19">
        <f t="shared" si="93"/>
        <v>-0.29202444096446628</v>
      </c>
      <c r="U273" s="19">
        <f t="shared" si="94"/>
        <v>0.86422188403728295</v>
      </c>
      <c r="V273" s="19">
        <f t="shared" si="95"/>
        <v>0.89953173925925134</v>
      </c>
      <c r="W273" s="19">
        <f t="shared" si="96"/>
        <v>-3.2642144511661544E-3</v>
      </c>
      <c r="X273" s="19">
        <f t="shared" si="97"/>
        <v>1.0416092865037883</v>
      </c>
      <c r="Y273" s="19">
        <f t="shared" si="98"/>
        <v>0.24469168326587726</v>
      </c>
      <c r="AA273" s="19">
        <f t="shared" si="99"/>
        <v>3.7629479357454652</v>
      </c>
      <c r="AB273" s="19">
        <f t="shared" si="100"/>
        <v>2.2381644909031686</v>
      </c>
    </row>
    <row r="274" spans="1:28" x14ac:dyDescent="0.25">
      <c r="A274" s="13">
        <f>[1]Data!A277</f>
        <v>45748</v>
      </c>
      <c r="B274" s="14">
        <f>[1]Data!B277</f>
        <v>-8.7079434414738428E-3</v>
      </c>
      <c r="C274" s="14">
        <f>[1]Data!C277</f>
        <v>-1.1483725364181536E-2</v>
      </c>
      <c r="D274" s="15">
        <f>[1]Data!F277</f>
        <v>5.0464070106939728E-2</v>
      </c>
      <c r="E274" s="16">
        <f>[1]Data!G277</f>
        <v>3.3990149814473548E-2</v>
      </c>
      <c r="F274" s="15">
        <f>[1]Data!H277</f>
        <v>-0.10351692435420581</v>
      </c>
      <c r="G274" s="16">
        <f>[1]Data!I277</f>
        <v>-7.2364724208488149E-3</v>
      </c>
      <c r="H274" s="17">
        <f t="shared" si="81"/>
        <v>1</v>
      </c>
      <c r="I274" s="18">
        <f t="shared" si="90"/>
        <v>-1</v>
      </c>
      <c r="J274" s="19">
        <f t="shared" si="82"/>
        <v>5.0464070106939728E-2</v>
      </c>
      <c r="K274" s="19">
        <f t="shared" si="83"/>
        <v>0</v>
      </c>
      <c r="L274" s="19">
        <f t="shared" si="84"/>
        <v>-3.3990149814473548E-2</v>
      </c>
      <c r="M274" s="19">
        <f t="shared" si="85"/>
        <v>0</v>
      </c>
      <c r="N274" s="19">
        <f t="shared" si="86"/>
        <v>0</v>
      </c>
      <c r="O274" s="19">
        <f t="shared" si="87"/>
        <v>0.10351692435420581</v>
      </c>
      <c r="P274" s="19">
        <f t="shared" si="88"/>
        <v>0</v>
      </c>
      <c r="Q274" s="19">
        <f t="shared" si="89"/>
        <v>-7.2364724208488149E-3</v>
      </c>
      <c r="R274" s="19">
        <f t="shared" si="91"/>
        <v>0.88433860100186001</v>
      </c>
      <c r="S274" s="19">
        <f t="shared" si="92"/>
        <v>0.17430746719997761</v>
      </c>
      <c r="T274" s="19">
        <f t="shared" si="93"/>
        <v>-0.32601459077893985</v>
      </c>
      <c r="U274" s="19">
        <f t="shared" si="94"/>
        <v>0.86422188403728295</v>
      </c>
      <c r="V274" s="19">
        <f t="shared" si="95"/>
        <v>0.89953173925925134</v>
      </c>
      <c r="W274" s="19">
        <f t="shared" si="96"/>
        <v>0.10025270990303967</v>
      </c>
      <c r="X274" s="19">
        <f t="shared" si="97"/>
        <v>1.0416092865037883</v>
      </c>
      <c r="Y274" s="19">
        <f t="shared" si="98"/>
        <v>0.23745521084502844</v>
      </c>
      <c r="AA274" s="19">
        <f t="shared" si="99"/>
        <v>3.8757023079712885</v>
      </c>
      <c r="AB274" s="19">
        <f t="shared" si="100"/>
        <v>2.229456547461695</v>
      </c>
    </row>
    <row r="275" spans="1:28" x14ac:dyDescent="0.25">
      <c r="A275" s="13">
        <f>[1]Data!A278</f>
        <v>45778</v>
      </c>
      <c r="B275" s="14">
        <f>[1]Data!B278</f>
        <v>6.0949225706794605E-2</v>
      </c>
      <c r="C275" s="14">
        <f>[1]Data!C278</f>
        <v>0.10957911041744683</v>
      </c>
      <c r="D275" s="15">
        <f>[1]Data!F278</f>
        <v>1.1141170220970385E-2</v>
      </c>
      <c r="E275" s="16">
        <f>[1]Data!G278</f>
        <v>2.713825197772381E-2</v>
      </c>
      <c r="F275" s="15">
        <f>[1]Data!H278</f>
        <v>1.1849305622369077E-2</v>
      </c>
      <c r="G275" s="16">
        <f>[1]Data!I278</f>
        <v>-1.4030753308767668E-2</v>
      </c>
      <c r="H275" s="17">
        <f t="shared" si="81"/>
        <v>-1</v>
      </c>
      <c r="I275" s="18">
        <f t="shared" si="90"/>
        <v>-1</v>
      </c>
      <c r="J275" s="19">
        <f t="shared" si="82"/>
        <v>0</v>
      </c>
      <c r="K275" s="19">
        <f t="shared" si="83"/>
        <v>-1.1141170220970385E-2</v>
      </c>
      <c r="L275" s="19">
        <f t="shared" si="84"/>
        <v>0</v>
      </c>
      <c r="M275" s="19">
        <f t="shared" si="85"/>
        <v>2.713825197772381E-2</v>
      </c>
      <c r="N275" s="19">
        <f t="shared" si="86"/>
        <v>0</v>
      </c>
      <c r="O275" s="19">
        <f t="shared" si="87"/>
        <v>-1.1849305622369077E-2</v>
      </c>
      <c r="P275" s="19">
        <f t="shared" si="88"/>
        <v>0</v>
      </c>
      <c r="Q275" s="19">
        <f t="shared" si="89"/>
        <v>-1.4030753308767668E-2</v>
      </c>
      <c r="R275" s="19">
        <f t="shared" si="91"/>
        <v>0.88433860100186001</v>
      </c>
      <c r="S275" s="19">
        <f t="shared" si="92"/>
        <v>0.16316629697900722</v>
      </c>
      <c r="T275" s="19">
        <f t="shared" si="93"/>
        <v>-0.32601459077893985</v>
      </c>
      <c r="U275" s="19">
        <f t="shared" si="94"/>
        <v>0.89136013601500674</v>
      </c>
      <c r="V275" s="19">
        <f t="shared" si="95"/>
        <v>0.89953173925925134</v>
      </c>
      <c r="W275" s="19">
        <f t="shared" si="96"/>
        <v>8.8403404280670589E-2</v>
      </c>
      <c r="X275" s="19">
        <f t="shared" si="97"/>
        <v>1.0416092865037883</v>
      </c>
      <c r="Y275" s="19">
        <f t="shared" si="98"/>
        <v>0.22342445753626078</v>
      </c>
      <c r="AA275" s="19">
        <f t="shared" si="99"/>
        <v>3.8658193307969051</v>
      </c>
      <c r="AB275" s="19">
        <f t="shared" si="100"/>
        <v>2.2904057731684895</v>
      </c>
    </row>
    <row r="276" spans="1:28" x14ac:dyDescent="0.25">
      <c r="A276" s="13">
        <f>[1]Data!A279</f>
        <v>45809</v>
      </c>
      <c r="B276" s="14">
        <f>[1]Data!B279</f>
        <v>5.0109422082739628E-2</v>
      </c>
      <c r="C276" s="14">
        <f>[1]Data!C279</f>
        <v>1.1664630776718258E-2</v>
      </c>
      <c r="D276" s="15">
        <f>[1]Data!F279</f>
        <v>2.9066005384365462E-2</v>
      </c>
      <c r="E276" s="16">
        <f>[1]Data!G279</f>
        <v>1.6912792689625568E-2</v>
      </c>
      <c r="F276" s="15">
        <f>[1]Data!H279</f>
        <v>1.6407174187849045E-2</v>
      </c>
      <c r="G276" s="16">
        <f>[1]Data!I279</f>
        <v>-7.1216753098330733E-3</v>
      </c>
      <c r="H276" s="17">
        <f t="shared" si="81"/>
        <v>-1</v>
      </c>
      <c r="I276" s="18">
        <f t="shared" si="90"/>
        <v>1</v>
      </c>
      <c r="J276" s="19">
        <f t="shared" si="82"/>
        <v>0</v>
      </c>
      <c r="K276" s="19">
        <f t="shared" si="83"/>
        <v>-2.9066005384365462E-2</v>
      </c>
      <c r="L276" s="19">
        <f t="shared" si="84"/>
        <v>0</v>
      </c>
      <c r="M276" s="19">
        <f t="shared" si="85"/>
        <v>1.6912792689625568E-2</v>
      </c>
      <c r="N276" s="19">
        <f t="shared" si="86"/>
        <v>1.6407174187849045E-2</v>
      </c>
      <c r="O276" s="19">
        <f t="shared" si="87"/>
        <v>0</v>
      </c>
      <c r="P276" s="19">
        <f t="shared" si="88"/>
        <v>7.1216753098330733E-3</v>
      </c>
      <c r="Q276" s="19">
        <f t="shared" si="89"/>
        <v>0</v>
      </c>
      <c r="R276" s="19">
        <f t="shared" si="91"/>
        <v>0.88433860100186001</v>
      </c>
      <c r="S276" s="19">
        <f t="shared" si="92"/>
        <v>0.13410029159464176</v>
      </c>
      <c r="T276" s="19">
        <f t="shared" si="93"/>
        <v>-0.32601459077893985</v>
      </c>
      <c r="U276" s="19">
        <f t="shared" si="94"/>
        <v>0.90827292870463228</v>
      </c>
      <c r="V276" s="19">
        <f t="shared" si="95"/>
        <v>0.91593891344710043</v>
      </c>
      <c r="W276" s="19">
        <f t="shared" si="96"/>
        <v>8.8403404280670589E-2</v>
      </c>
      <c r="X276" s="19">
        <f t="shared" si="97"/>
        <v>1.0487309618136214</v>
      </c>
      <c r="Y276" s="19">
        <f t="shared" si="98"/>
        <v>0.22342445753626078</v>
      </c>
      <c r="AA276" s="19">
        <f t="shared" si="99"/>
        <v>3.8771949675998472</v>
      </c>
      <c r="AB276" s="19">
        <f t="shared" si="100"/>
        <v>2.3405151952512293</v>
      </c>
    </row>
    <row r="277" spans="1:28" x14ac:dyDescent="0.25">
      <c r="A277" s="13">
        <f>[1]Data!A280</f>
        <v>45839</v>
      </c>
      <c r="B277" s="14">
        <f>[1]Data!B280</f>
        <v>2.2770325416294181E-2</v>
      </c>
      <c r="C277" s="14">
        <f>[1]Data!C280</f>
        <v>3.3737406528080702E-2</v>
      </c>
      <c r="D277" s="15">
        <f>[1]Data!F280</f>
        <v>5.1073623354443189E-3</v>
      </c>
      <c r="E277" s="16">
        <f>[1]Data!G280</f>
        <v>4.6125415532246722E-3</v>
      </c>
      <c r="F277" s="15">
        <f>[1]Data!H280</f>
        <v>4.0220880825346979E-3</v>
      </c>
      <c r="G277" s="16">
        <f>[1]Data!I280</f>
        <v>-2.1753909381793265E-2</v>
      </c>
      <c r="H277" s="17">
        <f t="shared" si="81"/>
        <v>-1</v>
      </c>
      <c r="I277" s="18">
        <f t="shared" si="90"/>
        <v>1</v>
      </c>
      <c r="J277" s="19">
        <f t="shared" si="82"/>
        <v>0</v>
      </c>
      <c r="K277" s="19">
        <f t="shared" si="83"/>
        <v>-5.1073623354443189E-3</v>
      </c>
      <c r="L277" s="19">
        <f t="shared" si="84"/>
        <v>0</v>
      </c>
      <c r="M277" s="19">
        <f t="shared" si="85"/>
        <v>4.6125415532246722E-3</v>
      </c>
      <c r="N277" s="19">
        <f t="shared" si="86"/>
        <v>4.0220880825346979E-3</v>
      </c>
      <c r="O277" s="19">
        <f t="shared" si="87"/>
        <v>0</v>
      </c>
      <c r="P277" s="19">
        <f t="shared" si="88"/>
        <v>2.1753909381793265E-2</v>
      </c>
      <c r="Q277" s="19">
        <f t="shared" si="89"/>
        <v>0</v>
      </c>
      <c r="R277" s="19">
        <f t="shared" si="91"/>
        <v>0.88433860100186001</v>
      </c>
      <c r="S277" s="19">
        <f t="shared" si="92"/>
        <v>0.12899292925919745</v>
      </c>
      <c r="T277" s="19">
        <f t="shared" si="93"/>
        <v>-0.32601459077893985</v>
      </c>
      <c r="U277" s="19">
        <f t="shared" si="94"/>
        <v>0.91288547025785693</v>
      </c>
      <c r="V277" s="19">
        <f t="shared" si="95"/>
        <v>0.91996100152963511</v>
      </c>
      <c r="W277" s="19">
        <f t="shared" si="96"/>
        <v>8.8403404280670589E-2</v>
      </c>
      <c r="X277" s="19">
        <f t="shared" si="97"/>
        <v>1.0704848711954147</v>
      </c>
      <c r="Y277" s="19">
        <f t="shared" si="98"/>
        <v>0.22342445753626078</v>
      </c>
      <c r="AA277" s="19">
        <f t="shared" si="99"/>
        <v>3.9024761442819553</v>
      </c>
      <c r="AB277" s="19">
        <f t="shared" si="100"/>
        <v>2.3632855206675236</v>
      </c>
    </row>
    <row r="278" spans="1:28" ht="15.75" thickBot="1" x14ac:dyDescent="0.3">
      <c r="A278" s="20">
        <f>[1]Data!A281</f>
        <v>45870</v>
      </c>
      <c r="B278" s="21">
        <f>[1]Data!B281</f>
        <v>9.4946638684212728E-3</v>
      </c>
      <c r="C278" s="21">
        <f>[1]Data!C281</f>
        <v>6.6001117953861342E-3</v>
      </c>
      <c r="D278" s="22">
        <f>[1]Data!F281</f>
        <v>0</v>
      </c>
      <c r="E278" s="23">
        <f>[1]Data!G281</f>
        <v>0</v>
      </c>
      <c r="F278" s="22">
        <f>[1]Data!H281</f>
        <v>2.6889009812874562E-4</v>
      </c>
      <c r="G278" s="23">
        <f>[1]Data!I281</f>
        <v>1.2406993948444583E-2</v>
      </c>
      <c r="H278" s="17">
        <f t="shared" si="81"/>
        <v>-1</v>
      </c>
      <c r="I278" s="18">
        <f t="shared" si="90"/>
        <v>1</v>
      </c>
      <c r="J278" s="19">
        <f t="shared" si="82"/>
        <v>0</v>
      </c>
      <c r="K278" s="19">
        <f t="shared" si="83"/>
        <v>0</v>
      </c>
      <c r="L278" s="19">
        <f t="shared" si="84"/>
        <v>0</v>
      </c>
      <c r="M278" s="19">
        <f t="shared" si="85"/>
        <v>0</v>
      </c>
      <c r="N278" s="19">
        <f t="shared" si="86"/>
        <v>2.6889009812874562E-4</v>
      </c>
      <c r="O278" s="19">
        <f t="shared" si="87"/>
        <v>0</v>
      </c>
      <c r="P278" s="19">
        <f t="shared" si="88"/>
        <v>-1.2406993948444583E-2</v>
      </c>
      <c r="Q278" s="19">
        <f t="shared" si="89"/>
        <v>0</v>
      </c>
      <c r="R278" s="19">
        <f t="shared" si="91"/>
        <v>0.88433860100186001</v>
      </c>
      <c r="S278" s="19">
        <f t="shared" si="92"/>
        <v>0.12899292925919745</v>
      </c>
      <c r="T278" s="19">
        <f t="shared" si="93"/>
        <v>-0.32601459077893985</v>
      </c>
      <c r="U278" s="19">
        <f t="shared" si="94"/>
        <v>0.91288547025785693</v>
      </c>
      <c r="V278" s="19">
        <f t="shared" si="95"/>
        <v>0.92022989162776381</v>
      </c>
      <c r="W278" s="19">
        <f t="shared" si="96"/>
        <v>8.8403404280670589E-2</v>
      </c>
      <c r="X278" s="19">
        <f t="shared" si="97"/>
        <v>1.0580778772469701</v>
      </c>
      <c r="Y278" s="19">
        <f t="shared" si="98"/>
        <v>0.22342445753626078</v>
      </c>
      <c r="AA278" s="19">
        <f t="shared" si="99"/>
        <v>3.8903380404316397</v>
      </c>
      <c r="AB278" s="19">
        <f t="shared" si="100"/>
        <v>2.3727801845359449</v>
      </c>
    </row>
    <row r="279" spans="1:28" x14ac:dyDescent="0.25">
      <c r="A279" s="5">
        <v>45901</v>
      </c>
      <c r="B279" s="24">
        <v>3.5234000000000001E-2</v>
      </c>
      <c r="C279" s="24">
        <v>7.9579999999999998E-3</v>
      </c>
      <c r="D279" s="25">
        <v>-9.3199999999999999E-4</v>
      </c>
      <c r="E279" s="16">
        <v>7.5950000000000002E-3</v>
      </c>
      <c r="F279" s="15">
        <v>5.927E-3</v>
      </c>
      <c r="G279" s="16">
        <v>3.9731000000000002E-2</v>
      </c>
      <c r="H279" s="17">
        <f t="shared" si="81"/>
        <v>-1</v>
      </c>
      <c r="I279" s="18">
        <f t="shared" si="90"/>
        <v>1</v>
      </c>
      <c r="J279" s="19">
        <f t="shared" si="82"/>
        <v>0</v>
      </c>
      <c r="K279" s="19">
        <f t="shared" si="83"/>
        <v>9.3199999999999999E-4</v>
      </c>
      <c r="L279" s="19">
        <f t="shared" si="84"/>
        <v>0</v>
      </c>
      <c r="M279" s="19">
        <f t="shared" si="85"/>
        <v>7.5950000000000002E-3</v>
      </c>
      <c r="N279" s="19">
        <f t="shared" si="86"/>
        <v>5.927E-3</v>
      </c>
      <c r="O279" s="19">
        <f t="shared" si="87"/>
        <v>0</v>
      </c>
      <c r="P279" s="19">
        <f t="shared" si="88"/>
        <v>-3.9731000000000002E-2</v>
      </c>
      <c r="Q279" s="19">
        <f t="shared" si="89"/>
        <v>0</v>
      </c>
      <c r="R279" s="19">
        <f t="shared" si="91"/>
        <v>0.88433860100186001</v>
      </c>
      <c r="S279" s="19">
        <f t="shared" si="92"/>
        <v>0.12992492925919744</v>
      </c>
      <c r="T279" s="19">
        <f t="shared" si="93"/>
        <v>-0.32601459077893985</v>
      </c>
      <c r="U279" s="19">
        <f t="shared" si="94"/>
        <v>0.92048047025785695</v>
      </c>
      <c r="V279" s="19">
        <f t="shared" si="95"/>
        <v>0.92615689162776382</v>
      </c>
      <c r="W279" s="19">
        <f t="shared" si="96"/>
        <v>8.8403404280670589E-2</v>
      </c>
      <c r="X279" s="19">
        <f t="shared" si="97"/>
        <v>1.0183468772469702</v>
      </c>
      <c r="Y279" s="19">
        <f t="shared" si="98"/>
        <v>0.22342445753626078</v>
      </c>
      <c r="AA279" s="19">
        <f t="shared" si="99"/>
        <v>3.8650610404316397</v>
      </c>
      <c r="AB279" s="19">
        <f t="shared" si="100"/>
        <v>2.4080141845359448</v>
      </c>
    </row>
    <row r="280" spans="1:28" x14ac:dyDescent="0.25">
      <c r="A280" s="5">
        <v>45931</v>
      </c>
      <c r="B280" s="24">
        <v>3.2113000000000003E-2</v>
      </c>
      <c r="C280" s="26">
        <v>-2.4447E-2</v>
      </c>
      <c r="D280" s="15">
        <v>2.3838000000000002E-2</v>
      </c>
      <c r="E280" s="27">
        <v>-9.8560000000000002E-3</v>
      </c>
      <c r="F280" s="15">
        <v>4.4229999999999998E-3</v>
      </c>
      <c r="G280" s="16">
        <v>1.4040000000000001E-3</v>
      </c>
      <c r="H280" s="17">
        <f t="shared" si="81"/>
        <v>1</v>
      </c>
      <c r="I280" s="18">
        <f t="shared" si="90"/>
        <v>1</v>
      </c>
      <c r="J280" s="19">
        <f t="shared" si="82"/>
        <v>2.3838000000000002E-2</v>
      </c>
      <c r="K280" s="19">
        <f t="shared" si="83"/>
        <v>0</v>
      </c>
      <c r="L280" s="19">
        <f t="shared" si="84"/>
        <v>9.8560000000000002E-3</v>
      </c>
      <c r="M280" s="19">
        <f t="shared" si="85"/>
        <v>0</v>
      </c>
      <c r="N280" s="19">
        <f t="shared" si="86"/>
        <v>4.4229999999999998E-3</v>
      </c>
      <c r="O280" s="19">
        <f t="shared" si="87"/>
        <v>0</v>
      </c>
      <c r="P280" s="19">
        <f t="shared" si="88"/>
        <v>-1.4040000000000001E-3</v>
      </c>
      <c r="Q280" s="19">
        <f t="shared" si="89"/>
        <v>0</v>
      </c>
      <c r="R280" s="19">
        <f t="shared" si="91"/>
        <v>0.90817660100186004</v>
      </c>
      <c r="S280" s="19">
        <f t="shared" si="92"/>
        <v>0.12992492925919744</v>
      </c>
      <c r="T280" s="19">
        <f t="shared" si="93"/>
        <v>-0.31615859077893987</v>
      </c>
      <c r="U280" s="19">
        <f t="shared" si="94"/>
        <v>0.92048047025785695</v>
      </c>
      <c r="V280" s="19">
        <f t="shared" si="95"/>
        <v>0.93057989162776378</v>
      </c>
      <c r="W280" s="19">
        <f t="shared" si="96"/>
        <v>8.8403404280670589E-2</v>
      </c>
      <c r="X280" s="19">
        <f t="shared" si="97"/>
        <v>1.0169428772469702</v>
      </c>
      <c r="Y280" s="19">
        <f t="shared" si="98"/>
        <v>0.22342445753626078</v>
      </c>
      <c r="AA280" s="19">
        <f t="shared" si="99"/>
        <v>3.9017740404316399</v>
      </c>
      <c r="AB280" s="19">
        <f t="shared" si="100"/>
        <v>2.4401271845359447</v>
      </c>
    </row>
    <row r="281" spans="1:28" x14ac:dyDescent="0.25">
      <c r="A281" s="5"/>
    </row>
    <row r="282" spans="1:28" x14ac:dyDescent="0.25">
      <c r="A282" s="5"/>
    </row>
    <row r="283" spans="1:28" x14ac:dyDescent="0.25">
      <c r="A283" s="5"/>
    </row>
    <row r="284" spans="1:28" x14ac:dyDescent="0.25">
      <c r="A284" s="5"/>
    </row>
    <row r="285" spans="1:28" x14ac:dyDescent="0.25">
      <c r="A285" s="5"/>
    </row>
    <row r="286" spans="1:28" x14ac:dyDescent="0.25">
      <c r="A286" s="5"/>
    </row>
    <row r="287" spans="1:28" x14ac:dyDescent="0.25">
      <c r="A287" s="5"/>
    </row>
    <row r="288" spans="1:28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9B2E-0844-4A31-95D2-B499685895D4}">
  <dimension ref="A1:Q298"/>
  <sheetViews>
    <sheetView topLeftCell="I1" zoomScale="70" zoomScaleNormal="70" workbookViewId="0">
      <selection activeCell="F22" sqref="F22"/>
    </sheetView>
  </sheetViews>
  <sheetFormatPr defaultRowHeight="15" x14ac:dyDescent="0.25"/>
  <cols>
    <col min="1" max="1" width="12" style="30" bestFit="1" customWidth="1"/>
    <col min="2" max="2" width="17.7109375" style="30" bestFit="1" customWidth="1"/>
    <col min="3" max="3" width="25" style="30" bestFit="1" customWidth="1"/>
    <col min="4" max="4" width="24" style="30" bestFit="1" customWidth="1"/>
    <col min="5" max="5" width="23.42578125" style="30" bestFit="1" customWidth="1"/>
    <col min="6" max="6" width="23.85546875" style="30" bestFit="1" customWidth="1"/>
    <col min="7" max="7" width="23.140625" style="30" bestFit="1" customWidth="1"/>
    <col min="8" max="8" width="21.140625" style="30" bestFit="1" customWidth="1"/>
    <col min="9" max="9" width="21" style="30" bestFit="1" customWidth="1"/>
    <col min="10" max="10" width="45.42578125" style="30" bestFit="1" customWidth="1"/>
    <col min="11" max="11" width="45.85546875" style="30" bestFit="1" customWidth="1"/>
    <col min="12" max="12" width="44.5703125" style="30" bestFit="1" customWidth="1"/>
    <col min="13" max="13" width="44.28515625" style="30" bestFit="1" customWidth="1"/>
    <col min="14" max="14" width="46.7109375" style="30" bestFit="1" customWidth="1"/>
    <col min="15" max="15" width="47.140625" style="30" bestFit="1" customWidth="1"/>
    <col min="16" max="16" width="45.85546875" style="30" bestFit="1" customWidth="1"/>
    <col min="17" max="17" width="45.42578125" style="30" bestFit="1" customWidth="1"/>
    <col min="18" max="16384" width="9.140625" style="30"/>
  </cols>
  <sheetData>
    <row r="1" spans="1:17" s="53" customFormat="1" ht="15.75" thickBot="1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</row>
    <row r="2" spans="1:17" x14ac:dyDescent="0.25">
      <c r="A2" s="31">
        <f>[1]Data!A5</f>
        <v>37469</v>
      </c>
      <c r="B2" s="32">
        <f>[1]Data!B5</f>
        <v>6.7786154352028833E-3</v>
      </c>
      <c r="C2" s="32">
        <f>[1]Data!C5</f>
        <v>1.0151052696173293E-2</v>
      </c>
      <c r="D2" s="33">
        <f>[1]Data!F5</f>
        <v>-4.2345772443368498E-2</v>
      </c>
      <c r="E2" s="34">
        <f>[1]Data!G5</f>
        <v>1.469165253014592E-2</v>
      </c>
      <c r="F2" s="33">
        <f>[1]Data!H5</f>
        <v>-3.414351278145604E-2</v>
      </c>
      <c r="G2" s="34">
        <f>[1]Data!I5</f>
        <v>1.4075972845321685E-2</v>
      </c>
      <c r="H2" s="35">
        <f t="shared" ref="H2:H65" si="0">IF(C2&gt;0,-1,1)</f>
        <v>-1</v>
      </c>
      <c r="I2" s="36">
        <v>0</v>
      </c>
      <c r="J2" s="37">
        <f t="shared" ref="J2:J65" si="1">IF(H2=1,D2,0)</f>
        <v>0</v>
      </c>
      <c r="K2" s="37">
        <f t="shared" ref="K2:K65" si="2">IF(H2=-1,-D2,0)</f>
        <v>4.2345772443368498E-2</v>
      </c>
      <c r="L2" s="37">
        <f t="shared" ref="L2:L65" si="3">IF(H2=1,-E2,0)</f>
        <v>0</v>
      </c>
      <c r="M2" s="37">
        <f t="shared" ref="M2:M65" si="4">IF(H2=-1,E2,0)</f>
        <v>1.469165253014592E-2</v>
      </c>
      <c r="N2" s="37">
        <f t="shared" ref="N2:N65" si="5">IF(I2=1,F2,0)</f>
        <v>0</v>
      </c>
      <c r="O2" s="37">
        <f t="shared" ref="O2:O65" si="6">IF(I2=-1,-F2,0)</f>
        <v>0</v>
      </c>
      <c r="P2" s="37">
        <f t="shared" ref="P2:P65" si="7">IF(I2=1,-G2,0)</f>
        <v>0</v>
      </c>
      <c r="Q2" s="37">
        <f t="shared" ref="Q2:Q65" si="8">IF(I2=-1,G2,0)</f>
        <v>0</v>
      </c>
    </row>
    <row r="3" spans="1:17" x14ac:dyDescent="0.25">
      <c r="A3" s="38">
        <f>[1]Data!A6</f>
        <v>37500</v>
      </c>
      <c r="B3" s="39">
        <f>[1]Data!B6</f>
        <v>-0.11076677231132262</v>
      </c>
      <c r="C3" s="39">
        <f>[1]Data!C6</f>
        <v>-0.12654670885184757</v>
      </c>
      <c r="D3" s="40">
        <f>[1]Data!F6</f>
        <v>-2.2605263607593816E-2</v>
      </c>
      <c r="E3" s="41">
        <f>[1]Data!G6</f>
        <v>3.3248630832344141E-3</v>
      </c>
      <c r="F3" s="40">
        <f>[1]Data!H6</f>
        <v>-1.2278930521347042E-2</v>
      </c>
      <c r="G3" s="41">
        <f>[1]Data!I6</f>
        <v>7.1598070258672257E-3</v>
      </c>
      <c r="H3" s="42">
        <f t="shared" si="0"/>
        <v>1</v>
      </c>
      <c r="I3" s="43">
        <f t="shared" ref="I3:I66" si="9">IF(C2&gt;0,1,-1)</f>
        <v>1</v>
      </c>
      <c r="J3" s="37">
        <f t="shared" si="1"/>
        <v>-2.2605263607593816E-2</v>
      </c>
      <c r="K3" s="37">
        <f t="shared" si="2"/>
        <v>0</v>
      </c>
      <c r="L3" s="37">
        <f t="shared" si="3"/>
        <v>-3.3248630832344141E-3</v>
      </c>
      <c r="M3" s="37">
        <f t="shared" si="4"/>
        <v>0</v>
      </c>
      <c r="N3" s="37">
        <f t="shared" si="5"/>
        <v>-1.2278930521347042E-2</v>
      </c>
      <c r="O3" s="37">
        <f t="shared" si="6"/>
        <v>0</v>
      </c>
      <c r="P3" s="37">
        <f t="shared" si="7"/>
        <v>-7.1598070258672257E-3</v>
      </c>
      <c r="Q3" s="37">
        <f t="shared" si="8"/>
        <v>0</v>
      </c>
    </row>
    <row r="4" spans="1:17" x14ac:dyDescent="0.25">
      <c r="A4" s="38">
        <f>[1]Data!A7</f>
        <v>37530</v>
      </c>
      <c r="B4" s="39">
        <f>[1]Data!B7</f>
        <v>7.9072556471592031E-2</v>
      </c>
      <c r="C4" s="39">
        <f>[1]Data!C7</f>
        <v>0.16075988880458544</v>
      </c>
      <c r="D4" s="40">
        <f>[1]Data!F7</f>
        <v>-1.8468757302789001E-2</v>
      </c>
      <c r="E4" s="41">
        <f>[1]Data!G7</f>
        <v>2.5574892630438432E-2</v>
      </c>
      <c r="F4" s="40">
        <f>[1]Data!H7</f>
        <v>-3.3063528520603847E-2</v>
      </c>
      <c r="G4" s="41">
        <f>[1]Data!I7</f>
        <v>-4.4185292609520352E-3</v>
      </c>
      <c r="H4" s="42">
        <f t="shared" si="0"/>
        <v>-1</v>
      </c>
      <c r="I4" s="43">
        <f t="shared" si="9"/>
        <v>-1</v>
      </c>
      <c r="J4" s="37">
        <f t="shared" si="1"/>
        <v>0</v>
      </c>
      <c r="K4" s="37">
        <f t="shared" si="2"/>
        <v>1.8468757302789001E-2</v>
      </c>
      <c r="L4" s="37">
        <f t="shared" si="3"/>
        <v>0</v>
      </c>
      <c r="M4" s="37">
        <f t="shared" si="4"/>
        <v>2.5574892630438432E-2</v>
      </c>
      <c r="N4" s="37">
        <f t="shared" si="5"/>
        <v>0</v>
      </c>
      <c r="O4" s="37">
        <f t="shared" si="6"/>
        <v>3.3063528520603847E-2</v>
      </c>
      <c r="P4" s="37">
        <f t="shared" si="7"/>
        <v>0</v>
      </c>
      <c r="Q4" s="37">
        <f t="shared" si="8"/>
        <v>-4.4185292609520352E-3</v>
      </c>
    </row>
    <row r="5" spans="1:17" x14ac:dyDescent="0.25">
      <c r="A5" s="38">
        <f>[1]Data!A8</f>
        <v>37561</v>
      </c>
      <c r="B5" s="39">
        <f>[1]Data!B8</f>
        <v>5.9854092957559765E-2</v>
      </c>
      <c r="C5" s="39">
        <f>[1]Data!C8</f>
        <v>6.3586580985996705E-2</v>
      </c>
      <c r="D5" s="40">
        <f>[1]Data!F8</f>
        <v>-1.1693546525228817E-3</v>
      </c>
      <c r="E5" s="41">
        <f>[1]Data!G8</f>
        <v>-6.6405285442990448E-3</v>
      </c>
      <c r="F5" s="40">
        <f>[1]Data!H8</f>
        <v>2.4990820097527615E-2</v>
      </c>
      <c r="G5" s="41">
        <f>[1]Data!I8</f>
        <v>1.5959440241275595E-2</v>
      </c>
      <c r="H5" s="42">
        <f t="shared" si="0"/>
        <v>-1</v>
      </c>
      <c r="I5" s="43">
        <f t="shared" si="9"/>
        <v>1</v>
      </c>
      <c r="J5" s="37">
        <f t="shared" si="1"/>
        <v>0</v>
      </c>
      <c r="K5" s="37">
        <f t="shared" si="2"/>
        <v>1.1693546525228817E-3</v>
      </c>
      <c r="L5" s="37">
        <f t="shared" si="3"/>
        <v>0</v>
      </c>
      <c r="M5" s="37">
        <f t="shared" si="4"/>
        <v>-6.6405285442990448E-3</v>
      </c>
      <c r="N5" s="37">
        <f t="shared" si="5"/>
        <v>2.4990820097527615E-2</v>
      </c>
      <c r="O5" s="37">
        <f t="shared" si="6"/>
        <v>0</v>
      </c>
      <c r="P5" s="37">
        <f t="shared" si="7"/>
        <v>-1.5959440241275595E-2</v>
      </c>
      <c r="Q5" s="37">
        <f t="shared" si="8"/>
        <v>0</v>
      </c>
    </row>
    <row r="6" spans="1:17" x14ac:dyDescent="0.25">
      <c r="A6" s="38">
        <f>[1]Data!A9</f>
        <v>37591</v>
      </c>
      <c r="B6" s="39">
        <f>[1]Data!B9</f>
        <v>-5.823252946503793E-2</v>
      </c>
      <c r="C6" s="39">
        <f>[1]Data!C9</f>
        <v>-6.4204942347053789E-2</v>
      </c>
      <c r="D6" s="40">
        <f>[1]Data!F9</f>
        <v>-1.975141288916684E-2</v>
      </c>
      <c r="E6" s="41">
        <f>[1]Data!G9</f>
        <v>1.8537161373992306E-2</v>
      </c>
      <c r="F6" s="40">
        <f>[1]Data!H9</f>
        <v>-2.0967368053873555E-2</v>
      </c>
      <c r="G6" s="41">
        <f>[1]Data!I9</f>
        <v>1.1778490418373625E-2</v>
      </c>
      <c r="H6" s="42">
        <f t="shared" si="0"/>
        <v>1</v>
      </c>
      <c r="I6" s="43">
        <f t="shared" si="9"/>
        <v>1</v>
      </c>
      <c r="J6" s="37">
        <f t="shared" si="1"/>
        <v>-1.975141288916684E-2</v>
      </c>
      <c r="K6" s="37">
        <f t="shared" si="2"/>
        <v>0</v>
      </c>
      <c r="L6" s="37">
        <f t="shared" si="3"/>
        <v>-1.8537161373992306E-2</v>
      </c>
      <c r="M6" s="37">
        <f t="shared" si="4"/>
        <v>0</v>
      </c>
      <c r="N6" s="37">
        <f t="shared" si="5"/>
        <v>-2.0967368053873555E-2</v>
      </c>
      <c r="O6" s="37">
        <f t="shared" si="6"/>
        <v>0</v>
      </c>
      <c r="P6" s="37">
        <f t="shared" si="7"/>
        <v>-1.1778490418373625E-2</v>
      </c>
      <c r="Q6" s="37">
        <f t="shared" si="8"/>
        <v>0</v>
      </c>
    </row>
    <row r="7" spans="1:17" x14ac:dyDescent="0.25">
      <c r="A7" s="38">
        <f>[1]Data!A10</f>
        <v>37622</v>
      </c>
      <c r="B7" s="39">
        <f>[1]Data!B10</f>
        <v>-2.4902965529687425E-2</v>
      </c>
      <c r="C7" s="39">
        <f>[1]Data!C10</f>
        <v>1.8151719234693674E-2</v>
      </c>
      <c r="D7" s="40">
        <f>[1]Data!F10</f>
        <v>-3.0328305801601459E-2</v>
      </c>
      <c r="E7" s="41">
        <f>[1]Data!G10</f>
        <v>6.9506100607132654E-3</v>
      </c>
      <c r="F7" s="40">
        <f>[1]Data!H10</f>
        <v>3.5188717539179765E-2</v>
      </c>
      <c r="G7" s="41">
        <f>[1]Data!I10</f>
        <v>-1.8000451301945945E-2</v>
      </c>
      <c r="H7" s="42">
        <f t="shared" si="0"/>
        <v>-1</v>
      </c>
      <c r="I7" s="43">
        <f t="shared" si="9"/>
        <v>-1</v>
      </c>
      <c r="J7" s="37">
        <f t="shared" si="1"/>
        <v>0</v>
      </c>
      <c r="K7" s="37">
        <f t="shared" si="2"/>
        <v>3.0328305801601459E-2</v>
      </c>
      <c r="L7" s="37">
        <f t="shared" si="3"/>
        <v>0</v>
      </c>
      <c r="M7" s="37">
        <f t="shared" si="4"/>
        <v>6.9506100607132654E-3</v>
      </c>
      <c r="N7" s="37">
        <f t="shared" si="5"/>
        <v>0</v>
      </c>
      <c r="O7" s="37">
        <f t="shared" si="6"/>
        <v>-3.5188717539179765E-2</v>
      </c>
      <c r="P7" s="37">
        <f t="shared" si="7"/>
        <v>0</v>
      </c>
      <c r="Q7" s="37">
        <f t="shared" si="8"/>
        <v>-1.8000451301945945E-2</v>
      </c>
    </row>
    <row r="8" spans="1:17" x14ac:dyDescent="0.25">
      <c r="A8" s="38">
        <f>[1]Data!A11</f>
        <v>37653</v>
      </c>
      <c r="B8" s="39">
        <f>[1]Data!B11</f>
        <v>-1.3570614197984544E-2</v>
      </c>
      <c r="C8" s="39">
        <f>[1]Data!C11</f>
        <v>-3.7582425932882781E-2</v>
      </c>
      <c r="D8" s="40">
        <f>[1]Data!F11</f>
        <v>1.3040803122683371E-2</v>
      </c>
      <c r="E8" s="41">
        <f>[1]Data!G11</f>
        <v>1.9532753075675407E-2</v>
      </c>
      <c r="F8" s="40">
        <f>[1]Data!H11</f>
        <v>-3.1156082648895776E-2</v>
      </c>
      <c r="G8" s="41">
        <f>[1]Data!I11</f>
        <v>7.5842026835619726E-3</v>
      </c>
      <c r="H8" s="42">
        <f t="shared" si="0"/>
        <v>1</v>
      </c>
      <c r="I8" s="43">
        <f t="shared" si="9"/>
        <v>1</v>
      </c>
      <c r="J8" s="37">
        <f t="shared" si="1"/>
        <v>1.3040803122683371E-2</v>
      </c>
      <c r="K8" s="37">
        <f t="shared" si="2"/>
        <v>0</v>
      </c>
      <c r="L8" s="37">
        <f t="shared" si="3"/>
        <v>-1.9532753075675407E-2</v>
      </c>
      <c r="M8" s="37">
        <f t="shared" si="4"/>
        <v>0</v>
      </c>
      <c r="N8" s="37">
        <f t="shared" si="5"/>
        <v>-3.1156082648895776E-2</v>
      </c>
      <c r="O8" s="37">
        <f t="shared" si="6"/>
        <v>0</v>
      </c>
      <c r="P8" s="37">
        <f t="shared" si="7"/>
        <v>-7.5842026835619726E-3</v>
      </c>
      <c r="Q8" s="37">
        <f t="shared" si="8"/>
        <v>0</v>
      </c>
    </row>
    <row r="9" spans="1:17" x14ac:dyDescent="0.25">
      <c r="A9" s="38">
        <f>[1]Data!A12</f>
        <v>37681</v>
      </c>
      <c r="B9" s="39">
        <f>[1]Data!B12</f>
        <v>2.1372549105130832E-3</v>
      </c>
      <c r="C9" s="39">
        <f>[1]Data!C12</f>
        <v>0.10501108443958183</v>
      </c>
      <c r="D9" s="40">
        <f>[1]Data!F12</f>
        <v>-5.6549706399883812E-2</v>
      </c>
      <c r="E9" s="41">
        <f>[1]Data!G12</f>
        <v>3.2583379175479654E-2</v>
      </c>
      <c r="F9" s="40">
        <f>[1]Data!H12</f>
        <v>-1.8785634688455129E-2</v>
      </c>
      <c r="G9" s="41">
        <f>[1]Data!I12</f>
        <v>4.7606175207964068E-3</v>
      </c>
      <c r="H9" s="42">
        <f t="shared" si="0"/>
        <v>-1</v>
      </c>
      <c r="I9" s="43">
        <f t="shared" si="9"/>
        <v>-1</v>
      </c>
      <c r="J9" s="37">
        <f t="shared" si="1"/>
        <v>0</v>
      </c>
      <c r="K9" s="37">
        <f t="shared" si="2"/>
        <v>5.6549706399883812E-2</v>
      </c>
      <c r="L9" s="37">
        <f t="shared" si="3"/>
        <v>0</v>
      </c>
      <c r="M9" s="37">
        <f t="shared" si="4"/>
        <v>3.2583379175479654E-2</v>
      </c>
      <c r="N9" s="37">
        <f t="shared" si="5"/>
        <v>0</v>
      </c>
      <c r="O9" s="37">
        <f t="shared" si="6"/>
        <v>1.8785634688455129E-2</v>
      </c>
      <c r="P9" s="37">
        <f t="shared" si="7"/>
        <v>0</v>
      </c>
      <c r="Q9" s="37">
        <f t="shared" si="8"/>
        <v>4.7606175207964068E-3</v>
      </c>
    </row>
    <row r="10" spans="1:17" x14ac:dyDescent="0.25">
      <c r="A10" s="38">
        <f>[1]Data!A13</f>
        <v>37712</v>
      </c>
      <c r="B10" s="39">
        <f>[1]Data!B13</f>
        <v>8.1223226482743216E-2</v>
      </c>
      <c r="C10" s="39">
        <f>[1]Data!C13</f>
        <v>8.3760679445333275E-2</v>
      </c>
      <c r="D10" s="40">
        <f>[1]Data!F13</f>
        <v>6.2214800188667239E-3</v>
      </c>
      <c r="E10" s="41">
        <f>[1]Data!G13</f>
        <v>1.9188037405920927E-2</v>
      </c>
      <c r="F10" s="40">
        <f>[1]Data!H13</f>
        <v>3.831759761064675E-2</v>
      </c>
      <c r="G10" s="41">
        <f>[1]Data!I13</f>
        <v>-1.9068062442549067E-2</v>
      </c>
      <c r="H10" s="42">
        <f t="shared" si="0"/>
        <v>-1</v>
      </c>
      <c r="I10" s="43">
        <f t="shared" si="9"/>
        <v>1</v>
      </c>
      <c r="J10" s="37">
        <f t="shared" si="1"/>
        <v>0</v>
      </c>
      <c r="K10" s="37">
        <f t="shared" si="2"/>
        <v>-6.2214800188667239E-3</v>
      </c>
      <c r="L10" s="37">
        <f t="shared" si="3"/>
        <v>0</v>
      </c>
      <c r="M10" s="37">
        <f t="shared" si="4"/>
        <v>1.9188037405920927E-2</v>
      </c>
      <c r="N10" s="37">
        <f t="shared" si="5"/>
        <v>3.831759761064675E-2</v>
      </c>
      <c r="O10" s="37">
        <f t="shared" si="6"/>
        <v>0</v>
      </c>
      <c r="P10" s="37">
        <f t="shared" si="7"/>
        <v>1.9068062442549067E-2</v>
      </c>
      <c r="Q10" s="37">
        <f t="shared" si="8"/>
        <v>0</v>
      </c>
    </row>
    <row r="11" spans="1:17" x14ac:dyDescent="0.25">
      <c r="A11" s="38">
        <f>[1]Data!A14</f>
        <v>37742</v>
      </c>
      <c r="B11" s="39">
        <f>[1]Data!B14</f>
        <v>5.3384245512395956E-2</v>
      </c>
      <c r="C11" s="39">
        <f>[1]Data!C14</f>
        <v>-5.5054602565912339E-2</v>
      </c>
      <c r="D11" s="40">
        <f>[1]Data!F14</f>
        <v>4.5364642152558296E-2</v>
      </c>
      <c r="E11" s="41">
        <f>[1]Data!G14</f>
        <v>-1.7950653737101154E-3</v>
      </c>
      <c r="F11" s="40">
        <f>[1]Data!H14</f>
        <v>1.597342757041828E-2</v>
      </c>
      <c r="G11" s="41">
        <f>[1]Data!I14</f>
        <v>1.442703785556722E-2</v>
      </c>
      <c r="H11" s="42">
        <f t="shared" si="0"/>
        <v>1</v>
      </c>
      <c r="I11" s="43">
        <f t="shared" si="9"/>
        <v>1</v>
      </c>
      <c r="J11" s="37">
        <f t="shared" si="1"/>
        <v>4.5364642152558296E-2</v>
      </c>
      <c r="K11" s="37">
        <f t="shared" si="2"/>
        <v>0</v>
      </c>
      <c r="L11" s="37">
        <f t="shared" si="3"/>
        <v>1.7950653737101154E-3</v>
      </c>
      <c r="M11" s="37">
        <f t="shared" si="4"/>
        <v>0</v>
      </c>
      <c r="N11" s="37">
        <f t="shared" si="5"/>
        <v>1.597342757041828E-2</v>
      </c>
      <c r="O11" s="37">
        <f t="shared" si="6"/>
        <v>0</v>
      </c>
      <c r="P11" s="37">
        <f t="shared" si="7"/>
        <v>-1.442703785556722E-2</v>
      </c>
      <c r="Q11" s="37">
        <f t="shared" si="8"/>
        <v>0</v>
      </c>
    </row>
    <row r="12" spans="1:17" x14ac:dyDescent="0.25">
      <c r="A12" s="38">
        <f>[1]Data!A15</f>
        <v>37773</v>
      </c>
      <c r="B12" s="39">
        <f>[1]Data!B15</f>
        <v>1.0596063862264466E-2</v>
      </c>
      <c r="C12" s="39">
        <f>[1]Data!C15</f>
        <v>3.3775056393808359E-2</v>
      </c>
      <c r="D12" s="40">
        <f>[1]Data!F15</f>
        <v>-1.8369472849866106E-2</v>
      </c>
      <c r="E12" s="41">
        <f>[1]Data!G15</f>
        <v>-1.3423260708564914E-2</v>
      </c>
      <c r="F12" s="40">
        <f>[1]Data!H15</f>
        <v>2.3548221525163844E-2</v>
      </c>
      <c r="G12" s="41">
        <f>[1]Data!I15</f>
        <v>-6.5859764806690951E-4</v>
      </c>
      <c r="H12" s="42">
        <f t="shared" si="0"/>
        <v>-1</v>
      </c>
      <c r="I12" s="43">
        <f t="shared" si="9"/>
        <v>-1</v>
      </c>
      <c r="J12" s="37">
        <f t="shared" si="1"/>
        <v>0</v>
      </c>
      <c r="K12" s="37">
        <f t="shared" si="2"/>
        <v>1.8369472849866106E-2</v>
      </c>
      <c r="L12" s="37">
        <f t="shared" si="3"/>
        <v>0</v>
      </c>
      <c r="M12" s="37">
        <f t="shared" si="4"/>
        <v>-1.3423260708564914E-2</v>
      </c>
      <c r="N12" s="37">
        <f t="shared" si="5"/>
        <v>0</v>
      </c>
      <c r="O12" s="37">
        <f t="shared" si="6"/>
        <v>-2.3548221525163844E-2</v>
      </c>
      <c r="P12" s="37">
        <f t="shared" si="7"/>
        <v>0</v>
      </c>
      <c r="Q12" s="37">
        <f t="shared" si="8"/>
        <v>-6.5859764806690951E-4</v>
      </c>
    </row>
    <row r="13" spans="1:17" x14ac:dyDescent="0.25">
      <c r="A13" s="38">
        <f>[1]Data!A16</f>
        <v>37803</v>
      </c>
      <c r="B13" s="39">
        <f>[1]Data!B16</f>
        <v>1.7866740475004139E-2</v>
      </c>
      <c r="C13" s="39">
        <f>[1]Data!C16</f>
        <v>8.1669580238746195E-2</v>
      </c>
      <c r="D13" s="40">
        <f>[1]Data!F16</f>
        <v>2.216397670015548E-3</v>
      </c>
      <c r="E13" s="41">
        <f>[1]Data!G16</f>
        <v>-3.9127789601589372E-2</v>
      </c>
      <c r="F13" s="40">
        <f>[1]Data!H16</f>
        <v>3.5419742157082566E-2</v>
      </c>
      <c r="G13" s="41">
        <f>[1]Data!I16</f>
        <v>-2.2465039596315295E-2</v>
      </c>
      <c r="H13" s="42">
        <f t="shared" si="0"/>
        <v>-1</v>
      </c>
      <c r="I13" s="43">
        <f t="shared" si="9"/>
        <v>1</v>
      </c>
      <c r="J13" s="37">
        <f t="shared" si="1"/>
        <v>0</v>
      </c>
      <c r="K13" s="37">
        <f t="shared" si="2"/>
        <v>-2.216397670015548E-3</v>
      </c>
      <c r="L13" s="37">
        <f t="shared" si="3"/>
        <v>0</v>
      </c>
      <c r="M13" s="37">
        <f t="shared" si="4"/>
        <v>-3.9127789601589372E-2</v>
      </c>
      <c r="N13" s="37">
        <f t="shared" si="5"/>
        <v>3.5419742157082566E-2</v>
      </c>
      <c r="O13" s="37">
        <f t="shared" si="6"/>
        <v>0</v>
      </c>
      <c r="P13" s="37">
        <f t="shared" si="7"/>
        <v>2.2465039596315295E-2</v>
      </c>
      <c r="Q13" s="37">
        <f t="shared" si="8"/>
        <v>0</v>
      </c>
    </row>
    <row r="14" spans="1:17" x14ac:dyDescent="0.25">
      <c r="A14" s="38">
        <f>[1]Data!A17</f>
        <v>37834</v>
      </c>
      <c r="B14" s="39">
        <f>[1]Data!B17</f>
        <v>2.0415823630765294E-2</v>
      </c>
      <c r="C14" s="39">
        <f>[1]Data!C17</f>
        <v>8.6189233696981997E-3</v>
      </c>
      <c r="D14" s="40">
        <f>[1]Data!F17</f>
        <v>6.6266254038208159E-3</v>
      </c>
      <c r="E14" s="41">
        <f>[1]Data!G17</f>
        <v>7.8013612977776373E-3</v>
      </c>
      <c r="F14" s="40">
        <f>[1]Data!H17</f>
        <v>-1.4084041863477519E-2</v>
      </c>
      <c r="G14" s="41">
        <f>[1]Data!I17</f>
        <v>1.7146179916123636E-2</v>
      </c>
      <c r="H14" s="42">
        <f t="shared" si="0"/>
        <v>-1</v>
      </c>
      <c r="I14" s="43">
        <f t="shared" si="9"/>
        <v>1</v>
      </c>
      <c r="J14" s="37">
        <f t="shared" si="1"/>
        <v>0</v>
      </c>
      <c r="K14" s="37">
        <f t="shared" si="2"/>
        <v>-6.6266254038208159E-3</v>
      </c>
      <c r="L14" s="37">
        <f t="shared" si="3"/>
        <v>0</v>
      </c>
      <c r="M14" s="37">
        <f t="shared" si="4"/>
        <v>7.8013612977776373E-3</v>
      </c>
      <c r="N14" s="37">
        <f t="shared" si="5"/>
        <v>-1.4084041863477519E-2</v>
      </c>
      <c r="O14" s="37">
        <f t="shared" si="6"/>
        <v>0</v>
      </c>
      <c r="P14" s="37">
        <f t="shared" si="7"/>
        <v>-1.7146179916123636E-2</v>
      </c>
      <c r="Q14" s="37">
        <f t="shared" si="8"/>
        <v>0</v>
      </c>
    </row>
    <row r="15" spans="1:17" x14ac:dyDescent="0.25">
      <c r="A15" s="38">
        <f>[1]Data!A18</f>
        <v>37865</v>
      </c>
      <c r="B15" s="39">
        <f>[1]Data!B18</f>
        <v>-1.0966089333232471E-2</v>
      </c>
      <c r="C15" s="39">
        <f>[1]Data!C18</f>
        <v>-5.1631716224384014E-3</v>
      </c>
      <c r="D15" s="40">
        <f>[1]Data!F18</f>
        <v>-2.5680352408644094E-2</v>
      </c>
      <c r="E15" s="41">
        <f>[1]Data!G18</f>
        <v>3.7771205546862821E-2</v>
      </c>
      <c r="F15" s="40">
        <f>[1]Data!H18</f>
        <v>2.1841664622560132E-2</v>
      </c>
      <c r="G15" s="41">
        <f>[1]Data!I18</f>
        <v>-9.3762190842890634E-4</v>
      </c>
      <c r="H15" s="42">
        <f t="shared" si="0"/>
        <v>1</v>
      </c>
      <c r="I15" s="43">
        <f t="shared" si="9"/>
        <v>1</v>
      </c>
      <c r="J15" s="37">
        <f t="shared" si="1"/>
        <v>-2.5680352408644094E-2</v>
      </c>
      <c r="K15" s="37">
        <f t="shared" si="2"/>
        <v>0</v>
      </c>
      <c r="L15" s="37">
        <f t="shared" si="3"/>
        <v>-3.7771205546862821E-2</v>
      </c>
      <c r="M15" s="37">
        <f t="shared" si="4"/>
        <v>0</v>
      </c>
      <c r="N15" s="37">
        <f t="shared" si="5"/>
        <v>2.1841664622560132E-2</v>
      </c>
      <c r="O15" s="37">
        <f t="shared" si="6"/>
        <v>0</v>
      </c>
      <c r="P15" s="37">
        <f t="shared" si="7"/>
        <v>9.3762190842890634E-4</v>
      </c>
      <c r="Q15" s="37">
        <f t="shared" si="8"/>
        <v>0</v>
      </c>
    </row>
    <row r="16" spans="1:17" x14ac:dyDescent="0.25">
      <c r="A16" s="38">
        <f>[1]Data!A19</f>
        <v>37895</v>
      </c>
      <c r="B16" s="39">
        <f>[1]Data!B19</f>
        <v>5.2144139912676593E-2</v>
      </c>
      <c r="C16" s="39">
        <f>[1]Data!C19</f>
        <v>9.1258810603082163E-2</v>
      </c>
      <c r="D16" s="40">
        <f>[1]Data!F19</f>
        <v>4.187473498823085E-3</v>
      </c>
      <c r="E16" s="41">
        <f>[1]Data!G19</f>
        <v>1.2520683132503714E-2</v>
      </c>
      <c r="F16" s="40">
        <f>[1]Data!H19</f>
        <v>4.221811855834802E-2</v>
      </c>
      <c r="G16" s="41">
        <f>[1]Data!I19</f>
        <v>-3.6904121899701381E-2</v>
      </c>
      <c r="H16" s="42">
        <f t="shared" si="0"/>
        <v>-1</v>
      </c>
      <c r="I16" s="43">
        <f t="shared" si="9"/>
        <v>-1</v>
      </c>
      <c r="J16" s="37">
        <f t="shared" si="1"/>
        <v>0</v>
      </c>
      <c r="K16" s="37">
        <f t="shared" si="2"/>
        <v>-4.187473498823085E-3</v>
      </c>
      <c r="L16" s="37">
        <f t="shared" si="3"/>
        <v>0</v>
      </c>
      <c r="M16" s="37">
        <f t="shared" si="4"/>
        <v>1.2520683132503714E-2</v>
      </c>
      <c r="N16" s="37">
        <f t="shared" si="5"/>
        <v>0</v>
      </c>
      <c r="O16" s="37">
        <f t="shared" si="6"/>
        <v>-4.221811855834802E-2</v>
      </c>
      <c r="P16" s="37">
        <f t="shared" si="7"/>
        <v>0</v>
      </c>
      <c r="Q16" s="37">
        <f t="shared" si="8"/>
        <v>-3.6904121899701381E-2</v>
      </c>
    </row>
    <row r="17" spans="1:17" x14ac:dyDescent="0.25">
      <c r="A17" s="38">
        <f>[1]Data!A20</f>
        <v>37926</v>
      </c>
      <c r="B17" s="39">
        <f>[1]Data!B20</f>
        <v>1.0861449368547426E-2</v>
      </c>
      <c r="C17" s="39">
        <f>[1]Data!C20</f>
        <v>-2.9759385248789294E-2</v>
      </c>
      <c r="D17" s="40">
        <f>[1]Data!F20</f>
        <v>2.1266989697093914E-2</v>
      </c>
      <c r="E17" s="41">
        <f>[1]Data!G20</f>
        <v>-1.5965120188949303E-2</v>
      </c>
      <c r="F17" s="40">
        <f>[1]Data!H20</f>
        <v>2.9385173054028513E-3</v>
      </c>
      <c r="G17" s="41">
        <f>[1]Data!I20</f>
        <v>-1.594344880559977E-2</v>
      </c>
      <c r="H17" s="42">
        <f t="shared" si="0"/>
        <v>1</v>
      </c>
      <c r="I17" s="43">
        <f t="shared" si="9"/>
        <v>1</v>
      </c>
      <c r="J17" s="37">
        <f t="shared" si="1"/>
        <v>2.1266989697093914E-2</v>
      </c>
      <c r="K17" s="37">
        <f t="shared" si="2"/>
        <v>0</v>
      </c>
      <c r="L17" s="37">
        <f t="shared" si="3"/>
        <v>1.5965120188949303E-2</v>
      </c>
      <c r="M17" s="37">
        <f t="shared" si="4"/>
        <v>0</v>
      </c>
      <c r="N17" s="37">
        <f t="shared" si="5"/>
        <v>2.9385173054028513E-3</v>
      </c>
      <c r="O17" s="37">
        <f t="shared" si="6"/>
        <v>0</v>
      </c>
      <c r="P17" s="37">
        <f t="shared" si="7"/>
        <v>1.594344880559977E-2</v>
      </c>
      <c r="Q17" s="37">
        <f t="shared" si="8"/>
        <v>0</v>
      </c>
    </row>
    <row r="18" spans="1:17" x14ac:dyDescent="0.25">
      <c r="A18" s="38">
        <f>[1]Data!A21</f>
        <v>37956</v>
      </c>
      <c r="B18" s="39">
        <f>[1]Data!B21</f>
        <v>4.9087898099312438E-2</v>
      </c>
      <c r="C18" s="39">
        <f>[1]Data!C21</f>
        <v>1.3271875247031131E-5</v>
      </c>
      <c r="D18" s="40">
        <f>[1]Data!F21</f>
        <v>2.1619299732725618E-2</v>
      </c>
      <c r="E18" s="41">
        <f>[1]Data!G21</f>
        <v>-1.411171926405454E-2</v>
      </c>
      <c r="F18" s="40">
        <f>[1]Data!H21</f>
        <v>3.7503646150602258E-3</v>
      </c>
      <c r="G18" s="41">
        <f>[1]Data!I21</f>
        <v>1.2761996920309574E-2</v>
      </c>
      <c r="H18" s="42">
        <f t="shared" si="0"/>
        <v>-1</v>
      </c>
      <c r="I18" s="43">
        <f t="shared" si="9"/>
        <v>-1</v>
      </c>
      <c r="J18" s="37">
        <f t="shared" si="1"/>
        <v>0</v>
      </c>
      <c r="K18" s="37">
        <f t="shared" si="2"/>
        <v>-2.1619299732725618E-2</v>
      </c>
      <c r="L18" s="37">
        <f t="shared" si="3"/>
        <v>0</v>
      </c>
      <c r="M18" s="37">
        <f t="shared" si="4"/>
        <v>-1.411171926405454E-2</v>
      </c>
      <c r="N18" s="37">
        <f t="shared" si="5"/>
        <v>0</v>
      </c>
      <c r="O18" s="37">
        <f t="shared" si="6"/>
        <v>-3.7503646150602258E-3</v>
      </c>
      <c r="P18" s="37">
        <f t="shared" si="7"/>
        <v>0</v>
      </c>
      <c r="Q18" s="37">
        <f t="shared" si="8"/>
        <v>1.2761996920309574E-2</v>
      </c>
    </row>
    <row r="19" spans="1:17" x14ac:dyDescent="0.25">
      <c r="A19" s="38">
        <f>[1]Data!A22</f>
        <v>37987</v>
      </c>
      <c r="B19" s="39">
        <f>[1]Data!B22</f>
        <v>1.9577025972393632E-2</v>
      </c>
      <c r="C19" s="39">
        <f>[1]Data!C22</f>
        <v>5.5776224237058785E-3</v>
      </c>
      <c r="D19" s="40">
        <f>[1]Data!F22</f>
        <v>-8.3370962572605293E-3</v>
      </c>
      <c r="E19" s="41">
        <f>[1]Data!G22</f>
        <v>-3.8998462570735415E-3</v>
      </c>
      <c r="F19" s="40">
        <f>[1]Data!H22</f>
        <v>1.8695655003773966E-2</v>
      </c>
      <c r="G19" s="41">
        <f>[1]Data!I22</f>
        <v>1.1744042368061811E-4</v>
      </c>
      <c r="H19" s="42">
        <f t="shared" si="0"/>
        <v>-1</v>
      </c>
      <c r="I19" s="43">
        <f t="shared" si="9"/>
        <v>1</v>
      </c>
      <c r="J19" s="37">
        <f t="shared" si="1"/>
        <v>0</v>
      </c>
      <c r="K19" s="37">
        <f t="shared" si="2"/>
        <v>8.3370962572605293E-3</v>
      </c>
      <c r="L19" s="37">
        <f t="shared" si="3"/>
        <v>0</v>
      </c>
      <c r="M19" s="37">
        <f t="shared" si="4"/>
        <v>-3.8998462570735415E-3</v>
      </c>
      <c r="N19" s="37">
        <f t="shared" si="5"/>
        <v>1.8695655003773966E-2</v>
      </c>
      <c r="O19" s="37">
        <f t="shared" si="6"/>
        <v>0</v>
      </c>
      <c r="P19" s="37">
        <f t="shared" si="7"/>
        <v>-1.1744042368061811E-4</v>
      </c>
      <c r="Q19" s="37">
        <f t="shared" si="8"/>
        <v>0</v>
      </c>
    </row>
    <row r="20" spans="1:17" x14ac:dyDescent="0.25">
      <c r="A20" s="38">
        <f>[1]Data!A23</f>
        <v>38018</v>
      </c>
      <c r="B20" s="39">
        <f>[1]Data!B23</f>
        <v>1.3479708802168621E-2</v>
      </c>
      <c r="C20" s="39">
        <f>[1]Data!C23</f>
        <v>-3.9915077704742391E-3</v>
      </c>
      <c r="D20" s="40">
        <f>[1]Data!F23</f>
        <v>3.7455402371840744E-3</v>
      </c>
      <c r="E20" s="41">
        <f>[1]Data!G23</f>
        <v>8.837824589380738E-3</v>
      </c>
      <c r="F20" s="40">
        <f>[1]Data!H23</f>
        <v>8.5113765150951239E-3</v>
      </c>
      <c r="G20" s="41">
        <f>[1]Data!I23</f>
        <v>8.021269081473081E-3</v>
      </c>
      <c r="H20" s="42">
        <f t="shared" si="0"/>
        <v>1</v>
      </c>
      <c r="I20" s="43">
        <f t="shared" si="9"/>
        <v>1</v>
      </c>
      <c r="J20" s="37">
        <f t="shared" si="1"/>
        <v>3.7455402371840744E-3</v>
      </c>
      <c r="K20" s="37">
        <f t="shared" si="2"/>
        <v>0</v>
      </c>
      <c r="L20" s="37">
        <f t="shared" si="3"/>
        <v>-8.837824589380738E-3</v>
      </c>
      <c r="M20" s="37">
        <f t="shared" si="4"/>
        <v>0</v>
      </c>
      <c r="N20" s="37">
        <f t="shared" si="5"/>
        <v>8.5113765150951239E-3</v>
      </c>
      <c r="O20" s="37">
        <f t="shared" si="6"/>
        <v>0</v>
      </c>
      <c r="P20" s="37">
        <f t="shared" si="7"/>
        <v>-8.021269081473081E-3</v>
      </c>
      <c r="Q20" s="37">
        <f t="shared" si="8"/>
        <v>0</v>
      </c>
    </row>
    <row r="21" spans="1:17" x14ac:dyDescent="0.25">
      <c r="A21" s="38">
        <f>[1]Data!A24</f>
        <v>38047</v>
      </c>
      <c r="B21" s="39">
        <f>[1]Data!B24</f>
        <v>-1.3334294966489475E-2</v>
      </c>
      <c r="C21" s="39">
        <f>[1]Data!C24</f>
        <v>-5.5326873150173414E-2</v>
      </c>
      <c r="D21" s="40">
        <f>[1]Data!F24</f>
        <v>1.8201990800118098E-2</v>
      </c>
      <c r="E21" s="41">
        <f>[1]Data!G24</f>
        <v>-9.7793502857180283E-3</v>
      </c>
      <c r="F21" s="40">
        <f>[1]Data!H24</f>
        <v>1.1754441496936219E-2</v>
      </c>
      <c r="G21" s="41">
        <f>[1]Data!I24</f>
        <v>1.5015637139404094E-2</v>
      </c>
      <c r="H21" s="42">
        <f t="shared" si="0"/>
        <v>1</v>
      </c>
      <c r="I21" s="43">
        <f t="shared" si="9"/>
        <v>-1</v>
      </c>
      <c r="J21" s="37">
        <f t="shared" si="1"/>
        <v>1.8201990800118098E-2</v>
      </c>
      <c r="K21" s="37">
        <f t="shared" si="2"/>
        <v>0</v>
      </c>
      <c r="L21" s="37">
        <f t="shared" si="3"/>
        <v>9.7793502857180283E-3</v>
      </c>
      <c r="M21" s="37">
        <f t="shared" si="4"/>
        <v>0</v>
      </c>
      <c r="N21" s="37">
        <f t="shared" si="5"/>
        <v>0</v>
      </c>
      <c r="O21" s="37">
        <f t="shared" si="6"/>
        <v>-1.1754441496936219E-2</v>
      </c>
      <c r="P21" s="37">
        <f t="shared" si="7"/>
        <v>0</v>
      </c>
      <c r="Q21" s="37">
        <f t="shared" si="8"/>
        <v>1.5015637139404094E-2</v>
      </c>
    </row>
    <row r="22" spans="1:17" x14ac:dyDescent="0.25">
      <c r="A22" s="38">
        <f>[1]Data!A25</f>
        <v>38078</v>
      </c>
      <c r="B22" s="39">
        <f>[1]Data!B25</f>
        <v>-1.9102805722503481E-2</v>
      </c>
      <c r="C22" s="39">
        <f>[1]Data!C25</f>
        <v>6.4031392450913854E-2</v>
      </c>
      <c r="D22" s="40">
        <f>[1]Data!F25</f>
        <v>-2.9219346069354106E-2</v>
      </c>
      <c r="E22" s="41">
        <f>[1]Data!G25</f>
        <v>-1.0466084980112988E-2</v>
      </c>
      <c r="F22" s="40">
        <f>[1]Data!H25</f>
        <v>1.3437141486775382E-2</v>
      </c>
      <c r="G22" s="41">
        <f>[1]Data!I25</f>
        <v>-3.3073193219356839E-2</v>
      </c>
      <c r="H22" s="42">
        <f t="shared" si="0"/>
        <v>-1</v>
      </c>
      <c r="I22" s="43">
        <f t="shared" si="9"/>
        <v>-1</v>
      </c>
      <c r="J22" s="37">
        <f t="shared" si="1"/>
        <v>0</v>
      </c>
      <c r="K22" s="37">
        <f t="shared" si="2"/>
        <v>2.9219346069354106E-2</v>
      </c>
      <c r="L22" s="37">
        <f t="shared" si="3"/>
        <v>0</v>
      </c>
      <c r="M22" s="37">
        <f t="shared" si="4"/>
        <v>-1.0466084980112988E-2</v>
      </c>
      <c r="N22" s="37">
        <f t="shared" si="5"/>
        <v>0</v>
      </c>
      <c r="O22" s="37">
        <f t="shared" si="6"/>
        <v>-1.3437141486775382E-2</v>
      </c>
      <c r="P22" s="37">
        <f t="shared" si="7"/>
        <v>0</v>
      </c>
      <c r="Q22" s="37">
        <f t="shared" si="8"/>
        <v>-3.3073193219356839E-2</v>
      </c>
    </row>
    <row r="23" spans="1:17" x14ac:dyDescent="0.25">
      <c r="A23" s="38">
        <f>[1]Data!A26</f>
        <v>38108</v>
      </c>
      <c r="B23" s="39">
        <f>[1]Data!B26</f>
        <v>1.6979050250249192E-2</v>
      </c>
      <c r="C23" s="39">
        <f>[1]Data!C26</f>
        <v>8.6682691255538097E-3</v>
      </c>
      <c r="D23" s="40">
        <f>[1]Data!F26</f>
        <v>2.7396704422756032E-2</v>
      </c>
      <c r="E23" s="41">
        <f>[1]Data!G26</f>
        <v>1.6501478291470945E-2</v>
      </c>
      <c r="F23" s="40">
        <f>[1]Data!H26</f>
        <v>-9.0526502395397168E-3</v>
      </c>
      <c r="G23" s="41">
        <f>[1]Data!I26</f>
        <v>-2.4236662573878066E-2</v>
      </c>
      <c r="H23" s="42">
        <f t="shared" si="0"/>
        <v>-1</v>
      </c>
      <c r="I23" s="43">
        <f t="shared" si="9"/>
        <v>1</v>
      </c>
      <c r="J23" s="37">
        <f t="shared" si="1"/>
        <v>0</v>
      </c>
      <c r="K23" s="37">
        <f t="shared" si="2"/>
        <v>-2.7396704422756032E-2</v>
      </c>
      <c r="L23" s="37">
        <f t="shared" si="3"/>
        <v>0</v>
      </c>
      <c r="M23" s="37">
        <f t="shared" si="4"/>
        <v>1.6501478291470945E-2</v>
      </c>
      <c r="N23" s="37">
        <f t="shared" si="5"/>
        <v>-9.0526502395397168E-3</v>
      </c>
      <c r="O23" s="37">
        <f t="shared" si="6"/>
        <v>0</v>
      </c>
      <c r="P23" s="37">
        <f t="shared" si="7"/>
        <v>2.4236662573878066E-2</v>
      </c>
      <c r="Q23" s="37">
        <f t="shared" si="8"/>
        <v>0</v>
      </c>
    </row>
    <row r="24" spans="1:17" x14ac:dyDescent="0.25">
      <c r="A24" s="38">
        <f>[1]Data!A27</f>
        <v>38139</v>
      </c>
      <c r="B24" s="39">
        <f>[1]Data!B27</f>
        <v>1.8331885030361789E-2</v>
      </c>
      <c r="C24" s="39">
        <f>[1]Data!C27</f>
        <v>1.6372054357472281E-2</v>
      </c>
      <c r="D24" s="40">
        <f>[1]Data!F27</f>
        <v>6.6580648753345774E-3</v>
      </c>
      <c r="E24" s="41">
        <f>[1]Data!G27</f>
        <v>1.5177840048565337E-2</v>
      </c>
      <c r="F24" s="40">
        <f>[1]Data!H27</f>
        <v>1.617131804322568E-2</v>
      </c>
      <c r="G24" s="41">
        <f>[1]Data!I27</f>
        <v>-1.5313748195601428E-2</v>
      </c>
      <c r="H24" s="42">
        <f t="shared" si="0"/>
        <v>-1</v>
      </c>
      <c r="I24" s="43">
        <f t="shared" si="9"/>
        <v>1</v>
      </c>
      <c r="J24" s="37">
        <f t="shared" si="1"/>
        <v>0</v>
      </c>
      <c r="K24" s="37">
        <f t="shared" si="2"/>
        <v>-6.6580648753345774E-3</v>
      </c>
      <c r="L24" s="37">
        <f t="shared" si="3"/>
        <v>0</v>
      </c>
      <c r="M24" s="37">
        <f t="shared" si="4"/>
        <v>1.5177840048565337E-2</v>
      </c>
      <c r="N24" s="37">
        <f t="shared" si="5"/>
        <v>1.617131804322568E-2</v>
      </c>
      <c r="O24" s="37">
        <f t="shared" si="6"/>
        <v>0</v>
      </c>
      <c r="P24" s="37">
        <f t="shared" si="7"/>
        <v>1.5313748195601428E-2</v>
      </c>
      <c r="Q24" s="37">
        <f t="shared" si="8"/>
        <v>0</v>
      </c>
    </row>
    <row r="25" spans="1:17" x14ac:dyDescent="0.25">
      <c r="A25" s="38">
        <f>[1]Data!A28</f>
        <v>38169</v>
      </c>
      <c r="B25" s="39">
        <f>[1]Data!B28</f>
        <v>-3.2749449777161849E-2</v>
      </c>
      <c r="C25" s="39">
        <f>[1]Data!C28</f>
        <v>-5.7592268858129694E-2</v>
      </c>
      <c r="D25" s="40">
        <f>[1]Data!F28</f>
        <v>8.6987554498197672E-3</v>
      </c>
      <c r="E25" s="41">
        <f>[1]Data!G28</f>
        <v>-9.4552811160753848E-4</v>
      </c>
      <c r="F25" s="40">
        <f>[1]Data!H28</f>
        <v>-2.7350142406960161E-2</v>
      </c>
      <c r="G25" s="41">
        <f>[1]Data!I28</f>
        <v>1.1646994998757954E-2</v>
      </c>
      <c r="H25" s="42">
        <f t="shared" si="0"/>
        <v>1</v>
      </c>
      <c r="I25" s="43">
        <f t="shared" si="9"/>
        <v>1</v>
      </c>
      <c r="J25" s="37">
        <f t="shared" si="1"/>
        <v>8.6987554498197672E-3</v>
      </c>
      <c r="K25" s="37">
        <f t="shared" si="2"/>
        <v>0</v>
      </c>
      <c r="L25" s="37">
        <f t="shared" si="3"/>
        <v>9.4552811160753848E-4</v>
      </c>
      <c r="M25" s="37">
        <f t="shared" si="4"/>
        <v>0</v>
      </c>
      <c r="N25" s="37">
        <f t="shared" si="5"/>
        <v>-2.7350142406960161E-2</v>
      </c>
      <c r="O25" s="37">
        <f t="shared" si="6"/>
        <v>0</v>
      </c>
      <c r="P25" s="37">
        <f t="shared" si="7"/>
        <v>-1.1646994998757954E-2</v>
      </c>
      <c r="Q25" s="37">
        <f t="shared" si="8"/>
        <v>0</v>
      </c>
    </row>
    <row r="26" spans="1:17" x14ac:dyDescent="0.25">
      <c r="A26" s="38">
        <f>[1]Data!A29</f>
        <v>38200</v>
      </c>
      <c r="B26" s="39">
        <f>[1]Data!B29</f>
        <v>2.4332456643171877E-3</v>
      </c>
      <c r="C26" s="39">
        <f>[1]Data!C29</f>
        <v>-2.9952560431180792E-2</v>
      </c>
      <c r="D26" s="40">
        <f>[1]Data!F29</f>
        <v>5.6859571158404927E-3</v>
      </c>
      <c r="E26" s="41">
        <f>[1]Data!G29</f>
        <v>1.4113410125157998E-2</v>
      </c>
      <c r="F26" s="40">
        <f>[1]Data!H29</f>
        <v>-3.6661442255212291E-2</v>
      </c>
      <c r="G26" s="41">
        <f>[1]Data!I29</f>
        <v>2.5311785646998028E-2</v>
      </c>
      <c r="H26" s="42">
        <f t="shared" si="0"/>
        <v>1</v>
      </c>
      <c r="I26" s="43">
        <f t="shared" si="9"/>
        <v>-1</v>
      </c>
      <c r="J26" s="37">
        <f t="shared" si="1"/>
        <v>5.6859571158404927E-3</v>
      </c>
      <c r="K26" s="37">
        <f t="shared" si="2"/>
        <v>0</v>
      </c>
      <c r="L26" s="37">
        <f t="shared" si="3"/>
        <v>-1.4113410125157998E-2</v>
      </c>
      <c r="M26" s="37">
        <f t="shared" si="4"/>
        <v>0</v>
      </c>
      <c r="N26" s="37">
        <f t="shared" si="5"/>
        <v>0</v>
      </c>
      <c r="O26" s="37">
        <f t="shared" si="6"/>
        <v>3.6661442255212291E-2</v>
      </c>
      <c r="P26" s="37">
        <f t="shared" si="7"/>
        <v>0</v>
      </c>
      <c r="Q26" s="37">
        <f t="shared" si="8"/>
        <v>2.5311785646998028E-2</v>
      </c>
    </row>
    <row r="27" spans="1:17" x14ac:dyDescent="0.25">
      <c r="A27" s="38">
        <f>[1]Data!A30</f>
        <v>38231</v>
      </c>
      <c r="B27" s="39">
        <f>[1]Data!B30</f>
        <v>9.9866287756100423E-3</v>
      </c>
      <c r="C27" s="39">
        <f>[1]Data!C30</f>
        <v>-1.7417315802490854E-2</v>
      </c>
      <c r="D27" s="40">
        <f>[1]Data!F30</f>
        <v>1.8801533055461802E-3</v>
      </c>
      <c r="E27" s="41">
        <f>[1]Data!G30</f>
        <v>-1.6073671783751298E-2</v>
      </c>
      <c r="F27" s="40">
        <f>[1]Data!H30</f>
        <v>1.314340904362583E-2</v>
      </c>
      <c r="G27" s="41">
        <f>[1]Data!I30</f>
        <v>-1.3740926279097662E-3</v>
      </c>
      <c r="H27" s="42">
        <f t="shared" si="0"/>
        <v>1</v>
      </c>
      <c r="I27" s="43">
        <f t="shared" si="9"/>
        <v>-1</v>
      </c>
      <c r="J27" s="37">
        <f t="shared" si="1"/>
        <v>1.8801533055461802E-3</v>
      </c>
      <c r="K27" s="37">
        <f t="shared" si="2"/>
        <v>0</v>
      </c>
      <c r="L27" s="37">
        <f t="shared" si="3"/>
        <v>1.6073671783751298E-2</v>
      </c>
      <c r="M27" s="37">
        <f t="shared" si="4"/>
        <v>0</v>
      </c>
      <c r="N27" s="37">
        <f t="shared" si="5"/>
        <v>0</v>
      </c>
      <c r="O27" s="37">
        <f t="shared" si="6"/>
        <v>-1.314340904362583E-2</v>
      </c>
      <c r="P27" s="37">
        <f t="shared" si="7"/>
        <v>0</v>
      </c>
      <c r="Q27" s="37">
        <f t="shared" si="8"/>
        <v>-1.3740926279097662E-3</v>
      </c>
    </row>
    <row r="28" spans="1:17" x14ac:dyDescent="0.25">
      <c r="A28" s="38">
        <f>[1]Data!A31</f>
        <v>38261</v>
      </c>
      <c r="B28" s="39">
        <f>[1]Data!B31</f>
        <v>1.2802230986665466E-2</v>
      </c>
      <c r="C28" s="39">
        <f>[1]Data!C31</f>
        <v>-2.4055554186821974E-2</v>
      </c>
      <c r="D28" s="40">
        <f>[1]Data!F31</f>
        <v>1.7465748553655909E-2</v>
      </c>
      <c r="E28" s="41">
        <f>[1]Data!G31</f>
        <v>-1.8990809668799555E-3</v>
      </c>
      <c r="F28" s="40">
        <f>[1]Data!H31</f>
        <v>1.5008879658332905E-2</v>
      </c>
      <c r="G28" s="41">
        <f>[1]Data!I31</f>
        <v>-1.2468756187064008E-2</v>
      </c>
      <c r="H28" s="42">
        <f t="shared" si="0"/>
        <v>1</v>
      </c>
      <c r="I28" s="43">
        <f t="shared" si="9"/>
        <v>-1</v>
      </c>
      <c r="J28" s="37">
        <f t="shared" si="1"/>
        <v>1.7465748553655909E-2</v>
      </c>
      <c r="K28" s="37">
        <f t="shared" si="2"/>
        <v>0</v>
      </c>
      <c r="L28" s="37">
        <f t="shared" si="3"/>
        <v>1.8990809668799555E-3</v>
      </c>
      <c r="M28" s="37">
        <f t="shared" si="4"/>
        <v>0</v>
      </c>
      <c r="N28" s="37">
        <f t="shared" si="5"/>
        <v>0</v>
      </c>
      <c r="O28" s="37">
        <f t="shared" si="6"/>
        <v>-1.5008879658332905E-2</v>
      </c>
      <c r="P28" s="37">
        <f t="shared" si="7"/>
        <v>0</v>
      </c>
      <c r="Q28" s="37">
        <f t="shared" si="8"/>
        <v>-1.2468756187064008E-2</v>
      </c>
    </row>
    <row r="29" spans="1:17" x14ac:dyDescent="0.25">
      <c r="A29" s="38">
        <f>[1]Data!A32</f>
        <v>38292</v>
      </c>
      <c r="B29" s="39">
        <f>[1]Data!B32</f>
        <v>4.355541838229525E-2</v>
      </c>
      <c r="C29" s="39">
        <f>[1]Data!C32</f>
        <v>4.874141950004432E-2</v>
      </c>
      <c r="D29" s="40">
        <f>[1]Data!F32</f>
        <v>3.9945171430488188E-3</v>
      </c>
      <c r="E29" s="41">
        <f>[1]Data!G32</f>
        <v>-1.5068680556364556E-2</v>
      </c>
      <c r="F29" s="40">
        <f>[1]Data!H32</f>
        <v>3.5408743949253405E-2</v>
      </c>
      <c r="G29" s="41">
        <f>[1]Data!I32</f>
        <v>-1.429184381447136E-2</v>
      </c>
      <c r="H29" s="42">
        <f t="shared" si="0"/>
        <v>-1</v>
      </c>
      <c r="I29" s="43">
        <f t="shared" si="9"/>
        <v>-1</v>
      </c>
      <c r="J29" s="37">
        <f t="shared" si="1"/>
        <v>0</v>
      </c>
      <c r="K29" s="37">
        <f t="shared" si="2"/>
        <v>-3.9945171430488188E-3</v>
      </c>
      <c r="L29" s="37">
        <f t="shared" si="3"/>
        <v>0</v>
      </c>
      <c r="M29" s="37">
        <f t="shared" si="4"/>
        <v>-1.5068680556364556E-2</v>
      </c>
      <c r="N29" s="37">
        <f t="shared" si="5"/>
        <v>0</v>
      </c>
      <c r="O29" s="37">
        <f t="shared" si="6"/>
        <v>-3.5408743949253405E-2</v>
      </c>
      <c r="P29" s="37">
        <f t="shared" si="7"/>
        <v>0</v>
      </c>
      <c r="Q29" s="37">
        <f t="shared" si="8"/>
        <v>-1.429184381447136E-2</v>
      </c>
    </row>
    <row r="30" spans="1:17" x14ac:dyDescent="0.25">
      <c r="A30" s="38">
        <f>[1]Data!A33</f>
        <v>38322</v>
      </c>
      <c r="B30" s="39">
        <f>[1]Data!B33</f>
        <v>2.9676404633139329E-2</v>
      </c>
      <c r="C30" s="39">
        <f>[1]Data!C33</f>
        <v>-3.8337068155050351E-3</v>
      </c>
      <c r="D30" s="40">
        <f>[1]Data!F33</f>
        <v>3.9793821301403586E-3</v>
      </c>
      <c r="E30" s="41">
        <f>[1]Data!G33</f>
        <v>-3.2904806428732851E-3</v>
      </c>
      <c r="F30" s="40">
        <f>[1]Data!H33</f>
        <v>1.7799677396180876E-3</v>
      </c>
      <c r="G30" s="41">
        <f>[1]Data!I33</f>
        <v>1.4504216616743846E-2</v>
      </c>
      <c r="H30" s="42">
        <f t="shared" si="0"/>
        <v>1</v>
      </c>
      <c r="I30" s="43">
        <f t="shared" si="9"/>
        <v>1</v>
      </c>
      <c r="J30" s="37">
        <f t="shared" si="1"/>
        <v>3.9793821301403586E-3</v>
      </c>
      <c r="K30" s="37">
        <f t="shared" si="2"/>
        <v>0</v>
      </c>
      <c r="L30" s="37">
        <f t="shared" si="3"/>
        <v>3.2904806428732851E-3</v>
      </c>
      <c r="M30" s="37">
        <f t="shared" si="4"/>
        <v>0</v>
      </c>
      <c r="N30" s="37">
        <f t="shared" si="5"/>
        <v>1.7799677396180876E-3</v>
      </c>
      <c r="O30" s="37">
        <f t="shared" si="6"/>
        <v>0</v>
      </c>
      <c r="P30" s="37">
        <f t="shared" si="7"/>
        <v>-1.4504216616743846E-2</v>
      </c>
      <c r="Q30" s="37">
        <f t="shared" si="8"/>
        <v>0</v>
      </c>
    </row>
    <row r="31" spans="1:17" x14ac:dyDescent="0.25">
      <c r="A31" s="38">
        <f>[1]Data!A34</f>
        <v>38353</v>
      </c>
      <c r="B31" s="39">
        <f>[1]Data!B34</f>
        <v>-2.2676157800578019E-2</v>
      </c>
      <c r="C31" s="39">
        <f>[1]Data!C34</f>
        <v>-6.807434997875153E-2</v>
      </c>
      <c r="D31" s="40">
        <f>[1]Data!F34</f>
        <v>1.371934186058742E-2</v>
      </c>
      <c r="E31" s="41">
        <f>[1]Data!G34</f>
        <v>3.3852755500740927E-3</v>
      </c>
      <c r="F31" s="40">
        <f>[1]Data!H34</f>
        <v>-2.0308677511837452E-2</v>
      </c>
      <c r="G31" s="41">
        <f>[1]Data!I34</f>
        <v>-1.1279635504883459E-4</v>
      </c>
      <c r="H31" s="42">
        <f t="shared" si="0"/>
        <v>1</v>
      </c>
      <c r="I31" s="43">
        <f t="shared" si="9"/>
        <v>-1</v>
      </c>
      <c r="J31" s="37">
        <f t="shared" si="1"/>
        <v>1.371934186058742E-2</v>
      </c>
      <c r="K31" s="37">
        <f t="shared" si="2"/>
        <v>0</v>
      </c>
      <c r="L31" s="37">
        <f t="shared" si="3"/>
        <v>-3.3852755500740927E-3</v>
      </c>
      <c r="M31" s="37">
        <f t="shared" si="4"/>
        <v>0</v>
      </c>
      <c r="N31" s="37">
        <f t="shared" si="5"/>
        <v>0</v>
      </c>
      <c r="O31" s="37">
        <f t="shared" si="6"/>
        <v>2.0308677511837452E-2</v>
      </c>
      <c r="P31" s="37">
        <f t="shared" si="7"/>
        <v>0</v>
      </c>
      <c r="Q31" s="37">
        <f t="shared" si="8"/>
        <v>-1.1279635504883459E-4</v>
      </c>
    </row>
    <row r="32" spans="1:17" x14ac:dyDescent="0.25">
      <c r="A32" s="38">
        <f>[1]Data!A35</f>
        <v>38384</v>
      </c>
      <c r="B32" s="39">
        <f>[1]Data!B35</f>
        <v>2.0688724278982062E-2</v>
      </c>
      <c r="C32" s="39">
        <f>[1]Data!C35</f>
        <v>1.3671822992324192E-2</v>
      </c>
      <c r="D32" s="40">
        <f>[1]Data!F35</f>
        <v>1.6971610815911909E-2</v>
      </c>
      <c r="E32" s="41">
        <f>[1]Data!G35</f>
        <v>-4.8764277817778066E-3</v>
      </c>
      <c r="F32" s="40">
        <f>[1]Data!H35</f>
        <v>1.6035526165009389E-2</v>
      </c>
      <c r="G32" s="41">
        <f>[1]Data!I35</f>
        <v>2.1386087064852059E-2</v>
      </c>
      <c r="H32" s="42">
        <f t="shared" si="0"/>
        <v>-1</v>
      </c>
      <c r="I32" s="43">
        <f t="shared" si="9"/>
        <v>-1</v>
      </c>
      <c r="J32" s="37">
        <f t="shared" si="1"/>
        <v>0</v>
      </c>
      <c r="K32" s="37">
        <f t="shared" si="2"/>
        <v>-1.6971610815911909E-2</v>
      </c>
      <c r="L32" s="37">
        <f t="shared" si="3"/>
        <v>0</v>
      </c>
      <c r="M32" s="37">
        <f t="shared" si="4"/>
        <v>-4.8764277817778066E-3</v>
      </c>
      <c r="N32" s="37">
        <f t="shared" si="5"/>
        <v>0</v>
      </c>
      <c r="O32" s="37">
        <f t="shared" si="6"/>
        <v>-1.6035526165009389E-2</v>
      </c>
      <c r="P32" s="37">
        <f t="shared" si="7"/>
        <v>0</v>
      </c>
      <c r="Q32" s="37">
        <f t="shared" si="8"/>
        <v>2.1386087064852059E-2</v>
      </c>
    </row>
    <row r="33" spans="1:17" x14ac:dyDescent="0.25">
      <c r="A33" s="38">
        <f>[1]Data!A36</f>
        <v>38412</v>
      </c>
      <c r="B33" s="39">
        <f>[1]Data!B36</f>
        <v>-1.8462502172189858E-2</v>
      </c>
      <c r="C33" s="39">
        <f>[1]Data!C36</f>
        <v>-2.4812336581095905E-3</v>
      </c>
      <c r="D33" s="40">
        <f>[1]Data!F36</f>
        <v>-1.1862885700992623E-3</v>
      </c>
      <c r="E33" s="41">
        <f>[1]Data!G36</f>
        <v>1.0237580699193637E-2</v>
      </c>
      <c r="F33" s="40">
        <f>[1]Data!H36</f>
        <v>1.7747835247511494E-2</v>
      </c>
      <c r="G33" s="41">
        <f>[1]Data!I36</f>
        <v>1.2535334232020304E-2</v>
      </c>
      <c r="H33" s="42">
        <f t="shared" si="0"/>
        <v>1</v>
      </c>
      <c r="I33" s="43">
        <f t="shared" si="9"/>
        <v>1</v>
      </c>
      <c r="J33" s="37">
        <f t="shared" si="1"/>
        <v>-1.1862885700992623E-3</v>
      </c>
      <c r="K33" s="37">
        <f t="shared" si="2"/>
        <v>0</v>
      </c>
      <c r="L33" s="37">
        <f t="shared" si="3"/>
        <v>-1.0237580699193637E-2</v>
      </c>
      <c r="M33" s="37">
        <f t="shared" si="4"/>
        <v>0</v>
      </c>
      <c r="N33" s="37">
        <f t="shared" si="5"/>
        <v>1.7747835247511494E-2</v>
      </c>
      <c r="O33" s="37">
        <f t="shared" si="6"/>
        <v>0</v>
      </c>
      <c r="P33" s="37">
        <f t="shared" si="7"/>
        <v>-1.2535334232020304E-2</v>
      </c>
      <c r="Q33" s="37">
        <f t="shared" si="8"/>
        <v>0</v>
      </c>
    </row>
    <row r="34" spans="1:17" x14ac:dyDescent="0.25">
      <c r="A34" s="38">
        <f>[1]Data!A37</f>
        <v>38443</v>
      </c>
      <c r="B34" s="39">
        <f>[1]Data!B37</f>
        <v>-1.8912752545091678E-2</v>
      </c>
      <c r="C34" s="39">
        <f>[1]Data!C37</f>
        <v>-3.5700334724594038E-2</v>
      </c>
      <c r="D34" s="40">
        <f>[1]Data!F37</f>
        <v>-2.2443399410768516E-3</v>
      </c>
      <c r="E34" s="41">
        <f>[1]Data!G37</f>
        <v>1.8892977603744671E-2</v>
      </c>
      <c r="F34" s="40">
        <f>[1]Data!H37</f>
        <v>1.0792942654148012E-2</v>
      </c>
      <c r="G34" s="41">
        <f>[1]Data!I37</f>
        <v>-4.05231105981758E-3</v>
      </c>
      <c r="H34" s="42">
        <f t="shared" si="0"/>
        <v>1</v>
      </c>
      <c r="I34" s="43">
        <f t="shared" si="9"/>
        <v>-1</v>
      </c>
      <c r="J34" s="37">
        <f t="shared" si="1"/>
        <v>-2.2443399410768516E-3</v>
      </c>
      <c r="K34" s="37">
        <f t="shared" si="2"/>
        <v>0</v>
      </c>
      <c r="L34" s="37">
        <f t="shared" si="3"/>
        <v>-1.8892977603744671E-2</v>
      </c>
      <c r="M34" s="37">
        <f t="shared" si="4"/>
        <v>0</v>
      </c>
      <c r="N34" s="37">
        <f t="shared" si="5"/>
        <v>0</v>
      </c>
      <c r="O34" s="37">
        <f t="shared" si="6"/>
        <v>-1.0792942654148012E-2</v>
      </c>
      <c r="P34" s="37">
        <f t="shared" si="7"/>
        <v>0</v>
      </c>
      <c r="Q34" s="37">
        <f t="shared" si="8"/>
        <v>-4.05231105981758E-3</v>
      </c>
    </row>
    <row r="35" spans="1:17" x14ac:dyDescent="0.25">
      <c r="A35" s="38">
        <f>[1]Data!A38</f>
        <v>38473</v>
      </c>
      <c r="B35" s="39">
        <f>[1]Data!B38</f>
        <v>3.1716339268027298E-2</v>
      </c>
      <c r="C35" s="39">
        <f>[1]Data!C38</f>
        <v>1.4363283865139239E-2</v>
      </c>
      <c r="D35" s="40">
        <f>[1]Data!F38</f>
        <v>3.0175309021802576E-3</v>
      </c>
      <c r="E35" s="41">
        <f>[1]Data!G38</f>
        <v>1.6557043536769383E-2</v>
      </c>
      <c r="F35" s="40">
        <f>[1]Data!H38</f>
        <v>1.1510013127153601E-2</v>
      </c>
      <c r="G35" s="41">
        <f>[1]Data!I38</f>
        <v>-1.1465711361094623E-2</v>
      </c>
      <c r="H35" s="42">
        <f t="shared" si="0"/>
        <v>-1</v>
      </c>
      <c r="I35" s="43">
        <f t="shared" si="9"/>
        <v>-1</v>
      </c>
      <c r="J35" s="37">
        <f t="shared" si="1"/>
        <v>0</v>
      </c>
      <c r="K35" s="37">
        <f t="shared" si="2"/>
        <v>-3.0175309021802576E-3</v>
      </c>
      <c r="L35" s="37">
        <f t="shared" si="3"/>
        <v>0</v>
      </c>
      <c r="M35" s="37">
        <f t="shared" si="4"/>
        <v>1.6557043536769383E-2</v>
      </c>
      <c r="N35" s="37">
        <f t="shared" si="5"/>
        <v>0</v>
      </c>
      <c r="O35" s="37">
        <f t="shared" si="6"/>
        <v>-1.1510013127153601E-2</v>
      </c>
      <c r="P35" s="37">
        <f t="shared" si="7"/>
        <v>0</v>
      </c>
      <c r="Q35" s="37">
        <f t="shared" si="8"/>
        <v>-1.1465711361094623E-2</v>
      </c>
    </row>
    <row r="36" spans="1:17" x14ac:dyDescent="0.25">
      <c r="A36" s="38">
        <f>[1]Data!A39</f>
        <v>38504</v>
      </c>
      <c r="B36" s="39">
        <f>[1]Data!B39</f>
        <v>1.5138288098725198E-3</v>
      </c>
      <c r="C36" s="39">
        <f>[1]Data!C39</f>
        <v>1.8341199277175608E-2</v>
      </c>
      <c r="D36" s="40">
        <f>[1]Data!F39</f>
        <v>-1.903262277125322E-2</v>
      </c>
      <c r="E36" s="41">
        <f>[1]Data!G39</f>
        <v>1.9212293525328328E-2</v>
      </c>
      <c r="F36" s="40">
        <f>[1]Data!H39</f>
        <v>5.4255543732965568E-3</v>
      </c>
      <c r="G36" s="41">
        <f>[1]Data!I39</f>
        <v>1.9450649407346574E-2</v>
      </c>
      <c r="H36" s="42">
        <f t="shared" si="0"/>
        <v>-1</v>
      </c>
      <c r="I36" s="43">
        <f t="shared" si="9"/>
        <v>1</v>
      </c>
      <c r="J36" s="37">
        <f t="shared" si="1"/>
        <v>0</v>
      </c>
      <c r="K36" s="37">
        <f t="shared" si="2"/>
        <v>1.903262277125322E-2</v>
      </c>
      <c r="L36" s="37">
        <f t="shared" si="3"/>
        <v>0</v>
      </c>
      <c r="M36" s="37">
        <f t="shared" si="4"/>
        <v>1.9212293525328328E-2</v>
      </c>
      <c r="N36" s="37">
        <f t="shared" si="5"/>
        <v>5.4255543732965568E-3</v>
      </c>
      <c r="O36" s="37">
        <f t="shared" si="6"/>
        <v>0</v>
      </c>
      <c r="P36" s="37">
        <f t="shared" si="7"/>
        <v>-1.9450649407346574E-2</v>
      </c>
      <c r="Q36" s="37">
        <f t="shared" si="8"/>
        <v>0</v>
      </c>
    </row>
    <row r="37" spans="1:17" x14ac:dyDescent="0.25">
      <c r="A37" s="38">
        <f>[1]Data!A40</f>
        <v>38534</v>
      </c>
      <c r="B37" s="39">
        <f>[1]Data!B40</f>
        <v>3.7547313345992178E-2</v>
      </c>
      <c r="C37" s="39">
        <f>[1]Data!C40</f>
        <v>6.5608487152724493E-2</v>
      </c>
      <c r="D37" s="40">
        <f>[1]Data!F40</f>
        <v>1.6172994952600986E-3</v>
      </c>
      <c r="E37" s="41">
        <f>[1]Data!G40</f>
        <v>-4.7140262993998422E-3</v>
      </c>
      <c r="F37" s="40">
        <f>[1]Data!H40</f>
        <v>1.7796759743278781E-2</v>
      </c>
      <c r="G37" s="41">
        <f>[1]Data!I40</f>
        <v>-1.8200037770397685E-2</v>
      </c>
      <c r="H37" s="42">
        <f t="shared" si="0"/>
        <v>-1</v>
      </c>
      <c r="I37" s="43">
        <f t="shared" si="9"/>
        <v>1</v>
      </c>
      <c r="J37" s="37">
        <f t="shared" si="1"/>
        <v>0</v>
      </c>
      <c r="K37" s="37">
        <f t="shared" si="2"/>
        <v>-1.6172994952600986E-3</v>
      </c>
      <c r="L37" s="37">
        <f t="shared" si="3"/>
        <v>0</v>
      </c>
      <c r="M37" s="37">
        <f t="shared" si="4"/>
        <v>-4.7140262993998422E-3</v>
      </c>
      <c r="N37" s="37">
        <f t="shared" si="5"/>
        <v>1.7796759743278781E-2</v>
      </c>
      <c r="O37" s="37">
        <f t="shared" si="6"/>
        <v>0</v>
      </c>
      <c r="P37" s="37">
        <f t="shared" si="7"/>
        <v>1.8200037770397685E-2</v>
      </c>
      <c r="Q37" s="37">
        <f t="shared" si="8"/>
        <v>0</v>
      </c>
    </row>
    <row r="38" spans="1:17" x14ac:dyDescent="0.25">
      <c r="A38" s="38">
        <f>[1]Data!A41</f>
        <v>38565</v>
      </c>
      <c r="B38" s="39">
        <f>[1]Data!B41</f>
        <v>-9.418476936731526E-3</v>
      </c>
      <c r="C38" s="39">
        <f>[1]Data!C41</f>
        <v>-2.1198097897498016E-2</v>
      </c>
      <c r="D38" s="40">
        <f>[1]Data!F41</f>
        <v>8.9795341574789266E-4</v>
      </c>
      <c r="E38" s="41">
        <f>[1]Data!G41</f>
        <v>2.3292312410693683E-2</v>
      </c>
      <c r="F38" s="40">
        <f>[1]Data!H41</f>
        <v>-6.9743585278697583E-3</v>
      </c>
      <c r="G38" s="41">
        <f>[1]Data!I41</f>
        <v>-1.1983082904433289E-2</v>
      </c>
      <c r="H38" s="42">
        <f t="shared" si="0"/>
        <v>1</v>
      </c>
      <c r="I38" s="43">
        <f t="shared" si="9"/>
        <v>1</v>
      </c>
      <c r="J38" s="37">
        <f t="shared" si="1"/>
        <v>8.9795341574789266E-4</v>
      </c>
      <c r="K38" s="37">
        <f t="shared" si="2"/>
        <v>0</v>
      </c>
      <c r="L38" s="37">
        <f t="shared" si="3"/>
        <v>-2.3292312410693683E-2</v>
      </c>
      <c r="M38" s="37">
        <f t="shared" si="4"/>
        <v>0</v>
      </c>
      <c r="N38" s="37">
        <f t="shared" si="5"/>
        <v>-6.9743585278697583E-3</v>
      </c>
      <c r="O38" s="37">
        <f t="shared" si="6"/>
        <v>0</v>
      </c>
      <c r="P38" s="37">
        <f t="shared" si="7"/>
        <v>1.1983082904433289E-2</v>
      </c>
      <c r="Q38" s="37">
        <f t="shared" si="8"/>
        <v>0</v>
      </c>
    </row>
    <row r="39" spans="1:17" x14ac:dyDescent="0.25">
      <c r="A39" s="38">
        <f>[1]Data!A42</f>
        <v>38596</v>
      </c>
      <c r="B39" s="39">
        <f>[1]Data!B42</f>
        <v>7.9934270357336478E-3</v>
      </c>
      <c r="C39" s="39">
        <f>[1]Data!C42</f>
        <v>1.8911431047654345E-2</v>
      </c>
      <c r="D39" s="40">
        <f>[1]Data!F42</f>
        <v>1.3912732976948568E-2</v>
      </c>
      <c r="E39" s="41">
        <f>[1]Data!G42</f>
        <v>-1.1967080644273737E-2</v>
      </c>
      <c r="F39" s="40">
        <f>[1]Data!H42</f>
        <v>7.4776549560379903E-3</v>
      </c>
      <c r="G39" s="41">
        <f>[1]Data!I42</f>
        <v>-2.0659862099850244E-2</v>
      </c>
      <c r="H39" s="42">
        <f t="shared" si="0"/>
        <v>-1</v>
      </c>
      <c r="I39" s="43">
        <f t="shared" si="9"/>
        <v>-1</v>
      </c>
      <c r="J39" s="37">
        <f t="shared" si="1"/>
        <v>0</v>
      </c>
      <c r="K39" s="37">
        <f t="shared" si="2"/>
        <v>-1.3912732976948568E-2</v>
      </c>
      <c r="L39" s="37">
        <f t="shared" si="3"/>
        <v>0</v>
      </c>
      <c r="M39" s="37">
        <f t="shared" si="4"/>
        <v>-1.1967080644273737E-2</v>
      </c>
      <c r="N39" s="37">
        <f t="shared" si="5"/>
        <v>0</v>
      </c>
      <c r="O39" s="37">
        <f t="shared" si="6"/>
        <v>-7.4776549560379903E-3</v>
      </c>
      <c r="P39" s="37">
        <f t="shared" si="7"/>
        <v>0</v>
      </c>
      <c r="Q39" s="37">
        <f t="shared" si="8"/>
        <v>-2.0659862099850244E-2</v>
      </c>
    </row>
    <row r="40" spans="1:17" x14ac:dyDescent="0.25">
      <c r="A40" s="38">
        <f>[1]Data!A43</f>
        <v>38626</v>
      </c>
      <c r="B40" s="39">
        <f>[1]Data!B43</f>
        <v>-2.3934787789252124E-2</v>
      </c>
      <c r="C40" s="39">
        <f>[1]Data!C43</f>
        <v>-3.6271312273709486E-2</v>
      </c>
      <c r="D40" s="40">
        <f>[1]Data!F43</f>
        <v>1.6789064588612849E-2</v>
      </c>
      <c r="E40" s="41">
        <f>[1]Data!G43</f>
        <v>-1.821199276076765E-2</v>
      </c>
      <c r="F40" s="40">
        <f>[1]Data!H43</f>
        <v>-2.827313780995298E-2</v>
      </c>
      <c r="G40" s="41">
        <f>[1]Data!I43</f>
        <v>2.16158148162943E-5</v>
      </c>
      <c r="H40" s="42">
        <f t="shared" si="0"/>
        <v>1</v>
      </c>
      <c r="I40" s="43">
        <f t="shared" si="9"/>
        <v>1</v>
      </c>
      <c r="J40" s="37">
        <f t="shared" si="1"/>
        <v>1.6789064588612849E-2</v>
      </c>
      <c r="K40" s="37">
        <f t="shared" si="2"/>
        <v>0</v>
      </c>
      <c r="L40" s="37">
        <f t="shared" si="3"/>
        <v>1.821199276076765E-2</v>
      </c>
      <c r="M40" s="37">
        <f t="shared" si="4"/>
        <v>0</v>
      </c>
      <c r="N40" s="37">
        <f t="shared" si="5"/>
        <v>-2.827313780995298E-2</v>
      </c>
      <c r="O40" s="37">
        <f t="shared" si="6"/>
        <v>0</v>
      </c>
      <c r="P40" s="37">
        <f t="shared" si="7"/>
        <v>-2.16158148162943E-5</v>
      </c>
      <c r="Q40" s="37">
        <f t="shared" si="8"/>
        <v>0</v>
      </c>
    </row>
    <row r="41" spans="1:17" x14ac:dyDescent="0.25">
      <c r="A41" s="38">
        <f>[1]Data!A44</f>
        <v>38657</v>
      </c>
      <c r="B41" s="39">
        <f>[1]Data!B44</f>
        <v>4.3013436578415935E-2</v>
      </c>
      <c r="C41" s="39">
        <f>[1]Data!C44</f>
        <v>3.4375949860764178E-2</v>
      </c>
      <c r="D41" s="40">
        <f>[1]Data!F44</f>
        <v>-2.7872972755486726E-3</v>
      </c>
      <c r="E41" s="41">
        <f>[1]Data!G44</f>
        <v>-4.5449255439016867E-3</v>
      </c>
      <c r="F41" s="40">
        <f>[1]Data!H44</f>
        <v>1.7329848146017911E-2</v>
      </c>
      <c r="G41" s="41">
        <f>[1]Data!I44</f>
        <v>-1.0831471697630192E-2</v>
      </c>
      <c r="H41" s="42">
        <f t="shared" si="0"/>
        <v>-1</v>
      </c>
      <c r="I41" s="43">
        <f t="shared" si="9"/>
        <v>-1</v>
      </c>
      <c r="J41" s="37">
        <f t="shared" si="1"/>
        <v>0</v>
      </c>
      <c r="K41" s="37">
        <f t="shared" si="2"/>
        <v>2.7872972755486726E-3</v>
      </c>
      <c r="L41" s="37">
        <f t="shared" si="3"/>
        <v>0</v>
      </c>
      <c r="M41" s="37">
        <f t="shared" si="4"/>
        <v>-4.5449255439016867E-3</v>
      </c>
      <c r="N41" s="37">
        <f t="shared" si="5"/>
        <v>0</v>
      </c>
      <c r="O41" s="37">
        <f t="shared" si="6"/>
        <v>-1.7329848146017911E-2</v>
      </c>
      <c r="P41" s="37">
        <f t="shared" si="7"/>
        <v>0</v>
      </c>
      <c r="Q41" s="37">
        <f t="shared" si="8"/>
        <v>-1.0831471697630192E-2</v>
      </c>
    </row>
    <row r="42" spans="1:17" x14ac:dyDescent="0.25">
      <c r="A42" s="38">
        <f>[1]Data!A45</f>
        <v>38687</v>
      </c>
      <c r="B42" s="39">
        <f>[1]Data!B45</f>
        <v>-1.9150356828486481E-3</v>
      </c>
      <c r="C42" s="39">
        <f>[1]Data!C45</f>
        <v>1.154915431735965E-4</v>
      </c>
      <c r="D42" s="40">
        <f>[1]Data!F45</f>
        <v>-1.2133900500669722E-2</v>
      </c>
      <c r="E42" s="41">
        <f>[1]Data!G45</f>
        <v>1.9277092901276577E-2</v>
      </c>
      <c r="F42" s="40">
        <f>[1]Data!H45</f>
        <v>5.328284129773749E-3</v>
      </c>
      <c r="G42" s="41">
        <f>[1]Data!I45</f>
        <v>6.700281508490169E-4</v>
      </c>
      <c r="H42" s="42">
        <f t="shared" si="0"/>
        <v>-1</v>
      </c>
      <c r="I42" s="43">
        <f t="shared" si="9"/>
        <v>1</v>
      </c>
      <c r="J42" s="37">
        <f t="shared" si="1"/>
        <v>0</v>
      </c>
      <c r="K42" s="37">
        <f t="shared" si="2"/>
        <v>1.2133900500669722E-2</v>
      </c>
      <c r="L42" s="37">
        <f t="shared" si="3"/>
        <v>0</v>
      </c>
      <c r="M42" s="37">
        <f t="shared" si="4"/>
        <v>1.9277092901276577E-2</v>
      </c>
      <c r="N42" s="37">
        <f t="shared" si="5"/>
        <v>5.328284129773749E-3</v>
      </c>
      <c r="O42" s="37">
        <f t="shared" si="6"/>
        <v>0</v>
      </c>
      <c r="P42" s="37">
        <f t="shared" si="7"/>
        <v>-6.700281508490169E-4</v>
      </c>
      <c r="Q42" s="37">
        <f t="shared" si="8"/>
        <v>0</v>
      </c>
    </row>
    <row r="43" spans="1:17" x14ac:dyDescent="0.25">
      <c r="A43" s="38">
        <f>[1]Data!A46</f>
        <v>38718</v>
      </c>
      <c r="B43" s="39">
        <f>[1]Data!B46</f>
        <v>2.3730081677992197E-2</v>
      </c>
      <c r="C43" s="39">
        <f>[1]Data!C46</f>
        <v>1.6251487221031174E-2</v>
      </c>
      <c r="D43" s="40">
        <f>[1]Data!F46</f>
        <v>7.4785944569611563E-3</v>
      </c>
      <c r="E43" s="41">
        <f>[1]Data!G46</f>
        <v>-1.3473956204481519E-2</v>
      </c>
      <c r="F43" s="40">
        <f>[1]Data!H46</f>
        <v>3.3642066642074649E-2</v>
      </c>
      <c r="G43" s="41">
        <f>[1]Data!I46</f>
        <v>-1.3060746137903189E-3</v>
      </c>
      <c r="H43" s="42">
        <f t="shared" si="0"/>
        <v>-1</v>
      </c>
      <c r="I43" s="43">
        <f t="shared" si="9"/>
        <v>1</v>
      </c>
      <c r="J43" s="37">
        <f t="shared" si="1"/>
        <v>0</v>
      </c>
      <c r="K43" s="37">
        <f t="shared" si="2"/>
        <v>-7.4785944569611563E-3</v>
      </c>
      <c r="L43" s="37">
        <f t="shared" si="3"/>
        <v>0</v>
      </c>
      <c r="M43" s="37">
        <f t="shared" si="4"/>
        <v>-1.3473956204481519E-2</v>
      </c>
      <c r="N43" s="37">
        <f t="shared" si="5"/>
        <v>3.3642066642074649E-2</v>
      </c>
      <c r="O43" s="37">
        <f t="shared" si="6"/>
        <v>0</v>
      </c>
      <c r="P43" s="37">
        <f t="shared" si="7"/>
        <v>1.3060746137903189E-3</v>
      </c>
      <c r="Q43" s="37">
        <f t="shared" si="8"/>
        <v>0</v>
      </c>
    </row>
    <row r="44" spans="1:17" x14ac:dyDescent="0.25">
      <c r="A44" s="38">
        <f>[1]Data!A47</f>
        <v>38749</v>
      </c>
      <c r="B44" s="39">
        <f>[1]Data!B47</f>
        <v>5.7093160942483807E-3</v>
      </c>
      <c r="C44" s="39">
        <f>[1]Data!C47</f>
        <v>2.0033188771710177E-3</v>
      </c>
      <c r="D44" s="40">
        <f>[1]Data!F47</f>
        <v>-8.0778583310231692E-3</v>
      </c>
      <c r="E44" s="41">
        <f>[1]Data!G47</f>
        <v>-7.6611107314804392E-4</v>
      </c>
      <c r="F44" s="40">
        <f>[1]Data!H47</f>
        <v>-1.5969757563471531E-2</v>
      </c>
      <c r="G44" s="41">
        <f>[1]Data!I47</f>
        <v>2.7739393737873496E-3</v>
      </c>
      <c r="H44" s="42">
        <f t="shared" si="0"/>
        <v>-1</v>
      </c>
      <c r="I44" s="43">
        <f t="shared" si="9"/>
        <v>1</v>
      </c>
      <c r="J44" s="37">
        <f t="shared" si="1"/>
        <v>0</v>
      </c>
      <c r="K44" s="37">
        <f t="shared" si="2"/>
        <v>8.0778583310231692E-3</v>
      </c>
      <c r="L44" s="37">
        <f t="shared" si="3"/>
        <v>0</v>
      </c>
      <c r="M44" s="37">
        <f t="shared" si="4"/>
        <v>-7.6611107314804392E-4</v>
      </c>
      <c r="N44" s="37">
        <f t="shared" si="5"/>
        <v>-1.5969757563471531E-2</v>
      </c>
      <c r="O44" s="37">
        <f t="shared" si="6"/>
        <v>0</v>
      </c>
      <c r="P44" s="37">
        <f t="shared" si="7"/>
        <v>-2.7739393737873496E-3</v>
      </c>
      <c r="Q44" s="37">
        <f t="shared" si="8"/>
        <v>0</v>
      </c>
    </row>
    <row r="45" spans="1:17" x14ac:dyDescent="0.25">
      <c r="A45" s="38">
        <f>[1]Data!A48</f>
        <v>38777</v>
      </c>
      <c r="B45" s="39">
        <f>[1]Data!B48</f>
        <v>1.6369067309703361E-2</v>
      </c>
      <c r="C45" s="39">
        <f>[1]Data!C48</f>
        <v>4.2366414650334187E-2</v>
      </c>
      <c r="D45" s="40">
        <f>[1]Data!F48</f>
        <v>1.8502043911465646E-3</v>
      </c>
      <c r="E45" s="41">
        <f>[1]Data!G48</f>
        <v>-1.8928268737331545E-2</v>
      </c>
      <c r="F45" s="40">
        <f>[1]Data!H48</f>
        <v>-2.0299161938544833E-3</v>
      </c>
      <c r="G45" s="41">
        <f>[1]Data!I48</f>
        <v>-2.6944239787582629E-2</v>
      </c>
      <c r="H45" s="42">
        <f t="shared" si="0"/>
        <v>-1</v>
      </c>
      <c r="I45" s="43">
        <f t="shared" si="9"/>
        <v>1</v>
      </c>
      <c r="J45" s="37">
        <f t="shared" si="1"/>
        <v>0</v>
      </c>
      <c r="K45" s="37">
        <f t="shared" si="2"/>
        <v>-1.8502043911465646E-3</v>
      </c>
      <c r="L45" s="37">
        <f t="shared" si="3"/>
        <v>0</v>
      </c>
      <c r="M45" s="37">
        <f t="shared" si="4"/>
        <v>-1.8928268737331545E-2</v>
      </c>
      <c r="N45" s="37">
        <f t="shared" si="5"/>
        <v>-2.0299161938544833E-3</v>
      </c>
      <c r="O45" s="37">
        <f t="shared" si="6"/>
        <v>0</v>
      </c>
      <c r="P45" s="37">
        <f t="shared" si="7"/>
        <v>2.6944239787582629E-2</v>
      </c>
      <c r="Q45" s="37">
        <f t="shared" si="8"/>
        <v>0</v>
      </c>
    </row>
    <row r="46" spans="1:17" x14ac:dyDescent="0.25">
      <c r="A46" s="38">
        <f>[1]Data!A49</f>
        <v>38808</v>
      </c>
      <c r="B46" s="39">
        <f>[1]Data!B49</f>
        <v>1.2552708122264644E-2</v>
      </c>
      <c r="C46" s="39">
        <f>[1]Data!C49</f>
        <v>2.4616946540269472E-2</v>
      </c>
      <c r="D46" s="40">
        <f>[1]Data!F49</f>
        <v>4.2684736334779446E-3</v>
      </c>
      <c r="E46" s="41">
        <f>[1]Data!G49</f>
        <v>-1.1576703193824237E-2</v>
      </c>
      <c r="F46" s="40">
        <f>[1]Data!H49</f>
        <v>-2.2362709254265378E-3</v>
      </c>
      <c r="G46" s="41">
        <f>[1]Data!I49</f>
        <v>-1.6802783585886997E-2</v>
      </c>
      <c r="H46" s="42">
        <f t="shared" si="0"/>
        <v>-1</v>
      </c>
      <c r="I46" s="43">
        <f t="shared" si="9"/>
        <v>1</v>
      </c>
      <c r="J46" s="37">
        <f t="shared" si="1"/>
        <v>0</v>
      </c>
      <c r="K46" s="37">
        <f t="shared" si="2"/>
        <v>-4.2684736334779446E-3</v>
      </c>
      <c r="L46" s="37">
        <f t="shared" si="3"/>
        <v>0</v>
      </c>
      <c r="M46" s="37">
        <f t="shared" si="4"/>
        <v>-1.1576703193824237E-2</v>
      </c>
      <c r="N46" s="37">
        <f t="shared" si="5"/>
        <v>-2.2362709254265378E-3</v>
      </c>
      <c r="O46" s="37">
        <f t="shared" si="6"/>
        <v>0</v>
      </c>
      <c r="P46" s="37">
        <f t="shared" si="7"/>
        <v>1.6802783585886997E-2</v>
      </c>
      <c r="Q46" s="37">
        <f t="shared" si="8"/>
        <v>0</v>
      </c>
    </row>
    <row r="47" spans="1:17" x14ac:dyDescent="0.25">
      <c r="A47" s="38">
        <f>[1]Data!A50</f>
        <v>38838</v>
      </c>
      <c r="B47" s="39">
        <f>[1]Data!B50</f>
        <v>-3.058337062707895E-2</v>
      </c>
      <c r="C47" s="39">
        <f>[1]Data!C50</f>
        <v>-4.0936156477608232E-2</v>
      </c>
      <c r="D47" s="40">
        <f>[1]Data!F50</f>
        <v>3.2211743209751634E-3</v>
      </c>
      <c r="E47" s="41">
        <f>[1]Data!G50</f>
        <v>-9.0424605799544061E-3</v>
      </c>
      <c r="F47" s="40">
        <f>[1]Data!H50</f>
        <v>7.9553629311967123E-3</v>
      </c>
      <c r="G47" s="41">
        <f>[1]Data!I50</f>
        <v>-2.7481612293821433E-3</v>
      </c>
      <c r="H47" s="42">
        <f t="shared" si="0"/>
        <v>1</v>
      </c>
      <c r="I47" s="43">
        <f t="shared" si="9"/>
        <v>1</v>
      </c>
      <c r="J47" s="37">
        <f t="shared" si="1"/>
        <v>3.2211743209751634E-3</v>
      </c>
      <c r="K47" s="37">
        <f t="shared" si="2"/>
        <v>0</v>
      </c>
      <c r="L47" s="37">
        <f t="shared" si="3"/>
        <v>9.0424605799544061E-3</v>
      </c>
      <c r="M47" s="37">
        <f t="shared" si="4"/>
        <v>0</v>
      </c>
      <c r="N47" s="37">
        <f t="shared" si="5"/>
        <v>7.9553629311967123E-3</v>
      </c>
      <c r="O47" s="37">
        <f t="shared" si="6"/>
        <v>0</v>
      </c>
      <c r="P47" s="37">
        <f t="shared" si="7"/>
        <v>2.7481612293821433E-3</v>
      </c>
      <c r="Q47" s="37">
        <f t="shared" si="8"/>
        <v>0</v>
      </c>
    </row>
    <row r="48" spans="1:17" x14ac:dyDescent="0.25">
      <c r="A48" s="38">
        <f>[1]Data!A51</f>
        <v>38869</v>
      </c>
      <c r="B48" s="39">
        <f>[1]Data!B51</f>
        <v>2.6046786010255167E-3</v>
      </c>
      <c r="C48" s="39">
        <f>[1]Data!C51</f>
        <v>-2.4136279285289729E-2</v>
      </c>
      <c r="D48" s="40">
        <f>[1]Data!F51</f>
        <v>1.7996187837285297E-2</v>
      </c>
      <c r="E48" s="41">
        <f>[1]Data!G51</f>
        <v>2.969314792692611E-3</v>
      </c>
      <c r="F48" s="40">
        <f>[1]Data!H51</f>
        <v>-1.3024734076348625E-2</v>
      </c>
      <c r="G48" s="41">
        <f>[1]Data!I51</f>
        <v>2.0921812409311978E-2</v>
      </c>
      <c r="H48" s="42">
        <f t="shared" si="0"/>
        <v>1</v>
      </c>
      <c r="I48" s="43">
        <f t="shared" si="9"/>
        <v>-1</v>
      </c>
      <c r="J48" s="37">
        <f t="shared" si="1"/>
        <v>1.7996187837285297E-2</v>
      </c>
      <c r="K48" s="37">
        <f t="shared" si="2"/>
        <v>0</v>
      </c>
      <c r="L48" s="37">
        <f t="shared" si="3"/>
        <v>-2.969314792692611E-3</v>
      </c>
      <c r="M48" s="37">
        <f t="shared" si="4"/>
        <v>0</v>
      </c>
      <c r="N48" s="37">
        <f t="shared" si="5"/>
        <v>0</v>
      </c>
      <c r="O48" s="37">
        <f t="shared" si="6"/>
        <v>1.3024734076348625E-2</v>
      </c>
      <c r="P48" s="37">
        <f t="shared" si="7"/>
        <v>0</v>
      </c>
      <c r="Q48" s="37">
        <f t="shared" si="8"/>
        <v>2.0921812409311978E-2</v>
      </c>
    </row>
    <row r="49" spans="1:17" x14ac:dyDescent="0.25">
      <c r="A49" s="38">
        <f>[1]Data!A52</f>
        <v>38899</v>
      </c>
      <c r="B49" s="39">
        <f>[1]Data!B52</f>
        <v>4.468008958796967E-3</v>
      </c>
      <c r="C49" s="39">
        <f>[1]Data!C52</f>
        <v>-2.3649271526161874E-2</v>
      </c>
      <c r="D49" s="40">
        <f>[1]Data!F52</f>
        <v>1.2910411835419359E-2</v>
      </c>
      <c r="E49" s="41">
        <f>[1]Data!G52</f>
        <v>6.195492477974341E-3</v>
      </c>
      <c r="F49" s="40">
        <f>[1]Data!H52</f>
        <v>-3.3842370024011574E-3</v>
      </c>
      <c r="G49" s="41">
        <f>[1]Data!I52</f>
        <v>4.4785110205172026E-3</v>
      </c>
      <c r="H49" s="42">
        <f t="shared" si="0"/>
        <v>1</v>
      </c>
      <c r="I49" s="43">
        <f t="shared" si="9"/>
        <v>-1</v>
      </c>
      <c r="J49" s="37">
        <f t="shared" si="1"/>
        <v>1.2910411835419359E-2</v>
      </c>
      <c r="K49" s="37">
        <f t="shared" si="2"/>
        <v>0</v>
      </c>
      <c r="L49" s="37">
        <f t="shared" si="3"/>
        <v>-6.195492477974341E-3</v>
      </c>
      <c r="M49" s="37">
        <f t="shared" si="4"/>
        <v>0</v>
      </c>
      <c r="N49" s="37">
        <f t="shared" si="5"/>
        <v>0</v>
      </c>
      <c r="O49" s="37">
        <f t="shared" si="6"/>
        <v>3.3842370024011574E-3</v>
      </c>
      <c r="P49" s="37">
        <f t="shared" si="7"/>
        <v>0</v>
      </c>
      <c r="Q49" s="37">
        <f t="shared" si="8"/>
        <v>4.4785110205172026E-3</v>
      </c>
    </row>
    <row r="50" spans="1:17" x14ac:dyDescent="0.25">
      <c r="A50" s="38">
        <f>[1]Data!A53</f>
        <v>38930</v>
      </c>
      <c r="B50" s="39">
        <f>[1]Data!B53</f>
        <v>2.1587907719146763E-2</v>
      </c>
      <c r="C50" s="39">
        <f>[1]Data!C53</f>
        <v>-1.0089722427011503E-3</v>
      </c>
      <c r="D50" s="40">
        <f>[1]Data!F53</f>
        <v>3.9113592680134514E-3</v>
      </c>
      <c r="E50" s="41">
        <f>[1]Data!G53</f>
        <v>1.1418121631058528E-2</v>
      </c>
      <c r="F50" s="40">
        <f>[1]Data!H53</f>
        <v>3.9115179361156726E-4</v>
      </c>
      <c r="G50" s="41">
        <f>[1]Data!I53</f>
        <v>1.0498166980180697E-2</v>
      </c>
      <c r="H50" s="42">
        <f t="shared" si="0"/>
        <v>1</v>
      </c>
      <c r="I50" s="43">
        <f t="shared" si="9"/>
        <v>-1</v>
      </c>
      <c r="J50" s="37">
        <f t="shared" si="1"/>
        <v>3.9113592680134514E-3</v>
      </c>
      <c r="K50" s="37">
        <f t="shared" si="2"/>
        <v>0</v>
      </c>
      <c r="L50" s="37">
        <f t="shared" si="3"/>
        <v>-1.1418121631058528E-2</v>
      </c>
      <c r="M50" s="37">
        <f t="shared" si="4"/>
        <v>0</v>
      </c>
      <c r="N50" s="37">
        <f t="shared" si="5"/>
        <v>0</v>
      </c>
      <c r="O50" s="37">
        <f t="shared" si="6"/>
        <v>-3.9115179361156726E-4</v>
      </c>
      <c r="P50" s="37">
        <f t="shared" si="7"/>
        <v>0</v>
      </c>
      <c r="Q50" s="37">
        <f t="shared" si="8"/>
        <v>1.0498166980180697E-2</v>
      </c>
    </row>
    <row r="51" spans="1:17" x14ac:dyDescent="0.25">
      <c r="A51" s="38">
        <f>[1]Data!A54</f>
        <v>38961</v>
      </c>
      <c r="B51" s="39">
        <f>[1]Data!B54</f>
        <v>2.6643527518460088E-2</v>
      </c>
      <c r="C51" s="39">
        <f>[1]Data!C54</f>
        <v>-1.1261635978117291E-2</v>
      </c>
      <c r="D51" s="40">
        <f>[1]Data!F54</f>
        <v>1.592179277364051E-2</v>
      </c>
      <c r="E51" s="41">
        <f>[1]Data!G54</f>
        <v>-3.0152215371729183E-3</v>
      </c>
      <c r="F51" s="40">
        <f>[1]Data!H54</f>
        <v>-2.7593213246328015E-3</v>
      </c>
      <c r="G51" s="41">
        <f>[1]Data!I54</f>
        <v>-4.570561007088669E-3</v>
      </c>
      <c r="H51" s="42">
        <f t="shared" si="0"/>
        <v>1</v>
      </c>
      <c r="I51" s="43">
        <f t="shared" si="9"/>
        <v>-1</v>
      </c>
      <c r="J51" s="37">
        <f t="shared" si="1"/>
        <v>1.592179277364051E-2</v>
      </c>
      <c r="K51" s="37">
        <f t="shared" si="2"/>
        <v>0</v>
      </c>
      <c r="L51" s="37">
        <f t="shared" si="3"/>
        <v>3.0152215371729183E-3</v>
      </c>
      <c r="M51" s="37">
        <f t="shared" si="4"/>
        <v>0</v>
      </c>
      <c r="N51" s="37">
        <f t="shared" si="5"/>
        <v>0</v>
      </c>
      <c r="O51" s="37">
        <f t="shared" si="6"/>
        <v>2.7593213246328015E-3</v>
      </c>
      <c r="P51" s="37">
        <f t="shared" si="7"/>
        <v>0</v>
      </c>
      <c r="Q51" s="37">
        <f t="shared" si="8"/>
        <v>-4.570561007088669E-3</v>
      </c>
    </row>
    <row r="52" spans="1:17" x14ac:dyDescent="0.25">
      <c r="A52" s="38">
        <f>[1]Data!A55</f>
        <v>38991</v>
      </c>
      <c r="B52" s="39">
        <f>[1]Data!B55</f>
        <v>3.1030163088766955E-2</v>
      </c>
      <c r="C52" s="39">
        <f>[1]Data!C55</f>
        <v>4.1168317493083292E-2</v>
      </c>
      <c r="D52" s="40">
        <f>[1]Data!F55</f>
        <v>6.918260549522319E-3</v>
      </c>
      <c r="E52" s="41">
        <f>[1]Data!G55</f>
        <v>2.548778546364891E-2</v>
      </c>
      <c r="F52" s="40">
        <f>[1]Data!H55</f>
        <v>1.0648340267244209E-2</v>
      </c>
      <c r="G52" s="41">
        <f>[1]Data!I55</f>
        <v>-8.8649682893671145E-3</v>
      </c>
      <c r="H52" s="42">
        <f t="shared" si="0"/>
        <v>-1</v>
      </c>
      <c r="I52" s="43">
        <f t="shared" si="9"/>
        <v>-1</v>
      </c>
      <c r="J52" s="37">
        <f t="shared" si="1"/>
        <v>0</v>
      </c>
      <c r="K52" s="37">
        <f t="shared" si="2"/>
        <v>-6.918260549522319E-3</v>
      </c>
      <c r="L52" s="37">
        <f t="shared" si="3"/>
        <v>0</v>
      </c>
      <c r="M52" s="37">
        <f t="shared" si="4"/>
        <v>2.548778546364891E-2</v>
      </c>
      <c r="N52" s="37">
        <f t="shared" si="5"/>
        <v>0</v>
      </c>
      <c r="O52" s="37">
        <f t="shared" si="6"/>
        <v>-1.0648340267244209E-2</v>
      </c>
      <c r="P52" s="37">
        <f t="shared" si="7"/>
        <v>0</v>
      </c>
      <c r="Q52" s="37">
        <f t="shared" si="8"/>
        <v>-8.8649682893671145E-3</v>
      </c>
    </row>
    <row r="53" spans="1:17" x14ac:dyDescent="0.25">
      <c r="A53" s="38">
        <f>[1]Data!A56</f>
        <v>39022</v>
      </c>
      <c r="B53" s="39">
        <f>[1]Data!B56</f>
        <v>1.9690075438344244E-2</v>
      </c>
      <c r="C53" s="39">
        <f>[1]Data!C56</f>
        <v>1.1072758939932151E-2</v>
      </c>
      <c r="D53" s="40">
        <f>[1]Data!F56</f>
        <v>-7.8262594549686451E-4</v>
      </c>
      <c r="E53" s="41">
        <f>[1]Data!G56</f>
        <v>1.3419337735648712E-2</v>
      </c>
      <c r="F53" s="40">
        <f>[1]Data!H56</f>
        <v>5.9328951483249934E-3</v>
      </c>
      <c r="G53" s="41">
        <f>[1]Data!I56</f>
        <v>-2.9666651849128926E-3</v>
      </c>
      <c r="H53" s="42">
        <f t="shared" si="0"/>
        <v>-1</v>
      </c>
      <c r="I53" s="43">
        <f t="shared" si="9"/>
        <v>1</v>
      </c>
      <c r="J53" s="37">
        <f t="shared" si="1"/>
        <v>0</v>
      </c>
      <c r="K53" s="37">
        <f t="shared" si="2"/>
        <v>7.8262594549686451E-4</v>
      </c>
      <c r="L53" s="37">
        <f t="shared" si="3"/>
        <v>0</v>
      </c>
      <c r="M53" s="37">
        <f t="shared" si="4"/>
        <v>1.3419337735648712E-2</v>
      </c>
      <c r="N53" s="37">
        <f t="shared" si="5"/>
        <v>5.9328951483249934E-3</v>
      </c>
      <c r="O53" s="37">
        <f t="shared" si="6"/>
        <v>0</v>
      </c>
      <c r="P53" s="37">
        <f t="shared" si="7"/>
        <v>2.9666651849128926E-3</v>
      </c>
      <c r="Q53" s="37">
        <f t="shared" si="8"/>
        <v>0</v>
      </c>
    </row>
    <row r="54" spans="1:17" x14ac:dyDescent="0.25">
      <c r="A54" s="38">
        <f>[1]Data!A57</f>
        <v>39052</v>
      </c>
      <c r="B54" s="39">
        <f>[1]Data!B57</f>
        <v>1.3282696711612991E-2</v>
      </c>
      <c r="C54" s="39">
        <f>[1]Data!C57</f>
        <v>2.5508959424920759E-2</v>
      </c>
      <c r="D54" s="40">
        <f>[1]Data!F57</f>
        <v>-1.7694179454963432E-16</v>
      </c>
      <c r="E54" s="41">
        <f>[1]Data!G57</f>
        <v>-1.510077938741145E-2</v>
      </c>
      <c r="F54" s="40">
        <f>[1]Data!H57</f>
        <v>4.4733305016389814E-3</v>
      </c>
      <c r="G54" s="41">
        <f>[1]Data!I57</f>
        <v>-3.1642057175023061E-3</v>
      </c>
      <c r="H54" s="42">
        <f t="shared" si="0"/>
        <v>-1</v>
      </c>
      <c r="I54" s="43">
        <f t="shared" si="9"/>
        <v>1</v>
      </c>
      <c r="J54" s="37">
        <f t="shared" si="1"/>
        <v>0</v>
      </c>
      <c r="K54" s="37">
        <f t="shared" si="2"/>
        <v>1.7694179454963432E-16</v>
      </c>
      <c r="L54" s="37">
        <f t="shared" si="3"/>
        <v>0</v>
      </c>
      <c r="M54" s="37">
        <f t="shared" si="4"/>
        <v>-1.510077938741145E-2</v>
      </c>
      <c r="N54" s="37">
        <f t="shared" si="5"/>
        <v>4.4733305016389814E-3</v>
      </c>
      <c r="O54" s="37">
        <f t="shared" si="6"/>
        <v>0</v>
      </c>
      <c r="P54" s="37">
        <f t="shared" si="7"/>
        <v>3.1642057175023061E-3</v>
      </c>
      <c r="Q54" s="37">
        <f t="shared" si="8"/>
        <v>0</v>
      </c>
    </row>
    <row r="55" spans="1:17" x14ac:dyDescent="0.25">
      <c r="A55" s="38">
        <f>[1]Data!A58</f>
        <v>39083</v>
      </c>
      <c r="B55" s="39">
        <f>[1]Data!B58</f>
        <v>1.4928488844230672E-2</v>
      </c>
      <c r="C55" s="39">
        <f>[1]Data!C58</f>
        <v>2.5634941222122259E-2</v>
      </c>
      <c r="D55" s="40">
        <f>[1]Data!F58</f>
        <v>-1.3903654065319159E-3</v>
      </c>
      <c r="E55" s="41">
        <f>[1]Data!G58</f>
        <v>-6.8607160114793689E-4</v>
      </c>
      <c r="F55" s="40">
        <f>[1]Data!H58</f>
        <v>-3.8910623244477879E-3</v>
      </c>
      <c r="G55" s="41">
        <f>[1]Data!I58</f>
        <v>1.0573022287509958E-2</v>
      </c>
      <c r="H55" s="42">
        <f t="shared" si="0"/>
        <v>-1</v>
      </c>
      <c r="I55" s="43">
        <f t="shared" si="9"/>
        <v>1</v>
      </c>
      <c r="J55" s="37">
        <f t="shared" si="1"/>
        <v>0</v>
      </c>
      <c r="K55" s="37">
        <f t="shared" si="2"/>
        <v>1.3903654065319159E-3</v>
      </c>
      <c r="L55" s="37">
        <f t="shared" si="3"/>
        <v>0</v>
      </c>
      <c r="M55" s="37">
        <f t="shared" si="4"/>
        <v>-6.8607160114793689E-4</v>
      </c>
      <c r="N55" s="37">
        <f t="shared" si="5"/>
        <v>-3.8910623244477879E-3</v>
      </c>
      <c r="O55" s="37">
        <f t="shared" si="6"/>
        <v>0</v>
      </c>
      <c r="P55" s="37">
        <f t="shared" si="7"/>
        <v>-1.0573022287509958E-2</v>
      </c>
      <c r="Q55" s="37">
        <f t="shared" si="8"/>
        <v>0</v>
      </c>
    </row>
    <row r="56" spans="1:17" x14ac:dyDescent="0.25">
      <c r="A56" s="38">
        <f>[1]Data!A59</f>
        <v>39114</v>
      </c>
      <c r="B56" s="39">
        <f>[1]Data!B59</f>
        <v>-1.9812716514843898E-2</v>
      </c>
      <c r="C56" s="39">
        <f>[1]Data!C59</f>
        <v>3.0659186013294124E-3</v>
      </c>
      <c r="D56" s="40">
        <f>[1]Data!F59</f>
        <v>-3.445253757602991E-2</v>
      </c>
      <c r="E56" s="41">
        <f>[1]Data!G59</f>
        <v>2.1754926771803795E-2</v>
      </c>
      <c r="F56" s="40">
        <f>[1]Data!H59</f>
        <v>1.0104817526538145E-2</v>
      </c>
      <c r="G56" s="41">
        <f>[1]Data!I59</f>
        <v>9.8723633273717394E-3</v>
      </c>
      <c r="H56" s="42">
        <f t="shared" si="0"/>
        <v>-1</v>
      </c>
      <c r="I56" s="43">
        <f t="shared" si="9"/>
        <v>1</v>
      </c>
      <c r="J56" s="37">
        <f t="shared" si="1"/>
        <v>0</v>
      </c>
      <c r="K56" s="37">
        <f t="shared" si="2"/>
        <v>3.445253757602991E-2</v>
      </c>
      <c r="L56" s="37">
        <f t="shared" si="3"/>
        <v>0</v>
      </c>
      <c r="M56" s="37">
        <f t="shared" si="4"/>
        <v>2.1754926771803795E-2</v>
      </c>
      <c r="N56" s="37">
        <f t="shared" si="5"/>
        <v>1.0104817526538145E-2</v>
      </c>
      <c r="O56" s="37">
        <f t="shared" si="6"/>
        <v>0</v>
      </c>
      <c r="P56" s="37">
        <f t="shared" si="7"/>
        <v>-9.8723633273717394E-3</v>
      </c>
      <c r="Q56" s="37">
        <f t="shared" si="8"/>
        <v>0</v>
      </c>
    </row>
    <row r="57" spans="1:17" x14ac:dyDescent="0.25">
      <c r="A57" s="38">
        <f>[1]Data!A60</f>
        <v>39142</v>
      </c>
      <c r="B57" s="39">
        <f>[1]Data!B60</f>
        <v>1.1522851077644499E-2</v>
      </c>
      <c r="C57" s="39">
        <f>[1]Data!C60</f>
        <v>2.1201145163857352E-2</v>
      </c>
      <c r="D57" s="40">
        <f>[1]Data!F60</f>
        <v>-9.0430043580398967E-3</v>
      </c>
      <c r="E57" s="41">
        <f>[1]Data!G60</f>
        <v>-1.6514017261077919E-2</v>
      </c>
      <c r="F57" s="40">
        <f>[1]Data!H60</f>
        <v>-9.7683223735969844E-3</v>
      </c>
      <c r="G57" s="41">
        <f>[1]Data!I60</f>
        <v>6.9130557163929254E-3</v>
      </c>
      <c r="H57" s="42">
        <f t="shared" si="0"/>
        <v>-1</v>
      </c>
      <c r="I57" s="43">
        <f t="shared" si="9"/>
        <v>1</v>
      </c>
      <c r="J57" s="37">
        <f t="shared" si="1"/>
        <v>0</v>
      </c>
      <c r="K57" s="37">
        <f t="shared" si="2"/>
        <v>9.0430043580398967E-3</v>
      </c>
      <c r="L57" s="37">
        <f t="shared" si="3"/>
        <v>0</v>
      </c>
      <c r="M57" s="37">
        <f t="shared" si="4"/>
        <v>-1.6514017261077919E-2</v>
      </c>
      <c r="N57" s="37">
        <f t="shared" si="5"/>
        <v>-9.7683223735969844E-3</v>
      </c>
      <c r="O57" s="37">
        <f t="shared" si="6"/>
        <v>0</v>
      </c>
      <c r="P57" s="37">
        <f t="shared" si="7"/>
        <v>-6.9130557163929254E-3</v>
      </c>
      <c r="Q57" s="37">
        <f t="shared" si="8"/>
        <v>0</v>
      </c>
    </row>
    <row r="58" spans="1:17" x14ac:dyDescent="0.25">
      <c r="A58" s="38">
        <f>[1]Data!A61</f>
        <v>39173</v>
      </c>
      <c r="B58" s="39">
        <f>[1]Data!B61</f>
        <v>4.3342227295940484E-2</v>
      </c>
      <c r="C58" s="39">
        <f>[1]Data!C61</f>
        <v>3.5941124397633951E-2</v>
      </c>
      <c r="D58" s="40">
        <f>[1]Data!F61</f>
        <v>1.551807768923278E-3</v>
      </c>
      <c r="E58" s="41">
        <f>[1]Data!G61</f>
        <v>3.1591196779816285E-3</v>
      </c>
      <c r="F58" s="40">
        <f>[1]Data!H61</f>
        <v>1.7036627436698187E-2</v>
      </c>
      <c r="G58" s="41">
        <f>[1]Data!I61</f>
        <v>-8.9536555089582623E-3</v>
      </c>
      <c r="H58" s="42">
        <f t="shared" si="0"/>
        <v>-1</v>
      </c>
      <c r="I58" s="43">
        <f t="shared" si="9"/>
        <v>1</v>
      </c>
      <c r="J58" s="37">
        <f t="shared" si="1"/>
        <v>0</v>
      </c>
      <c r="K58" s="37">
        <f t="shared" si="2"/>
        <v>-1.551807768923278E-3</v>
      </c>
      <c r="L58" s="37">
        <f t="shared" si="3"/>
        <v>0</v>
      </c>
      <c r="M58" s="37">
        <f t="shared" si="4"/>
        <v>3.1591196779816285E-3</v>
      </c>
      <c r="N58" s="37">
        <f t="shared" si="5"/>
        <v>1.7036627436698187E-2</v>
      </c>
      <c r="O58" s="37">
        <f t="shared" si="6"/>
        <v>0</v>
      </c>
      <c r="P58" s="37">
        <f t="shared" si="7"/>
        <v>8.9536555089582623E-3</v>
      </c>
      <c r="Q58" s="37">
        <f t="shared" si="8"/>
        <v>0</v>
      </c>
    </row>
    <row r="59" spans="1:17" x14ac:dyDescent="0.25">
      <c r="A59" s="38">
        <f>[1]Data!A62</f>
        <v>39203</v>
      </c>
      <c r="B59" s="39">
        <f>[1]Data!B62</f>
        <v>3.3357697017391309E-2</v>
      </c>
      <c r="C59" s="39">
        <f>[1]Data!C62</f>
        <v>4.2332386488612969E-2</v>
      </c>
      <c r="D59" s="40">
        <f>[1]Data!F62</f>
        <v>5.1009769890597006E-3</v>
      </c>
      <c r="E59" s="41">
        <f>[1]Data!G62</f>
        <v>-9.3337323194785105E-3</v>
      </c>
      <c r="F59" s="40">
        <f>[1]Data!H62</f>
        <v>1.7778846546448492E-2</v>
      </c>
      <c r="G59" s="41">
        <f>[1]Data!I62</f>
        <v>4.6719227697911373E-3</v>
      </c>
      <c r="H59" s="42">
        <f t="shared" si="0"/>
        <v>-1</v>
      </c>
      <c r="I59" s="43">
        <f t="shared" si="9"/>
        <v>1</v>
      </c>
      <c r="J59" s="37">
        <f t="shared" si="1"/>
        <v>0</v>
      </c>
      <c r="K59" s="37">
        <f t="shared" si="2"/>
        <v>-5.1009769890597006E-3</v>
      </c>
      <c r="L59" s="37">
        <f t="shared" si="3"/>
        <v>0</v>
      </c>
      <c r="M59" s="37">
        <f t="shared" si="4"/>
        <v>-9.3337323194785105E-3</v>
      </c>
      <c r="N59" s="37">
        <f t="shared" si="5"/>
        <v>1.7778846546448492E-2</v>
      </c>
      <c r="O59" s="37">
        <f t="shared" si="6"/>
        <v>0</v>
      </c>
      <c r="P59" s="37">
        <f t="shared" si="7"/>
        <v>-4.6719227697911373E-3</v>
      </c>
      <c r="Q59" s="37">
        <f t="shared" si="8"/>
        <v>0</v>
      </c>
    </row>
    <row r="60" spans="1:17" x14ac:dyDescent="0.25">
      <c r="A60" s="38">
        <f>[1]Data!A63</f>
        <v>39234</v>
      </c>
      <c r="B60" s="39">
        <f>[1]Data!B63</f>
        <v>-1.4729290126719493E-2</v>
      </c>
      <c r="C60" s="39">
        <f>[1]Data!C63</f>
        <v>2.8869478110362581E-2</v>
      </c>
      <c r="D60" s="40">
        <f>[1]Data!F63</f>
        <v>-1.0251694244875603E-2</v>
      </c>
      <c r="E60" s="41">
        <f>[1]Data!G63</f>
        <v>2.3161209195956461E-2</v>
      </c>
      <c r="F60" s="40">
        <f>[1]Data!H63</f>
        <v>-2.7910441280711164E-2</v>
      </c>
      <c r="G60" s="41">
        <f>[1]Data!I63</f>
        <v>-2.5566861285420323E-2</v>
      </c>
      <c r="H60" s="42">
        <f t="shared" si="0"/>
        <v>-1</v>
      </c>
      <c r="I60" s="43">
        <f t="shared" si="9"/>
        <v>1</v>
      </c>
      <c r="J60" s="37">
        <f t="shared" si="1"/>
        <v>0</v>
      </c>
      <c r="K60" s="37">
        <f t="shared" si="2"/>
        <v>1.0251694244875603E-2</v>
      </c>
      <c r="L60" s="37">
        <f t="shared" si="3"/>
        <v>0</v>
      </c>
      <c r="M60" s="37">
        <f t="shared" si="4"/>
        <v>2.3161209195956461E-2</v>
      </c>
      <c r="N60" s="37">
        <f t="shared" si="5"/>
        <v>-2.7910441280711164E-2</v>
      </c>
      <c r="O60" s="37">
        <f t="shared" si="6"/>
        <v>0</v>
      </c>
      <c r="P60" s="37">
        <f t="shared" si="7"/>
        <v>2.5566861285420323E-2</v>
      </c>
      <c r="Q60" s="37">
        <f t="shared" si="8"/>
        <v>0</v>
      </c>
    </row>
    <row r="61" spans="1:17" x14ac:dyDescent="0.25">
      <c r="A61" s="38">
        <f>[1]Data!A64</f>
        <v>39264</v>
      </c>
      <c r="B61" s="39">
        <f>[1]Data!B64</f>
        <v>-3.1810472206891816E-2</v>
      </c>
      <c r="C61" s="39">
        <f>[1]Data!C64</f>
        <v>1.1822252926382917E-2</v>
      </c>
      <c r="D61" s="40">
        <f>[1]Data!F64</f>
        <v>-5.5070868179035531E-2</v>
      </c>
      <c r="E61" s="41">
        <f>[1]Data!G64</f>
        <v>2.1212947571695843E-2</v>
      </c>
      <c r="F61" s="40">
        <f>[1]Data!H64</f>
        <v>1.7594133247710406E-2</v>
      </c>
      <c r="G61" s="41">
        <f>[1]Data!I64</f>
        <v>-1.2620057206138119E-2</v>
      </c>
      <c r="H61" s="42">
        <f t="shared" si="0"/>
        <v>-1</v>
      </c>
      <c r="I61" s="43">
        <f t="shared" si="9"/>
        <v>1</v>
      </c>
      <c r="J61" s="37">
        <f t="shared" si="1"/>
        <v>0</v>
      </c>
      <c r="K61" s="37">
        <f t="shared" si="2"/>
        <v>5.5070868179035531E-2</v>
      </c>
      <c r="L61" s="37">
        <f t="shared" si="3"/>
        <v>0</v>
      </c>
      <c r="M61" s="37">
        <f t="shared" si="4"/>
        <v>2.1212947571695843E-2</v>
      </c>
      <c r="N61" s="37">
        <f t="shared" si="5"/>
        <v>1.7594133247710406E-2</v>
      </c>
      <c r="O61" s="37">
        <f t="shared" si="6"/>
        <v>0</v>
      </c>
      <c r="P61" s="37">
        <f t="shared" si="7"/>
        <v>1.2620057206138119E-2</v>
      </c>
      <c r="Q61" s="37">
        <f t="shared" si="8"/>
        <v>0</v>
      </c>
    </row>
    <row r="62" spans="1:17" x14ac:dyDescent="0.25">
      <c r="A62" s="38">
        <f>[1]Data!A65</f>
        <v>39295</v>
      </c>
      <c r="B62" s="39">
        <f>[1]Data!B65</f>
        <v>1.2751780789011489E-2</v>
      </c>
      <c r="C62" s="39">
        <f>[1]Data!C65</f>
        <v>-4.7597881591381836E-3</v>
      </c>
      <c r="D62" s="40">
        <f>[1]Data!F65</f>
        <v>1.8187597839126296E-2</v>
      </c>
      <c r="E62" s="41">
        <f>[1]Data!G65</f>
        <v>1.8395138144748135E-2</v>
      </c>
      <c r="F62" s="40">
        <f>[1]Data!H65</f>
        <v>1.3970246636689356E-2</v>
      </c>
      <c r="G62" s="41">
        <f>[1]Data!I65</f>
        <v>-1.134035193226488E-3</v>
      </c>
      <c r="H62" s="42">
        <f t="shared" si="0"/>
        <v>1</v>
      </c>
      <c r="I62" s="43">
        <f t="shared" si="9"/>
        <v>1</v>
      </c>
      <c r="J62" s="37">
        <f t="shared" si="1"/>
        <v>1.8187597839126296E-2</v>
      </c>
      <c r="K62" s="37">
        <f t="shared" si="2"/>
        <v>0</v>
      </c>
      <c r="L62" s="37">
        <f t="shared" si="3"/>
        <v>-1.8395138144748135E-2</v>
      </c>
      <c r="M62" s="37">
        <f t="shared" si="4"/>
        <v>0</v>
      </c>
      <c r="N62" s="37">
        <f t="shared" si="5"/>
        <v>1.3970246636689356E-2</v>
      </c>
      <c r="O62" s="37">
        <f t="shared" si="6"/>
        <v>0</v>
      </c>
      <c r="P62" s="37">
        <f t="shared" si="7"/>
        <v>1.134035193226488E-3</v>
      </c>
      <c r="Q62" s="37">
        <f t="shared" si="8"/>
        <v>0</v>
      </c>
    </row>
    <row r="63" spans="1:17" x14ac:dyDescent="0.25">
      <c r="A63" s="38">
        <f>[1]Data!A66</f>
        <v>39326</v>
      </c>
      <c r="B63" s="39">
        <f>[1]Data!B66</f>
        <v>3.7983341542592759E-2</v>
      </c>
      <c r="C63" s="39">
        <f>[1]Data!C66</f>
        <v>3.6412706546078213E-2</v>
      </c>
      <c r="D63" s="40">
        <f>[1]Data!F66</f>
        <v>5.8500372931473447E-3</v>
      </c>
      <c r="E63" s="41">
        <f>[1]Data!G66</f>
        <v>6.5590289954891544E-3</v>
      </c>
      <c r="F63" s="40">
        <f>[1]Data!H66</f>
        <v>-1.2271275016065175E-2</v>
      </c>
      <c r="G63" s="41">
        <f>[1]Data!I66</f>
        <v>2.7653821555618539E-2</v>
      </c>
      <c r="H63" s="42">
        <f t="shared" si="0"/>
        <v>-1</v>
      </c>
      <c r="I63" s="43">
        <f t="shared" si="9"/>
        <v>-1</v>
      </c>
      <c r="J63" s="37">
        <f t="shared" si="1"/>
        <v>0</v>
      </c>
      <c r="K63" s="37">
        <f t="shared" si="2"/>
        <v>-5.8500372931473447E-3</v>
      </c>
      <c r="L63" s="37">
        <f t="shared" si="3"/>
        <v>0</v>
      </c>
      <c r="M63" s="37">
        <f t="shared" si="4"/>
        <v>6.5590289954891544E-3</v>
      </c>
      <c r="N63" s="37">
        <f t="shared" si="5"/>
        <v>0</v>
      </c>
      <c r="O63" s="37">
        <f t="shared" si="6"/>
        <v>1.2271275016065175E-2</v>
      </c>
      <c r="P63" s="37">
        <f t="shared" si="7"/>
        <v>0</v>
      </c>
      <c r="Q63" s="37">
        <f t="shared" si="8"/>
        <v>2.7653821555618539E-2</v>
      </c>
    </row>
    <row r="64" spans="1:17" x14ac:dyDescent="0.25">
      <c r="A64" s="38">
        <f>[1]Data!A67</f>
        <v>39356</v>
      </c>
      <c r="B64" s="39">
        <f>[1]Data!B67</f>
        <v>1.3475387113586527E-2</v>
      </c>
      <c r="C64" s="39">
        <f>[1]Data!C67</f>
        <v>-4.2575200815451401E-2</v>
      </c>
      <c r="D64" s="40">
        <f>[1]Data!F67</f>
        <v>3.2731933153520125E-2</v>
      </c>
      <c r="E64" s="41">
        <f>[1]Data!G67</f>
        <v>-5.3200496574762907E-3</v>
      </c>
      <c r="F64" s="40">
        <f>[1]Data!H67</f>
        <v>2.1204747316324019E-2</v>
      </c>
      <c r="G64" s="41">
        <f>[1]Data!I67</f>
        <v>-1.0757589157916643E-3</v>
      </c>
      <c r="H64" s="42">
        <f t="shared" si="0"/>
        <v>1</v>
      </c>
      <c r="I64" s="43">
        <f t="shared" si="9"/>
        <v>1</v>
      </c>
      <c r="J64" s="37">
        <f t="shared" si="1"/>
        <v>3.2731933153520125E-2</v>
      </c>
      <c r="K64" s="37">
        <f t="shared" si="2"/>
        <v>0</v>
      </c>
      <c r="L64" s="37">
        <f t="shared" si="3"/>
        <v>5.3200496574762907E-3</v>
      </c>
      <c r="M64" s="37">
        <f t="shared" si="4"/>
        <v>0</v>
      </c>
      <c r="N64" s="37">
        <f t="shared" si="5"/>
        <v>2.1204747316324019E-2</v>
      </c>
      <c r="O64" s="37">
        <f t="shared" si="6"/>
        <v>0</v>
      </c>
      <c r="P64" s="37">
        <f t="shared" si="7"/>
        <v>1.0757589157916643E-3</v>
      </c>
      <c r="Q64" s="37">
        <f t="shared" si="8"/>
        <v>0</v>
      </c>
    </row>
    <row r="65" spans="1:17" x14ac:dyDescent="0.25">
      <c r="A65" s="38">
        <f>[1]Data!A68</f>
        <v>39387</v>
      </c>
      <c r="B65" s="39">
        <f>[1]Data!B68</f>
        <v>-3.9503124324463262E-2</v>
      </c>
      <c r="C65" s="39">
        <f>[1]Data!C68</f>
        <v>-0.12982080217176881</v>
      </c>
      <c r="D65" s="40">
        <f>[1]Data!F68</f>
        <v>4.8090248698228664E-2</v>
      </c>
      <c r="E65" s="41">
        <f>[1]Data!G68</f>
        <v>9.9023938313787772E-3</v>
      </c>
      <c r="F65" s="40">
        <f>[1]Data!H68</f>
        <v>-4.4560724455551218E-2</v>
      </c>
      <c r="G65" s="41">
        <f>[1]Data!I68</f>
        <v>1.2578626784887359E-2</v>
      </c>
      <c r="H65" s="42">
        <f t="shared" si="0"/>
        <v>1</v>
      </c>
      <c r="I65" s="43">
        <f t="shared" si="9"/>
        <v>-1</v>
      </c>
      <c r="J65" s="37">
        <f t="shared" si="1"/>
        <v>4.8090248698228664E-2</v>
      </c>
      <c r="K65" s="37">
        <f t="shared" si="2"/>
        <v>0</v>
      </c>
      <c r="L65" s="37">
        <f t="shared" si="3"/>
        <v>-9.9023938313787772E-3</v>
      </c>
      <c r="M65" s="37">
        <f t="shared" si="4"/>
        <v>0</v>
      </c>
      <c r="N65" s="37">
        <f t="shared" si="5"/>
        <v>0</v>
      </c>
      <c r="O65" s="37">
        <f t="shared" si="6"/>
        <v>4.4560724455551218E-2</v>
      </c>
      <c r="P65" s="37">
        <f t="shared" si="7"/>
        <v>0</v>
      </c>
      <c r="Q65" s="37">
        <f t="shared" si="8"/>
        <v>1.2578626784887359E-2</v>
      </c>
    </row>
    <row r="66" spans="1:17" x14ac:dyDescent="0.25">
      <c r="A66" s="38">
        <f>[1]Data!A69</f>
        <v>39417</v>
      </c>
      <c r="B66" s="39">
        <f>[1]Data!B69</f>
        <v>-1.1324158619732719E-2</v>
      </c>
      <c r="C66" s="39">
        <f>[1]Data!C69</f>
        <v>2.6863865089404471E-2</v>
      </c>
      <c r="D66" s="40">
        <f>[1]Data!F69</f>
        <v>-1.3046219688631715E-2</v>
      </c>
      <c r="E66" s="41">
        <f>[1]Data!G69</f>
        <v>1.8845038864491397E-2</v>
      </c>
      <c r="F66" s="40">
        <f>[1]Data!H69</f>
        <v>1.5021888411573397E-2</v>
      </c>
      <c r="G66" s="41">
        <f>[1]Data!I69</f>
        <v>-2.4270087329901366E-2</v>
      </c>
      <c r="H66" s="42">
        <f t="shared" ref="H66:H129" si="10">IF(C66&gt;0,-1,1)</f>
        <v>-1</v>
      </c>
      <c r="I66" s="43">
        <f t="shared" si="9"/>
        <v>-1</v>
      </c>
      <c r="J66" s="37">
        <f t="shared" ref="J66:J129" si="11">IF(H66=1,D66,0)</f>
        <v>0</v>
      </c>
      <c r="K66" s="37">
        <f t="shared" ref="K66:K129" si="12">IF(H66=-1,-D66,0)</f>
        <v>1.3046219688631715E-2</v>
      </c>
      <c r="L66" s="37">
        <f t="shared" ref="L66:L129" si="13">IF(H66=1,-E66,0)</f>
        <v>0</v>
      </c>
      <c r="M66" s="37">
        <f t="shared" ref="M66:M129" si="14">IF(H66=-1,E66,0)</f>
        <v>1.8845038864491397E-2</v>
      </c>
      <c r="N66" s="37">
        <f t="shared" ref="N66:N129" si="15">IF(I66=1,F66,0)</f>
        <v>0</v>
      </c>
      <c r="O66" s="37">
        <f t="shared" ref="O66:O129" si="16">IF(I66=-1,-F66,0)</f>
        <v>-1.5021888411573397E-2</v>
      </c>
      <c r="P66" s="37">
        <f t="shared" ref="P66:P129" si="17">IF(I66=1,-G66,0)</f>
        <v>0</v>
      </c>
      <c r="Q66" s="37">
        <f t="shared" ref="Q66:Q129" si="18">IF(I66=-1,G66,0)</f>
        <v>-2.4270087329901366E-2</v>
      </c>
    </row>
    <row r="67" spans="1:17" x14ac:dyDescent="0.25">
      <c r="A67" s="38">
        <f>[1]Data!A70</f>
        <v>39448</v>
      </c>
      <c r="B67" s="39">
        <f>[1]Data!B70</f>
        <v>-6.2365995504664359E-2</v>
      </c>
      <c r="C67" s="39">
        <f>[1]Data!C70</f>
        <v>-0.12258340301776818</v>
      </c>
      <c r="D67" s="40">
        <f>[1]Data!F70</f>
        <v>2.5883299944655578E-2</v>
      </c>
      <c r="E67" s="41">
        <f>[1]Data!G70</f>
        <v>-1.3592269705264792E-2</v>
      </c>
      <c r="F67" s="40">
        <f>[1]Data!H70</f>
        <v>-5.1217686338903806E-2</v>
      </c>
      <c r="G67" s="41">
        <f>[1]Data!I70</f>
        <v>1.6310164955915724E-2</v>
      </c>
      <c r="H67" s="42">
        <f t="shared" si="10"/>
        <v>1</v>
      </c>
      <c r="I67" s="43">
        <f t="shared" ref="I67:I130" si="19">IF(C66&gt;0,1,-1)</f>
        <v>1</v>
      </c>
      <c r="J67" s="37">
        <f t="shared" si="11"/>
        <v>2.5883299944655578E-2</v>
      </c>
      <c r="K67" s="37">
        <f t="shared" si="12"/>
        <v>0</v>
      </c>
      <c r="L67" s="37">
        <f t="shared" si="13"/>
        <v>1.3592269705264792E-2</v>
      </c>
      <c r="M67" s="37">
        <f t="shared" si="14"/>
        <v>0</v>
      </c>
      <c r="N67" s="37">
        <f t="shared" si="15"/>
        <v>-5.1217686338903806E-2</v>
      </c>
      <c r="O67" s="37">
        <f t="shared" si="16"/>
        <v>0</v>
      </c>
      <c r="P67" s="37">
        <f t="shared" si="17"/>
        <v>-1.6310164955915724E-2</v>
      </c>
      <c r="Q67" s="37">
        <f t="shared" si="18"/>
        <v>0</v>
      </c>
    </row>
    <row r="68" spans="1:17" x14ac:dyDescent="0.25">
      <c r="A68" s="38">
        <f>[1]Data!A71</f>
        <v>39479</v>
      </c>
      <c r="B68" s="39">
        <f>[1]Data!B71</f>
        <v>-2.6182343269458896E-2</v>
      </c>
      <c r="C68" s="39">
        <f>[1]Data!C71</f>
        <v>1.5475285837679532E-2</v>
      </c>
      <c r="D68" s="40">
        <f>[1]Data!F71</f>
        <v>-1.3360992604450964E-2</v>
      </c>
      <c r="E68" s="41">
        <f>[1]Data!G71</f>
        <v>2.3732619931614615E-2</v>
      </c>
      <c r="F68" s="40">
        <f>[1]Data!H71</f>
        <v>-2.5360782468309414E-2</v>
      </c>
      <c r="G68" s="41">
        <f>[1]Data!I71</f>
        <v>-2.1581226637696842E-2</v>
      </c>
      <c r="H68" s="42">
        <f t="shared" si="10"/>
        <v>-1</v>
      </c>
      <c r="I68" s="43">
        <f t="shared" si="19"/>
        <v>-1</v>
      </c>
      <c r="J68" s="37">
        <f t="shared" si="11"/>
        <v>0</v>
      </c>
      <c r="K68" s="37">
        <f t="shared" si="12"/>
        <v>1.3360992604450964E-2</v>
      </c>
      <c r="L68" s="37">
        <f t="shared" si="13"/>
        <v>0</v>
      </c>
      <c r="M68" s="37">
        <f t="shared" si="14"/>
        <v>2.3732619931614615E-2</v>
      </c>
      <c r="N68" s="37">
        <f t="shared" si="15"/>
        <v>0</v>
      </c>
      <c r="O68" s="37">
        <f t="shared" si="16"/>
        <v>2.5360782468309414E-2</v>
      </c>
      <c r="P68" s="37">
        <f t="shared" si="17"/>
        <v>0</v>
      </c>
      <c r="Q68" s="37">
        <f t="shared" si="18"/>
        <v>-2.1581226637696842E-2</v>
      </c>
    </row>
    <row r="69" spans="1:17" x14ac:dyDescent="0.25">
      <c r="A69" s="38">
        <f>[1]Data!A72</f>
        <v>39508</v>
      </c>
      <c r="B69" s="39">
        <f>[1]Data!B72</f>
        <v>-8.982463454304028E-3</v>
      </c>
      <c r="C69" s="39">
        <f>[1]Data!C72</f>
        <v>-3.3501588531891918E-3</v>
      </c>
      <c r="D69" s="40">
        <f>[1]Data!F72</f>
        <v>-2.0623916972411824E-2</v>
      </c>
      <c r="E69" s="41">
        <f>[1]Data!G72</f>
        <v>6.1725656370662622E-3</v>
      </c>
      <c r="F69" s="40">
        <f>[1]Data!H72</f>
        <v>-3.1194416202091686E-2</v>
      </c>
      <c r="G69" s="41">
        <f>[1]Data!I72</f>
        <v>-1.7752867451748675E-2</v>
      </c>
      <c r="H69" s="42">
        <f t="shared" si="10"/>
        <v>1</v>
      </c>
      <c r="I69" s="43">
        <f t="shared" si="19"/>
        <v>1</v>
      </c>
      <c r="J69" s="37">
        <f t="shared" si="11"/>
        <v>-2.0623916972411824E-2</v>
      </c>
      <c r="K69" s="37">
        <f t="shared" si="12"/>
        <v>0</v>
      </c>
      <c r="L69" s="37">
        <f t="shared" si="13"/>
        <v>-6.1725656370662622E-3</v>
      </c>
      <c r="M69" s="37">
        <f t="shared" si="14"/>
        <v>0</v>
      </c>
      <c r="N69" s="37">
        <f t="shared" si="15"/>
        <v>-3.1194416202091686E-2</v>
      </c>
      <c r="O69" s="37">
        <f t="shared" si="16"/>
        <v>0</v>
      </c>
      <c r="P69" s="37">
        <f t="shared" si="17"/>
        <v>1.7752867451748675E-2</v>
      </c>
      <c r="Q69" s="37">
        <f t="shared" si="18"/>
        <v>0</v>
      </c>
    </row>
    <row r="70" spans="1:17" x14ac:dyDescent="0.25">
      <c r="A70" s="38">
        <f>[1]Data!A73</f>
        <v>39539</v>
      </c>
      <c r="B70" s="39">
        <f>[1]Data!B73</f>
        <v>4.6561022288474016E-2</v>
      </c>
      <c r="C70" s="39">
        <f>[1]Data!C73</f>
        <v>7.3511936997365329E-2</v>
      </c>
      <c r="D70" s="40">
        <f>[1]Data!F73</f>
        <v>-2.0953301015842283E-3</v>
      </c>
      <c r="E70" s="41">
        <f>[1]Data!G73</f>
        <v>-3.2288246608653745E-4</v>
      </c>
      <c r="F70" s="40">
        <f>[1]Data!H73</f>
        <v>3.7114346151723543E-2</v>
      </c>
      <c r="G70" s="41">
        <f>[1]Data!I73</f>
        <v>-8.2450445561075072E-3</v>
      </c>
      <c r="H70" s="42">
        <f t="shared" si="10"/>
        <v>-1</v>
      </c>
      <c r="I70" s="43">
        <f t="shared" si="19"/>
        <v>-1</v>
      </c>
      <c r="J70" s="37">
        <f t="shared" si="11"/>
        <v>0</v>
      </c>
      <c r="K70" s="37">
        <f t="shared" si="12"/>
        <v>2.0953301015842283E-3</v>
      </c>
      <c r="L70" s="37">
        <f t="shared" si="13"/>
        <v>0</v>
      </c>
      <c r="M70" s="37">
        <f t="shared" si="14"/>
        <v>-3.2288246608653745E-4</v>
      </c>
      <c r="N70" s="37">
        <f t="shared" si="15"/>
        <v>0</v>
      </c>
      <c r="O70" s="37">
        <f t="shared" si="16"/>
        <v>-3.7114346151723543E-2</v>
      </c>
      <c r="P70" s="37">
        <f t="shared" si="17"/>
        <v>0</v>
      </c>
      <c r="Q70" s="37">
        <f t="shared" si="18"/>
        <v>-8.2450445561075072E-3</v>
      </c>
    </row>
    <row r="71" spans="1:17" x14ac:dyDescent="0.25">
      <c r="A71" s="38">
        <f>[1]Data!A74</f>
        <v>39569</v>
      </c>
      <c r="B71" s="39">
        <f>[1]Data!B74</f>
        <v>1.5003711755008559E-2</v>
      </c>
      <c r="C71" s="39">
        <f>[1]Data!C74</f>
        <v>1.2247545635428347E-2</v>
      </c>
      <c r="D71" s="40">
        <f>[1]Data!F74</f>
        <v>6.1464440310737348E-3</v>
      </c>
      <c r="E71" s="41">
        <f>[1]Data!G74</f>
        <v>-2.3859812651107898E-2</v>
      </c>
      <c r="F71" s="40">
        <f>[1]Data!H74</f>
        <v>9.0723271434295545E-3</v>
      </c>
      <c r="G71" s="41">
        <f>[1]Data!I74</f>
        <v>-1.5577079066678637E-2</v>
      </c>
      <c r="H71" s="42">
        <f t="shared" si="10"/>
        <v>-1</v>
      </c>
      <c r="I71" s="43">
        <f t="shared" si="19"/>
        <v>1</v>
      </c>
      <c r="J71" s="37">
        <f t="shared" si="11"/>
        <v>0</v>
      </c>
      <c r="K71" s="37">
        <f t="shared" si="12"/>
        <v>-6.1464440310737348E-3</v>
      </c>
      <c r="L71" s="37">
        <f t="shared" si="13"/>
        <v>0</v>
      </c>
      <c r="M71" s="37">
        <f t="shared" si="14"/>
        <v>-2.3859812651107898E-2</v>
      </c>
      <c r="N71" s="37">
        <f t="shared" si="15"/>
        <v>9.0723271434295545E-3</v>
      </c>
      <c r="O71" s="37">
        <f t="shared" si="16"/>
        <v>0</v>
      </c>
      <c r="P71" s="37">
        <f t="shared" si="17"/>
        <v>1.5577079066678637E-2</v>
      </c>
      <c r="Q71" s="37">
        <f t="shared" si="18"/>
        <v>0</v>
      </c>
    </row>
    <row r="72" spans="1:17" x14ac:dyDescent="0.25">
      <c r="A72" s="38">
        <f>[1]Data!A75</f>
        <v>39600</v>
      </c>
      <c r="B72" s="39">
        <f>[1]Data!B75</f>
        <v>-8.7275760081046691E-2</v>
      </c>
      <c r="C72" s="39">
        <f>[1]Data!C75</f>
        <v>-5.7943533327620284E-2</v>
      </c>
      <c r="D72" s="40">
        <f>[1]Data!F75</f>
        <v>-2.774087241653813E-2</v>
      </c>
      <c r="E72" s="41">
        <f>[1]Data!G75</f>
        <v>2.778135210967049E-2</v>
      </c>
      <c r="F72" s="40">
        <f>[1]Data!H75</f>
        <v>-2.9354430812414938E-2</v>
      </c>
      <c r="G72" s="41">
        <f>[1]Data!I75</f>
        <v>8.9322170775613212E-3</v>
      </c>
      <c r="H72" s="42">
        <f t="shared" si="10"/>
        <v>1</v>
      </c>
      <c r="I72" s="43">
        <f t="shared" si="19"/>
        <v>1</v>
      </c>
      <c r="J72" s="37">
        <f t="shared" si="11"/>
        <v>-2.774087241653813E-2</v>
      </c>
      <c r="K72" s="37">
        <f t="shared" si="12"/>
        <v>0</v>
      </c>
      <c r="L72" s="37">
        <f t="shared" si="13"/>
        <v>-2.778135210967049E-2</v>
      </c>
      <c r="M72" s="37">
        <f t="shared" si="14"/>
        <v>0</v>
      </c>
      <c r="N72" s="37">
        <f t="shared" si="15"/>
        <v>-2.9354430812414938E-2</v>
      </c>
      <c r="O72" s="37">
        <f t="shared" si="16"/>
        <v>0</v>
      </c>
      <c r="P72" s="37">
        <f t="shared" si="17"/>
        <v>-8.9322170775613212E-3</v>
      </c>
      <c r="Q72" s="37">
        <f t="shared" si="18"/>
        <v>0</v>
      </c>
    </row>
    <row r="73" spans="1:17" x14ac:dyDescent="0.25">
      <c r="A73" s="38">
        <f>[1]Data!A76</f>
        <v>39630</v>
      </c>
      <c r="B73" s="39">
        <f>[1]Data!B76</f>
        <v>-9.0265962793679762E-3</v>
      </c>
      <c r="C73" s="39">
        <f>[1]Data!C76</f>
        <v>1.4269385985783891E-2</v>
      </c>
      <c r="D73" s="40">
        <f>[1]Data!F76</f>
        <v>-5.1116427214111925E-3</v>
      </c>
      <c r="E73" s="41">
        <f>[1]Data!G76</f>
        <v>1.4504345505090999E-2</v>
      </c>
      <c r="F73" s="40">
        <f>[1]Data!H76</f>
        <v>-5.7993387194488731E-3</v>
      </c>
      <c r="G73" s="41">
        <f>[1]Data!I76</f>
        <v>1.1691531132829544E-2</v>
      </c>
      <c r="H73" s="42">
        <f t="shared" si="10"/>
        <v>-1</v>
      </c>
      <c r="I73" s="43">
        <f t="shared" si="19"/>
        <v>-1</v>
      </c>
      <c r="J73" s="37">
        <f t="shared" si="11"/>
        <v>0</v>
      </c>
      <c r="K73" s="37">
        <f t="shared" si="12"/>
        <v>5.1116427214111925E-3</v>
      </c>
      <c r="L73" s="37">
        <f t="shared" si="13"/>
        <v>0</v>
      </c>
      <c r="M73" s="37">
        <f t="shared" si="14"/>
        <v>1.4504345505090999E-2</v>
      </c>
      <c r="N73" s="37">
        <f t="shared" si="15"/>
        <v>0</v>
      </c>
      <c r="O73" s="37">
        <f t="shared" si="16"/>
        <v>5.7993387194488731E-3</v>
      </c>
      <c r="P73" s="37">
        <f t="shared" si="17"/>
        <v>0</v>
      </c>
      <c r="Q73" s="37">
        <f t="shared" si="18"/>
        <v>1.1691531132829544E-2</v>
      </c>
    </row>
    <row r="74" spans="1:17" x14ac:dyDescent="0.25">
      <c r="A74" s="38">
        <f>[1]Data!A77</f>
        <v>39661</v>
      </c>
      <c r="B74" s="39">
        <f>[1]Data!B77</f>
        <v>1.5335311854992307E-2</v>
      </c>
      <c r="C74" s="39">
        <f>[1]Data!C77</f>
        <v>-1.1917921483408683E-2</v>
      </c>
      <c r="D74" s="40">
        <f>[1]Data!F77</f>
        <v>7.716392942728769E-3</v>
      </c>
      <c r="E74" s="41">
        <f>[1]Data!G77</f>
        <v>7.4875066438296074E-3</v>
      </c>
      <c r="F74" s="40">
        <f>[1]Data!H77</f>
        <v>1.4180227433267766E-3</v>
      </c>
      <c r="G74" s="41">
        <f>[1]Data!I77</f>
        <v>4.5010293523597318E-3</v>
      </c>
      <c r="H74" s="42">
        <f t="shared" si="10"/>
        <v>1</v>
      </c>
      <c r="I74" s="43">
        <f t="shared" si="19"/>
        <v>1</v>
      </c>
      <c r="J74" s="37">
        <f t="shared" si="11"/>
        <v>7.716392942728769E-3</v>
      </c>
      <c r="K74" s="37">
        <f t="shared" si="12"/>
        <v>0</v>
      </c>
      <c r="L74" s="37">
        <f t="shared" si="13"/>
        <v>-7.4875066438296074E-3</v>
      </c>
      <c r="M74" s="37">
        <f t="shared" si="14"/>
        <v>0</v>
      </c>
      <c r="N74" s="37">
        <f t="shared" si="15"/>
        <v>1.4180227433267766E-3</v>
      </c>
      <c r="O74" s="37">
        <f t="shared" si="16"/>
        <v>0</v>
      </c>
      <c r="P74" s="37">
        <f t="shared" si="17"/>
        <v>-4.5010293523597318E-3</v>
      </c>
      <c r="Q74" s="37">
        <f t="shared" si="18"/>
        <v>0</v>
      </c>
    </row>
    <row r="75" spans="1:17" x14ac:dyDescent="0.25">
      <c r="A75" s="38">
        <f>[1]Data!A78</f>
        <v>39692</v>
      </c>
      <c r="B75" s="39">
        <f>[1]Data!B78</f>
        <v>-9.890755281492844E-2</v>
      </c>
      <c r="C75" s="39">
        <f>[1]Data!C78</f>
        <v>-5.8969739441932872E-2</v>
      </c>
      <c r="D75" s="40">
        <f>[1]Data!F78</f>
        <v>-4.4845344924539204E-2</v>
      </c>
      <c r="E75" s="41">
        <f>[1]Data!G78</f>
        <v>9.7439888345378749E-3</v>
      </c>
      <c r="F75" s="40">
        <f>[1]Data!H78</f>
        <v>-1.4075041619453138E-2</v>
      </c>
      <c r="G75" s="41">
        <f>[1]Data!I78</f>
        <v>2.5136179560376823E-2</v>
      </c>
      <c r="H75" s="42">
        <f t="shared" si="10"/>
        <v>1</v>
      </c>
      <c r="I75" s="43">
        <f t="shared" si="19"/>
        <v>-1</v>
      </c>
      <c r="J75" s="37">
        <f t="shared" si="11"/>
        <v>-4.4845344924539204E-2</v>
      </c>
      <c r="K75" s="37">
        <f t="shared" si="12"/>
        <v>0</v>
      </c>
      <c r="L75" s="37">
        <f t="shared" si="13"/>
        <v>-9.7439888345378749E-3</v>
      </c>
      <c r="M75" s="37">
        <f t="shared" si="14"/>
        <v>0</v>
      </c>
      <c r="N75" s="37">
        <f t="shared" si="15"/>
        <v>0</v>
      </c>
      <c r="O75" s="37">
        <f t="shared" si="16"/>
        <v>1.4075041619453138E-2</v>
      </c>
      <c r="P75" s="37">
        <f t="shared" si="17"/>
        <v>0</v>
      </c>
      <c r="Q75" s="37">
        <f t="shared" si="18"/>
        <v>2.5136179560376823E-2</v>
      </c>
    </row>
    <row r="76" spans="1:17" x14ac:dyDescent="0.25">
      <c r="A76" s="38">
        <f>[1]Data!A79</f>
        <v>39722</v>
      </c>
      <c r="B76" s="39">
        <f>[1]Data!B79</f>
        <v>-0.18054711096471043</v>
      </c>
      <c r="C76" s="39">
        <f>[1]Data!C79</f>
        <v>-0.19620275757356803</v>
      </c>
      <c r="D76" s="40">
        <f>[1]Data!F79</f>
        <v>1.0068129945736335E-2</v>
      </c>
      <c r="E76" s="41">
        <f>[1]Data!G79</f>
        <v>-2.4369465220447126E-2</v>
      </c>
      <c r="F76" s="40">
        <f>[1]Data!H79</f>
        <v>-0.14803368672747119</v>
      </c>
      <c r="G76" s="41">
        <f>[1]Data!I79</f>
        <v>4.4253709808859856E-2</v>
      </c>
      <c r="H76" s="42">
        <f t="shared" si="10"/>
        <v>1</v>
      </c>
      <c r="I76" s="43">
        <f t="shared" si="19"/>
        <v>-1</v>
      </c>
      <c r="J76" s="37">
        <f t="shared" si="11"/>
        <v>1.0068129945736335E-2</v>
      </c>
      <c r="K76" s="37">
        <f t="shared" si="12"/>
        <v>0</v>
      </c>
      <c r="L76" s="37">
        <f t="shared" si="13"/>
        <v>2.4369465220447126E-2</v>
      </c>
      <c r="M76" s="37">
        <f t="shared" si="14"/>
        <v>0</v>
      </c>
      <c r="N76" s="37">
        <f t="shared" si="15"/>
        <v>0</v>
      </c>
      <c r="O76" s="37">
        <f t="shared" si="16"/>
        <v>0.14803368672747119</v>
      </c>
      <c r="P76" s="37">
        <f t="shared" si="17"/>
        <v>0</v>
      </c>
      <c r="Q76" s="37">
        <f t="shared" si="18"/>
        <v>4.4253709808859856E-2</v>
      </c>
    </row>
    <row r="77" spans="1:17" x14ac:dyDescent="0.25">
      <c r="A77" s="38">
        <f>[1]Data!A80</f>
        <v>39753</v>
      </c>
      <c r="B77" s="39">
        <f>[1]Data!B80</f>
        <v>-7.2147486555183452E-2</v>
      </c>
      <c r="C77" s="39">
        <f>[1]Data!C80</f>
        <v>-0.30412362735782883</v>
      </c>
      <c r="D77" s="40">
        <f>[1]Data!F80</f>
        <v>0.12480061733340533</v>
      </c>
      <c r="E77" s="41">
        <f>[1]Data!G80</f>
        <v>2.6842809415822497E-2</v>
      </c>
      <c r="F77" s="40">
        <f>[1]Data!H80</f>
        <v>-3.11523790794331E-2</v>
      </c>
      <c r="G77" s="41">
        <f>[1]Data!I80</f>
        <v>1.9281268616307877E-2</v>
      </c>
      <c r="H77" s="42">
        <f t="shared" si="10"/>
        <v>1</v>
      </c>
      <c r="I77" s="43">
        <f t="shared" si="19"/>
        <v>-1</v>
      </c>
      <c r="J77" s="37">
        <f t="shared" si="11"/>
        <v>0.12480061733340533</v>
      </c>
      <c r="K77" s="37">
        <f t="shared" si="12"/>
        <v>0</v>
      </c>
      <c r="L77" s="37">
        <f t="shared" si="13"/>
        <v>-2.6842809415822497E-2</v>
      </c>
      <c r="M77" s="37">
        <f t="shared" si="14"/>
        <v>0</v>
      </c>
      <c r="N77" s="37">
        <f t="shared" si="15"/>
        <v>0</v>
      </c>
      <c r="O77" s="37">
        <f t="shared" si="16"/>
        <v>3.11523790794331E-2</v>
      </c>
      <c r="P77" s="37">
        <f t="shared" si="17"/>
        <v>0</v>
      </c>
      <c r="Q77" s="37">
        <f t="shared" si="18"/>
        <v>1.9281268616307877E-2</v>
      </c>
    </row>
    <row r="78" spans="1:17" x14ac:dyDescent="0.25">
      <c r="A78" s="38">
        <f>[1]Data!A81</f>
        <v>39783</v>
      </c>
      <c r="B78" s="39">
        <f>[1]Data!B81</f>
        <v>9.7482817931282707E-3</v>
      </c>
      <c r="C78" s="39">
        <f>[1]Data!C81</f>
        <v>-0.1619503820234223</v>
      </c>
      <c r="D78" s="40">
        <f>[1]Data!F81</f>
        <v>2.297884092475954E-2</v>
      </c>
      <c r="E78" s="41">
        <f>[1]Data!G81</f>
        <v>-2.0746129755802568E-2</v>
      </c>
      <c r="F78" s="40">
        <f>[1]Data!H81</f>
        <v>-2.4268353581620418E-2</v>
      </c>
      <c r="G78" s="41">
        <f>[1]Data!I81</f>
        <v>4.7403740448031056E-2</v>
      </c>
      <c r="H78" s="42">
        <f t="shared" si="10"/>
        <v>1</v>
      </c>
      <c r="I78" s="43">
        <f t="shared" si="19"/>
        <v>-1</v>
      </c>
      <c r="J78" s="37">
        <f t="shared" si="11"/>
        <v>2.297884092475954E-2</v>
      </c>
      <c r="K78" s="37">
        <f t="shared" si="12"/>
        <v>0</v>
      </c>
      <c r="L78" s="37">
        <f t="shared" si="13"/>
        <v>2.0746129755802568E-2</v>
      </c>
      <c r="M78" s="37">
        <f t="shared" si="14"/>
        <v>0</v>
      </c>
      <c r="N78" s="37">
        <f t="shared" si="15"/>
        <v>0</v>
      </c>
      <c r="O78" s="37">
        <f t="shared" si="16"/>
        <v>2.4268353581620418E-2</v>
      </c>
      <c r="P78" s="37">
        <f t="shared" si="17"/>
        <v>0</v>
      </c>
      <c r="Q78" s="37">
        <f t="shared" si="18"/>
        <v>4.7403740448031056E-2</v>
      </c>
    </row>
    <row r="79" spans="1:17" x14ac:dyDescent="0.25">
      <c r="A79" s="38">
        <f>[1]Data!A82</f>
        <v>39814</v>
      </c>
      <c r="B79" s="39">
        <f>[1]Data!B82</f>
        <v>-8.5682300123382751E-2</v>
      </c>
      <c r="C79" s="39">
        <f>[1]Data!C82</f>
        <v>2.0495995468137723E-2</v>
      </c>
      <c r="D79" s="40">
        <f>[1]Data!F82</f>
        <v>-3.3749252063286078E-3</v>
      </c>
      <c r="E79" s="41">
        <f>[1]Data!G82</f>
        <v>-3.7272034079666887E-2</v>
      </c>
      <c r="F79" s="40">
        <f>[1]Data!H82</f>
        <v>8.8264838307612926E-3</v>
      </c>
      <c r="G79" s="41">
        <f>[1]Data!I82</f>
        <v>-5.8573695954333246E-2</v>
      </c>
      <c r="H79" s="42">
        <f t="shared" si="10"/>
        <v>-1</v>
      </c>
      <c r="I79" s="43">
        <f t="shared" si="19"/>
        <v>-1</v>
      </c>
      <c r="J79" s="37">
        <f t="shared" si="11"/>
        <v>0</v>
      </c>
      <c r="K79" s="37">
        <f t="shared" si="12"/>
        <v>3.3749252063286078E-3</v>
      </c>
      <c r="L79" s="37">
        <f t="shared" si="13"/>
        <v>0</v>
      </c>
      <c r="M79" s="37">
        <f t="shared" si="14"/>
        <v>-3.7272034079666887E-2</v>
      </c>
      <c r="N79" s="37">
        <f t="shared" si="15"/>
        <v>0</v>
      </c>
      <c r="O79" s="37">
        <f t="shared" si="16"/>
        <v>-8.8264838307612926E-3</v>
      </c>
      <c r="P79" s="37">
        <f t="shared" si="17"/>
        <v>0</v>
      </c>
      <c r="Q79" s="37">
        <f t="shared" si="18"/>
        <v>-5.8573695954333246E-2</v>
      </c>
    </row>
    <row r="80" spans="1:17" x14ac:dyDescent="0.25">
      <c r="A80" s="38">
        <f>[1]Data!A83</f>
        <v>39845</v>
      </c>
      <c r="B80" s="39">
        <f>[1]Data!B83</f>
        <v>-0.1136715402197348</v>
      </c>
      <c r="C80" s="39">
        <f>[1]Data!C83</f>
        <v>-0.11756308018695301</v>
      </c>
      <c r="D80" s="40">
        <f>[1]Data!F83</f>
        <v>-9.6916675981411626E-3</v>
      </c>
      <c r="E80" s="41">
        <f>[1]Data!G83</f>
        <v>-2.9021138768274671E-2</v>
      </c>
      <c r="F80" s="40">
        <f>[1]Data!H83</f>
        <v>4.8887995871712525E-2</v>
      </c>
      <c r="G80" s="41">
        <f>[1]Data!I83</f>
        <v>-1.1421455800217998E-2</v>
      </c>
      <c r="H80" s="42">
        <f t="shared" si="10"/>
        <v>1</v>
      </c>
      <c r="I80" s="43">
        <f t="shared" si="19"/>
        <v>1</v>
      </c>
      <c r="J80" s="37">
        <f t="shared" si="11"/>
        <v>-9.6916675981411626E-3</v>
      </c>
      <c r="K80" s="37">
        <f t="shared" si="12"/>
        <v>0</v>
      </c>
      <c r="L80" s="37">
        <f t="shared" si="13"/>
        <v>2.9021138768274671E-2</v>
      </c>
      <c r="M80" s="37">
        <f t="shared" si="14"/>
        <v>0</v>
      </c>
      <c r="N80" s="37">
        <f t="shared" si="15"/>
        <v>4.8887995871712525E-2</v>
      </c>
      <c r="O80" s="37">
        <f t="shared" si="16"/>
        <v>0</v>
      </c>
      <c r="P80" s="37">
        <f t="shared" si="17"/>
        <v>1.1421455800217998E-2</v>
      </c>
      <c r="Q80" s="37">
        <f t="shared" si="18"/>
        <v>0</v>
      </c>
    </row>
    <row r="81" spans="1:17" x14ac:dyDescent="0.25">
      <c r="A81" s="38">
        <f>[1]Data!A84</f>
        <v>39873</v>
      </c>
      <c r="B81" s="39">
        <f>[1]Data!B84</f>
        <v>8.002180958571993E-2</v>
      </c>
      <c r="C81" s="39">
        <f>[1]Data!C84</f>
        <v>2.1447876437045502E-2</v>
      </c>
      <c r="D81" s="40">
        <f>[1]Data!F84</f>
        <v>3.5976669272090499E-2</v>
      </c>
      <c r="E81" s="41">
        <f>[1]Data!G84</f>
        <v>1.7077905766788592E-2</v>
      </c>
      <c r="F81" s="40">
        <f>[1]Data!H84</f>
        <v>-7.0172294294610374E-2</v>
      </c>
      <c r="G81" s="41">
        <f>[1]Data!I84</f>
        <v>2.5864066943576604E-2</v>
      </c>
      <c r="H81" s="42">
        <f t="shared" si="10"/>
        <v>-1</v>
      </c>
      <c r="I81" s="43">
        <f t="shared" si="19"/>
        <v>-1</v>
      </c>
      <c r="J81" s="37">
        <f t="shared" si="11"/>
        <v>0</v>
      </c>
      <c r="K81" s="37">
        <f t="shared" si="12"/>
        <v>-3.5976669272090499E-2</v>
      </c>
      <c r="L81" s="37">
        <f t="shared" si="13"/>
        <v>0</v>
      </c>
      <c r="M81" s="37">
        <f t="shared" si="14"/>
        <v>1.7077905766788592E-2</v>
      </c>
      <c r="N81" s="37">
        <f t="shared" si="15"/>
        <v>0</v>
      </c>
      <c r="O81" s="37">
        <f t="shared" si="16"/>
        <v>7.0172294294610374E-2</v>
      </c>
      <c r="P81" s="37">
        <f t="shared" si="17"/>
        <v>0</v>
      </c>
      <c r="Q81" s="37">
        <f t="shared" si="18"/>
        <v>2.5864066943576604E-2</v>
      </c>
    </row>
    <row r="82" spans="1:17" x14ac:dyDescent="0.25">
      <c r="A82" s="38">
        <f>[1]Data!A85</f>
        <v>39904</v>
      </c>
      <c r="B82" s="39">
        <f>[1]Data!B85</f>
        <v>9.4715707038457247E-2</v>
      </c>
      <c r="C82" s="39">
        <f>[1]Data!C85</f>
        <v>9.801054784327469E-2</v>
      </c>
      <c r="D82" s="40">
        <f>[1]Data!F85</f>
        <v>3.3500061768666572E-2</v>
      </c>
      <c r="E82" s="41">
        <f>[1]Data!G85</f>
        <v>-3.5259229711041645E-2</v>
      </c>
      <c r="F82" s="40">
        <f>[1]Data!H85</f>
        <v>2.6433555277714221E-2</v>
      </c>
      <c r="G82" s="41">
        <f>[1]Data!I85</f>
        <v>-2.5636747867464199E-2</v>
      </c>
      <c r="H82" s="42">
        <f t="shared" si="10"/>
        <v>-1</v>
      </c>
      <c r="I82" s="43">
        <f t="shared" si="19"/>
        <v>1</v>
      </c>
      <c r="J82" s="37">
        <f t="shared" si="11"/>
        <v>0</v>
      </c>
      <c r="K82" s="37">
        <f t="shared" si="12"/>
        <v>-3.3500061768666572E-2</v>
      </c>
      <c r="L82" s="37">
        <f t="shared" si="13"/>
        <v>0</v>
      </c>
      <c r="M82" s="37">
        <f t="shared" si="14"/>
        <v>-3.5259229711041645E-2</v>
      </c>
      <c r="N82" s="37">
        <f t="shared" si="15"/>
        <v>2.6433555277714221E-2</v>
      </c>
      <c r="O82" s="37">
        <f t="shared" si="16"/>
        <v>0</v>
      </c>
      <c r="P82" s="37">
        <f t="shared" si="17"/>
        <v>2.5636747867464199E-2</v>
      </c>
      <c r="Q82" s="37">
        <f t="shared" si="18"/>
        <v>0</v>
      </c>
    </row>
    <row r="83" spans="1:17" x14ac:dyDescent="0.25">
      <c r="A83" s="38">
        <f>[1]Data!A86</f>
        <v>39934</v>
      </c>
      <c r="B83" s="39">
        <f>[1]Data!B86</f>
        <v>5.6808595314450996E-2</v>
      </c>
      <c r="C83" s="39">
        <f>[1]Data!C86</f>
        <v>5.3575320842129799E-2</v>
      </c>
      <c r="D83" s="40">
        <f>[1]Data!F86</f>
        <v>3.653985077891922E-2</v>
      </c>
      <c r="E83" s="41">
        <f>[1]Data!G86</f>
        <v>-4.3436024232404169E-3</v>
      </c>
      <c r="F83" s="40">
        <f>[1]Data!H86</f>
        <v>3.8595962824860552E-2</v>
      </c>
      <c r="G83" s="41">
        <f>[1]Data!I86</f>
        <v>-3.1931842833874777E-2</v>
      </c>
      <c r="H83" s="42">
        <f t="shared" si="10"/>
        <v>-1</v>
      </c>
      <c r="I83" s="43">
        <f t="shared" si="19"/>
        <v>1</v>
      </c>
      <c r="J83" s="37">
        <f t="shared" si="11"/>
        <v>0</v>
      </c>
      <c r="K83" s="37">
        <f t="shared" si="12"/>
        <v>-3.653985077891922E-2</v>
      </c>
      <c r="L83" s="37">
        <f t="shared" si="13"/>
        <v>0</v>
      </c>
      <c r="M83" s="37">
        <f t="shared" si="14"/>
        <v>-4.3436024232404169E-3</v>
      </c>
      <c r="N83" s="37">
        <f t="shared" si="15"/>
        <v>3.8595962824860552E-2</v>
      </c>
      <c r="O83" s="37">
        <f t="shared" si="16"/>
        <v>0</v>
      </c>
      <c r="P83" s="37">
        <f t="shared" si="17"/>
        <v>3.1931842833874777E-2</v>
      </c>
      <c r="Q83" s="37">
        <f t="shared" si="18"/>
        <v>0</v>
      </c>
    </row>
    <row r="84" spans="1:17" x14ac:dyDescent="0.25">
      <c r="A84" s="38">
        <f>[1]Data!A87</f>
        <v>39965</v>
      </c>
      <c r="B84" s="39">
        <f>[1]Data!B87</f>
        <v>-6.5515346036946337E-4</v>
      </c>
      <c r="C84" s="39">
        <f>[1]Data!C87</f>
        <v>2.3766718566967129E-2</v>
      </c>
      <c r="D84" s="40">
        <f>[1]Data!F87</f>
        <v>-9.7813048108637973E-4</v>
      </c>
      <c r="E84" s="41">
        <f>[1]Data!G87</f>
        <v>3.0926709557410309E-2</v>
      </c>
      <c r="F84" s="40">
        <f>[1]Data!H87</f>
        <v>2.1595681978511538E-2</v>
      </c>
      <c r="G84" s="41">
        <f>[1]Data!I87</f>
        <v>-4.3826907261720928E-2</v>
      </c>
      <c r="H84" s="42">
        <f t="shared" si="10"/>
        <v>-1</v>
      </c>
      <c r="I84" s="43">
        <f t="shared" si="19"/>
        <v>1</v>
      </c>
      <c r="J84" s="37">
        <f t="shared" si="11"/>
        <v>0</v>
      </c>
      <c r="K84" s="37">
        <f t="shared" si="12"/>
        <v>9.7813048108637973E-4</v>
      </c>
      <c r="L84" s="37">
        <f t="shared" si="13"/>
        <v>0</v>
      </c>
      <c r="M84" s="37">
        <f t="shared" si="14"/>
        <v>3.0926709557410309E-2</v>
      </c>
      <c r="N84" s="37">
        <f t="shared" si="15"/>
        <v>2.1595681978511538E-2</v>
      </c>
      <c r="O84" s="37">
        <f t="shared" si="16"/>
        <v>0</v>
      </c>
      <c r="P84" s="37">
        <f t="shared" si="17"/>
        <v>4.3826907261720928E-2</v>
      </c>
      <c r="Q84" s="37">
        <f t="shared" si="18"/>
        <v>0</v>
      </c>
    </row>
    <row r="85" spans="1:17" x14ac:dyDescent="0.25">
      <c r="A85" s="38">
        <f>[1]Data!A88</f>
        <v>39995</v>
      </c>
      <c r="B85" s="39">
        <f>[1]Data!B88</f>
        <v>7.1953975697299832E-2</v>
      </c>
      <c r="C85" s="39">
        <f>[1]Data!C88</f>
        <v>5.5059796275394278E-2</v>
      </c>
      <c r="D85" s="40">
        <f>[1]Data!F88</f>
        <v>3.3548635272751461E-2</v>
      </c>
      <c r="E85" s="41">
        <f>[1]Data!G88</f>
        <v>2.239829747071214E-2</v>
      </c>
      <c r="F85" s="40">
        <f>[1]Data!H88</f>
        <v>-4.3908050801202997E-2</v>
      </c>
      <c r="G85" s="41">
        <f>[1]Data!I88</f>
        <v>2.3411687946837036E-2</v>
      </c>
      <c r="H85" s="42">
        <f t="shared" si="10"/>
        <v>-1</v>
      </c>
      <c r="I85" s="43">
        <f t="shared" si="19"/>
        <v>1</v>
      </c>
      <c r="J85" s="37">
        <f t="shared" si="11"/>
        <v>0</v>
      </c>
      <c r="K85" s="37">
        <f t="shared" si="12"/>
        <v>-3.3548635272751461E-2</v>
      </c>
      <c r="L85" s="37">
        <f t="shared" si="13"/>
        <v>0</v>
      </c>
      <c r="M85" s="37">
        <f t="shared" si="14"/>
        <v>2.239829747071214E-2</v>
      </c>
      <c r="N85" s="37">
        <f t="shared" si="15"/>
        <v>-4.3908050801202997E-2</v>
      </c>
      <c r="O85" s="37">
        <f t="shared" si="16"/>
        <v>0</v>
      </c>
      <c r="P85" s="37">
        <f t="shared" si="17"/>
        <v>-2.3411687946837036E-2</v>
      </c>
      <c r="Q85" s="37">
        <f t="shared" si="18"/>
        <v>0</v>
      </c>
    </row>
    <row r="86" spans="1:17" x14ac:dyDescent="0.25">
      <c r="A86" s="38">
        <f>[1]Data!A89</f>
        <v>40026</v>
      </c>
      <c r="B86" s="39">
        <f>[1]Data!B89</f>
        <v>3.6273804212503244E-2</v>
      </c>
      <c r="C86" s="39">
        <f>[1]Data!C89</f>
        <v>4.8909073110767309E-2</v>
      </c>
      <c r="D86" s="40">
        <f>[1]Data!F89</f>
        <v>-4.9651334214506999E-3</v>
      </c>
      <c r="E86" s="41">
        <f>[1]Data!G89</f>
        <v>2.9733299099166034E-2</v>
      </c>
      <c r="F86" s="40">
        <f>[1]Data!H89</f>
        <v>2.390030444295372E-2</v>
      </c>
      <c r="G86" s="41">
        <f>[1]Data!I89</f>
        <v>-4.327580822953906E-2</v>
      </c>
      <c r="H86" s="42">
        <f t="shared" si="10"/>
        <v>-1</v>
      </c>
      <c r="I86" s="43">
        <f t="shared" si="19"/>
        <v>1</v>
      </c>
      <c r="J86" s="37">
        <f t="shared" si="11"/>
        <v>0</v>
      </c>
      <c r="K86" s="37">
        <f t="shared" si="12"/>
        <v>4.9651334214506999E-3</v>
      </c>
      <c r="L86" s="37">
        <f t="shared" si="13"/>
        <v>0</v>
      </c>
      <c r="M86" s="37">
        <f t="shared" si="14"/>
        <v>2.9733299099166034E-2</v>
      </c>
      <c r="N86" s="37">
        <f t="shared" si="15"/>
        <v>2.390030444295372E-2</v>
      </c>
      <c r="O86" s="37">
        <f t="shared" si="16"/>
        <v>0</v>
      </c>
      <c r="P86" s="37">
        <f t="shared" si="17"/>
        <v>4.327580822953906E-2</v>
      </c>
      <c r="Q86" s="37">
        <f t="shared" si="18"/>
        <v>0</v>
      </c>
    </row>
    <row r="87" spans="1:17" x14ac:dyDescent="0.25">
      <c r="A87" s="38">
        <f>[1]Data!A90</f>
        <v>40057</v>
      </c>
      <c r="B87" s="39">
        <f>[1]Data!B90</f>
        <v>3.4842797854699271E-2</v>
      </c>
      <c r="C87" s="39">
        <f>[1]Data!C90</f>
        <v>4.9936506861409422E-2</v>
      </c>
      <c r="D87" s="40">
        <f>[1]Data!F90</f>
        <v>-1.3919254700457517E-2</v>
      </c>
      <c r="E87" s="41">
        <f>[1]Data!G90</f>
        <v>2.5459274108480295E-2</v>
      </c>
      <c r="F87" s="40">
        <f>[1]Data!H90</f>
        <v>4.6736664666109477E-3</v>
      </c>
      <c r="G87" s="41">
        <f>[1]Data!I90</f>
        <v>-1.8372162761097995E-2</v>
      </c>
      <c r="H87" s="42">
        <f t="shared" si="10"/>
        <v>-1</v>
      </c>
      <c r="I87" s="43">
        <f t="shared" si="19"/>
        <v>1</v>
      </c>
      <c r="J87" s="37">
        <f t="shared" si="11"/>
        <v>0</v>
      </c>
      <c r="K87" s="37">
        <f t="shared" si="12"/>
        <v>1.3919254700457517E-2</v>
      </c>
      <c r="L87" s="37">
        <f t="shared" si="13"/>
        <v>0</v>
      </c>
      <c r="M87" s="37">
        <f t="shared" si="14"/>
        <v>2.5459274108480295E-2</v>
      </c>
      <c r="N87" s="37">
        <f t="shared" si="15"/>
        <v>4.6736664666109477E-3</v>
      </c>
      <c r="O87" s="37">
        <f t="shared" si="16"/>
        <v>0</v>
      </c>
      <c r="P87" s="37">
        <f t="shared" si="17"/>
        <v>1.8372162761097995E-2</v>
      </c>
      <c r="Q87" s="37">
        <f t="shared" si="18"/>
        <v>0</v>
      </c>
    </row>
    <row r="88" spans="1:17" x14ac:dyDescent="0.25">
      <c r="A88" s="38">
        <f>[1]Data!A91</f>
        <v>40087</v>
      </c>
      <c r="B88" s="39">
        <f>[1]Data!B91</f>
        <v>-1.9411782913633595E-2</v>
      </c>
      <c r="C88" s="39">
        <f>[1]Data!C91</f>
        <v>4.7453294846567455E-2</v>
      </c>
      <c r="D88" s="40">
        <f>[1]Data!F91</f>
        <v>-4.4106576876944373E-2</v>
      </c>
      <c r="E88" s="41">
        <f>[1]Data!G91</f>
        <v>-3.7503702916482813E-3</v>
      </c>
      <c r="F88" s="40">
        <f>[1]Data!H91</f>
        <v>1.9868053007839003E-3</v>
      </c>
      <c r="G88" s="41">
        <f>[1]Data!I91</f>
        <v>8.4731731355965813E-3</v>
      </c>
      <c r="H88" s="42">
        <f t="shared" si="10"/>
        <v>-1</v>
      </c>
      <c r="I88" s="43">
        <f t="shared" si="19"/>
        <v>1</v>
      </c>
      <c r="J88" s="37">
        <f t="shared" si="11"/>
        <v>0</v>
      </c>
      <c r="K88" s="37">
        <f t="shared" si="12"/>
        <v>4.4106576876944373E-2</v>
      </c>
      <c r="L88" s="37">
        <f t="shared" si="13"/>
        <v>0</v>
      </c>
      <c r="M88" s="37">
        <f t="shared" si="14"/>
        <v>-3.7503702916482813E-3</v>
      </c>
      <c r="N88" s="37">
        <f t="shared" si="15"/>
        <v>1.9868053007839003E-3</v>
      </c>
      <c r="O88" s="37">
        <f t="shared" si="16"/>
        <v>0</v>
      </c>
      <c r="P88" s="37">
        <f t="shared" si="17"/>
        <v>-8.4731731355965813E-3</v>
      </c>
      <c r="Q88" s="37">
        <f t="shared" si="18"/>
        <v>0</v>
      </c>
    </row>
    <row r="89" spans="1:17" x14ac:dyDescent="0.25">
      <c r="A89" s="38">
        <f>[1]Data!A92</f>
        <v>40118</v>
      </c>
      <c r="B89" s="39">
        <f>[1]Data!B92</f>
        <v>5.9782943383755421E-2</v>
      </c>
      <c r="C89" s="39">
        <f>[1]Data!C92</f>
        <v>5.8826983518770241E-2</v>
      </c>
      <c r="D89" s="40">
        <f>[1]Data!F92</f>
        <v>4.6498215260903477E-3</v>
      </c>
      <c r="E89" s="41">
        <f>[1]Data!G92</f>
        <v>1.5749377171585151E-2</v>
      </c>
      <c r="F89" s="40">
        <f>[1]Data!H92</f>
        <v>3.3891316938851543E-2</v>
      </c>
      <c r="G89" s="41">
        <f>[1]Data!I92</f>
        <v>-2.2692270289249587E-2</v>
      </c>
      <c r="H89" s="42">
        <f t="shared" si="10"/>
        <v>-1</v>
      </c>
      <c r="I89" s="43">
        <f t="shared" si="19"/>
        <v>1</v>
      </c>
      <c r="J89" s="37">
        <f t="shared" si="11"/>
        <v>0</v>
      </c>
      <c r="K89" s="37">
        <f t="shared" si="12"/>
        <v>-4.6498215260903477E-3</v>
      </c>
      <c r="L89" s="37">
        <f t="shared" si="13"/>
        <v>0</v>
      </c>
      <c r="M89" s="37">
        <f t="shared" si="14"/>
        <v>1.5749377171585151E-2</v>
      </c>
      <c r="N89" s="37">
        <f t="shared" si="15"/>
        <v>3.3891316938851543E-2</v>
      </c>
      <c r="O89" s="37">
        <f t="shared" si="16"/>
        <v>0</v>
      </c>
      <c r="P89" s="37">
        <f t="shared" si="17"/>
        <v>2.2692270289249587E-2</v>
      </c>
      <c r="Q89" s="37">
        <f t="shared" si="18"/>
        <v>0</v>
      </c>
    </row>
    <row r="90" spans="1:17" x14ac:dyDescent="0.25">
      <c r="A90" s="38">
        <f>[1]Data!A93</f>
        <v>40148</v>
      </c>
      <c r="B90" s="39">
        <f>[1]Data!B93</f>
        <v>1.8920949771908339E-2</v>
      </c>
      <c r="C90" s="39">
        <f>[1]Data!C93</f>
        <v>7.3242798882717841E-2</v>
      </c>
      <c r="D90" s="40">
        <f>[1]Data!F93</f>
        <v>9.8771482780942062E-4</v>
      </c>
      <c r="E90" s="41">
        <f>[1]Data!G93</f>
        <v>-1.0249812146695618E-2</v>
      </c>
      <c r="F90" s="40">
        <f>[1]Data!H93</f>
        <v>8.1530246985003253E-3</v>
      </c>
      <c r="G90" s="41">
        <f>[1]Data!I93</f>
        <v>-3.0173918317881927E-2</v>
      </c>
      <c r="H90" s="42">
        <f t="shared" si="10"/>
        <v>-1</v>
      </c>
      <c r="I90" s="43">
        <f t="shared" si="19"/>
        <v>1</v>
      </c>
      <c r="J90" s="37">
        <f t="shared" si="11"/>
        <v>0</v>
      </c>
      <c r="K90" s="37">
        <f t="shared" si="12"/>
        <v>-9.8771482780942062E-4</v>
      </c>
      <c r="L90" s="37">
        <f t="shared" si="13"/>
        <v>0</v>
      </c>
      <c r="M90" s="37">
        <f t="shared" si="14"/>
        <v>-1.0249812146695618E-2</v>
      </c>
      <c r="N90" s="37">
        <f t="shared" si="15"/>
        <v>8.1530246985003253E-3</v>
      </c>
      <c r="O90" s="37">
        <f t="shared" si="16"/>
        <v>0</v>
      </c>
      <c r="P90" s="37">
        <f t="shared" si="17"/>
        <v>3.0173918317881927E-2</v>
      </c>
      <c r="Q90" s="37">
        <f t="shared" si="18"/>
        <v>0</v>
      </c>
    </row>
    <row r="91" spans="1:17" x14ac:dyDescent="0.25">
      <c r="A91" s="38">
        <f>[1]Data!A94</f>
        <v>40179</v>
      </c>
      <c r="B91" s="39">
        <f>[1]Data!B94</f>
        <v>-3.7019149344959271E-2</v>
      </c>
      <c r="C91" s="39">
        <f>[1]Data!C94</f>
        <v>-3.3725192630316064E-2</v>
      </c>
      <c r="D91" s="40">
        <f>[1]Data!F94</f>
        <v>-2.1920220191200289E-2</v>
      </c>
      <c r="E91" s="41">
        <f>[1]Data!G94</f>
        <v>7.9396683716295279E-3</v>
      </c>
      <c r="F91" s="40">
        <f>[1]Data!H94</f>
        <v>2.7699643178202574E-2</v>
      </c>
      <c r="G91" s="41">
        <f>[1]Data!I94</f>
        <v>-6.6965270499072345E-3</v>
      </c>
      <c r="H91" s="42">
        <f t="shared" si="10"/>
        <v>1</v>
      </c>
      <c r="I91" s="43">
        <f t="shared" si="19"/>
        <v>1</v>
      </c>
      <c r="J91" s="37">
        <f t="shared" si="11"/>
        <v>-2.1920220191200289E-2</v>
      </c>
      <c r="K91" s="37">
        <f t="shared" si="12"/>
        <v>0</v>
      </c>
      <c r="L91" s="37">
        <f t="shared" si="13"/>
        <v>-7.9396683716295279E-3</v>
      </c>
      <c r="M91" s="37">
        <f t="shared" si="14"/>
        <v>0</v>
      </c>
      <c r="N91" s="37">
        <f t="shared" si="15"/>
        <v>2.7699643178202574E-2</v>
      </c>
      <c r="O91" s="37">
        <f t="shared" si="16"/>
        <v>0</v>
      </c>
      <c r="P91" s="37">
        <f t="shared" si="17"/>
        <v>6.6965270499072345E-3</v>
      </c>
      <c r="Q91" s="37">
        <f t="shared" si="18"/>
        <v>0</v>
      </c>
    </row>
    <row r="92" spans="1:17" x14ac:dyDescent="0.25">
      <c r="A92" s="38">
        <f>[1]Data!A95</f>
        <v>40210</v>
      </c>
      <c r="B92" s="39">
        <f>[1]Data!B95</f>
        <v>3.0718048149783808E-2</v>
      </c>
      <c r="C92" s="39">
        <f>[1]Data!C95</f>
        <v>6.6594822994535133E-2</v>
      </c>
      <c r="D92" s="40">
        <f>[1]Data!F95</f>
        <v>-3.7855505150790692E-3</v>
      </c>
      <c r="E92" s="41">
        <f>[1]Data!G95</f>
        <v>2.8660594151537433E-2</v>
      </c>
      <c r="F92" s="40">
        <f>[1]Data!H95</f>
        <v>-6.8211104954099752E-3</v>
      </c>
      <c r="G92" s="41">
        <f>[1]Data!I95</f>
        <v>-5.5146272291639598E-5</v>
      </c>
      <c r="H92" s="42">
        <f t="shared" si="10"/>
        <v>-1</v>
      </c>
      <c r="I92" s="43">
        <f t="shared" si="19"/>
        <v>-1</v>
      </c>
      <c r="J92" s="37">
        <f t="shared" si="11"/>
        <v>0</v>
      </c>
      <c r="K92" s="37">
        <f t="shared" si="12"/>
        <v>3.7855505150790692E-3</v>
      </c>
      <c r="L92" s="37">
        <f t="shared" si="13"/>
        <v>0</v>
      </c>
      <c r="M92" s="37">
        <f t="shared" si="14"/>
        <v>2.8660594151537433E-2</v>
      </c>
      <c r="N92" s="37">
        <f t="shared" si="15"/>
        <v>0</v>
      </c>
      <c r="O92" s="37">
        <f t="shared" si="16"/>
        <v>6.8211104954099752E-3</v>
      </c>
      <c r="P92" s="37">
        <f t="shared" si="17"/>
        <v>0</v>
      </c>
      <c r="Q92" s="37">
        <f t="shared" si="18"/>
        <v>-5.5146272291639598E-5</v>
      </c>
    </row>
    <row r="93" spans="1:17" x14ac:dyDescent="0.25">
      <c r="A93" s="38">
        <f>[1]Data!A96</f>
        <v>40238</v>
      </c>
      <c r="B93" s="39">
        <f>[1]Data!B96</f>
        <v>5.909822548618765E-2</v>
      </c>
      <c r="C93" s="39">
        <f>[1]Data!C96</f>
        <v>5.1570035638853699E-2</v>
      </c>
      <c r="D93" s="40">
        <f>[1]Data!F96</f>
        <v>8.842323624737046E-3</v>
      </c>
      <c r="E93" s="41">
        <f>[1]Data!G96</f>
        <v>-1.94739712481884E-2</v>
      </c>
      <c r="F93" s="40">
        <f>[1]Data!H96</f>
        <v>3.1203610946212136E-2</v>
      </c>
      <c r="G93" s="41">
        <f>[1]Data!I96</f>
        <v>-1.2221374596437497E-2</v>
      </c>
      <c r="H93" s="42">
        <f t="shared" si="10"/>
        <v>-1</v>
      </c>
      <c r="I93" s="43">
        <f t="shared" si="19"/>
        <v>1</v>
      </c>
      <c r="J93" s="37">
        <f t="shared" si="11"/>
        <v>0</v>
      </c>
      <c r="K93" s="37">
        <f t="shared" si="12"/>
        <v>-8.842323624737046E-3</v>
      </c>
      <c r="L93" s="37">
        <f t="shared" si="13"/>
        <v>0</v>
      </c>
      <c r="M93" s="37">
        <f t="shared" si="14"/>
        <v>-1.94739712481884E-2</v>
      </c>
      <c r="N93" s="37">
        <f t="shared" si="15"/>
        <v>3.1203610946212136E-2</v>
      </c>
      <c r="O93" s="37">
        <f t="shared" si="16"/>
        <v>0</v>
      </c>
      <c r="P93" s="37">
        <f t="shared" si="17"/>
        <v>1.2221374596437497E-2</v>
      </c>
      <c r="Q93" s="37">
        <f t="shared" si="18"/>
        <v>0</v>
      </c>
    </row>
    <row r="94" spans="1:17" x14ac:dyDescent="0.25">
      <c r="A94" s="38">
        <f>[1]Data!A97</f>
        <v>40269</v>
      </c>
      <c r="B94" s="39">
        <f>[1]Data!B97</f>
        <v>1.5351467843928393E-2</v>
      </c>
      <c r="C94" s="39">
        <f>[1]Data!C97</f>
        <v>1.9728627815878648E-2</v>
      </c>
      <c r="D94" s="40">
        <f>[1]Data!F97</f>
        <v>-1.8430637828679652E-2</v>
      </c>
      <c r="E94" s="41">
        <f>[1]Data!G97</f>
        <v>1.8625766436423614E-2</v>
      </c>
      <c r="F94" s="40">
        <f>[1]Data!H97</f>
        <v>1.5014859619956678E-2</v>
      </c>
      <c r="G94" s="41">
        <f>[1]Data!I97</f>
        <v>-4.4740134800659711E-3</v>
      </c>
      <c r="H94" s="42">
        <f t="shared" si="10"/>
        <v>-1</v>
      </c>
      <c r="I94" s="43">
        <f t="shared" si="19"/>
        <v>1</v>
      </c>
      <c r="J94" s="37">
        <f t="shared" si="11"/>
        <v>0</v>
      </c>
      <c r="K94" s="37">
        <f t="shared" si="12"/>
        <v>1.8430637828679652E-2</v>
      </c>
      <c r="L94" s="37">
        <f t="shared" si="13"/>
        <v>0</v>
      </c>
      <c r="M94" s="37">
        <f t="shared" si="14"/>
        <v>1.8625766436423614E-2</v>
      </c>
      <c r="N94" s="37">
        <f t="shared" si="15"/>
        <v>1.5014859619956678E-2</v>
      </c>
      <c r="O94" s="37">
        <f t="shared" si="16"/>
        <v>0</v>
      </c>
      <c r="P94" s="37">
        <f t="shared" si="17"/>
        <v>4.4740134800659711E-3</v>
      </c>
      <c r="Q94" s="37">
        <f t="shared" si="18"/>
        <v>0</v>
      </c>
    </row>
    <row r="95" spans="1:17" x14ac:dyDescent="0.25">
      <c r="A95" s="38">
        <f>[1]Data!A98</f>
        <v>40299</v>
      </c>
      <c r="B95" s="39">
        <f>[1]Data!B98</f>
        <v>-8.2788827756031969E-2</v>
      </c>
      <c r="C95" s="39">
        <f>[1]Data!C98</f>
        <v>-0.15479273333131618</v>
      </c>
      <c r="D95" s="40">
        <f>[1]Data!F98</f>
        <v>2.3801980914239778E-3</v>
      </c>
      <c r="E95" s="41">
        <f>[1]Data!G98</f>
        <v>-1.9803080916954784E-2</v>
      </c>
      <c r="F95" s="40">
        <f>[1]Data!H98</f>
        <v>-6.5655644081729692E-2</v>
      </c>
      <c r="G95" s="41">
        <f>[1]Data!I98</f>
        <v>4.0241350490839059E-2</v>
      </c>
      <c r="H95" s="42">
        <f t="shared" si="10"/>
        <v>1</v>
      </c>
      <c r="I95" s="43">
        <f t="shared" si="19"/>
        <v>1</v>
      </c>
      <c r="J95" s="37">
        <f t="shared" si="11"/>
        <v>2.3801980914239778E-3</v>
      </c>
      <c r="K95" s="37">
        <f t="shared" si="12"/>
        <v>0</v>
      </c>
      <c r="L95" s="37">
        <f t="shared" si="13"/>
        <v>1.9803080916954784E-2</v>
      </c>
      <c r="M95" s="37">
        <f t="shared" si="14"/>
        <v>0</v>
      </c>
      <c r="N95" s="37">
        <f t="shared" si="15"/>
        <v>-6.5655644081729692E-2</v>
      </c>
      <c r="O95" s="37">
        <f t="shared" si="16"/>
        <v>0</v>
      </c>
      <c r="P95" s="37">
        <f t="shared" si="17"/>
        <v>-4.0241350490839059E-2</v>
      </c>
      <c r="Q95" s="37">
        <f t="shared" si="18"/>
        <v>0</v>
      </c>
    </row>
    <row r="96" spans="1:17" x14ac:dyDescent="0.25">
      <c r="A96" s="38">
        <f>[1]Data!A99</f>
        <v>40330</v>
      </c>
      <c r="B96" s="39">
        <f>[1]Data!B99</f>
        <v>-5.3127346754694202E-2</v>
      </c>
      <c r="C96" s="39">
        <f>[1]Data!C99</f>
        <v>1.0455843488229056E-2</v>
      </c>
      <c r="D96" s="40">
        <f>[1]Data!F99</f>
        <v>-7.6353994440147149E-2</v>
      </c>
      <c r="E96" s="41">
        <f>[1]Data!G99</f>
        <v>4.3588862174197593E-2</v>
      </c>
      <c r="F96" s="40">
        <f>[1]Data!H99</f>
        <v>-3.6120480229898555E-2</v>
      </c>
      <c r="G96" s="41">
        <f>[1]Data!I99</f>
        <v>2.4303732224755216E-2</v>
      </c>
      <c r="H96" s="42">
        <f t="shared" si="10"/>
        <v>-1</v>
      </c>
      <c r="I96" s="43">
        <f t="shared" si="19"/>
        <v>-1</v>
      </c>
      <c r="J96" s="37">
        <f t="shared" si="11"/>
        <v>0</v>
      </c>
      <c r="K96" s="37">
        <f t="shared" si="12"/>
        <v>7.6353994440147149E-2</v>
      </c>
      <c r="L96" s="37">
        <f t="shared" si="13"/>
        <v>0</v>
      </c>
      <c r="M96" s="37">
        <f t="shared" si="14"/>
        <v>4.3588862174197593E-2</v>
      </c>
      <c r="N96" s="37">
        <f t="shared" si="15"/>
        <v>0</v>
      </c>
      <c r="O96" s="37">
        <f t="shared" si="16"/>
        <v>3.6120480229898555E-2</v>
      </c>
      <c r="P96" s="37">
        <f t="shared" si="17"/>
        <v>0</v>
      </c>
      <c r="Q96" s="37">
        <f t="shared" si="18"/>
        <v>2.4303732224755216E-2</v>
      </c>
    </row>
    <row r="97" spans="1:17" x14ac:dyDescent="0.25">
      <c r="A97" s="38">
        <f>[1]Data!A100</f>
        <v>40360</v>
      </c>
      <c r="B97" s="39">
        <f>[1]Data!B100</f>
        <v>6.6069227994284135E-2</v>
      </c>
      <c r="C97" s="39">
        <f>[1]Data!C100</f>
        <v>6.4528953593492214E-2</v>
      </c>
      <c r="D97" s="40">
        <f>[1]Data!F100</f>
        <v>7.3731516911021699E-3</v>
      </c>
      <c r="E97" s="41">
        <f>[1]Data!G100</f>
        <v>-3.6757305634966091E-3</v>
      </c>
      <c r="F97" s="40">
        <f>[1]Data!H100</f>
        <v>3.7460486685886106E-2</v>
      </c>
      <c r="G97" s="41">
        <f>[1]Data!I100</f>
        <v>-1.6398782841599815E-2</v>
      </c>
      <c r="H97" s="42">
        <f t="shared" si="10"/>
        <v>-1</v>
      </c>
      <c r="I97" s="43">
        <f t="shared" si="19"/>
        <v>1</v>
      </c>
      <c r="J97" s="37">
        <f t="shared" si="11"/>
        <v>0</v>
      </c>
      <c r="K97" s="37">
        <f t="shared" si="12"/>
        <v>-7.3731516911021699E-3</v>
      </c>
      <c r="L97" s="37">
        <f t="shared" si="13"/>
        <v>0</v>
      </c>
      <c r="M97" s="37">
        <f t="shared" si="14"/>
        <v>-3.6757305634966091E-3</v>
      </c>
      <c r="N97" s="37">
        <f t="shared" si="15"/>
        <v>3.7460486685886106E-2</v>
      </c>
      <c r="O97" s="37">
        <f t="shared" si="16"/>
        <v>0</v>
      </c>
      <c r="P97" s="37">
        <f t="shared" si="17"/>
        <v>1.6398782841599815E-2</v>
      </c>
      <c r="Q97" s="37">
        <f t="shared" si="18"/>
        <v>0</v>
      </c>
    </row>
    <row r="98" spans="1:17" x14ac:dyDescent="0.25">
      <c r="A98" s="38">
        <f>[1]Data!A101</f>
        <v>40391</v>
      </c>
      <c r="B98" s="39">
        <f>[1]Data!B101</f>
        <v>-4.602343801877113E-2</v>
      </c>
      <c r="C98" s="39">
        <f>[1]Data!C101</f>
        <v>-8.2249279696153935E-2</v>
      </c>
      <c r="D98" s="40">
        <f>[1]Data!F101</f>
        <v>-2.0861276025051084E-2</v>
      </c>
      <c r="E98" s="41">
        <f>[1]Data!G101</f>
        <v>2.3487258857520472E-2</v>
      </c>
      <c r="F98" s="40">
        <f>[1]Data!H101</f>
        <v>1.9043057457593913E-2</v>
      </c>
      <c r="G98" s="41">
        <f>[1]Data!I101</f>
        <v>-5.5898549810119887E-4</v>
      </c>
      <c r="H98" s="42">
        <f t="shared" si="10"/>
        <v>1</v>
      </c>
      <c r="I98" s="43">
        <f t="shared" si="19"/>
        <v>1</v>
      </c>
      <c r="J98" s="37">
        <f t="shared" si="11"/>
        <v>-2.0861276025051084E-2</v>
      </c>
      <c r="K98" s="37">
        <f t="shared" si="12"/>
        <v>0</v>
      </c>
      <c r="L98" s="37">
        <f t="shared" si="13"/>
        <v>-2.3487258857520472E-2</v>
      </c>
      <c r="M98" s="37">
        <f t="shared" si="14"/>
        <v>0</v>
      </c>
      <c r="N98" s="37">
        <f t="shared" si="15"/>
        <v>1.9043057457593913E-2</v>
      </c>
      <c r="O98" s="37">
        <f t="shared" si="16"/>
        <v>0</v>
      </c>
      <c r="P98" s="37">
        <f t="shared" si="17"/>
        <v>5.5898549810119887E-4</v>
      </c>
      <c r="Q98" s="37">
        <f t="shared" si="18"/>
        <v>0</v>
      </c>
    </row>
    <row r="99" spans="1:17" x14ac:dyDescent="0.25">
      <c r="A99" s="38">
        <f>[1]Data!A102</f>
        <v>40422</v>
      </c>
      <c r="B99" s="39">
        <f>[1]Data!B102</f>
        <v>8.5769125249920253E-2</v>
      </c>
      <c r="C99" s="39">
        <f>[1]Data!C102</f>
        <v>0.11362177955830798</v>
      </c>
      <c r="D99" s="40">
        <f>[1]Data!F102</f>
        <v>6.240736642519955E-3</v>
      </c>
      <c r="E99" s="41">
        <f>[1]Data!G102</f>
        <v>8.5666762399880525E-3</v>
      </c>
      <c r="F99" s="40">
        <f>[1]Data!H102</f>
        <v>4.7292186893843326E-2</v>
      </c>
      <c r="G99" s="41">
        <f>[1]Data!I102</f>
        <v>-3.1706809809755807E-2</v>
      </c>
      <c r="H99" s="42">
        <f t="shared" si="10"/>
        <v>-1</v>
      </c>
      <c r="I99" s="43">
        <f t="shared" si="19"/>
        <v>-1</v>
      </c>
      <c r="J99" s="37">
        <f t="shared" si="11"/>
        <v>0</v>
      </c>
      <c r="K99" s="37">
        <f t="shared" si="12"/>
        <v>-6.240736642519955E-3</v>
      </c>
      <c r="L99" s="37">
        <f t="shared" si="13"/>
        <v>0</v>
      </c>
      <c r="M99" s="37">
        <f t="shared" si="14"/>
        <v>8.5666762399880525E-3</v>
      </c>
      <c r="N99" s="37">
        <f t="shared" si="15"/>
        <v>0</v>
      </c>
      <c r="O99" s="37">
        <f t="shared" si="16"/>
        <v>-4.7292186893843326E-2</v>
      </c>
      <c r="P99" s="37">
        <f t="shared" si="17"/>
        <v>0</v>
      </c>
      <c r="Q99" s="37">
        <f t="shared" si="18"/>
        <v>-3.1706809809755807E-2</v>
      </c>
    </row>
    <row r="100" spans="1:17" x14ac:dyDescent="0.25">
      <c r="A100" s="38">
        <f>[1]Data!A103</f>
        <v>40452</v>
      </c>
      <c r="B100" s="39">
        <f>[1]Data!B103</f>
        <v>3.7490064254904455E-2</v>
      </c>
      <c r="C100" s="39">
        <f>[1]Data!C103</f>
        <v>7.7385044365241976E-2</v>
      </c>
      <c r="D100" s="40">
        <f>[1]Data!F103</f>
        <v>3.0426703911319722E-3</v>
      </c>
      <c r="E100" s="41">
        <f>[1]Data!G103</f>
        <v>-2.7849417185137771E-3</v>
      </c>
      <c r="F100" s="40">
        <f>[1]Data!H103</f>
        <v>1.5303284473528573E-2</v>
      </c>
      <c r="G100" s="41">
        <f>[1]Data!I103</f>
        <v>-4.1756817289685371E-3</v>
      </c>
      <c r="H100" s="42">
        <f t="shared" si="10"/>
        <v>-1</v>
      </c>
      <c r="I100" s="43">
        <f t="shared" si="19"/>
        <v>1</v>
      </c>
      <c r="J100" s="37">
        <f t="shared" si="11"/>
        <v>0</v>
      </c>
      <c r="K100" s="37">
        <f t="shared" si="12"/>
        <v>-3.0426703911319722E-3</v>
      </c>
      <c r="L100" s="37">
        <f t="shared" si="13"/>
        <v>0</v>
      </c>
      <c r="M100" s="37">
        <f t="shared" si="14"/>
        <v>-2.7849417185137771E-3</v>
      </c>
      <c r="N100" s="37">
        <f t="shared" si="15"/>
        <v>1.5303284473528573E-2</v>
      </c>
      <c r="O100" s="37">
        <f t="shared" si="16"/>
        <v>0</v>
      </c>
      <c r="P100" s="37">
        <f t="shared" si="17"/>
        <v>4.1756817289685371E-3</v>
      </c>
      <c r="Q100" s="37">
        <f t="shared" si="18"/>
        <v>0</v>
      </c>
    </row>
    <row r="101" spans="1:17" x14ac:dyDescent="0.25">
      <c r="A101" s="38">
        <f>[1]Data!A104</f>
        <v>40483</v>
      </c>
      <c r="B101" s="39">
        <f>[1]Data!B104</f>
        <v>6.5052130349130266E-17</v>
      </c>
      <c r="C101" s="39">
        <f>[1]Data!C104</f>
        <v>5.0781011356552067E-2</v>
      </c>
      <c r="D101" s="40">
        <f>[1]Data!F104</f>
        <v>-1.5077008879145756E-2</v>
      </c>
      <c r="E101" s="41">
        <f>[1]Data!G104</f>
        <v>1.8666783578866121E-2</v>
      </c>
      <c r="F101" s="40">
        <f>[1]Data!H104</f>
        <v>3.5076620434392254E-2</v>
      </c>
      <c r="G101" s="41">
        <f>[1]Data!I104</f>
        <v>-2.1416579957927919E-2</v>
      </c>
      <c r="H101" s="42">
        <f t="shared" si="10"/>
        <v>-1</v>
      </c>
      <c r="I101" s="43">
        <f t="shared" si="19"/>
        <v>1</v>
      </c>
      <c r="J101" s="37">
        <f t="shared" si="11"/>
        <v>0</v>
      </c>
      <c r="K101" s="37">
        <f t="shared" si="12"/>
        <v>1.5077008879145756E-2</v>
      </c>
      <c r="L101" s="37">
        <f t="shared" si="13"/>
        <v>0</v>
      </c>
      <c r="M101" s="37">
        <f t="shared" si="14"/>
        <v>1.8666783578866121E-2</v>
      </c>
      <c r="N101" s="37">
        <f t="shared" si="15"/>
        <v>3.5076620434392254E-2</v>
      </c>
      <c r="O101" s="37">
        <f t="shared" si="16"/>
        <v>0</v>
      </c>
      <c r="P101" s="37">
        <f t="shared" si="17"/>
        <v>2.1416579957927919E-2</v>
      </c>
      <c r="Q101" s="37">
        <f t="shared" si="18"/>
        <v>0</v>
      </c>
    </row>
    <row r="102" spans="1:17" x14ac:dyDescent="0.25">
      <c r="A102" s="38">
        <f>[1]Data!A105</f>
        <v>40513</v>
      </c>
      <c r="B102" s="39">
        <f>[1]Data!B105</f>
        <v>6.4712799042164357E-2</v>
      </c>
      <c r="C102" s="39">
        <f>[1]Data!C105</f>
        <v>0.10646943777769211</v>
      </c>
      <c r="D102" s="40">
        <f>[1]Data!F105</f>
        <v>2.8669971944770634E-3</v>
      </c>
      <c r="E102" s="41">
        <f>[1]Data!G105</f>
        <v>6.9315945518318755E-3</v>
      </c>
      <c r="F102" s="40">
        <f>[1]Data!H105</f>
        <v>3.5972658271478268E-2</v>
      </c>
      <c r="G102" s="41">
        <f>[1]Data!I105</f>
        <v>-4.0579746542867293E-2</v>
      </c>
      <c r="H102" s="42">
        <f t="shared" si="10"/>
        <v>-1</v>
      </c>
      <c r="I102" s="43">
        <f t="shared" si="19"/>
        <v>1</v>
      </c>
      <c r="J102" s="37">
        <f t="shared" si="11"/>
        <v>0</v>
      </c>
      <c r="K102" s="37">
        <f t="shared" si="12"/>
        <v>-2.8669971944770634E-3</v>
      </c>
      <c r="L102" s="37">
        <f t="shared" si="13"/>
        <v>0</v>
      </c>
      <c r="M102" s="37">
        <f t="shared" si="14"/>
        <v>6.9315945518318755E-3</v>
      </c>
      <c r="N102" s="37">
        <f t="shared" si="15"/>
        <v>3.5972658271478268E-2</v>
      </c>
      <c r="O102" s="37">
        <f t="shared" si="16"/>
        <v>0</v>
      </c>
      <c r="P102" s="37">
        <f t="shared" si="17"/>
        <v>4.0579746542867293E-2</v>
      </c>
      <c r="Q102" s="37">
        <f t="shared" si="18"/>
        <v>0</v>
      </c>
    </row>
    <row r="103" spans="1:17" x14ac:dyDescent="0.25">
      <c r="A103" s="38">
        <f>[1]Data!A106</f>
        <v>40544</v>
      </c>
      <c r="B103" s="39">
        <f>[1]Data!B106</f>
        <v>2.3032483431824631E-2</v>
      </c>
      <c r="C103" s="39">
        <f>[1]Data!C106</f>
        <v>5.3867286825819503E-2</v>
      </c>
      <c r="D103" s="40">
        <f>[1]Data!F106</f>
        <v>-3.2589175746798212E-3</v>
      </c>
      <c r="E103" s="41">
        <f>[1]Data!G106</f>
        <v>-3.7201022767263097E-3</v>
      </c>
      <c r="F103" s="40">
        <f>[1]Data!H106</f>
        <v>1.0992931250250252E-2</v>
      </c>
      <c r="G103" s="41">
        <f>[1]Data!I106</f>
        <v>-1.8984611662390113E-2</v>
      </c>
      <c r="H103" s="42">
        <f t="shared" si="10"/>
        <v>-1</v>
      </c>
      <c r="I103" s="43">
        <f t="shared" si="19"/>
        <v>1</v>
      </c>
      <c r="J103" s="37">
        <f t="shared" si="11"/>
        <v>0</v>
      </c>
      <c r="K103" s="37">
        <f t="shared" si="12"/>
        <v>3.2589175746798212E-3</v>
      </c>
      <c r="L103" s="37">
        <f t="shared" si="13"/>
        <v>0</v>
      </c>
      <c r="M103" s="37">
        <f t="shared" si="14"/>
        <v>-3.7201022767263097E-3</v>
      </c>
      <c r="N103" s="37">
        <f t="shared" si="15"/>
        <v>1.0992931250250252E-2</v>
      </c>
      <c r="O103" s="37">
        <f t="shared" si="16"/>
        <v>0</v>
      </c>
      <c r="P103" s="37">
        <f t="shared" si="17"/>
        <v>1.8984611662390113E-2</v>
      </c>
      <c r="Q103" s="37">
        <f t="shared" si="18"/>
        <v>0</v>
      </c>
    </row>
    <row r="104" spans="1:17" x14ac:dyDescent="0.25">
      <c r="A104" s="38">
        <f>[1]Data!A107</f>
        <v>40575</v>
      </c>
      <c r="B104" s="39">
        <f>[1]Data!B107</f>
        <v>3.4147896129455652E-2</v>
      </c>
      <c r="C104" s="39">
        <f>[1]Data!C107</f>
        <v>2.4955819672714742E-2</v>
      </c>
      <c r="D104" s="40">
        <f>[1]Data!F107</f>
        <v>9.9631628237515472E-3</v>
      </c>
      <c r="E104" s="41">
        <f>[1]Data!G107</f>
        <v>1.713858103672319E-2</v>
      </c>
      <c r="F104" s="40">
        <f>[1]Data!H107</f>
        <v>2.5246273405220673E-2</v>
      </c>
      <c r="G104" s="41">
        <f>[1]Data!I107</f>
        <v>-1.8094982092443285E-2</v>
      </c>
      <c r="H104" s="42">
        <f t="shared" si="10"/>
        <v>-1</v>
      </c>
      <c r="I104" s="43">
        <f t="shared" si="19"/>
        <v>1</v>
      </c>
      <c r="J104" s="37">
        <f t="shared" si="11"/>
        <v>0</v>
      </c>
      <c r="K104" s="37">
        <f t="shared" si="12"/>
        <v>-9.9631628237515472E-3</v>
      </c>
      <c r="L104" s="37">
        <f t="shared" si="13"/>
        <v>0</v>
      </c>
      <c r="M104" s="37">
        <f t="shared" si="14"/>
        <v>1.713858103672319E-2</v>
      </c>
      <c r="N104" s="37">
        <f t="shared" si="15"/>
        <v>2.5246273405220673E-2</v>
      </c>
      <c r="O104" s="37">
        <f t="shared" si="16"/>
        <v>0</v>
      </c>
      <c r="P104" s="37">
        <f t="shared" si="17"/>
        <v>1.8094982092443285E-2</v>
      </c>
      <c r="Q104" s="37">
        <f t="shared" si="18"/>
        <v>0</v>
      </c>
    </row>
    <row r="105" spans="1:17" x14ac:dyDescent="0.25">
      <c r="A105" s="38">
        <f>[1]Data!A108</f>
        <v>40603</v>
      </c>
      <c r="B105" s="39">
        <f>[1]Data!B108</f>
        <v>1.2004505130044354E-4</v>
      </c>
      <c r="C105" s="39">
        <f>[1]Data!C108</f>
        <v>-3.0332399673355659E-2</v>
      </c>
      <c r="D105" s="40">
        <f>[1]Data!F108</f>
        <v>2.1729271074726723E-2</v>
      </c>
      <c r="E105" s="41">
        <f>[1]Data!G108</f>
        <v>-8.4305377911230092E-3</v>
      </c>
      <c r="F105" s="40">
        <f>[1]Data!H108</f>
        <v>-1.3002218478200513E-2</v>
      </c>
      <c r="G105" s="41">
        <f>[1]Data!I108</f>
        <v>-2.0545886200125804E-2</v>
      </c>
      <c r="H105" s="42">
        <f t="shared" si="10"/>
        <v>1</v>
      </c>
      <c r="I105" s="43">
        <f t="shared" si="19"/>
        <v>1</v>
      </c>
      <c r="J105" s="37">
        <f t="shared" si="11"/>
        <v>2.1729271074726723E-2</v>
      </c>
      <c r="K105" s="37">
        <f t="shared" si="12"/>
        <v>0</v>
      </c>
      <c r="L105" s="37">
        <f t="shared" si="13"/>
        <v>8.4305377911230092E-3</v>
      </c>
      <c r="M105" s="37">
        <f t="shared" si="14"/>
        <v>0</v>
      </c>
      <c r="N105" s="37">
        <f t="shared" si="15"/>
        <v>-1.3002218478200513E-2</v>
      </c>
      <c r="O105" s="37">
        <f t="shared" si="16"/>
        <v>0</v>
      </c>
      <c r="P105" s="37">
        <f t="shared" si="17"/>
        <v>2.0545886200125804E-2</v>
      </c>
      <c r="Q105" s="37">
        <f t="shared" si="18"/>
        <v>0</v>
      </c>
    </row>
    <row r="106" spans="1:17" x14ac:dyDescent="0.25">
      <c r="A106" s="38">
        <f>[1]Data!A109</f>
        <v>40634</v>
      </c>
      <c r="B106" s="39">
        <f>[1]Data!B109</f>
        <v>2.8550198825919967E-2</v>
      </c>
      <c r="C106" s="39">
        <f>[1]Data!C109</f>
        <v>-3.5155922672446601E-4</v>
      </c>
      <c r="D106" s="40">
        <f>[1]Data!F109</f>
        <v>1.9615172371777657E-2</v>
      </c>
      <c r="E106" s="41">
        <f>[1]Data!G109</f>
        <v>1.3834555326560119E-2</v>
      </c>
      <c r="F106" s="40">
        <f>[1]Data!H109</f>
        <v>5.4909260099414974E-3</v>
      </c>
      <c r="G106" s="41">
        <f>[1]Data!I109</f>
        <v>-1.5200546732369025E-2</v>
      </c>
      <c r="H106" s="42">
        <f t="shared" si="10"/>
        <v>1</v>
      </c>
      <c r="I106" s="43">
        <f t="shared" si="19"/>
        <v>-1</v>
      </c>
      <c r="J106" s="37">
        <f t="shared" si="11"/>
        <v>1.9615172371777657E-2</v>
      </c>
      <c r="K106" s="37">
        <f t="shared" si="12"/>
        <v>0</v>
      </c>
      <c r="L106" s="37">
        <f t="shared" si="13"/>
        <v>-1.3834555326560119E-2</v>
      </c>
      <c r="M106" s="37">
        <f t="shared" si="14"/>
        <v>0</v>
      </c>
      <c r="N106" s="37">
        <f t="shared" si="15"/>
        <v>0</v>
      </c>
      <c r="O106" s="37">
        <f t="shared" si="16"/>
        <v>-5.4909260099414974E-3</v>
      </c>
      <c r="P106" s="37">
        <f t="shared" si="17"/>
        <v>0</v>
      </c>
      <c r="Q106" s="37">
        <f t="shared" si="18"/>
        <v>-1.5200546732369025E-2</v>
      </c>
    </row>
    <row r="107" spans="1:17" x14ac:dyDescent="0.25">
      <c r="A107" s="38">
        <f>[1]Data!A110</f>
        <v>40664</v>
      </c>
      <c r="B107" s="39">
        <f>[1]Data!B110</f>
        <v>-1.1277764128790937E-2</v>
      </c>
      <c r="C107" s="39">
        <f>[1]Data!C110</f>
        <v>-4.0272204820622513E-2</v>
      </c>
      <c r="D107" s="40">
        <f>[1]Data!F110</f>
        <v>9.6088047945949943E-3</v>
      </c>
      <c r="E107" s="41">
        <f>[1]Data!G110</f>
        <v>1.4270795268562422E-2</v>
      </c>
      <c r="F107" s="40">
        <f>[1]Data!H110</f>
        <v>-1.6480593819797634E-2</v>
      </c>
      <c r="G107" s="41">
        <f>[1]Data!I110</f>
        <v>1.6759048487742442E-2</v>
      </c>
      <c r="H107" s="42">
        <f t="shared" si="10"/>
        <v>1</v>
      </c>
      <c r="I107" s="43">
        <f t="shared" si="19"/>
        <v>-1</v>
      </c>
      <c r="J107" s="37">
        <f t="shared" si="11"/>
        <v>9.6088047945949943E-3</v>
      </c>
      <c r="K107" s="37">
        <f t="shared" si="12"/>
        <v>0</v>
      </c>
      <c r="L107" s="37">
        <f t="shared" si="13"/>
        <v>-1.4270795268562422E-2</v>
      </c>
      <c r="M107" s="37">
        <f t="shared" si="14"/>
        <v>0</v>
      </c>
      <c r="N107" s="37">
        <f t="shared" si="15"/>
        <v>0</v>
      </c>
      <c r="O107" s="37">
        <f t="shared" si="16"/>
        <v>1.6480593819797634E-2</v>
      </c>
      <c r="P107" s="37">
        <f t="shared" si="17"/>
        <v>0</v>
      </c>
      <c r="Q107" s="37">
        <f t="shared" si="18"/>
        <v>1.6759048487742442E-2</v>
      </c>
    </row>
    <row r="108" spans="1:17" x14ac:dyDescent="0.25">
      <c r="A108" s="38">
        <f>[1]Data!A111</f>
        <v>40695</v>
      </c>
      <c r="B108" s="39">
        <f>[1]Data!B111</f>
        <v>-1.7013925060328533E-2</v>
      </c>
      <c r="C108" s="39">
        <f>[1]Data!C111</f>
        <v>-3.890533164843319E-2</v>
      </c>
      <c r="D108" s="40">
        <f>[1]Data!F111</f>
        <v>1.927997340252488E-2</v>
      </c>
      <c r="E108" s="41">
        <f>[1]Data!G111</f>
        <v>-2.6116251818565899E-2</v>
      </c>
      <c r="F108" s="40">
        <f>[1]Data!H111</f>
        <v>-4.5031748679545007E-2</v>
      </c>
      <c r="G108" s="41">
        <f>[1]Data!I111</f>
        <v>-3.0986630731380639E-3</v>
      </c>
      <c r="H108" s="42">
        <f t="shared" si="10"/>
        <v>1</v>
      </c>
      <c r="I108" s="43">
        <f t="shared" si="19"/>
        <v>-1</v>
      </c>
      <c r="J108" s="37">
        <f t="shared" si="11"/>
        <v>1.927997340252488E-2</v>
      </c>
      <c r="K108" s="37">
        <f t="shared" si="12"/>
        <v>0</v>
      </c>
      <c r="L108" s="37">
        <f t="shared" si="13"/>
        <v>2.6116251818565899E-2</v>
      </c>
      <c r="M108" s="37">
        <f t="shared" si="14"/>
        <v>0</v>
      </c>
      <c r="N108" s="37">
        <f t="shared" si="15"/>
        <v>0</v>
      </c>
      <c r="O108" s="37">
        <f t="shared" si="16"/>
        <v>4.5031748679545007E-2</v>
      </c>
      <c r="P108" s="37">
        <f t="shared" si="17"/>
        <v>0</v>
      </c>
      <c r="Q108" s="37">
        <f t="shared" si="18"/>
        <v>-3.0986630731380639E-3</v>
      </c>
    </row>
    <row r="109" spans="1:17" x14ac:dyDescent="0.25">
      <c r="A109" s="38">
        <f>[1]Data!A112</f>
        <v>40725</v>
      </c>
      <c r="B109" s="39">
        <f>[1]Data!B112</f>
        <v>-2.0207538717317289E-2</v>
      </c>
      <c r="C109" s="39">
        <f>[1]Data!C112</f>
        <v>-4.3330813625459073E-3</v>
      </c>
      <c r="D109" s="40">
        <f>[1]Data!F112</f>
        <v>-3.979188427792512E-2</v>
      </c>
      <c r="E109" s="41">
        <f>[1]Data!G112</f>
        <v>1.9281706382704929E-2</v>
      </c>
      <c r="F109" s="40">
        <f>[1]Data!H112</f>
        <v>1.8245685977121447E-2</v>
      </c>
      <c r="G109" s="41">
        <f>[1]Data!I112</f>
        <v>1.6811771954745092E-2</v>
      </c>
      <c r="H109" s="42">
        <f t="shared" si="10"/>
        <v>1</v>
      </c>
      <c r="I109" s="43">
        <f t="shared" si="19"/>
        <v>-1</v>
      </c>
      <c r="J109" s="37">
        <f t="shared" si="11"/>
        <v>-3.979188427792512E-2</v>
      </c>
      <c r="K109" s="37">
        <f t="shared" si="12"/>
        <v>0</v>
      </c>
      <c r="L109" s="37">
        <f t="shared" si="13"/>
        <v>-1.9281706382704929E-2</v>
      </c>
      <c r="M109" s="37">
        <f t="shared" si="14"/>
        <v>0</v>
      </c>
      <c r="N109" s="37">
        <f t="shared" si="15"/>
        <v>0</v>
      </c>
      <c r="O109" s="37">
        <f t="shared" si="16"/>
        <v>-1.8245685977121447E-2</v>
      </c>
      <c r="P109" s="37">
        <f t="shared" si="17"/>
        <v>0</v>
      </c>
      <c r="Q109" s="37">
        <f t="shared" si="18"/>
        <v>1.6811771954745092E-2</v>
      </c>
    </row>
    <row r="110" spans="1:17" x14ac:dyDescent="0.25">
      <c r="A110" s="38">
        <f>[1]Data!A113</f>
        <v>40756</v>
      </c>
      <c r="B110" s="39">
        <f>[1]Data!B113</f>
        <v>-5.6544384857879895E-2</v>
      </c>
      <c r="C110" s="39">
        <f>[1]Data!C113</f>
        <v>-0.26867430397222858</v>
      </c>
      <c r="D110" s="40">
        <f>[1]Data!F113</f>
        <v>8.162601999394177E-2</v>
      </c>
      <c r="E110" s="41">
        <f>[1]Data!G113</f>
        <v>-3.8221473300384987E-2</v>
      </c>
      <c r="F110" s="40">
        <f>[1]Data!H113</f>
        <v>-7.4208900453684459E-2</v>
      </c>
      <c r="G110" s="41">
        <f>[1]Data!I113</f>
        <v>4.7278273792321988E-2</v>
      </c>
      <c r="H110" s="42">
        <f t="shared" si="10"/>
        <v>1</v>
      </c>
      <c r="I110" s="43">
        <f t="shared" si="19"/>
        <v>-1</v>
      </c>
      <c r="J110" s="37">
        <f t="shared" si="11"/>
        <v>8.162601999394177E-2</v>
      </c>
      <c r="K110" s="37">
        <f t="shared" si="12"/>
        <v>0</v>
      </c>
      <c r="L110" s="37">
        <f t="shared" si="13"/>
        <v>3.8221473300384987E-2</v>
      </c>
      <c r="M110" s="37">
        <f t="shared" si="14"/>
        <v>0</v>
      </c>
      <c r="N110" s="37">
        <f t="shared" si="15"/>
        <v>0</v>
      </c>
      <c r="O110" s="37">
        <f t="shared" si="16"/>
        <v>7.4208900453684459E-2</v>
      </c>
      <c r="P110" s="37">
        <f t="shared" si="17"/>
        <v>0</v>
      </c>
      <c r="Q110" s="37">
        <f t="shared" si="18"/>
        <v>4.7278273792321988E-2</v>
      </c>
    </row>
    <row r="111" spans="1:17" x14ac:dyDescent="0.25">
      <c r="A111" s="38">
        <f>[1]Data!A114</f>
        <v>40787</v>
      </c>
      <c r="B111" s="39">
        <f>[1]Data!B114</f>
        <v>-7.1948067164102666E-2</v>
      </c>
      <c r="C111" s="39">
        <f>[1]Data!C114</f>
        <v>-0.21757850379320046</v>
      </c>
      <c r="D111" s="40">
        <f>[1]Data!F114</f>
        <v>2.5666604860091757E-3</v>
      </c>
      <c r="E111" s="41">
        <f>[1]Data!G114</f>
        <v>-1.9024245740489446E-2</v>
      </c>
      <c r="F111" s="40">
        <f>[1]Data!H114</f>
        <v>-2.6363096536001364E-2</v>
      </c>
      <c r="G111" s="41">
        <f>[1]Data!I114</f>
        <v>5.2946010994901239E-2</v>
      </c>
      <c r="H111" s="42">
        <f t="shared" si="10"/>
        <v>1</v>
      </c>
      <c r="I111" s="43">
        <f t="shared" si="19"/>
        <v>-1</v>
      </c>
      <c r="J111" s="37">
        <f t="shared" si="11"/>
        <v>2.5666604860091757E-3</v>
      </c>
      <c r="K111" s="37">
        <f t="shared" si="12"/>
        <v>0</v>
      </c>
      <c r="L111" s="37">
        <f t="shared" si="13"/>
        <v>1.9024245740489446E-2</v>
      </c>
      <c r="M111" s="37">
        <f t="shared" si="14"/>
        <v>0</v>
      </c>
      <c r="N111" s="37">
        <f t="shared" si="15"/>
        <v>0</v>
      </c>
      <c r="O111" s="37">
        <f t="shared" si="16"/>
        <v>2.6363096536001364E-2</v>
      </c>
      <c r="P111" s="37">
        <f t="shared" si="17"/>
        <v>0</v>
      </c>
      <c r="Q111" s="37">
        <f t="shared" si="18"/>
        <v>5.2946010994901239E-2</v>
      </c>
    </row>
    <row r="112" spans="1:17" x14ac:dyDescent="0.25">
      <c r="A112" s="38">
        <f>[1]Data!A115</f>
        <v>40817</v>
      </c>
      <c r="B112" s="39">
        <f>[1]Data!B115</f>
        <v>0.10359142321300968</v>
      </c>
      <c r="C112" s="39">
        <f>[1]Data!C115</f>
        <v>0.15438671107540722</v>
      </c>
      <c r="D112" s="40">
        <f>[1]Data!F115</f>
        <v>1.2266253356363208E-2</v>
      </c>
      <c r="E112" s="41">
        <f>[1]Data!G115</f>
        <v>2.4017114349233752E-2</v>
      </c>
      <c r="F112" s="40">
        <f>[1]Data!H115</f>
        <v>2.2372794256617923E-2</v>
      </c>
      <c r="G112" s="41">
        <f>[1]Data!I115</f>
        <v>-1.8882671401672109E-2</v>
      </c>
      <c r="H112" s="42">
        <f t="shared" si="10"/>
        <v>-1</v>
      </c>
      <c r="I112" s="43">
        <f t="shared" si="19"/>
        <v>-1</v>
      </c>
      <c r="J112" s="37">
        <f t="shared" si="11"/>
        <v>0</v>
      </c>
      <c r="K112" s="37">
        <f t="shared" si="12"/>
        <v>-1.2266253356363208E-2</v>
      </c>
      <c r="L112" s="37">
        <f t="shared" si="13"/>
        <v>0</v>
      </c>
      <c r="M112" s="37">
        <f t="shared" si="14"/>
        <v>2.4017114349233752E-2</v>
      </c>
      <c r="N112" s="37">
        <f t="shared" si="15"/>
        <v>0</v>
      </c>
      <c r="O112" s="37">
        <f t="shared" si="16"/>
        <v>-2.2372794256617923E-2</v>
      </c>
      <c r="P112" s="37">
        <f t="shared" si="17"/>
        <v>0</v>
      </c>
      <c r="Q112" s="37">
        <f t="shared" si="18"/>
        <v>-1.8882671401672109E-2</v>
      </c>
    </row>
    <row r="113" spans="1:17" x14ac:dyDescent="0.25">
      <c r="A113" s="38">
        <f>[1]Data!A116</f>
        <v>40848</v>
      </c>
      <c r="B113" s="39">
        <f>[1]Data!B116</f>
        <v>-4.072108220249622E-3</v>
      </c>
      <c r="C113" s="39">
        <f>[1]Data!C116</f>
        <v>-8.558827985879304E-2</v>
      </c>
      <c r="D113" s="40">
        <f>[1]Data!F116</f>
        <v>4.3579189455223197E-2</v>
      </c>
      <c r="E113" s="41">
        <f>[1]Data!G116</f>
        <v>-1.8241588904745618E-2</v>
      </c>
      <c r="F113" s="40">
        <f>[1]Data!H116</f>
        <v>6.0374496991784897E-3</v>
      </c>
      <c r="G113" s="41">
        <f>[1]Data!I116</f>
        <v>1.4081265123699026E-2</v>
      </c>
      <c r="H113" s="42">
        <f t="shared" si="10"/>
        <v>1</v>
      </c>
      <c r="I113" s="43">
        <f t="shared" si="19"/>
        <v>1</v>
      </c>
      <c r="J113" s="37">
        <f t="shared" si="11"/>
        <v>4.3579189455223197E-2</v>
      </c>
      <c r="K113" s="37">
        <f t="shared" si="12"/>
        <v>0</v>
      </c>
      <c r="L113" s="37">
        <f t="shared" si="13"/>
        <v>1.8241588904745618E-2</v>
      </c>
      <c r="M113" s="37">
        <f t="shared" si="14"/>
        <v>0</v>
      </c>
      <c r="N113" s="37">
        <f t="shared" si="15"/>
        <v>6.0374496991784897E-3</v>
      </c>
      <c r="O113" s="37">
        <f t="shared" si="16"/>
        <v>0</v>
      </c>
      <c r="P113" s="37">
        <f t="shared" si="17"/>
        <v>-1.4081265123699026E-2</v>
      </c>
      <c r="Q113" s="37">
        <f t="shared" si="18"/>
        <v>0</v>
      </c>
    </row>
    <row r="114" spans="1:17" x14ac:dyDescent="0.25">
      <c r="A114" s="38">
        <f>[1]Data!A117</f>
        <v>40878</v>
      </c>
      <c r="B114" s="39">
        <f>[1]Data!B117</f>
        <v>1.0394239366066014E-2</v>
      </c>
      <c r="C114" s="39">
        <f>[1]Data!C117</f>
        <v>-1.3019924017450286E-2</v>
      </c>
      <c r="D114" s="40">
        <f>[1]Data!F117</f>
        <v>1.0654518659416193E-2</v>
      </c>
      <c r="E114" s="41">
        <f>[1]Data!G117</f>
        <v>2.1109373590297395E-2</v>
      </c>
      <c r="F114" s="40">
        <f>[1]Data!H117</f>
        <v>1.3825319904160062E-2</v>
      </c>
      <c r="G114" s="41">
        <f>[1]Data!I117</f>
        <v>8.5004242264216006E-4</v>
      </c>
      <c r="H114" s="42">
        <f t="shared" si="10"/>
        <v>1</v>
      </c>
      <c r="I114" s="43">
        <f t="shared" si="19"/>
        <v>-1</v>
      </c>
      <c r="J114" s="37">
        <f t="shared" si="11"/>
        <v>1.0654518659416193E-2</v>
      </c>
      <c r="K114" s="37">
        <f t="shared" si="12"/>
        <v>0</v>
      </c>
      <c r="L114" s="37">
        <f t="shared" si="13"/>
        <v>-2.1109373590297395E-2</v>
      </c>
      <c r="M114" s="37">
        <f t="shared" si="14"/>
        <v>0</v>
      </c>
      <c r="N114" s="37">
        <f t="shared" si="15"/>
        <v>0</v>
      </c>
      <c r="O114" s="37">
        <f t="shared" si="16"/>
        <v>-1.3825319904160062E-2</v>
      </c>
      <c r="P114" s="37">
        <f t="shared" si="17"/>
        <v>0</v>
      </c>
      <c r="Q114" s="37">
        <f t="shared" si="18"/>
        <v>8.5004242264216006E-4</v>
      </c>
    </row>
    <row r="115" spans="1:17" x14ac:dyDescent="0.25">
      <c r="A115" s="38">
        <f>[1]Data!A118</f>
        <v>40909</v>
      </c>
      <c r="B115" s="39">
        <f>[1]Data!B118</f>
        <v>4.5331251108184228E-2</v>
      </c>
      <c r="C115" s="39">
        <f>[1]Data!C118</f>
        <v>8.6789695614172074E-2</v>
      </c>
      <c r="D115" s="40">
        <f>[1]Data!F118</f>
        <v>-1.065421663953015E-3</v>
      </c>
      <c r="E115" s="41">
        <f>[1]Data!G118</f>
        <v>3.7088764635217292E-2</v>
      </c>
      <c r="F115" s="40">
        <f>[1]Data!H118</f>
        <v>1.9880556128924105E-2</v>
      </c>
      <c r="G115" s="41">
        <f>[1]Data!I118</f>
        <v>-2.2772392072328458E-2</v>
      </c>
      <c r="H115" s="42">
        <f t="shared" si="10"/>
        <v>-1</v>
      </c>
      <c r="I115" s="43">
        <f t="shared" si="19"/>
        <v>-1</v>
      </c>
      <c r="J115" s="37">
        <f t="shared" si="11"/>
        <v>0</v>
      </c>
      <c r="K115" s="37">
        <f t="shared" si="12"/>
        <v>1.065421663953015E-3</v>
      </c>
      <c r="L115" s="37">
        <f t="shared" si="13"/>
        <v>0</v>
      </c>
      <c r="M115" s="37">
        <f t="shared" si="14"/>
        <v>3.7088764635217292E-2</v>
      </c>
      <c r="N115" s="37">
        <f t="shared" si="15"/>
        <v>0</v>
      </c>
      <c r="O115" s="37">
        <f t="shared" si="16"/>
        <v>-1.9880556128924105E-2</v>
      </c>
      <c r="P115" s="37">
        <f t="shared" si="17"/>
        <v>0</v>
      </c>
      <c r="Q115" s="37">
        <f t="shared" si="18"/>
        <v>-2.2772392072328458E-2</v>
      </c>
    </row>
    <row r="116" spans="1:17" x14ac:dyDescent="0.25">
      <c r="A116" s="38">
        <f>[1]Data!A119</f>
        <v>40940</v>
      </c>
      <c r="B116" s="39">
        <f>[1]Data!B119</f>
        <v>4.2489821219877516E-2</v>
      </c>
      <c r="C116" s="39">
        <f>[1]Data!C119</f>
        <v>6.7445147980817521E-2</v>
      </c>
      <c r="D116" s="40">
        <f>[1]Data!F119</f>
        <v>7.2514587926275475E-3</v>
      </c>
      <c r="E116" s="41">
        <f>[1]Data!G119</f>
        <v>5.89311887905738E-3</v>
      </c>
      <c r="F116" s="40">
        <f>[1]Data!H119</f>
        <v>2.6080853381627578E-2</v>
      </c>
      <c r="G116" s="41">
        <f>[1]Data!I119</f>
        <v>-3.6241142283388358E-2</v>
      </c>
      <c r="H116" s="42">
        <f t="shared" si="10"/>
        <v>-1</v>
      </c>
      <c r="I116" s="43">
        <f t="shared" si="19"/>
        <v>1</v>
      </c>
      <c r="J116" s="37">
        <f t="shared" si="11"/>
        <v>0</v>
      </c>
      <c r="K116" s="37">
        <f t="shared" si="12"/>
        <v>-7.2514587926275475E-3</v>
      </c>
      <c r="L116" s="37">
        <f t="shared" si="13"/>
        <v>0</v>
      </c>
      <c r="M116" s="37">
        <f t="shared" si="14"/>
        <v>5.89311887905738E-3</v>
      </c>
      <c r="N116" s="37">
        <f t="shared" si="15"/>
        <v>2.6080853381627578E-2</v>
      </c>
      <c r="O116" s="37">
        <f t="shared" si="16"/>
        <v>0</v>
      </c>
      <c r="P116" s="37">
        <f t="shared" si="17"/>
        <v>3.6241142283388358E-2</v>
      </c>
      <c r="Q116" s="37">
        <f t="shared" si="18"/>
        <v>0</v>
      </c>
    </row>
    <row r="117" spans="1:17" x14ac:dyDescent="0.25">
      <c r="A117" s="38">
        <f>[1]Data!A120</f>
        <v>40969</v>
      </c>
      <c r="B117" s="39">
        <f>[1]Data!B120</f>
        <v>3.1657201195968959E-2</v>
      </c>
      <c r="C117" s="39">
        <f>[1]Data!C120</f>
        <v>7.4331433200827773E-2</v>
      </c>
      <c r="D117" s="40">
        <f>[1]Data!F120</f>
        <v>4.2696125022608136E-3</v>
      </c>
      <c r="E117" s="41">
        <f>[1]Data!G120</f>
        <v>3.661080840336825E-3</v>
      </c>
      <c r="F117" s="40">
        <f>[1]Data!H120</f>
        <v>-9.7543535179439658E-3</v>
      </c>
      <c r="G117" s="41">
        <f>[1]Data!I120</f>
        <v>-2.1616281091293649E-3</v>
      </c>
      <c r="H117" s="42">
        <f t="shared" si="10"/>
        <v>-1</v>
      </c>
      <c r="I117" s="43">
        <f t="shared" si="19"/>
        <v>1</v>
      </c>
      <c r="J117" s="37">
        <f t="shared" si="11"/>
        <v>0</v>
      </c>
      <c r="K117" s="37">
        <f t="shared" si="12"/>
        <v>-4.2696125022608136E-3</v>
      </c>
      <c r="L117" s="37">
        <f t="shared" si="13"/>
        <v>0</v>
      </c>
      <c r="M117" s="37">
        <f t="shared" si="14"/>
        <v>3.661080840336825E-3</v>
      </c>
      <c r="N117" s="37">
        <f t="shared" si="15"/>
        <v>-9.7543535179439658E-3</v>
      </c>
      <c r="O117" s="37">
        <f t="shared" si="16"/>
        <v>0</v>
      </c>
      <c r="P117" s="37">
        <f t="shared" si="17"/>
        <v>2.1616281091293649E-3</v>
      </c>
      <c r="Q117" s="37">
        <f t="shared" si="18"/>
        <v>0</v>
      </c>
    </row>
    <row r="118" spans="1:17" x14ac:dyDescent="0.25">
      <c r="A118" s="38">
        <f>[1]Data!A121</f>
        <v>41000</v>
      </c>
      <c r="B118" s="39">
        <f>[1]Data!B121</f>
        <v>-6.6975610043536115E-3</v>
      </c>
      <c r="C118" s="39">
        <f>[1]Data!C121</f>
        <v>-8.1276005959366626E-2</v>
      </c>
      <c r="D118" s="40">
        <f>[1]Data!F121</f>
        <v>2.2266788322080872E-2</v>
      </c>
      <c r="E118" s="41">
        <f>[1]Data!G121</f>
        <v>-5.1017262227358012E-3</v>
      </c>
      <c r="F118" s="40">
        <f>[1]Data!H121</f>
        <v>-1.856489592984403E-2</v>
      </c>
      <c r="G118" s="41">
        <f>[1]Data!I121</f>
        <v>3.2008037126986931E-2</v>
      </c>
      <c r="H118" s="42">
        <f t="shared" si="10"/>
        <v>1</v>
      </c>
      <c r="I118" s="43">
        <f t="shared" si="19"/>
        <v>1</v>
      </c>
      <c r="J118" s="37">
        <f t="shared" si="11"/>
        <v>2.2266788322080872E-2</v>
      </c>
      <c r="K118" s="37">
        <f t="shared" si="12"/>
        <v>0</v>
      </c>
      <c r="L118" s="37">
        <f t="shared" si="13"/>
        <v>5.1017262227358012E-3</v>
      </c>
      <c r="M118" s="37">
        <f t="shared" si="14"/>
        <v>0</v>
      </c>
      <c r="N118" s="37">
        <f t="shared" si="15"/>
        <v>-1.856489592984403E-2</v>
      </c>
      <c r="O118" s="37">
        <f t="shared" si="16"/>
        <v>0</v>
      </c>
      <c r="P118" s="37">
        <f t="shared" si="17"/>
        <v>-3.2008037126986931E-2</v>
      </c>
      <c r="Q118" s="37">
        <f t="shared" si="18"/>
        <v>0</v>
      </c>
    </row>
    <row r="119" spans="1:17" x14ac:dyDescent="0.25">
      <c r="A119" s="38">
        <f>[1]Data!A122</f>
        <v>41030</v>
      </c>
      <c r="B119" s="39">
        <f>[1]Data!B122</f>
        <v>-6.1934980313862131E-2</v>
      </c>
      <c r="C119" s="39">
        <f>[1]Data!C122</f>
        <v>-0.11544675407236324</v>
      </c>
      <c r="D119" s="40">
        <f>[1]Data!F122</f>
        <v>-3.7958725346883613E-3</v>
      </c>
      <c r="E119" s="41">
        <f>[1]Data!G122</f>
        <v>2.9102305244142909E-2</v>
      </c>
      <c r="F119" s="40">
        <f>[1]Data!H122</f>
        <v>-2.0003078795206145E-2</v>
      </c>
      <c r="G119" s="41">
        <f>[1]Data!I122</f>
        <v>9.5497825615567713E-3</v>
      </c>
      <c r="H119" s="42">
        <f t="shared" si="10"/>
        <v>1</v>
      </c>
      <c r="I119" s="43">
        <f t="shared" si="19"/>
        <v>-1</v>
      </c>
      <c r="J119" s="37">
        <f t="shared" si="11"/>
        <v>-3.7958725346883613E-3</v>
      </c>
      <c r="K119" s="37">
        <f t="shared" si="12"/>
        <v>0</v>
      </c>
      <c r="L119" s="37">
        <f t="shared" si="13"/>
        <v>-2.9102305244142909E-2</v>
      </c>
      <c r="M119" s="37">
        <f t="shared" si="14"/>
        <v>0</v>
      </c>
      <c r="N119" s="37">
        <f t="shared" si="15"/>
        <v>0</v>
      </c>
      <c r="O119" s="37">
        <f t="shared" si="16"/>
        <v>2.0003078795206145E-2</v>
      </c>
      <c r="P119" s="37">
        <f t="shared" si="17"/>
        <v>0</v>
      </c>
      <c r="Q119" s="37">
        <f t="shared" si="18"/>
        <v>9.5497825615567713E-3</v>
      </c>
    </row>
    <row r="120" spans="1:17" x14ac:dyDescent="0.25">
      <c r="A120" s="38">
        <f>[1]Data!A123</f>
        <v>41061</v>
      </c>
      <c r="B120" s="39">
        <f>[1]Data!B123</f>
        <v>3.9779032348415816E-2</v>
      </c>
      <c r="C120" s="39">
        <f>[1]Data!C123</f>
        <v>1.7454644709188637E-2</v>
      </c>
      <c r="D120" s="40">
        <f>[1]Data!F123</f>
        <v>2.7260132793923905E-2</v>
      </c>
      <c r="E120" s="41">
        <f>[1]Data!G123</f>
        <v>-1.1988335207081851E-2</v>
      </c>
      <c r="F120" s="40">
        <f>[1]Data!H123</f>
        <v>4.4016722021644897E-3</v>
      </c>
      <c r="G120" s="41">
        <f>[1]Data!I123</f>
        <v>-1.6604999560539613E-2</v>
      </c>
      <c r="H120" s="42">
        <f t="shared" si="10"/>
        <v>-1</v>
      </c>
      <c r="I120" s="43">
        <f t="shared" si="19"/>
        <v>-1</v>
      </c>
      <c r="J120" s="37">
        <f t="shared" si="11"/>
        <v>0</v>
      </c>
      <c r="K120" s="37">
        <f t="shared" si="12"/>
        <v>-2.7260132793923905E-2</v>
      </c>
      <c r="L120" s="37">
        <f t="shared" si="13"/>
        <v>0</v>
      </c>
      <c r="M120" s="37">
        <f t="shared" si="14"/>
        <v>-1.1988335207081851E-2</v>
      </c>
      <c r="N120" s="37">
        <f t="shared" si="15"/>
        <v>0</v>
      </c>
      <c r="O120" s="37">
        <f t="shared" si="16"/>
        <v>-4.4016722021644897E-3</v>
      </c>
      <c r="P120" s="37">
        <f t="shared" si="17"/>
        <v>0</v>
      </c>
      <c r="Q120" s="37">
        <f t="shared" si="18"/>
        <v>-1.6604999560539613E-2</v>
      </c>
    </row>
    <row r="121" spans="1:17" x14ac:dyDescent="0.25">
      <c r="A121" s="38">
        <f>[1]Data!A124</f>
        <v>41091</v>
      </c>
      <c r="B121" s="39">
        <f>[1]Data!B124</f>
        <v>1.1760430159140101E-2</v>
      </c>
      <c r="C121" s="39">
        <f>[1]Data!C124</f>
        <v>-5.3279894770597469E-2</v>
      </c>
      <c r="D121" s="40">
        <f>[1]Data!F124</f>
        <v>1.9209046741155276E-2</v>
      </c>
      <c r="E121" s="41">
        <f>[1]Data!G124</f>
        <v>-8.3687163696615566E-3</v>
      </c>
      <c r="F121" s="40">
        <f>[1]Data!H124</f>
        <v>-5.7472773109411967E-3</v>
      </c>
      <c r="G121" s="41">
        <f>[1]Data!I124</f>
        <v>2.5673379215753946E-2</v>
      </c>
      <c r="H121" s="42">
        <f t="shared" si="10"/>
        <v>1</v>
      </c>
      <c r="I121" s="43">
        <f t="shared" si="19"/>
        <v>1</v>
      </c>
      <c r="J121" s="37">
        <f t="shared" si="11"/>
        <v>1.9209046741155276E-2</v>
      </c>
      <c r="K121" s="37">
        <f t="shared" si="12"/>
        <v>0</v>
      </c>
      <c r="L121" s="37">
        <f t="shared" si="13"/>
        <v>8.3687163696615566E-3</v>
      </c>
      <c r="M121" s="37">
        <f t="shared" si="14"/>
        <v>0</v>
      </c>
      <c r="N121" s="37">
        <f t="shared" si="15"/>
        <v>-5.7472773109411967E-3</v>
      </c>
      <c r="O121" s="37">
        <f t="shared" si="16"/>
        <v>0</v>
      </c>
      <c r="P121" s="37">
        <f t="shared" si="17"/>
        <v>-2.5673379215753946E-2</v>
      </c>
      <c r="Q121" s="37">
        <f t="shared" si="18"/>
        <v>0</v>
      </c>
    </row>
    <row r="122" spans="1:17" x14ac:dyDescent="0.25">
      <c r="A122" s="38">
        <f>[1]Data!A125</f>
        <v>41122</v>
      </c>
      <c r="B122" s="39">
        <f>[1]Data!B125</f>
        <v>2.4743700121654916E-2</v>
      </c>
      <c r="C122" s="39">
        <f>[1]Data!C125</f>
        <v>8.4889605268528373E-2</v>
      </c>
      <c r="D122" s="40">
        <f>[1]Data!F125</f>
        <v>-4.2413178444685486E-3</v>
      </c>
      <c r="E122" s="41">
        <f>[1]Data!G125</f>
        <v>4.2627540726792826E-2</v>
      </c>
      <c r="F122" s="40">
        <f>[1]Data!H125</f>
        <v>1.8775498094816039E-2</v>
      </c>
      <c r="G122" s="41">
        <f>[1]Data!I125</f>
        <v>-2.81850807339276E-2</v>
      </c>
      <c r="H122" s="42">
        <f t="shared" si="10"/>
        <v>-1</v>
      </c>
      <c r="I122" s="43">
        <f t="shared" si="19"/>
        <v>-1</v>
      </c>
      <c r="J122" s="37">
        <f t="shared" si="11"/>
        <v>0</v>
      </c>
      <c r="K122" s="37">
        <f t="shared" si="12"/>
        <v>4.2413178444685486E-3</v>
      </c>
      <c r="L122" s="37">
        <f t="shared" si="13"/>
        <v>0</v>
      </c>
      <c r="M122" s="37">
        <f t="shared" si="14"/>
        <v>4.2627540726792826E-2</v>
      </c>
      <c r="N122" s="37">
        <f t="shared" si="15"/>
        <v>0</v>
      </c>
      <c r="O122" s="37">
        <f t="shared" si="16"/>
        <v>-1.8775498094816039E-2</v>
      </c>
      <c r="P122" s="37">
        <f t="shared" si="17"/>
        <v>0</v>
      </c>
      <c r="Q122" s="37">
        <f t="shared" si="18"/>
        <v>-2.81850807339276E-2</v>
      </c>
    </row>
    <row r="123" spans="1:17" x14ac:dyDescent="0.25">
      <c r="A123" s="38">
        <f>[1]Data!A126</f>
        <v>41153</v>
      </c>
      <c r="B123" s="39">
        <f>[1]Data!B126</f>
        <v>2.5035320071267811E-2</v>
      </c>
      <c r="C123" s="39">
        <f>[1]Data!C126</f>
        <v>7.6233389647209854E-2</v>
      </c>
      <c r="D123" s="40">
        <f>[1]Data!F126</f>
        <v>-1.1601137605010026E-2</v>
      </c>
      <c r="E123" s="41">
        <f>[1]Data!G126</f>
        <v>1.3942539917190222E-2</v>
      </c>
      <c r="F123" s="40">
        <f>[1]Data!H126</f>
        <v>1.6510877464287747E-2</v>
      </c>
      <c r="G123" s="41">
        <f>[1]Data!I126</f>
        <v>-2.4768830726444532E-2</v>
      </c>
      <c r="H123" s="42">
        <f t="shared" si="10"/>
        <v>-1</v>
      </c>
      <c r="I123" s="43">
        <f t="shared" si="19"/>
        <v>1</v>
      </c>
      <c r="J123" s="37">
        <f t="shared" si="11"/>
        <v>0</v>
      </c>
      <c r="K123" s="37">
        <f t="shared" si="12"/>
        <v>1.1601137605010026E-2</v>
      </c>
      <c r="L123" s="37">
        <f t="shared" si="13"/>
        <v>0</v>
      </c>
      <c r="M123" s="37">
        <f t="shared" si="14"/>
        <v>1.3942539917190222E-2</v>
      </c>
      <c r="N123" s="37">
        <f t="shared" si="15"/>
        <v>1.6510877464287747E-2</v>
      </c>
      <c r="O123" s="37">
        <f t="shared" si="16"/>
        <v>0</v>
      </c>
      <c r="P123" s="37">
        <f t="shared" si="17"/>
        <v>2.4768830726444532E-2</v>
      </c>
      <c r="Q123" s="37">
        <f t="shared" si="18"/>
        <v>0</v>
      </c>
    </row>
    <row r="124" spans="1:17" x14ac:dyDescent="0.25">
      <c r="A124" s="38">
        <f>[1]Data!A127</f>
        <v>41183</v>
      </c>
      <c r="B124" s="39">
        <f>[1]Data!B127</f>
        <v>-1.8366171419647966E-2</v>
      </c>
      <c r="C124" s="39">
        <f>[1]Data!C127</f>
        <v>1.4033698405142916E-2</v>
      </c>
      <c r="D124" s="40">
        <f>[1]Data!F127</f>
        <v>-1.4329111832685686E-2</v>
      </c>
      <c r="E124" s="41">
        <f>[1]Data!G127</f>
        <v>1.32200099464526E-2</v>
      </c>
      <c r="F124" s="40">
        <f>[1]Data!H127</f>
        <v>1.4959708941337522E-2</v>
      </c>
      <c r="G124" s="41">
        <f>[1]Data!I127</f>
        <v>-2.2929085591977691E-2</v>
      </c>
      <c r="H124" s="42">
        <f t="shared" si="10"/>
        <v>-1</v>
      </c>
      <c r="I124" s="43">
        <f t="shared" si="19"/>
        <v>1</v>
      </c>
      <c r="J124" s="37">
        <f t="shared" si="11"/>
        <v>0</v>
      </c>
      <c r="K124" s="37">
        <f t="shared" si="12"/>
        <v>1.4329111832685686E-2</v>
      </c>
      <c r="L124" s="37">
        <f t="shared" si="13"/>
        <v>0</v>
      </c>
      <c r="M124" s="37">
        <f t="shared" si="14"/>
        <v>1.32200099464526E-2</v>
      </c>
      <c r="N124" s="37">
        <f t="shared" si="15"/>
        <v>1.4959708941337522E-2</v>
      </c>
      <c r="O124" s="37">
        <f t="shared" si="16"/>
        <v>0</v>
      </c>
      <c r="P124" s="37">
        <f t="shared" si="17"/>
        <v>2.2929085591977691E-2</v>
      </c>
      <c r="Q124" s="37">
        <f t="shared" si="18"/>
        <v>0</v>
      </c>
    </row>
    <row r="125" spans="1:17" x14ac:dyDescent="0.25">
      <c r="A125" s="38">
        <f>[1]Data!A128</f>
        <v>41214</v>
      </c>
      <c r="B125" s="39">
        <f>[1]Data!B128</f>
        <v>5.6436240375966973E-3</v>
      </c>
      <c r="C125" s="39">
        <f>[1]Data!C128</f>
        <v>-2.1364392975294761E-2</v>
      </c>
      <c r="D125" s="40">
        <f>[1]Data!F128</f>
        <v>1.9176554052706411E-2</v>
      </c>
      <c r="E125" s="41">
        <f>[1]Data!G128</f>
        <v>3.6933538055764388E-3</v>
      </c>
      <c r="F125" s="40">
        <f>[1]Data!H128</f>
        <v>-1.1598737326005268E-2</v>
      </c>
      <c r="G125" s="41">
        <f>[1]Data!I128</f>
        <v>5.1734979782019058E-3</v>
      </c>
      <c r="H125" s="42">
        <f t="shared" si="10"/>
        <v>1</v>
      </c>
      <c r="I125" s="43">
        <f t="shared" si="19"/>
        <v>1</v>
      </c>
      <c r="J125" s="37">
        <f t="shared" si="11"/>
        <v>1.9176554052706411E-2</v>
      </c>
      <c r="K125" s="37">
        <f t="shared" si="12"/>
        <v>0</v>
      </c>
      <c r="L125" s="37">
        <f t="shared" si="13"/>
        <v>-3.6933538055764388E-3</v>
      </c>
      <c r="M125" s="37">
        <f t="shared" si="14"/>
        <v>0</v>
      </c>
      <c r="N125" s="37">
        <f t="shared" si="15"/>
        <v>-1.1598737326005268E-2</v>
      </c>
      <c r="O125" s="37">
        <f t="shared" si="16"/>
        <v>0</v>
      </c>
      <c r="P125" s="37">
        <f t="shared" si="17"/>
        <v>-5.1734979782019058E-3</v>
      </c>
      <c r="Q125" s="37">
        <f t="shared" si="18"/>
        <v>0</v>
      </c>
    </row>
    <row r="126" spans="1:17" x14ac:dyDescent="0.25">
      <c r="A126" s="38">
        <f>[1]Data!A129</f>
        <v>41244</v>
      </c>
      <c r="B126" s="39">
        <f>[1]Data!B129</f>
        <v>8.8949475774528775E-3</v>
      </c>
      <c r="C126" s="39">
        <f>[1]Data!C129</f>
        <v>3.0158788094618787E-2</v>
      </c>
      <c r="D126" s="40">
        <f>[1]Data!F129</f>
        <v>-2.6645609742020418E-3</v>
      </c>
      <c r="E126" s="41">
        <f>[1]Data!G129</f>
        <v>-6.5922084497466657E-3</v>
      </c>
      <c r="F126" s="40">
        <f>[1]Data!H129</f>
        <v>1.827475613518047E-3</v>
      </c>
      <c r="G126" s="41">
        <f>[1]Data!I129</f>
        <v>-9.2406043706672741E-4</v>
      </c>
      <c r="H126" s="42">
        <f t="shared" si="10"/>
        <v>-1</v>
      </c>
      <c r="I126" s="43">
        <f t="shared" si="19"/>
        <v>-1</v>
      </c>
      <c r="J126" s="37">
        <f t="shared" si="11"/>
        <v>0</v>
      </c>
      <c r="K126" s="37">
        <f t="shared" si="12"/>
        <v>2.6645609742020418E-3</v>
      </c>
      <c r="L126" s="37">
        <f t="shared" si="13"/>
        <v>0</v>
      </c>
      <c r="M126" s="37">
        <f t="shared" si="14"/>
        <v>-6.5922084497466657E-3</v>
      </c>
      <c r="N126" s="37">
        <f t="shared" si="15"/>
        <v>0</v>
      </c>
      <c r="O126" s="37">
        <f t="shared" si="16"/>
        <v>-1.827475613518047E-3</v>
      </c>
      <c r="P126" s="37">
        <f t="shared" si="17"/>
        <v>0</v>
      </c>
      <c r="Q126" s="37">
        <f t="shared" si="18"/>
        <v>-9.2406043706672741E-4</v>
      </c>
    </row>
    <row r="127" spans="1:17" x14ac:dyDescent="0.25">
      <c r="A127" s="38">
        <f>[1]Data!A130</f>
        <v>41275</v>
      </c>
      <c r="B127" s="39">
        <f>[1]Data!B130</f>
        <v>4.9922956647863635E-2</v>
      </c>
      <c r="C127" s="39">
        <f>[1]Data!C130</f>
        <v>5.6752336255235368E-2</v>
      </c>
      <c r="D127" s="40">
        <f>[1]Data!F130</f>
        <v>2.2065633821715322E-3</v>
      </c>
      <c r="E127" s="41">
        <f>[1]Data!G130</f>
        <v>-2.3336161633466711E-2</v>
      </c>
      <c r="F127" s="40">
        <f>[1]Data!H130</f>
        <v>2.1809195648912344E-2</v>
      </c>
      <c r="G127" s="41">
        <f>[1]Data!I130</f>
        <v>-1.6223186609208844E-2</v>
      </c>
      <c r="H127" s="42">
        <f t="shared" si="10"/>
        <v>-1</v>
      </c>
      <c r="I127" s="43">
        <f t="shared" si="19"/>
        <v>1</v>
      </c>
      <c r="J127" s="37">
        <f t="shared" si="11"/>
        <v>0</v>
      </c>
      <c r="K127" s="37">
        <f t="shared" si="12"/>
        <v>-2.2065633821715322E-3</v>
      </c>
      <c r="L127" s="37">
        <f t="shared" si="13"/>
        <v>0</v>
      </c>
      <c r="M127" s="37">
        <f t="shared" si="14"/>
        <v>-2.3336161633466711E-2</v>
      </c>
      <c r="N127" s="37">
        <f t="shared" si="15"/>
        <v>2.1809195648912344E-2</v>
      </c>
      <c r="O127" s="37">
        <f t="shared" si="16"/>
        <v>0</v>
      </c>
      <c r="P127" s="37">
        <f t="shared" si="17"/>
        <v>1.6223186609208844E-2</v>
      </c>
      <c r="Q127" s="37">
        <f t="shared" si="18"/>
        <v>0</v>
      </c>
    </row>
    <row r="128" spans="1:17" x14ac:dyDescent="0.25">
      <c r="A128" s="38">
        <f>[1]Data!A131</f>
        <v>41306</v>
      </c>
      <c r="B128" s="39">
        <f>[1]Data!B131</f>
        <v>1.2678190377662671E-2</v>
      </c>
      <c r="C128" s="39">
        <f>[1]Data!C131</f>
        <v>1.4779559686182501E-2</v>
      </c>
      <c r="D128" s="40">
        <f>[1]Data!F131</f>
        <v>-1.8452529120968008E-3</v>
      </c>
      <c r="E128" s="41">
        <f>[1]Data!G131</f>
        <v>1.2567078769891262E-2</v>
      </c>
      <c r="F128" s="40">
        <f>[1]Data!H131</f>
        <v>8.3821187481050424E-3</v>
      </c>
      <c r="G128" s="41">
        <f>[1]Data!I131</f>
        <v>-3.3375634364996307E-3</v>
      </c>
      <c r="H128" s="42">
        <f t="shared" si="10"/>
        <v>-1</v>
      </c>
      <c r="I128" s="43">
        <f t="shared" si="19"/>
        <v>1</v>
      </c>
      <c r="J128" s="37">
        <f t="shared" si="11"/>
        <v>0</v>
      </c>
      <c r="K128" s="37">
        <f t="shared" si="12"/>
        <v>1.8452529120968008E-3</v>
      </c>
      <c r="L128" s="37">
        <f t="shared" si="13"/>
        <v>0</v>
      </c>
      <c r="M128" s="37">
        <f t="shared" si="14"/>
        <v>1.2567078769891262E-2</v>
      </c>
      <c r="N128" s="37">
        <f t="shared" si="15"/>
        <v>8.3821187481050424E-3</v>
      </c>
      <c r="O128" s="37">
        <f t="shared" si="16"/>
        <v>0</v>
      </c>
      <c r="P128" s="37">
        <f t="shared" si="17"/>
        <v>3.3375634364996307E-3</v>
      </c>
      <c r="Q128" s="37">
        <f t="shared" si="18"/>
        <v>0</v>
      </c>
    </row>
    <row r="129" spans="1:17" x14ac:dyDescent="0.25">
      <c r="A129" s="38">
        <f>[1]Data!A132</f>
        <v>41334</v>
      </c>
      <c r="B129" s="39">
        <f>[1]Data!B132</f>
        <v>3.7267814819473839E-2</v>
      </c>
      <c r="C129" s="39">
        <f>[1]Data!C132</f>
        <v>3.1043190208220332E-2</v>
      </c>
      <c r="D129" s="40">
        <f>[1]Data!F132</f>
        <v>1.4853967495249289E-2</v>
      </c>
      <c r="E129" s="41">
        <f>[1]Data!G132</f>
        <v>4.4263857643941909E-3</v>
      </c>
      <c r="F129" s="40">
        <f>[1]Data!H132</f>
        <v>2.0693186775401946E-2</v>
      </c>
      <c r="G129" s="41">
        <f>[1]Data!I132</f>
        <v>-1.9606992574929406E-2</v>
      </c>
      <c r="H129" s="42">
        <f t="shared" si="10"/>
        <v>-1</v>
      </c>
      <c r="I129" s="43">
        <f t="shared" si="19"/>
        <v>1</v>
      </c>
      <c r="J129" s="37">
        <f t="shared" si="11"/>
        <v>0</v>
      </c>
      <c r="K129" s="37">
        <f t="shared" si="12"/>
        <v>-1.4853967495249289E-2</v>
      </c>
      <c r="L129" s="37">
        <f t="shared" si="13"/>
        <v>0</v>
      </c>
      <c r="M129" s="37">
        <f t="shared" si="14"/>
        <v>4.4263857643941909E-3</v>
      </c>
      <c r="N129" s="37">
        <f t="shared" si="15"/>
        <v>2.0693186775401946E-2</v>
      </c>
      <c r="O129" s="37">
        <f t="shared" si="16"/>
        <v>0</v>
      </c>
      <c r="P129" s="37">
        <f t="shared" si="17"/>
        <v>1.9606992574929406E-2</v>
      </c>
      <c r="Q129" s="37">
        <f t="shared" si="18"/>
        <v>0</v>
      </c>
    </row>
    <row r="130" spans="1:17" x14ac:dyDescent="0.25">
      <c r="A130" s="38">
        <f>[1]Data!A133</f>
        <v>41365</v>
      </c>
      <c r="B130" s="39">
        <f>[1]Data!B133</f>
        <v>1.9030244935242618E-2</v>
      </c>
      <c r="C130" s="39">
        <f>[1]Data!C133</f>
        <v>-5.194430551878669E-2</v>
      </c>
      <c r="D130" s="40">
        <f>[1]Data!F133</f>
        <v>2.6654525547146174E-2</v>
      </c>
      <c r="E130" s="41">
        <f>[1]Data!G133</f>
        <v>1.4646363612147695E-3</v>
      </c>
      <c r="F130" s="40">
        <f>[1]Data!H133</f>
        <v>-9.6847429248380166E-3</v>
      </c>
      <c r="G130" s="41">
        <f>[1]Data!I133</f>
        <v>4.4238386904684776E-2</v>
      </c>
      <c r="H130" s="42">
        <f t="shared" ref="H130:H193" si="20">IF(C130&gt;0,-1,1)</f>
        <v>1</v>
      </c>
      <c r="I130" s="43">
        <f t="shared" si="19"/>
        <v>1</v>
      </c>
      <c r="J130" s="37">
        <f t="shared" ref="J130:J193" si="21">IF(H130=1,D130,0)</f>
        <v>2.6654525547146174E-2</v>
      </c>
      <c r="K130" s="37">
        <f t="shared" ref="K130:K193" si="22">IF(H130=-1,-D130,0)</f>
        <v>0</v>
      </c>
      <c r="L130" s="37">
        <f t="shared" ref="L130:L193" si="23">IF(H130=1,-E130,0)</f>
        <v>-1.4646363612147695E-3</v>
      </c>
      <c r="M130" s="37">
        <f t="shared" ref="M130:M193" si="24">IF(H130=-1,E130,0)</f>
        <v>0</v>
      </c>
      <c r="N130" s="37">
        <f t="shared" ref="N130:N193" si="25">IF(I130=1,F130,0)</f>
        <v>-9.6847429248380166E-3</v>
      </c>
      <c r="O130" s="37">
        <f t="shared" ref="O130:O193" si="26">IF(I130=-1,-F130,0)</f>
        <v>0</v>
      </c>
      <c r="P130" s="37">
        <f t="shared" ref="P130:P193" si="27">IF(I130=1,-G130,0)</f>
        <v>-4.4238386904684776E-2</v>
      </c>
      <c r="Q130" s="37">
        <f t="shared" ref="Q130:Q193" si="28">IF(I130=-1,G130,0)</f>
        <v>0</v>
      </c>
    </row>
    <row r="131" spans="1:17" x14ac:dyDescent="0.25">
      <c r="A131" s="38">
        <f>[1]Data!A134</f>
        <v>41395</v>
      </c>
      <c r="B131" s="39">
        <f>[1]Data!B134</f>
        <v>2.3335496472425946E-2</v>
      </c>
      <c r="C131" s="39">
        <f>[1]Data!C134</f>
        <v>8.6654437978827673E-2</v>
      </c>
      <c r="D131" s="40">
        <f>[1]Data!F134</f>
        <v>-2.2504156813585439E-2</v>
      </c>
      <c r="E131" s="41">
        <f>[1]Data!G134</f>
        <v>-2.9188843619167491E-2</v>
      </c>
      <c r="F131" s="40">
        <f>[1]Data!H134</f>
        <v>1.8121498020384631E-2</v>
      </c>
      <c r="G131" s="41">
        <f>[1]Data!I134</f>
        <v>-2.1317605440437412E-2</v>
      </c>
      <c r="H131" s="42">
        <f t="shared" si="20"/>
        <v>-1</v>
      </c>
      <c r="I131" s="43">
        <f t="shared" ref="I131:I194" si="29">IF(C130&gt;0,1,-1)</f>
        <v>-1</v>
      </c>
      <c r="J131" s="37">
        <f t="shared" si="21"/>
        <v>0</v>
      </c>
      <c r="K131" s="37">
        <f t="shared" si="22"/>
        <v>2.2504156813585439E-2</v>
      </c>
      <c r="L131" s="37">
        <f t="shared" si="23"/>
        <v>0</v>
      </c>
      <c r="M131" s="37">
        <f t="shared" si="24"/>
        <v>-2.9188843619167491E-2</v>
      </c>
      <c r="N131" s="37">
        <f t="shared" si="25"/>
        <v>0</v>
      </c>
      <c r="O131" s="37">
        <f t="shared" si="26"/>
        <v>-1.8121498020384631E-2</v>
      </c>
      <c r="P131" s="37">
        <f t="shared" si="27"/>
        <v>0</v>
      </c>
      <c r="Q131" s="37">
        <f t="shared" si="28"/>
        <v>-2.1317605440437412E-2</v>
      </c>
    </row>
    <row r="132" spans="1:17" x14ac:dyDescent="0.25">
      <c r="A132" s="38">
        <f>[1]Data!A135</f>
        <v>41426</v>
      </c>
      <c r="B132" s="39">
        <f>[1]Data!B135</f>
        <v>-1.3434459342048375E-2</v>
      </c>
      <c r="C132" s="39">
        <f>[1]Data!C135</f>
        <v>3.0018815692336921E-2</v>
      </c>
      <c r="D132" s="40">
        <f>[1]Data!F135</f>
        <v>8.4509075095197637E-3</v>
      </c>
      <c r="E132" s="41">
        <f>[1]Data!G135</f>
        <v>1.864379831240106E-2</v>
      </c>
      <c r="F132" s="40">
        <f>[1]Data!H135</f>
        <v>8.2257846729030561E-3</v>
      </c>
      <c r="G132" s="41">
        <f>[1]Data!I135</f>
        <v>-8.9288896184721283E-3</v>
      </c>
      <c r="H132" s="42">
        <f t="shared" si="20"/>
        <v>-1</v>
      </c>
      <c r="I132" s="43">
        <f t="shared" si="29"/>
        <v>1</v>
      </c>
      <c r="J132" s="37">
        <f t="shared" si="21"/>
        <v>0</v>
      </c>
      <c r="K132" s="37">
        <f t="shared" si="22"/>
        <v>-8.4509075095197637E-3</v>
      </c>
      <c r="L132" s="37">
        <f t="shared" si="23"/>
        <v>0</v>
      </c>
      <c r="M132" s="37">
        <f t="shared" si="24"/>
        <v>1.864379831240106E-2</v>
      </c>
      <c r="N132" s="37">
        <f t="shared" si="25"/>
        <v>8.2257846729030561E-3</v>
      </c>
      <c r="O132" s="37">
        <f t="shared" si="26"/>
        <v>0</v>
      </c>
      <c r="P132" s="37">
        <f t="shared" si="27"/>
        <v>8.9288896184721283E-3</v>
      </c>
      <c r="Q132" s="37">
        <f t="shared" si="28"/>
        <v>0</v>
      </c>
    </row>
    <row r="133" spans="1:17" x14ac:dyDescent="0.25">
      <c r="A133" s="38">
        <f>[1]Data!A136</f>
        <v>41456</v>
      </c>
      <c r="B133" s="39">
        <f>[1]Data!B136</f>
        <v>5.0386066825862129E-2</v>
      </c>
      <c r="C133" s="39">
        <f>[1]Data!C136</f>
        <v>6.2600037934992706E-2</v>
      </c>
      <c r="D133" s="40">
        <f>[1]Data!F136</f>
        <v>-4.6718772956767327E-3</v>
      </c>
      <c r="E133" s="41">
        <f>[1]Data!G136</f>
        <v>-1.5295859344960876E-2</v>
      </c>
      <c r="F133" s="40">
        <f>[1]Data!H136</f>
        <v>2.1766430283560859E-2</v>
      </c>
      <c r="G133" s="41">
        <f>[1]Data!I136</f>
        <v>-2.6652367865186946E-2</v>
      </c>
      <c r="H133" s="42">
        <f t="shared" si="20"/>
        <v>-1</v>
      </c>
      <c r="I133" s="43">
        <f t="shared" si="29"/>
        <v>1</v>
      </c>
      <c r="J133" s="37">
        <f t="shared" si="21"/>
        <v>0</v>
      </c>
      <c r="K133" s="37">
        <f t="shared" si="22"/>
        <v>4.6718772956767327E-3</v>
      </c>
      <c r="L133" s="37">
        <f t="shared" si="23"/>
        <v>0</v>
      </c>
      <c r="M133" s="37">
        <f t="shared" si="24"/>
        <v>-1.5295859344960876E-2</v>
      </c>
      <c r="N133" s="37">
        <f t="shared" si="25"/>
        <v>2.1766430283560859E-2</v>
      </c>
      <c r="O133" s="37">
        <f t="shared" si="26"/>
        <v>0</v>
      </c>
      <c r="P133" s="37">
        <f t="shared" si="27"/>
        <v>2.6652367865186946E-2</v>
      </c>
      <c r="Q133" s="37">
        <f t="shared" si="28"/>
        <v>0</v>
      </c>
    </row>
    <row r="134" spans="1:17" x14ac:dyDescent="0.25">
      <c r="A134" s="38">
        <f>[1]Data!A137</f>
        <v>41487</v>
      </c>
      <c r="B134" s="39">
        <f>[1]Data!B137</f>
        <v>-3.0451293131387565E-2</v>
      </c>
      <c r="C134" s="39">
        <f>[1]Data!C137</f>
        <v>2.5687274559438564E-2</v>
      </c>
      <c r="D134" s="40">
        <f>[1]Data!F137</f>
        <v>-5.5454360670213719E-3</v>
      </c>
      <c r="E134" s="41">
        <f>[1]Data!G137</f>
        <v>3.7098944833011585E-2</v>
      </c>
      <c r="F134" s="40">
        <f>[1]Data!H137</f>
        <v>2.7818948816240403E-3</v>
      </c>
      <c r="G134" s="41">
        <f>[1]Data!I137</f>
        <v>-5.8814672931020691E-3</v>
      </c>
      <c r="H134" s="42">
        <f t="shared" si="20"/>
        <v>-1</v>
      </c>
      <c r="I134" s="43">
        <f t="shared" si="29"/>
        <v>1</v>
      </c>
      <c r="J134" s="37">
        <f t="shared" si="21"/>
        <v>0</v>
      </c>
      <c r="K134" s="37">
        <f t="shared" si="22"/>
        <v>5.5454360670213719E-3</v>
      </c>
      <c r="L134" s="37">
        <f t="shared" si="23"/>
        <v>0</v>
      </c>
      <c r="M134" s="37">
        <f t="shared" si="24"/>
        <v>3.7098944833011585E-2</v>
      </c>
      <c r="N134" s="37">
        <f t="shared" si="25"/>
        <v>2.7818948816240403E-3</v>
      </c>
      <c r="O134" s="37">
        <f t="shared" si="26"/>
        <v>0</v>
      </c>
      <c r="P134" s="37">
        <f t="shared" si="27"/>
        <v>5.8814672931020691E-3</v>
      </c>
      <c r="Q134" s="37">
        <f t="shared" si="28"/>
        <v>0</v>
      </c>
    </row>
    <row r="135" spans="1:17" x14ac:dyDescent="0.25">
      <c r="A135" s="38">
        <f>[1]Data!A138</f>
        <v>41518</v>
      </c>
      <c r="B135" s="39">
        <f>[1]Data!B138</f>
        <v>3.1156271217842636E-2</v>
      </c>
      <c r="C135" s="39">
        <f>[1]Data!C138</f>
        <v>4.271853352354326E-2</v>
      </c>
      <c r="D135" s="40">
        <f>[1]Data!F138</f>
        <v>-1.1362589132228687E-2</v>
      </c>
      <c r="E135" s="41">
        <f>[1]Data!G138</f>
        <v>6.695969945125127E-3</v>
      </c>
      <c r="F135" s="40">
        <f>[1]Data!H138</f>
        <v>2.4029239055914524E-2</v>
      </c>
      <c r="G135" s="41">
        <f>[1]Data!I138</f>
        <v>-2.5010337846288627E-2</v>
      </c>
      <c r="H135" s="42">
        <f t="shared" si="20"/>
        <v>-1</v>
      </c>
      <c r="I135" s="43">
        <f t="shared" si="29"/>
        <v>1</v>
      </c>
      <c r="J135" s="37">
        <f t="shared" si="21"/>
        <v>0</v>
      </c>
      <c r="K135" s="37">
        <f t="shared" si="22"/>
        <v>1.1362589132228687E-2</v>
      </c>
      <c r="L135" s="37">
        <f t="shared" si="23"/>
        <v>0</v>
      </c>
      <c r="M135" s="37">
        <f t="shared" si="24"/>
        <v>6.695969945125127E-3</v>
      </c>
      <c r="N135" s="37">
        <f t="shared" si="25"/>
        <v>2.4029239055914524E-2</v>
      </c>
      <c r="O135" s="37">
        <f t="shared" si="26"/>
        <v>0</v>
      </c>
      <c r="P135" s="37">
        <f t="shared" si="27"/>
        <v>2.5010337846288627E-2</v>
      </c>
      <c r="Q135" s="37">
        <f t="shared" si="28"/>
        <v>0</v>
      </c>
    </row>
    <row r="136" spans="1:17" x14ac:dyDescent="0.25">
      <c r="A136" s="38">
        <f>[1]Data!A139</f>
        <v>41548</v>
      </c>
      <c r="B136" s="39">
        <f>[1]Data!B139</f>
        <v>4.5265907890214986E-2</v>
      </c>
      <c r="C136" s="39">
        <f>[1]Data!C139</f>
        <v>3.1895853535162097E-2</v>
      </c>
      <c r="D136" s="40">
        <f>[1]Data!F139</f>
        <v>7.9384439573847148E-3</v>
      </c>
      <c r="E136" s="41">
        <f>[1]Data!G139</f>
        <v>8.7705908782456151E-3</v>
      </c>
      <c r="F136" s="40">
        <f>[1]Data!H139</f>
        <v>-3.4585024641157359E-3</v>
      </c>
      <c r="G136" s="41">
        <f>[1]Data!I139</f>
        <v>1.6917837140625804E-4</v>
      </c>
      <c r="H136" s="42">
        <f t="shared" si="20"/>
        <v>-1</v>
      </c>
      <c r="I136" s="43">
        <f t="shared" si="29"/>
        <v>1</v>
      </c>
      <c r="J136" s="37">
        <f t="shared" si="21"/>
        <v>0</v>
      </c>
      <c r="K136" s="37">
        <f t="shared" si="22"/>
        <v>-7.9384439573847148E-3</v>
      </c>
      <c r="L136" s="37">
        <f t="shared" si="23"/>
        <v>0</v>
      </c>
      <c r="M136" s="37">
        <f t="shared" si="24"/>
        <v>8.7705908782456151E-3</v>
      </c>
      <c r="N136" s="37">
        <f t="shared" si="25"/>
        <v>-3.4585024641157359E-3</v>
      </c>
      <c r="O136" s="37">
        <f t="shared" si="26"/>
        <v>0</v>
      </c>
      <c r="P136" s="37">
        <f t="shared" si="27"/>
        <v>-1.6917837140625804E-4</v>
      </c>
      <c r="Q136" s="37">
        <f t="shared" si="28"/>
        <v>0</v>
      </c>
    </row>
    <row r="137" spans="1:17" x14ac:dyDescent="0.25">
      <c r="A137" s="38">
        <f>[1]Data!A140</f>
        <v>41579</v>
      </c>
      <c r="B137" s="39">
        <f>[1]Data!B140</f>
        <v>2.920710217632325E-2</v>
      </c>
      <c r="C137" s="39">
        <f>[1]Data!C140</f>
        <v>6.5036453962394089E-2</v>
      </c>
      <c r="D137" s="40">
        <f>[1]Data!F140</f>
        <v>6.0399916583899569E-3</v>
      </c>
      <c r="E137" s="41">
        <f>[1]Data!G140</f>
        <v>1.4464837081395749E-2</v>
      </c>
      <c r="F137" s="40">
        <f>[1]Data!H140</f>
        <v>-4.9038568950418963E-3</v>
      </c>
      <c r="G137" s="41">
        <f>[1]Data!I140</f>
        <v>-1.3050836595594313E-2</v>
      </c>
      <c r="H137" s="42">
        <f t="shared" si="20"/>
        <v>-1</v>
      </c>
      <c r="I137" s="43">
        <f t="shared" si="29"/>
        <v>1</v>
      </c>
      <c r="J137" s="37">
        <f t="shared" si="21"/>
        <v>0</v>
      </c>
      <c r="K137" s="37">
        <f t="shared" si="22"/>
        <v>-6.0399916583899569E-3</v>
      </c>
      <c r="L137" s="37">
        <f t="shared" si="23"/>
        <v>0</v>
      </c>
      <c r="M137" s="37">
        <f t="shared" si="24"/>
        <v>1.4464837081395749E-2</v>
      </c>
      <c r="N137" s="37">
        <f t="shared" si="25"/>
        <v>-4.9038568950418963E-3</v>
      </c>
      <c r="O137" s="37">
        <f t="shared" si="26"/>
        <v>0</v>
      </c>
      <c r="P137" s="37">
        <f t="shared" si="27"/>
        <v>1.3050836595594313E-2</v>
      </c>
      <c r="Q137" s="37">
        <f t="shared" si="28"/>
        <v>0</v>
      </c>
    </row>
    <row r="138" spans="1:17" x14ac:dyDescent="0.25">
      <c r="A138" s="38">
        <f>[1]Data!A141</f>
        <v>41609</v>
      </c>
      <c r="B138" s="39">
        <f>[1]Data!B141</f>
        <v>2.5596487779456702E-2</v>
      </c>
      <c r="C138" s="39">
        <f>[1]Data!C141</f>
        <v>7.4478869860950016E-3</v>
      </c>
      <c r="D138" s="40">
        <f>[1]Data!F141</f>
        <v>1.7092852679268359E-2</v>
      </c>
      <c r="E138" s="41">
        <f>[1]Data!G141</f>
        <v>-1.9929216336758784E-2</v>
      </c>
      <c r="F138" s="40">
        <f>[1]Data!H141</f>
        <v>-3.3168428079503876E-4</v>
      </c>
      <c r="G138" s="41">
        <f>[1]Data!I141</f>
        <v>-1.1783673687023415E-2</v>
      </c>
      <c r="H138" s="42">
        <f t="shared" si="20"/>
        <v>-1</v>
      </c>
      <c r="I138" s="43">
        <f t="shared" si="29"/>
        <v>1</v>
      </c>
      <c r="J138" s="37">
        <f t="shared" si="21"/>
        <v>0</v>
      </c>
      <c r="K138" s="37">
        <f t="shared" si="22"/>
        <v>-1.7092852679268359E-2</v>
      </c>
      <c r="L138" s="37">
        <f t="shared" si="23"/>
        <v>0</v>
      </c>
      <c r="M138" s="37">
        <f t="shared" si="24"/>
        <v>-1.9929216336758784E-2</v>
      </c>
      <c r="N138" s="37">
        <f t="shared" si="25"/>
        <v>-3.3168428079503876E-4</v>
      </c>
      <c r="O138" s="37">
        <f t="shared" si="26"/>
        <v>0</v>
      </c>
      <c r="P138" s="37">
        <f t="shared" si="27"/>
        <v>1.1783673687023415E-2</v>
      </c>
      <c r="Q138" s="37">
        <f t="shared" si="28"/>
        <v>0</v>
      </c>
    </row>
    <row r="139" spans="1:17" x14ac:dyDescent="0.25">
      <c r="A139" s="38">
        <f>[1]Data!A142</f>
        <v>41640</v>
      </c>
      <c r="B139" s="39">
        <f>[1]Data!B142</f>
        <v>-3.5884832374277587E-2</v>
      </c>
      <c r="C139" s="39">
        <f>[1]Data!C142</f>
        <v>-5.7606663173614812E-2</v>
      </c>
      <c r="D139" s="40">
        <f>[1]Data!F142</f>
        <v>-2.5543672746040948E-2</v>
      </c>
      <c r="E139" s="41">
        <f>[1]Data!G142</f>
        <v>1.3855692819023779E-2</v>
      </c>
      <c r="F139" s="40">
        <f>[1]Data!H142</f>
        <v>-6.3551146934423533E-3</v>
      </c>
      <c r="G139" s="41">
        <f>[1]Data!I142</f>
        <v>7.0442276873245637E-3</v>
      </c>
      <c r="H139" s="42">
        <f t="shared" si="20"/>
        <v>1</v>
      </c>
      <c r="I139" s="43">
        <f t="shared" si="29"/>
        <v>1</v>
      </c>
      <c r="J139" s="37">
        <f t="shared" si="21"/>
        <v>-2.5543672746040948E-2</v>
      </c>
      <c r="K139" s="37">
        <f t="shared" si="22"/>
        <v>0</v>
      </c>
      <c r="L139" s="37">
        <f t="shared" si="23"/>
        <v>-1.3855692819023779E-2</v>
      </c>
      <c r="M139" s="37">
        <f t="shared" si="24"/>
        <v>0</v>
      </c>
      <c r="N139" s="37">
        <f t="shared" si="25"/>
        <v>-6.3551146934423533E-3</v>
      </c>
      <c r="O139" s="37">
        <f t="shared" si="26"/>
        <v>0</v>
      </c>
      <c r="P139" s="37">
        <f t="shared" si="27"/>
        <v>-7.0442276873245637E-3</v>
      </c>
      <c r="Q139" s="37">
        <f t="shared" si="28"/>
        <v>0</v>
      </c>
    </row>
    <row r="140" spans="1:17" x14ac:dyDescent="0.25">
      <c r="A140" s="38">
        <f>[1]Data!A143</f>
        <v>41671</v>
      </c>
      <c r="B140" s="39">
        <f>[1]Data!B143</f>
        <v>4.4510681913880017E-2</v>
      </c>
      <c r="C140" s="39">
        <f>[1]Data!C143</f>
        <v>5.2038071955602172E-2</v>
      </c>
      <c r="D140" s="40">
        <f>[1]Data!F143</f>
        <v>7.43543068712804E-3</v>
      </c>
      <c r="E140" s="41">
        <f>[1]Data!G143</f>
        <v>2.0189452425049874E-2</v>
      </c>
      <c r="F140" s="40">
        <f>[1]Data!H143</f>
        <v>8.3832583804043254E-3</v>
      </c>
      <c r="G140" s="41">
        <f>[1]Data!I143</f>
        <v>-1.1303611344157445E-2</v>
      </c>
      <c r="H140" s="42">
        <f t="shared" si="20"/>
        <v>-1</v>
      </c>
      <c r="I140" s="43">
        <f t="shared" si="29"/>
        <v>-1</v>
      </c>
      <c r="J140" s="37">
        <f t="shared" si="21"/>
        <v>0</v>
      </c>
      <c r="K140" s="37">
        <f t="shared" si="22"/>
        <v>-7.43543068712804E-3</v>
      </c>
      <c r="L140" s="37">
        <f t="shared" si="23"/>
        <v>0</v>
      </c>
      <c r="M140" s="37">
        <f t="shared" si="24"/>
        <v>2.0189452425049874E-2</v>
      </c>
      <c r="N140" s="37">
        <f t="shared" si="25"/>
        <v>0</v>
      </c>
      <c r="O140" s="37">
        <f t="shared" si="26"/>
        <v>-8.3832583804043254E-3</v>
      </c>
      <c r="P140" s="37">
        <f t="shared" si="27"/>
        <v>0</v>
      </c>
      <c r="Q140" s="37">
        <f t="shared" si="28"/>
        <v>-1.1303611344157445E-2</v>
      </c>
    </row>
    <row r="141" spans="1:17" x14ac:dyDescent="0.25">
      <c r="A141" s="38">
        <f>[1]Data!A144</f>
        <v>41699</v>
      </c>
      <c r="B141" s="39">
        <f>[1]Data!B144</f>
        <v>8.261260744244877E-3</v>
      </c>
      <c r="C141" s="39">
        <f>[1]Data!C144</f>
        <v>4.6308562504127123E-3</v>
      </c>
      <c r="D141" s="40">
        <f>[1]Data!F144</f>
        <v>4.3409963714916332E-3</v>
      </c>
      <c r="E141" s="41">
        <f>[1]Data!G144</f>
        <v>8.0059352866194301E-3</v>
      </c>
      <c r="F141" s="40">
        <f>[1]Data!H144</f>
        <v>1.0519160187812208E-2</v>
      </c>
      <c r="G141" s="41">
        <f>[1]Data!I144</f>
        <v>-2.2569149314126617E-2</v>
      </c>
      <c r="H141" s="42">
        <f t="shared" si="20"/>
        <v>-1</v>
      </c>
      <c r="I141" s="43">
        <f t="shared" si="29"/>
        <v>1</v>
      </c>
      <c r="J141" s="37">
        <f t="shared" si="21"/>
        <v>0</v>
      </c>
      <c r="K141" s="37">
        <f t="shared" si="22"/>
        <v>-4.3409963714916332E-3</v>
      </c>
      <c r="L141" s="37">
        <f t="shared" si="23"/>
        <v>0</v>
      </c>
      <c r="M141" s="37">
        <f t="shared" si="24"/>
        <v>8.0059352866194301E-3</v>
      </c>
      <c r="N141" s="37">
        <f t="shared" si="25"/>
        <v>1.0519160187812208E-2</v>
      </c>
      <c r="O141" s="37">
        <f t="shared" si="26"/>
        <v>0</v>
      </c>
      <c r="P141" s="37">
        <f t="shared" si="27"/>
        <v>2.2569149314126617E-2</v>
      </c>
      <c r="Q141" s="37">
        <f t="shared" si="28"/>
        <v>0</v>
      </c>
    </row>
    <row r="142" spans="1:17" x14ac:dyDescent="0.25">
      <c r="A142" s="38">
        <f>[1]Data!A145</f>
        <v>41730</v>
      </c>
      <c r="B142" s="39">
        <f>[1]Data!B145</f>
        <v>6.9271787675743383E-3</v>
      </c>
      <c r="C142" s="39">
        <f>[1]Data!C145</f>
        <v>-9.0872182205124809E-3</v>
      </c>
      <c r="D142" s="40">
        <f>[1]Data!F145</f>
        <v>2.2328598019322244E-3</v>
      </c>
      <c r="E142" s="41">
        <f>[1]Data!G145</f>
        <v>6.95412991192133E-3</v>
      </c>
      <c r="F142" s="40">
        <f>[1]Data!H145</f>
        <v>-1.438041450549481E-2</v>
      </c>
      <c r="G142" s="41">
        <f>[1]Data!I145</f>
        <v>2.6613784614609092E-3</v>
      </c>
      <c r="H142" s="42">
        <f t="shared" si="20"/>
        <v>1</v>
      </c>
      <c r="I142" s="43">
        <f t="shared" si="29"/>
        <v>1</v>
      </c>
      <c r="J142" s="37">
        <f t="shared" si="21"/>
        <v>2.2328598019322244E-3</v>
      </c>
      <c r="K142" s="37">
        <f t="shared" si="22"/>
        <v>0</v>
      </c>
      <c r="L142" s="37">
        <f t="shared" si="23"/>
        <v>-6.95412991192133E-3</v>
      </c>
      <c r="M142" s="37">
        <f t="shared" si="24"/>
        <v>0</v>
      </c>
      <c r="N142" s="37">
        <f t="shared" si="25"/>
        <v>-1.438041450549481E-2</v>
      </c>
      <c r="O142" s="37">
        <f t="shared" si="26"/>
        <v>0</v>
      </c>
      <c r="P142" s="37">
        <f t="shared" si="27"/>
        <v>-2.6613784614609092E-3</v>
      </c>
      <c r="Q142" s="37">
        <f t="shared" si="28"/>
        <v>0</v>
      </c>
    </row>
    <row r="143" spans="1:17" x14ac:dyDescent="0.25">
      <c r="A143" s="38">
        <f>[1]Data!A146</f>
        <v>41760</v>
      </c>
      <c r="B143" s="39">
        <f>[1]Data!B146</f>
        <v>2.2940834571251054E-2</v>
      </c>
      <c r="C143" s="39">
        <f>[1]Data!C146</f>
        <v>-8.4663293622192735E-3</v>
      </c>
      <c r="D143" s="40">
        <f>[1]Data!F146</f>
        <v>1.8595814523711462E-2</v>
      </c>
      <c r="E143" s="41">
        <f>[1]Data!G146</f>
        <v>1.6257243407320737E-2</v>
      </c>
      <c r="F143" s="40">
        <f>[1]Data!H146</f>
        <v>-2.2860627922248302E-3</v>
      </c>
      <c r="G143" s="41">
        <f>[1]Data!I146</f>
        <v>1.1206014391874592E-2</v>
      </c>
      <c r="H143" s="42">
        <f t="shared" si="20"/>
        <v>1</v>
      </c>
      <c r="I143" s="43">
        <f t="shared" si="29"/>
        <v>-1</v>
      </c>
      <c r="J143" s="37">
        <f t="shared" si="21"/>
        <v>1.8595814523711462E-2</v>
      </c>
      <c r="K143" s="37">
        <f t="shared" si="22"/>
        <v>0</v>
      </c>
      <c r="L143" s="37">
        <f t="shared" si="23"/>
        <v>-1.6257243407320737E-2</v>
      </c>
      <c r="M143" s="37">
        <f t="shared" si="24"/>
        <v>0</v>
      </c>
      <c r="N143" s="37">
        <f t="shared" si="25"/>
        <v>0</v>
      </c>
      <c r="O143" s="37">
        <f t="shared" si="26"/>
        <v>2.2860627922248302E-3</v>
      </c>
      <c r="P143" s="37">
        <f t="shared" si="27"/>
        <v>0</v>
      </c>
      <c r="Q143" s="37">
        <f t="shared" si="28"/>
        <v>1.1206014391874592E-2</v>
      </c>
    </row>
    <row r="144" spans="1:17" x14ac:dyDescent="0.25">
      <c r="A144" s="38">
        <f>[1]Data!A147</f>
        <v>41791</v>
      </c>
      <c r="B144" s="39">
        <f>[1]Data!B147</f>
        <v>2.043521183378955E-2</v>
      </c>
      <c r="C144" s="39">
        <f>[1]Data!C147</f>
        <v>3.9341876036557089E-2</v>
      </c>
      <c r="D144" s="40">
        <f>[1]Data!F147</f>
        <v>-1.1232785605316427E-3</v>
      </c>
      <c r="E144" s="41">
        <f>[1]Data!G147</f>
        <v>1.5267166968324891E-2</v>
      </c>
      <c r="F144" s="40">
        <f>[1]Data!H147</f>
        <v>1.3916117027030609E-2</v>
      </c>
      <c r="G144" s="41">
        <f>[1]Data!I147</f>
        <v>-1.9664099111772634E-2</v>
      </c>
      <c r="H144" s="42">
        <f t="shared" si="20"/>
        <v>-1</v>
      </c>
      <c r="I144" s="43">
        <f t="shared" si="29"/>
        <v>-1</v>
      </c>
      <c r="J144" s="37">
        <f t="shared" si="21"/>
        <v>0</v>
      </c>
      <c r="K144" s="37">
        <f t="shared" si="22"/>
        <v>1.1232785605316427E-3</v>
      </c>
      <c r="L144" s="37">
        <f t="shared" si="23"/>
        <v>0</v>
      </c>
      <c r="M144" s="37">
        <f t="shared" si="24"/>
        <v>1.5267166968324891E-2</v>
      </c>
      <c r="N144" s="37">
        <f t="shared" si="25"/>
        <v>0</v>
      </c>
      <c r="O144" s="37">
        <f t="shared" si="26"/>
        <v>-1.3916117027030609E-2</v>
      </c>
      <c r="P144" s="37">
        <f t="shared" si="27"/>
        <v>0</v>
      </c>
      <c r="Q144" s="37">
        <f t="shared" si="28"/>
        <v>-1.9664099111772634E-2</v>
      </c>
    </row>
    <row r="145" spans="1:17" x14ac:dyDescent="0.25">
      <c r="A145" s="38">
        <f>[1]Data!A148</f>
        <v>41821</v>
      </c>
      <c r="B145" s="39">
        <f>[1]Data!B148</f>
        <v>-1.3528792451361432E-2</v>
      </c>
      <c r="C145" s="39">
        <f>[1]Data!C148</f>
        <v>-5.8028469728762938E-3</v>
      </c>
      <c r="D145" s="40">
        <f>[1]Data!F148</f>
        <v>-2.6120281980454192E-2</v>
      </c>
      <c r="E145" s="41">
        <f>[1]Data!G148</f>
        <v>-1.1774896057303023E-2</v>
      </c>
      <c r="F145" s="40">
        <f>[1]Data!H148</f>
        <v>2.6530085799202916E-3</v>
      </c>
      <c r="G145" s="41">
        <f>[1]Data!I148</f>
        <v>-4.3185877921053002E-3</v>
      </c>
      <c r="H145" s="42">
        <f t="shared" si="20"/>
        <v>1</v>
      </c>
      <c r="I145" s="43">
        <f t="shared" si="29"/>
        <v>1</v>
      </c>
      <c r="J145" s="37">
        <f t="shared" si="21"/>
        <v>-2.6120281980454192E-2</v>
      </c>
      <c r="K145" s="37">
        <f t="shared" si="22"/>
        <v>0</v>
      </c>
      <c r="L145" s="37">
        <f t="shared" si="23"/>
        <v>1.1774896057303023E-2</v>
      </c>
      <c r="M145" s="37">
        <f t="shared" si="24"/>
        <v>0</v>
      </c>
      <c r="N145" s="37">
        <f t="shared" si="25"/>
        <v>2.6530085799202916E-3</v>
      </c>
      <c r="O145" s="37">
        <f t="shared" si="26"/>
        <v>0</v>
      </c>
      <c r="P145" s="37">
        <f t="shared" si="27"/>
        <v>4.3185877921053002E-3</v>
      </c>
      <c r="Q145" s="37">
        <f t="shared" si="28"/>
        <v>0</v>
      </c>
    </row>
    <row r="146" spans="1:17" x14ac:dyDescent="0.25">
      <c r="A146" s="38">
        <f>[1]Data!A149</f>
        <v>41852</v>
      </c>
      <c r="B146" s="39">
        <f>[1]Data!B149</f>
        <v>3.8704364068411844E-2</v>
      </c>
      <c r="C146" s="39">
        <f>[1]Data!C149</f>
        <v>6.9526367160309653E-3</v>
      </c>
      <c r="D146" s="40">
        <f>[1]Data!F149</f>
        <v>6.0468037390451366E-3</v>
      </c>
      <c r="E146" s="41">
        <f>[1]Data!G149</f>
        <v>2.0451193254643462E-2</v>
      </c>
      <c r="F146" s="40">
        <f>[1]Data!H149</f>
        <v>-1.0726187139792566E-2</v>
      </c>
      <c r="G146" s="41">
        <f>[1]Data!I149</f>
        <v>1.8217794169746691E-2</v>
      </c>
      <c r="H146" s="42">
        <f t="shared" si="20"/>
        <v>-1</v>
      </c>
      <c r="I146" s="43">
        <f t="shared" si="29"/>
        <v>-1</v>
      </c>
      <c r="J146" s="37">
        <f t="shared" si="21"/>
        <v>0</v>
      </c>
      <c r="K146" s="37">
        <f t="shared" si="22"/>
        <v>-6.0468037390451366E-3</v>
      </c>
      <c r="L146" s="37">
        <f t="shared" si="23"/>
        <v>0</v>
      </c>
      <c r="M146" s="37">
        <f t="shared" si="24"/>
        <v>2.0451193254643462E-2</v>
      </c>
      <c r="N146" s="37">
        <f t="shared" si="25"/>
        <v>0</v>
      </c>
      <c r="O146" s="37">
        <f t="shared" si="26"/>
        <v>1.0726187139792566E-2</v>
      </c>
      <c r="P146" s="37">
        <f t="shared" si="27"/>
        <v>0</v>
      </c>
      <c r="Q146" s="37">
        <f t="shared" si="28"/>
        <v>1.8217794169746691E-2</v>
      </c>
    </row>
    <row r="147" spans="1:17" x14ac:dyDescent="0.25">
      <c r="A147" s="38">
        <f>[1]Data!A150</f>
        <v>41883</v>
      </c>
      <c r="B147" s="39">
        <f>[1]Data!B150</f>
        <v>-1.3891926239782942E-2</v>
      </c>
      <c r="C147" s="39">
        <f>[1]Data!C150</f>
        <v>3.1456303691018588E-2</v>
      </c>
      <c r="D147" s="40">
        <f>[1]Data!F150</f>
        <v>-1.0752948847443551E-2</v>
      </c>
      <c r="E147" s="41">
        <f>[1]Data!G150</f>
        <v>1.3245867480256876E-2</v>
      </c>
      <c r="F147" s="40">
        <f>[1]Data!H150</f>
        <v>-5.9782044308948935E-4</v>
      </c>
      <c r="G147" s="41">
        <f>[1]Data!I150</f>
        <v>-2.5572545522358669E-2</v>
      </c>
      <c r="H147" s="42">
        <f t="shared" si="20"/>
        <v>-1</v>
      </c>
      <c r="I147" s="43">
        <f t="shared" si="29"/>
        <v>1</v>
      </c>
      <c r="J147" s="37">
        <f t="shared" si="21"/>
        <v>0</v>
      </c>
      <c r="K147" s="37">
        <f t="shared" si="22"/>
        <v>1.0752948847443551E-2</v>
      </c>
      <c r="L147" s="37">
        <f t="shared" si="23"/>
        <v>0</v>
      </c>
      <c r="M147" s="37">
        <f t="shared" si="24"/>
        <v>1.3245867480256876E-2</v>
      </c>
      <c r="N147" s="37">
        <f t="shared" si="25"/>
        <v>-5.9782044308948935E-4</v>
      </c>
      <c r="O147" s="37">
        <f t="shared" si="26"/>
        <v>0</v>
      </c>
      <c r="P147" s="37">
        <f t="shared" si="27"/>
        <v>2.5572545522358669E-2</v>
      </c>
      <c r="Q147" s="37">
        <f t="shared" si="28"/>
        <v>0</v>
      </c>
    </row>
    <row r="148" spans="1:17" x14ac:dyDescent="0.25">
      <c r="A148" s="38">
        <f>[1]Data!A151</f>
        <v>41913</v>
      </c>
      <c r="B148" s="39">
        <f>[1]Data!B151</f>
        <v>2.3277772503548649E-2</v>
      </c>
      <c r="C148" s="39">
        <f>[1]Data!C151</f>
        <v>-5.3641503951176707E-2</v>
      </c>
      <c r="D148" s="40">
        <f>[1]Data!F151</f>
        <v>3.8364168342994921E-2</v>
      </c>
      <c r="E148" s="41">
        <f>[1]Data!G151</f>
        <v>-1.0759754881652915E-2</v>
      </c>
      <c r="F148" s="40">
        <f>[1]Data!H151</f>
        <v>-1.9269004824749494E-2</v>
      </c>
      <c r="G148" s="41">
        <f>[1]Data!I151</f>
        <v>2.8717355282347038E-2</v>
      </c>
      <c r="H148" s="42">
        <f t="shared" si="20"/>
        <v>1</v>
      </c>
      <c r="I148" s="43">
        <f t="shared" si="29"/>
        <v>1</v>
      </c>
      <c r="J148" s="37">
        <f t="shared" si="21"/>
        <v>3.8364168342994921E-2</v>
      </c>
      <c r="K148" s="37">
        <f t="shared" si="22"/>
        <v>0</v>
      </c>
      <c r="L148" s="37">
        <f t="shared" si="23"/>
        <v>1.0759754881652915E-2</v>
      </c>
      <c r="M148" s="37">
        <f t="shared" si="24"/>
        <v>0</v>
      </c>
      <c r="N148" s="37">
        <f t="shared" si="25"/>
        <v>-1.9269004824749494E-2</v>
      </c>
      <c r="O148" s="37">
        <f t="shared" si="26"/>
        <v>0</v>
      </c>
      <c r="P148" s="37">
        <f t="shared" si="27"/>
        <v>-2.8717355282347038E-2</v>
      </c>
      <c r="Q148" s="37">
        <f t="shared" si="28"/>
        <v>0</v>
      </c>
    </row>
    <row r="149" spans="1:17" x14ac:dyDescent="0.25">
      <c r="A149" s="38">
        <f>[1]Data!A152</f>
        <v>41944</v>
      </c>
      <c r="B149" s="39">
        <f>[1]Data!B152</f>
        <v>2.7101695451126152E-2</v>
      </c>
      <c r="C149" s="39">
        <f>[1]Data!C152</f>
        <v>1.5051388749237574E-2</v>
      </c>
      <c r="D149" s="40">
        <f>[1]Data!F152</f>
        <v>2.5129710988590682E-3</v>
      </c>
      <c r="E149" s="41">
        <f>[1]Data!G152</f>
        <v>1.9705352742763683E-2</v>
      </c>
      <c r="F149" s="40">
        <f>[1]Data!H152</f>
        <v>8.2962181322684646E-3</v>
      </c>
      <c r="G149" s="41">
        <f>[1]Data!I152</f>
        <v>6.6192653478077254E-3</v>
      </c>
      <c r="H149" s="42">
        <f t="shared" si="20"/>
        <v>-1</v>
      </c>
      <c r="I149" s="43">
        <f t="shared" si="29"/>
        <v>-1</v>
      </c>
      <c r="J149" s="37">
        <f t="shared" si="21"/>
        <v>0</v>
      </c>
      <c r="K149" s="37">
        <f t="shared" si="22"/>
        <v>-2.5129710988590682E-3</v>
      </c>
      <c r="L149" s="37">
        <f t="shared" si="23"/>
        <v>0</v>
      </c>
      <c r="M149" s="37">
        <f t="shared" si="24"/>
        <v>1.9705352742763683E-2</v>
      </c>
      <c r="N149" s="37">
        <f t="shared" si="25"/>
        <v>0</v>
      </c>
      <c r="O149" s="37">
        <f t="shared" si="26"/>
        <v>-8.2962181322684646E-3</v>
      </c>
      <c r="P149" s="37">
        <f t="shared" si="27"/>
        <v>0</v>
      </c>
      <c r="Q149" s="37">
        <f t="shared" si="28"/>
        <v>6.6192653478077254E-3</v>
      </c>
    </row>
    <row r="150" spans="1:17" x14ac:dyDescent="0.25">
      <c r="A150" s="38">
        <f>[1]Data!A153</f>
        <v>41974</v>
      </c>
      <c r="B150" s="39">
        <f>[1]Data!B153</f>
        <v>-2.5400820762295131E-3</v>
      </c>
      <c r="C150" s="39">
        <f>[1]Data!C153</f>
        <v>-2.7266995987417945E-2</v>
      </c>
      <c r="D150" s="40">
        <f>[1]Data!F153</f>
        <v>-4.7567984747656725E-3</v>
      </c>
      <c r="E150" s="41">
        <f>[1]Data!G153</f>
        <v>2.5119777857141711E-3</v>
      </c>
      <c r="F150" s="40">
        <f>[1]Data!H153</f>
        <v>3.8531815807434262E-3</v>
      </c>
      <c r="G150" s="41">
        <f>[1]Data!I153</f>
        <v>-9.2316654151431577E-3</v>
      </c>
      <c r="H150" s="42">
        <f t="shared" si="20"/>
        <v>1</v>
      </c>
      <c r="I150" s="43">
        <f t="shared" si="29"/>
        <v>1</v>
      </c>
      <c r="J150" s="37">
        <f t="shared" si="21"/>
        <v>-4.7567984747656725E-3</v>
      </c>
      <c r="K150" s="37">
        <f t="shared" si="22"/>
        <v>0</v>
      </c>
      <c r="L150" s="37">
        <f t="shared" si="23"/>
        <v>-2.5119777857141711E-3</v>
      </c>
      <c r="M150" s="37">
        <f t="shared" si="24"/>
        <v>0</v>
      </c>
      <c r="N150" s="37">
        <f t="shared" si="25"/>
        <v>3.8531815807434262E-3</v>
      </c>
      <c r="O150" s="37">
        <f t="shared" si="26"/>
        <v>0</v>
      </c>
      <c r="P150" s="37">
        <f t="shared" si="27"/>
        <v>9.2316654151431577E-3</v>
      </c>
      <c r="Q150" s="37">
        <f t="shared" si="28"/>
        <v>0</v>
      </c>
    </row>
    <row r="151" spans="1:17" x14ac:dyDescent="0.25">
      <c r="A151" s="38">
        <f>[1]Data!A154</f>
        <v>42005</v>
      </c>
      <c r="B151" s="39">
        <f>[1]Data!B154</f>
        <v>-3.0077138355879652E-2</v>
      </c>
      <c r="C151" s="39">
        <f>[1]Data!C154</f>
        <v>-7.0699789050467129E-2</v>
      </c>
      <c r="D151" s="40">
        <f>[1]Data!F154</f>
        <v>-2.7300373913802391E-2</v>
      </c>
      <c r="E151" s="41">
        <f>[1]Data!G154</f>
        <v>2.5711127852013214E-2</v>
      </c>
      <c r="F151" s="40">
        <f>[1]Data!H154</f>
        <v>1.7496835100417746E-3</v>
      </c>
      <c r="G151" s="41">
        <f>[1]Data!I154</f>
        <v>2.9191989193135804E-2</v>
      </c>
      <c r="H151" s="42">
        <f t="shared" si="20"/>
        <v>1</v>
      </c>
      <c r="I151" s="43">
        <f t="shared" si="29"/>
        <v>-1</v>
      </c>
      <c r="J151" s="37">
        <f t="shared" si="21"/>
        <v>-2.7300373913802391E-2</v>
      </c>
      <c r="K151" s="37">
        <f t="shared" si="22"/>
        <v>0</v>
      </c>
      <c r="L151" s="37">
        <f t="shared" si="23"/>
        <v>-2.5711127852013214E-2</v>
      </c>
      <c r="M151" s="37">
        <f t="shared" si="24"/>
        <v>0</v>
      </c>
      <c r="N151" s="37">
        <f t="shared" si="25"/>
        <v>0</v>
      </c>
      <c r="O151" s="37">
        <f t="shared" si="26"/>
        <v>-1.7496835100417746E-3</v>
      </c>
      <c r="P151" s="37">
        <f t="shared" si="27"/>
        <v>0</v>
      </c>
      <c r="Q151" s="37">
        <f t="shared" si="28"/>
        <v>2.9191989193135804E-2</v>
      </c>
    </row>
    <row r="152" spans="1:17" x14ac:dyDescent="0.25">
      <c r="A152" s="38">
        <f>[1]Data!A155</f>
        <v>42036</v>
      </c>
      <c r="B152" s="39">
        <f>[1]Data!B155</f>
        <v>5.4682108409737744E-2</v>
      </c>
      <c r="C152" s="39">
        <f>[1]Data!C155</f>
        <v>0.13259843447997532</v>
      </c>
      <c r="D152" s="40">
        <f>[1]Data!F155</f>
        <v>-2.6072343328967431E-3</v>
      </c>
      <c r="E152" s="41">
        <f>[1]Data!G155</f>
        <v>1.1961143697534623E-2</v>
      </c>
      <c r="F152" s="40">
        <f>[1]Data!H155</f>
        <v>3.012602647126322E-2</v>
      </c>
      <c r="G152" s="41">
        <f>[1]Data!I155</f>
        <v>-5.2368750151624968E-2</v>
      </c>
      <c r="H152" s="42">
        <f t="shared" si="20"/>
        <v>-1</v>
      </c>
      <c r="I152" s="43">
        <f t="shared" si="29"/>
        <v>-1</v>
      </c>
      <c r="J152" s="37">
        <f t="shared" si="21"/>
        <v>0</v>
      </c>
      <c r="K152" s="37">
        <f t="shared" si="22"/>
        <v>2.6072343328967431E-3</v>
      </c>
      <c r="L152" s="37">
        <f t="shared" si="23"/>
        <v>0</v>
      </c>
      <c r="M152" s="37">
        <f t="shared" si="24"/>
        <v>1.1961143697534623E-2</v>
      </c>
      <c r="N152" s="37">
        <f t="shared" si="25"/>
        <v>0</v>
      </c>
      <c r="O152" s="37">
        <f t="shared" si="26"/>
        <v>-3.012602647126322E-2</v>
      </c>
      <c r="P152" s="37">
        <f t="shared" si="27"/>
        <v>0</v>
      </c>
      <c r="Q152" s="37">
        <f t="shared" si="28"/>
        <v>-5.2368750151624968E-2</v>
      </c>
    </row>
    <row r="153" spans="1:17" x14ac:dyDescent="0.25">
      <c r="A153" s="38">
        <f>[1]Data!A156</f>
        <v>42064</v>
      </c>
      <c r="B153" s="39">
        <f>[1]Data!B156</f>
        <v>-1.5830436461085864E-2</v>
      </c>
      <c r="C153" s="39">
        <f>[1]Data!C156</f>
        <v>-1.3851110603715921E-2</v>
      </c>
      <c r="D153" s="40">
        <f>[1]Data!F156</f>
        <v>-1.9096523008057423E-2</v>
      </c>
      <c r="E153" s="41">
        <f>[1]Data!G156</f>
        <v>-6.2547408141788701E-3</v>
      </c>
      <c r="F153" s="40">
        <f>[1]Data!H156</f>
        <v>-1.5114157304979031E-2</v>
      </c>
      <c r="G153" s="41">
        <f>[1]Data!I156</f>
        <v>-4.5724602445418344E-2</v>
      </c>
      <c r="H153" s="42">
        <f t="shared" si="20"/>
        <v>1</v>
      </c>
      <c r="I153" s="43">
        <f t="shared" si="29"/>
        <v>1</v>
      </c>
      <c r="J153" s="37">
        <f t="shared" si="21"/>
        <v>-1.9096523008057423E-2</v>
      </c>
      <c r="K153" s="37">
        <f t="shared" si="22"/>
        <v>0</v>
      </c>
      <c r="L153" s="37">
        <f t="shared" si="23"/>
        <v>6.2547408141788701E-3</v>
      </c>
      <c r="M153" s="37">
        <f t="shared" si="24"/>
        <v>0</v>
      </c>
      <c r="N153" s="37">
        <f t="shared" si="25"/>
        <v>-1.5114157304979031E-2</v>
      </c>
      <c r="O153" s="37">
        <f t="shared" si="26"/>
        <v>0</v>
      </c>
      <c r="P153" s="37">
        <f t="shared" si="27"/>
        <v>4.5724602445418344E-2</v>
      </c>
      <c r="Q153" s="37">
        <f t="shared" si="28"/>
        <v>0</v>
      </c>
    </row>
    <row r="154" spans="1:17" x14ac:dyDescent="0.25">
      <c r="A154" s="38">
        <f>[1]Data!A157</f>
        <v>42095</v>
      </c>
      <c r="B154" s="39">
        <f>[1]Data!B157</f>
        <v>9.7858249923448888E-3</v>
      </c>
      <c r="C154" s="39">
        <f>[1]Data!C157</f>
        <v>4.1038420983999575E-2</v>
      </c>
      <c r="D154" s="40">
        <f>[1]Data!F157</f>
        <v>-1.0355893863015015E-2</v>
      </c>
      <c r="E154" s="41">
        <f>[1]Data!G157</f>
        <v>-1.3955240408851044E-2</v>
      </c>
      <c r="F154" s="40">
        <f>[1]Data!H157</f>
        <v>7.4805965369962634E-3</v>
      </c>
      <c r="G154" s="41">
        <f>[1]Data!I157</f>
        <v>5.4520331312920417E-3</v>
      </c>
      <c r="H154" s="42">
        <f t="shared" si="20"/>
        <v>-1</v>
      </c>
      <c r="I154" s="43">
        <f t="shared" si="29"/>
        <v>-1</v>
      </c>
      <c r="J154" s="37">
        <f t="shared" si="21"/>
        <v>0</v>
      </c>
      <c r="K154" s="37">
        <f t="shared" si="22"/>
        <v>1.0355893863015015E-2</v>
      </c>
      <c r="L154" s="37">
        <f t="shared" si="23"/>
        <v>0</v>
      </c>
      <c r="M154" s="37">
        <f t="shared" si="24"/>
        <v>-1.3955240408851044E-2</v>
      </c>
      <c r="N154" s="37">
        <f t="shared" si="25"/>
        <v>0</v>
      </c>
      <c r="O154" s="37">
        <f t="shared" si="26"/>
        <v>-7.4805965369962634E-3</v>
      </c>
      <c r="P154" s="37">
        <f t="shared" si="27"/>
        <v>0</v>
      </c>
      <c r="Q154" s="37">
        <f t="shared" si="28"/>
        <v>5.4520331312920417E-3</v>
      </c>
    </row>
    <row r="155" spans="1:17" x14ac:dyDescent="0.25">
      <c r="A155" s="38">
        <f>[1]Data!A158</f>
        <v>42125</v>
      </c>
      <c r="B155" s="39">
        <f>[1]Data!B158</f>
        <v>1.2774392163248202E-2</v>
      </c>
      <c r="C155" s="39">
        <f>[1]Data!C158</f>
        <v>6.7319854623018691E-2</v>
      </c>
      <c r="D155" s="40">
        <f>[1]Data!F158</f>
        <v>-1.111529005607859E-2</v>
      </c>
      <c r="E155" s="41">
        <f>[1]Data!G158</f>
        <v>1.9420032067166186E-2</v>
      </c>
      <c r="F155" s="40">
        <f>[1]Data!H158</f>
        <v>1.9650585500238949E-3</v>
      </c>
      <c r="G155" s="41">
        <f>[1]Data!I158</f>
        <v>-2.8339030536422463E-2</v>
      </c>
      <c r="H155" s="42">
        <f t="shared" si="20"/>
        <v>-1</v>
      </c>
      <c r="I155" s="43">
        <f t="shared" si="29"/>
        <v>1</v>
      </c>
      <c r="J155" s="37">
        <f t="shared" si="21"/>
        <v>0</v>
      </c>
      <c r="K155" s="37">
        <f t="shared" si="22"/>
        <v>1.111529005607859E-2</v>
      </c>
      <c r="L155" s="37">
        <f t="shared" si="23"/>
        <v>0</v>
      </c>
      <c r="M155" s="37">
        <f t="shared" si="24"/>
        <v>1.9420032067166186E-2</v>
      </c>
      <c r="N155" s="37">
        <f t="shared" si="25"/>
        <v>1.9650585500238949E-3</v>
      </c>
      <c r="O155" s="37">
        <f t="shared" si="26"/>
        <v>0</v>
      </c>
      <c r="P155" s="37">
        <f t="shared" si="27"/>
        <v>2.8339030536422463E-2</v>
      </c>
      <c r="Q155" s="37">
        <f t="shared" si="28"/>
        <v>0</v>
      </c>
    </row>
    <row r="156" spans="1:17" x14ac:dyDescent="0.25">
      <c r="A156" s="38">
        <f>[1]Data!A159</f>
        <v>42156</v>
      </c>
      <c r="B156" s="39">
        <f>[1]Data!B159</f>
        <v>-2.0521157444240472E-2</v>
      </c>
      <c r="C156" s="39">
        <f>[1]Data!C159</f>
        <v>3.1163276315692066E-2</v>
      </c>
      <c r="D156" s="40">
        <f>[1]Data!F159</f>
        <v>-2.3809079336050955E-2</v>
      </c>
      <c r="E156" s="41">
        <f>[1]Data!G159</f>
        <v>-1.3697034469442378E-2</v>
      </c>
      <c r="F156" s="40">
        <f>[1]Data!H159</f>
        <v>-6.5098595877133691E-3</v>
      </c>
      <c r="G156" s="41">
        <f>[1]Data!I159</f>
        <v>-4.0381752071421091E-2</v>
      </c>
      <c r="H156" s="42">
        <f t="shared" si="20"/>
        <v>-1</v>
      </c>
      <c r="I156" s="43">
        <f t="shared" si="29"/>
        <v>1</v>
      </c>
      <c r="J156" s="37">
        <f t="shared" si="21"/>
        <v>0</v>
      </c>
      <c r="K156" s="37">
        <f t="shared" si="22"/>
        <v>2.3809079336050955E-2</v>
      </c>
      <c r="L156" s="37">
        <f t="shared" si="23"/>
        <v>0</v>
      </c>
      <c r="M156" s="37">
        <f t="shared" si="24"/>
        <v>-1.3697034469442378E-2</v>
      </c>
      <c r="N156" s="37">
        <f t="shared" si="25"/>
        <v>-6.5098595877133691E-3</v>
      </c>
      <c r="O156" s="37">
        <f t="shared" si="26"/>
        <v>0</v>
      </c>
      <c r="P156" s="37">
        <f t="shared" si="27"/>
        <v>4.0381752071421091E-2</v>
      </c>
      <c r="Q156" s="37">
        <f t="shared" si="28"/>
        <v>0</v>
      </c>
    </row>
    <row r="157" spans="1:17" x14ac:dyDescent="0.25">
      <c r="A157" s="38">
        <f>[1]Data!A160</f>
        <v>42186</v>
      </c>
      <c r="B157" s="39">
        <f>[1]Data!B160</f>
        <v>2.2337821735104964E-2</v>
      </c>
      <c r="C157" s="39">
        <f>[1]Data!C160</f>
        <v>6.2088838354534184E-3</v>
      </c>
      <c r="D157" s="40">
        <f>[1]Data!F160</f>
        <v>-4.1244751796122416E-3</v>
      </c>
      <c r="E157" s="41">
        <f>[1]Data!G160</f>
        <v>2.4203098919391156E-2</v>
      </c>
      <c r="F157" s="40">
        <f>[1]Data!H160</f>
        <v>-6.4332078092742412E-3</v>
      </c>
      <c r="G157" s="41">
        <f>[1]Data!I160</f>
        <v>2.6005983252300129E-2</v>
      </c>
      <c r="H157" s="42">
        <f t="shared" si="20"/>
        <v>-1</v>
      </c>
      <c r="I157" s="43">
        <f t="shared" si="29"/>
        <v>1</v>
      </c>
      <c r="J157" s="37">
        <f t="shared" si="21"/>
        <v>0</v>
      </c>
      <c r="K157" s="37">
        <f t="shared" si="22"/>
        <v>4.1244751796122416E-3</v>
      </c>
      <c r="L157" s="37">
        <f t="shared" si="23"/>
        <v>0</v>
      </c>
      <c r="M157" s="37">
        <f t="shared" si="24"/>
        <v>2.4203098919391156E-2</v>
      </c>
      <c r="N157" s="37">
        <f t="shared" si="25"/>
        <v>-6.4332078092742412E-3</v>
      </c>
      <c r="O157" s="37">
        <f t="shared" si="26"/>
        <v>0</v>
      </c>
      <c r="P157" s="37">
        <f t="shared" si="27"/>
        <v>-2.6005983252300129E-2</v>
      </c>
      <c r="Q157" s="37">
        <f t="shared" si="28"/>
        <v>0</v>
      </c>
    </row>
    <row r="158" spans="1:17" x14ac:dyDescent="0.25">
      <c r="A158" s="38">
        <f>[1]Data!A161</f>
        <v>42217</v>
      </c>
      <c r="B158" s="39">
        <f>[1]Data!B161</f>
        <v>-6.2887021100616863E-2</v>
      </c>
      <c r="C158" s="39">
        <f>[1]Data!C161</f>
        <v>-9.5354494814687524E-2</v>
      </c>
      <c r="D158" s="40">
        <f>[1]Data!F161</f>
        <v>-8.0953972423731917E-4</v>
      </c>
      <c r="E158" s="41">
        <f>[1]Data!G161</f>
        <v>-4.0195584245480739E-2</v>
      </c>
      <c r="F158" s="40">
        <f>[1]Data!H161</f>
        <v>-1.218806252468007E-2</v>
      </c>
      <c r="G158" s="41">
        <f>[1]Data!I161</f>
        <v>1.6845244317525061E-2</v>
      </c>
      <c r="H158" s="42">
        <f t="shared" si="20"/>
        <v>1</v>
      </c>
      <c r="I158" s="43">
        <f t="shared" si="29"/>
        <v>1</v>
      </c>
      <c r="J158" s="37">
        <f t="shared" si="21"/>
        <v>-8.0953972423731917E-4</v>
      </c>
      <c r="K158" s="37">
        <f t="shared" si="22"/>
        <v>0</v>
      </c>
      <c r="L158" s="37">
        <f t="shared" si="23"/>
        <v>4.0195584245480739E-2</v>
      </c>
      <c r="M158" s="37">
        <f t="shared" si="24"/>
        <v>0</v>
      </c>
      <c r="N158" s="37">
        <f t="shared" si="25"/>
        <v>-1.218806252468007E-2</v>
      </c>
      <c r="O158" s="37">
        <f t="shared" si="26"/>
        <v>0</v>
      </c>
      <c r="P158" s="37">
        <f t="shared" si="27"/>
        <v>-1.6845244317525061E-2</v>
      </c>
      <c r="Q158" s="37">
        <f t="shared" si="28"/>
        <v>0</v>
      </c>
    </row>
    <row r="159" spans="1:17" x14ac:dyDescent="0.25">
      <c r="A159" s="38">
        <f>[1]Data!A162</f>
        <v>42248</v>
      </c>
      <c r="B159" s="39">
        <f>[1]Data!B162</f>
        <v>-2.5846755755736188E-2</v>
      </c>
      <c r="C159" s="39">
        <f>[1]Data!C162</f>
        <v>-1.9148062031934934E-2</v>
      </c>
      <c r="D159" s="40">
        <f>[1]Data!F162</f>
        <v>-1.1827538096814309E-2</v>
      </c>
      <c r="E159" s="41">
        <f>[1]Data!G162</f>
        <v>1.4348772094628426E-2</v>
      </c>
      <c r="F159" s="40">
        <f>[1]Data!H162</f>
        <v>-1.2148979169161432E-3</v>
      </c>
      <c r="G159" s="41">
        <f>[1]Data!I162</f>
        <v>-2.3722182186536999E-3</v>
      </c>
      <c r="H159" s="42">
        <f t="shared" si="20"/>
        <v>1</v>
      </c>
      <c r="I159" s="43">
        <f t="shared" si="29"/>
        <v>-1</v>
      </c>
      <c r="J159" s="37">
        <f t="shared" si="21"/>
        <v>-1.1827538096814309E-2</v>
      </c>
      <c r="K159" s="37">
        <f t="shared" si="22"/>
        <v>0</v>
      </c>
      <c r="L159" s="37">
        <f t="shared" si="23"/>
        <v>-1.4348772094628426E-2</v>
      </c>
      <c r="M159" s="37">
        <f t="shared" si="24"/>
        <v>0</v>
      </c>
      <c r="N159" s="37">
        <f t="shared" si="25"/>
        <v>0</v>
      </c>
      <c r="O159" s="37">
        <f t="shared" si="26"/>
        <v>1.2148979169161432E-3</v>
      </c>
      <c r="P159" s="37">
        <f t="shared" si="27"/>
        <v>0</v>
      </c>
      <c r="Q159" s="37">
        <f t="shared" si="28"/>
        <v>-2.3722182186536999E-3</v>
      </c>
    </row>
    <row r="160" spans="1:17" x14ac:dyDescent="0.25">
      <c r="A160" s="38">
        <f>[1]Data!A163</f>
        <v>42278</v>
      </c>
      <c r="B160" s="39">
        <f>[1]Data!B163</f>
        <v>8.1634835094434213E-2</v>
      </c>
      <c r="C160" s="39">
        <f>[1]Data!C163</f>
        <v>4.5764314759900657E-2</v>
      </c>
      <c r="D160" s="40">
        <f>[1]Data!F163</f>
        <v>2.9676485496842271E-2</v>
      </c>
      <c r="E160" s="41">
        <f>[1]Data!G163</f>
        <v>-1.0290644709048386E-2</v>
      </c>
      <c r="F160" s="40">
        <f>[1]Data!H163</f>
        <v>3.9796415105877808E-2</v>
      </c>
      <c r="G160" s="41">
        <f>[1]Data!I163</f>
        <v>-2.3874349834909535E-3</v>
      </c>
      <c r="H160" s="42">
        <f t="shared" si="20"/>
        <v>-1</v>
      </c>
      <c r="I160" s="43">
        <f t="shared" si="29"/>
        <v>-1</v>
      </c>
      <c r="J160" s="37">
        <f t="shared" si="21"/>
        <v>0</v>
      </c>
      <c r="K160" s="37">
        <f t="shared" si="22"/>
        <v>-2.9676485496842271E-2</v>
      </c>
      <c r="L160" s="37">
        <f t="shared" si="23"/>
        <v>0</v>
      </c>
      <c r="M160" s="37">
        <f t="shared" si="24"/>
        <v>-1.0290644709048386E-2</v>
      </c>
      <c r="N160" s="37">
        <f t="shared" si="25"/>
        <v>0</v>
      </c>
      <c r="O160" s="37">
        <f t="shared" si="26"/>
        <v>-3.9796415105877808E-2</v>
      </c>
      <c r="P160" s="37">
        <f t="shared" si="27"/>
        <v>0</v>
      </c>
      <c r="Q160" s="37">
        <f t="shared" si="28"/>
        <v>-2.3874349834909535E-3</v>
      </c>
    </row>
    <row r="161" spans="1:17" x14ac:dyDescent="0.25">
      <c r="A161" s="38">
        <f>[1]Data!A164</f>
        <v>42309</v>
      </c>
      <c r="B161" s="39">
        <f>[1]Data!B164</f>
        <v>3.648361957249417E-3</v>
      </c>
      <c r="C161" s="39">
        <f>[1]Data!C164</f>
        <v>2.3597157568039928E-2</v>
      </c>
      <c r="D161" s="40">
        <f>[1]Data!F164</f>
        <v>-2.9665905124825896E-3</v>
      </c>
      <c r="E161" s="41">
        <f>[1]Data!G164</f>
        <v>8.267848881129353E-3</v>
      </c>
      <c r="F161" s="40">
        <f>[1]Data!H164</f>
        <v>1.0096481605360821E-2</v>
      </c>
      <c r="G161" s="41">
        <f>[1]Data!I164</f>
        <v>-2.9093910193103013E-2</v>
      </c>
      <c r="H161" s="42">
        <f t="shared" si="20"/>
        <v>-1</v>
      </c>
      <c r="I161" s="43">
        <f t="shared" si="29"/>
        <v>1</v>
      </c>
      <c r="J161" s="37">
        <f t="shared" si="21"/>
        <v>0</v>
      </c>
      <c r="K161" s="37">
        <f t="shared" si="22"/>
        <v>2.9665905124825896E-3</v>
      </c>
      <c r="L161" s="37">
        <f t="shared" si="23"/>
        <v>0</v>
      </c>
      <c r="M161" s="37">
        <f t="shared" si="24"/>
        <v>8.267848881129353E-3</v>
      </c>
      <c r="N161" s="37">
        <f t="shared" si="25"/>
        <v>1.0096481605360821E-2</v>
      </c>
      <c r="O161" s="37">
        <f t="shared" si="26"/>
        <v>0</v>
      </c>
      <c r="P161" s="37">
        <f t="shared" si="27"/>
        <v>2.9093910193103013E-2</v>
      </c>
      <c r="Q161" s="37">
        <f t="shared" si="28"/>
        <v>0</v>
      </c>
    </row>
    <row r="162" spans="1:17" x14ac:dyDescent="0.25">
      <c r="A162" s="38">
        <f>[1]Data!A165</f>
        <v>42339</v>
      </c>
      <c r="B162" s="39">
        <f>[1]Data!B165</f>
        <v>-1.743370093820662E-2</v>
      </c>
      <c r="C162" s="39">
        <f>[1]Data!C165</f>
        <v>-4.4707882553118451E-2</v>
      </c>
      <c r="D162" s="40">
        <f>[1]Data!F165</f>
        <v>1.0849372007947153E-2</v>
      </c>
      <c r="E162" s="41">
        <f>[1]Data!G165</f>
        <v>-1.9401296744545181E-2</v>
      </c>
      <c r="F162" s="40">
        <f>[1]Data!H165</f>
        <v>-1.630539501814232E-3</v>
      </c>
      <c r="G162" s="41">
        <f>[1]Data!I165</f>
        <v>4.5852252758560568E-3</v>
      </c>
      <c r="H162" s="42">
        <f t="shared" si="20"/>
        <v>1</v>
      </c>
      <c r="I162" s="43">
        <f t="shared" si="29"/>
        <v>1</v>
      </c>
      <c r="J162" s="37">
        <f t="shared" si="21"/>
        <v>1.0849372007947153E-2</v>
      </c>
      <c r="K162" s="37">
        <f t="shared" si="22"/>
        <v>0</v>
      </c>
      <c r="L162" s="37">
        <f t="shared" si="23"/>
        <v>1.9401296744545181E-2</v>
      </c>
      <c r="M162" s="37">
        <f t="shared" si="24"/>
        <v>0</v>
      </c>
      <c r="N162" s="37">
        <f t="shared" si="25"/>
        <v>-1.630539501814232E-3</v>
      </c>
      <c r="O162" s="37">
        <f t="shared" si="26"/>
        <v>0</v>
      </c>
      <c r="P162" s="37">
        <f t="shared" si="27"/>
        <v>-4.5852252758560568E-3</v>
      </c>
      <c r="Q162" s="37">
        <f t="shared" si="28"/>
        <v>0</v>
      </c>
    </row>
    <row r="163" spans="1:17" x14ac:dyDescent="0.25">
      <c r="A163" s="38">
        <f>[1]Data!A166</f>
        <v>42370</v>
      </c>
      <c r="B163" s="39">
        <f>[1]Data!B166</f>
        <v>-5.1068365604597682E-2</v>
      </c>
      <c r="C163" s="39">
        <f>[1]Data!C166</f>
        <v>-0.12708483565857864</v>
      </c>
      <c r="D163" s="40">
        <f>[1]Data!F166</f>
        <v>3.188894838207746E-2</v>
      </c>
      <c r="E163" s="41">
        <f>[1]Data!G166</f>
        <v>1.0105922903692464E-2</v>
      </c>
      <c r="F163" s="40">
        <f>[1]Data!H166</f>
        <v>-6.0403551011066689E-2</v>
      </c>
      <c r="G163" s="41">
        <f>[1]Data!I166</f>
        <v>2.2793802983429749E-2</v>
      </c>
      <c r="H163" s="42">
        <f t="shared" si="20"/>
        <v>1</v>
      </c>
      <c r="I163" s="43">
        <f t="shared" si="29"/>
        <v>-1</v>
      </c>
      <c r="J163" s="37">
        <f t="shared" si="21"/>
        <v>3.188894838207746E-2</v>
      </c>
      <c r="K163" s="37">
        <f t="shared" si="22"/>
        <v>0</v>
      </c>
      <c r="L163" s="37">
        <f t="shared" si="23"/>
        <v>-1.0105922903692464E-2</v>
      </c>
      <c r="M163" s="37">
        <f t="shared" si="24"/>
        <v>0</v>
      </c>
      <c r="N163" s="37">
        <f t="shared" si="25"/>
        <v>0</v>
      </c>
      <c r="O163" s="37">
        <f t="shared" si="26"/>
        <v>6.0403551011066689E-2</v>
      </c>
      <c r="P163" s="37">
        <f t="shared" si="27"/>
        <v>0</v>
      </c>
      <c r="Q163" s="37">
        <f t="shared" si="28"/>
        <v>2.2793802983429749E-2</v>
      </c>
    </row>
    <row r="164" spans="1:17" x14ac:dyDescent="0.25">
      <c r="A164" s="38">
        <f>[1]Data!A167</f>
        <v>42401</v>
      </c>
      <c r="B164" s="39">
        <f>[1]Data!B167</f>
        <v>-8.265477497735995E-4</v>
      </c>
      <c r="C164" s="39">
        <f>[1]Data!C167</f>
        <v>-2.4630094461810949E-2</v>
      </c>
      <c r="D164" s="40">
        <f>[1]Data!F167</f>
        <v>-6.2834807253695224E-3</v>
      </c>
      <c r="E164" s="41">
        <f>[1]Data!G167</f>
        <v>3.0568033501985562E-4</v>
      </c>
      <c r="F164" s="40">
        <f>[1]Data!H167</f>
        <v>-3.0237971810202546E-2</v>
      </c>
      <c r="G164" s="41">
        <f>[1]Data!I167</f>
        <v>1.2987459620864941E-2</v>
      </c>
      <c r="H164" s="42">
        <f t="shared" si="20"/>
        <v>1</v>
      </c>
      <c r="I164" s="43">
        <f t="shared" si="29"/>
        <v>-1</v>
      </c>
      <c r="J164" s="37">
        <f t="shared" si="21"/>
        <v>-6.2834807253695224E-3</v>
      </c>
      <c r="K164" s="37">
        <f t="shared" si="22"/>
        <v>0</v>
      </c>
      <c r="L164" s="37">
        <f t="shared" si="23"/>
        <v>-3.0568033501985562E-4</v>
      </c>
      <c r="M164" s="37">
        <f t="shared" si="24"/>
        <v>0</v>
      </c>
      <c r="N164" s="37">
        <f t="shared" si="25"/>
        <v>0</v>
      </c>
      <c r="O164" s="37">
        <f t="shared" si="26"/>
        <v>3.0237971810202546E-2</v>
      </c>
      <c r="P164" s="37">
        <f t="shared" si="27"/>
        <v>0</v>
      </c>
      <c r="Q164" s="37">
        <f t="shared" si="28"/>
        <v>1.2987459620864941E-2</v>
      </c>
    </row>
    <row r="165" spans="1:17" x14ac:dyDescent="0.25">
      <c r="A165" s="38">
        <f>[1]Data!A168</f>
        <v>42430</v>
      </c>
      <c r="B165" s="39">
        <f>[1]Data!B168</f>
        <v>6.5100358621374935E-2</v>
      </c>
      <c r="C165" s="39">
        <f>[1]Data!C168</f>
        <v>8.1528112627579211E-2</v>
      </c>
      <c r="D165" s="40">
        <f>[1]Data!F168</f>
        <v>4.1443983419311662E-3</v>
      </c>
      <c r="E165" s="41">
        <f>[1]Data!G168</f>
        <v>1.9638438478543303E-2</v>
      </c>
      <c r="F165" s="40">
        <f>[1]Data!H168</f>
        <v>3.5675768355258639E-2</v>
      </c>
      <c r="G165" s="41">
        <f>[1]Data!I168</f>
        <v>-1.6753935858302635E-2</v>
      </c>
      <c r="H165" s="42">
        <f t="shared" si="20"/>
        <v>-1</v>
      </c>
      <c r="I165" s="43">
        <f t="shared" si="29"/>
        <v>-1</v>
      </c>
      <c r="J165" s="37">
        <f t="shared" si="21"/>
        <v>0</v>
      </c>
      <c r="K165" s="37">
        <f t="shared" si="22"/>
        <v>-4.1443983419311662E-3</v>
      </c>
      <c r="L165" s="37">
        <f t="shared" si="23"/>
        <v>0</v>
      </c>
      <c r="M165" s="37">
        <f t="shared" si="24"/>
        <v>1.9638438478543303E-2</v>
      </c>
      <c r="N165" s="37">
        <f t="shared" si="25"/>
        <v>0</v>
      </c>
      <c r="O165" s="37">
        <f t="shared" si="26"/>
        <v>-3.5675768355258639E-2</v>
      </c>
      <c r="P165" s="37">
        <f t="shared" si="27"/>
        <v>0</v>
      </c>
      <c r="Q165" s="37">
        <f t="shared" si="28"/>
        <v>-1.6753935858302635E-2</v>
      </c>
    </row>
    <row r="166" spans="1:17" x14ac:dyDescent="0.25">
      <c r="A166" s="38">
        <f>[1]Data!A169</f>
        <v>42461</v>
      </c>
      <c r="B166" s="39">
        <f>[1]Data!B169</f>
        <v>3.9337100574622988E-3</v>
      </c>
      <c r="C166" s="39">
        <f>[1]Data!C169</f>
        <v>2.9387086846344723E-2</v>
      </c>
      <c r="D166" s="40">
        <f>[1]Data!F169</f>
        <v>-1.2713565067709653E-2</v>
      </c>
      <c r="E166" s="41">
        <f>[1]Data!G169</f>
        <v>5.3476681887368515E-3</v>
      </c>
      <c r="F166" s="40">
        <f>[1]Data!H169</f>
        <v>-7.6686592498916486E-3</v>
      </c>
      <c r="G166" s="41">
        <f>[1]Data!I169</f>
        <v>1.9074627177344435E-2</v>
      </c>
      <c r="H166" s="42">
        <f t="shared" si="20"/>
        <v>-1</v>
      </c>
      <c r="I166" s="43">
        <f t="shared" si="29"/>
        <v>1</v>
      </c>
      <c r="J166" s="37">
        <f t="shared" si="21"/>
        <v>0</v>
      </c>
      <c r="K166" s="37">
        <f t="shared" si="22"/>
        <v>1.2713565067709653E-2</v>
      </c>
      <c r="L166" s="37">
        <f t="shared" si="23"/>
        <v>0</v>
      </c>
      <c r="M166" s="37">
        <f t="shared" si="24"/>
        <v>5.3476681887368515E-3</v>
      </c>
      <c r="N166" s="37">
        <f t="shared" si="25"/>
        <v>-7.6686592498916486E-3</v>
      </c>
      <c r="O166" s="37">
        <f t="shared" si="26"/>
        <v>0</v>
      </c>
      <c r="P166" s="37">
        <f t="shared" si="27"/>
        <v>-1.9074627177344435E-2</v>
      </c>
      <c r="Q166" s="37">
        <f t="shared" si="28"/>
        <v>0</v>
      </c>
    </row>
    <row r="167" spans="1:17" x14ac:dyDescent="0.25">
      <c r="A167" s="38">
        <f>[1]Data!A170</f>
        <v>42491</v>
      </c>
      <c r="B167" s="39">
        <f>[1]Data!B170</f>
        <v>1.6868509998657973E-2</v>
      </c>
      <c r="C167" s="39">
        <f>[1]Data!C170</f>
        <v>-1.2024554832864567E-2</v>
      </c>
      <c r="D167" s="40">
        <f>[1]Data!F170</f>
        <v>2.0948069375832098E-2</v>
      </c>
      <c r="E167" s="41">
        <f>[1]Data!G170</f>
        <v>7.6827314718135899E-5</v>
      </c>
      <c r="F167" s="40">
        <f>[1]Data!H170</f>
        <v>-2.9612319408264189E-3</v>
      </c>
      <c r="G167" s="41">
        <f>[1]Data!I170</f>
        <v>1.0247475125201449E-2</v>
      </c>
      <c r="H167" s="42">
        <f t="shared" si="20"/>
        <v>1</v>
      </c>
      <c r="I167" s="43">
        <f t="shared" si="29"/>
        <v>1</v>
      </c>
      <c r="J167" s="37">
        <f t="shared" si="21"/>
        <v>2.0948069375832098E-2</v>
      </c>
      <c r="K167" s="37">
        <f t="shared" si="22"/>
        <v>0</v>
      </c>
      <c r="L167" s="37">
        <f t="shared" si="23"/>
        <v>-7.6827314718135899E-5</v>
      </c>
      <c r="M167" s="37">
        <f t="shared" si="24"/>
        <v>0</v>
      </c>
      <c r="N167" s="37">
        <f t="shared" si="25"/>
        <v>-2.9612319408264189E-3</v>
      </c>
      <c r="O167" s="37">
        <f t="shared" si="26"/>
        <v>0</v>
      </c>
      <c r="P167" s="37">
        <f t="shared" si="27"/>
        <v>-1.0247475125201449E-2</v>
      </c>
      <c r="Q167" s="37">
        <f t="shared" si="28"/>
        <v>0</v>
      </c>
    </row>
    <row r="168" spans="1:17" x14ac:dyDescent="0.25">
      <c r="A168" s="38">
        <f>[1]Data!A171</f>
        <v>42522</v>
      </c>
      <c r="B168" s="39">
        <f>[1]Data!B171</f>
        <v>3.4697405015064482E-3</v>
      </c>
      <c r="C168" s="39">
        <f>[1]Data!C171</f>
        <v>-2.9197546727335398E-2</v>
      </c>
      <c r="D168" s="40">
        <f>[1]Data!F171</f>
        <v>4.976979285724251E-3</v>
      </c>
      <c r="E168" s="41">
        <f>[1]Data!G171</f>
        <v>3.9352526260214987E-2</v>
      </c>
      <c r="F168" s="40">
        <f>[1]Data!H171</f>
        <v>8.7301279673830338E-3</v>
      </c>
      <c r="G168" s="41">
        <f>[1]Data!I171</f>
        <v>2.0324502796659233E-2</v>
      </c>
      <c r="H168" s="42">
        <f t="shared" si="20"/>
        <v>1</v>
      </c>
      <c r="I168" s="43">
        <f t="shared" si="29"/>
        <v>-1</v>
      </c>
      <c r="J168" s="37">
        <f t="shared" si="21"/>
        <v>4.976979285724251E-3</v>
      </c>
      <c r="K168" s="37">
        <f t="shared" si="22"/>
        <v>0</v>
      </c>
      <c r="L168" s="37">
        <f t="shared" si="23"/>
        <v>-3.9352526260214987E-2</v>
      </c>
      <c r="M168" s="37">
        <f t="shared" si="24"/>
        <v>0</v>
      </c>
      <c r="N168" s="37">
        <f t="shared" si="25"/>
        <v>0</v>
      </c>
      <c r="O168" s="37">
        <f t="shared" si="26"/>
        <v>-8.7301279673830338E-3</v>
      </c>
      <c r="P168" s="37">
        <f t="shared" si="27"/>
        <v>0</v>
      </c>
      <c r="Q168" s="37">
        <f t="shared" si="28"/>
        <v>2.0324502796659233E-2</v>
      </c>
    </row>
    <row r="169" spans="1:17" x14ac:dyDescent="0.25">
      <c r="A169" s="38">
        <f>[1]Data!A172</f>
        <v>42552</v>
      </c>
      <c r="B169" s="39">
        <f>[1]Data!B172</f>
        <v>3.5821892100057956E-2</v>
      </c>
      <c r="C169" s="39">
        <f>[1]Data!C172</f>
        <v>3.5256291593103631E-2</v>
      </c>
      <c r="D169" s="40">
        <f>[1]Data!F172</f>
        <v>-5.5268728358230418E-4</v>
      </c>
      <c r="E169" s="41">
        <f>[1]Data!G172</f>
        <v>1.9689017932577588E-2</v>
      </c>
      <c r="F169" s="40">
        <f>[1]Data!H172</f>
        <v>1.5018996527943824E-2</v>
      </c>
      <c r="G169" s="41">
        <f>[1]Data!I172</f>
        <v>3.5115431920828666E-2</v>
      </c>
      <c r="H169" s="42">
        <f t="shared" si="20"/>
        <v>-1</v>
      </c>
      <c r="I169" s="43">
        <f t="shared" si="29"/>
        <v>-1</v>
      </c>
      <c r="J169" s="37">
        <f t="shared" si="21"/>
        <v>0</v>
      </c>
      <c r="K169" s="37">
        <f t="shared" si="22"/>
        <v>5.5268728358230418E-4</v>
      </c>
      <c r="L169" s="37">
        <f t="shared" si="23"/>
        <v>0</v>
      </c>
      <c r="M169" s="37">
        <f t="shared" si="24"/>
        <v>1.9689017932577588E-2</v>
      </c>
      <c r="N169" s="37">
        <f t="shared" si="25"/>
        <v>0</v>
      </c>
      <c r="O169" s="37">
        <f t="shared" si="26"/>
        <v>-1.5018996527943824E-2</v>
      </c>
      <c r="P169" s="37">
        <f t="shared" si="27"/>
        <v>0</v>
      </c>
      <c r="Q169" s="37">
        <f t="shared" si="28"/>
        <v>3.5115431920828666E-2</v>
      </c>
    </row>
    <row r="170" spans="1:17" x14ac:dyDescent="0.25">
      <c r="A170" s="38">
        <f>[1]Data!A173</f>
        <v>42583</v>
      </c>
      <c r="B170" s="39">
        <f>[1]Data!B173</f>
        <v>1.1966006816287217E-3</v>
      </c>
      <c r="C170" s="39">
        <f>[1]Data!C173</f>
        <v>2.5032391343864535E-2</v>
      </c>
      <c r="D170" s="40">
        <f>[1]Data!F173</f>
        <v>-5.3220209762647325E-3</v>
      </c>
      <c r="E170" s="41">
        <f>[1]Data!G173</f>
        <v>8.3282518549924311E-3</v>
      </c>
      <c r="F170" s="40">
        <f>[1]Data!H173</f>
        <v>4.8704118484129422E-3</v>
      </c>
      <c r="G170" s="41">
        <f>[1]Data!I173</f>
        <v>-2.3645232989533856E-2</v>
      </c>
      <c r="H170" s="42">
        <f t="shared" si="20"/>
        <v>-1</v>
      </c>
      <c r="I170" s="43">
        <f t="shared" si="29"/>
        <v>1</v>
      </c>
      <c r="J170" s="37">
        <f t="shared" si="21"/>
        <v>0</v>
      </c>
      <c r="K170" s="37">
        <f t="shared" si="22"/>
        <v>5.3220209762647325E-3</v>
      </c>
      <c r="L170" s="37">
        <f t="shared" si="23"/>
        <v>0</v>
      </c>
      <c r="M170" s="37">
        <f t="shared" si="24"/>
        <v>8.3282518549924311E-3</v>
      </c>
      <c r="N170" s="37">
        <f t="shared" si="25"/>
        <v>4.8704118484129422E-3</v>
      </c>
      <c r="O170" s="37">
        <f t="shared" si="26"/>
        <v>0</v>
      </c>
      <c r="P170" s="37">
        <f t="shared" si="27"/>
        <v>2.3645232989533856E-2</v>
      </c>
      <c r="Q170" s="37">
        <f t="shared" si="28"/>
        <v>0</v>
      </c>
    </row>
    <row r="171" spans="1:17" x14ac:dyDescent="0.25">
      <c r="A171" s="38">
        <f>[1]Data!A174</f>
        <v>42614</v>
      </c>
      <c r="B171" s="39">
        <f>[1]Data!B174</f>
        <v>5.8191036300418372E-5</v>
      </c>
      <c r="C171" s="39">
        <f>[1]Data!C174</f>
        <v>2.3398742123623018E-2</v>
      </c>
      <c r="D171" s="40">
        <f>[1]Data!F174</f>
        <v>-4.0601919171954588E-3</v>
      </c>
      <c r="E171" s="41">
        <f>[1]Data!G174</f>
        <v>4.0808867090001873E-3</v>
      </c>
      <c r="F171" s="40">
        <f>[1]Data!H174</f>
        <v>5.1849225185599795E-3</v>
      </c>
      <c r="G171" s="41">
        <f>[1]Data!I174</f>
        <v>-1.316546767368266E-2</v>
      </c>
      <c r="H171" s="42">
        <f t="shared" si="20"/>
        <v>-1</v>
      </c>
      <c r="I171" s="43">
        <f t="shared" si="29"/>
        <v>1</v>
      </c>
      <c r="J171" s="37">
        <f t="shared" si="21"/>
        <v>0</v>
      </c>
      <c r="K171" s="37">
        <f t="shared" si="22"/>
        <v>4.0601919171954588E-3</v>
      </c>
      <c r="L171" s="37">
        <f t="shared" si="23"/>
        <v>0</v>
      </c>
      <c r="M171" s="37">
        <f t="shared" si="24"/>
        <v>4.0808867090001873E-3</v>
      </c>
      <c r="N171" s="37">
        <f t="shared" si="25"/>
        <v>5.1849225185599795E-3</v>
      </c>
      <c r="O171" s="37">
        <f t="shared" si="26"/>
        <v>0</v>
      </c>
      <c r="P171" s="37">
        <f t="shared" si="27"/>
        <v>1.316546767368266E-2</v>
      </c>
      <c r="Q171" s="37">
        <f t="shared" si="28"/>
        <v>0</v>
      </c>
    </row>
    <row r="172" spans="1:17" x14ac:dyDescent="0.25">
      <c r="A172" s="38">
        <f>[1]Data!A175</f>
        <v>42644</v>
      </c>
      <c r="B172" s="39">
        <f>[1]Data!B175</f>
        <v>-1.7489130032062299E-2</v>
      </c>
      <c r="C172" s="39">
        <f>[1]Data!C175</f>
        <v>1.843763743408789E-2</v>
      </c>
      <c r="D172" s="40">
        <f>[1]Data!F175</f>
        <v>-6.7053655742064381E-3</v>
      </c>
      <c r="E172" s="41">
        <f>[1]Data!G175</f>
        <v>-1.5573498428369751E-2</v>
      </c>
      <c r="F172" s="40">
        <f>[1]Data!H175</f>
        <v>-5.8423243318304618E-3</v>
      </c>
      <c r="G172" s="41">
        <f>[1]Data!I175</f>
        <v>-2.4656305720586889E-2</v>
      </c>
      <c r="H172" s="42">
        <f t="shared" si="20"/>
        <v>-1</v>
      </c>
      <c r="I172" s="43">
        <f t="shared" si="29"/>
        <v>1</v>
      </c>
      <c r="J172" s="37">
        <f t="shared" si="21"/>
        <v>0</v>
      </c>
      <c r="K172" s="37">
        <f t="shared" si="22"/>
        <v>6.7053655742064381E-3</v>
      </c>
      <c r="L172" s="37">
        <f t="shared" si="23"/>
        <v>0</v>
      </c>
      <c r="M172" s="37">
        <f t="shared" si="24"/>
        <v>-1.5573498428369751E-2</v>
      </c>
      <c r="N172" s="37">
        <f t="shared" si="25"/>
        <v>-5.8423243318304618E-3</v>
      </c>
      <c r="O172" s="37">
        <f t="shared" si="26"/>
        <v>0</v>
      </c>
      <c r="P172" s="37">
        <f t="shared" si="27"/>
        <v>2.4656305720586889E-2</v>
      </c>
      <c r="Q172" s="37">
        <f t="shared" si="28"/>
        <v>0</v>
      </c>
    </row>
    <row r="173" spans="1:17" x14ac:dyDescent="0.25">
      <c r="A173" s="38">
        <f>[1]Data!A176</f>
        <v>42675</v>
      </c>
      <c r="B173" s="39">
        <f>[1]Data!B176</f>
        <v>3.6175994356268053E-2</v>
      </c>
      <c r="C173" s="39">
        <f>[1]Data!C176</f>
        <v>0.11329938214783186</v>
      </c>
      <c r="D173" s="40">
        <f>[1]Data!F176</f>
        <v>1.0441599245473053E-3</v>
      </c>
      <c r="E173" s="41">
        <f>[1]Data!G176</f>
        <v>-7.5402400104568456E-3</v>
      </c>
      <c r="F173" s="40">
        <f>[1]Data!H176</f>
        <v>2.8189828397028917E-3</v>
      </c>
      <c r="G173" s="41">
        <f>[1]Data!I176</f>
        <v>-2.9048933488651837E-3</v>
      </c>
      <c r="H173" s="42">
        <f t="shared" si="20"/>
        <v>-1</v>
      </c>
      <c r="I173" s="43">
        <f t="shared" si="29"/>
        <v>1</v>
      </c>
      <c r="J173" s="37">
        <f t="shared" si="21"/>
        <v>0</v>
      </c>
      <c r="K173" s="37">
        <f t="shared" si="22"/>
        <v>-1.0441599245473053E-3</v>
      </c>
      <c r="L173" s="37">
        <f t="shared" si="23"/>
        <v>0</v>
      </c>
      <c r="M173" s="37">
        <f t="shared" si="24"/>
        <v>-7.5402400104568456E-3</v>
      </c>
      <c r="N173" s="37">
        <f t="shared" si="25"/>
        <v>2.8189828397028917E-3</v>
      </c>
      <c r="O173" s="37">
        <f t="shared" si="26"/>
        <v>0</v>
      </c>
      <c r="P173" s="37">
        <f t="shared" si="27"/>
        <v>2.9048933488651837E-3</v>
      </c>
      <c r="Q173" s="37">
        <f t="shared" si="28"/>
        <v>0</v>
      </c>
    </row>
    <row r="174" spans="1:17" x14ac:dyDescent="0.25">
      <c r="A174" s="38">
        <f>[1]Data!A177</f>
        <v>42705</v>
      </c>
      <c r="B174" s="39">
        <f>[1]Data!B177</f>
        <v>2.0069241756526267E-2</v>
      </c>
      <c r="C174" s="39">
        <f>[1]Data!C177</f>
        <v>4.4029438272317506E-2</v>
      </c>
      <c r="D174" s="40">
        <f>[1]Data!F177</f>
        <v>-9.971155425087027E-3</v>
      </c>
      <c r="E174" s="41">
        <f>[1]Data!G177</f>
        <v>9.3525906063315466E-3</v>
      </c>
      <c r="F174" s="40">
        <f>[1]Data!H177</f>
        <v>1.8967827059699439E-2</v>
      </c>
      <c r="G174" s="41">
        <f>[1]Data!I177</f>
        <v>3.3527236108205506E-3</v>
      </c>
      <c r="H174" s="42">
        <f t="shared" si="20"/>
        <v>-1</v>
      </c>
      <c r="I174" s="43">
        <f t="shared" si="29"/>
        <v>1</v>
      </c>
      <c r="J174" s="37">
        <f t="shared" si="21"/>
        <v>0</v>
      </c>
      <c r="K174" s="37">
        <f t="shared" si="22"/>
        <v>9.971155425087027E-3</v>
      </c>
      <c r="L174" s="37">
        <f t="shared" si="23"/>
        <v>0</v>
      </c>
      <c r="M174" s="37">
        <f t="shared" si="24"/>
        <v>9.3525906063315466E-3</v>
      </c>
      <c r="N174" s="37">
        <f t="shared" si="25"/>
        <v>1.8967827059699439E-2</v>
      </c>
      <c r="O174" s="37">
        <f t="shared" si="26"/>
        <v>0</v>
      </c>
      <c r="P174" s="37">
        <f t="shared" si="27"/>
        <v>-3.3527236108205506E-3</v>
      </c>
      <c r="Q174" s="37">
        <f t="shared" si="28"/>
        <v>0</v>
      </c>
    </row>
    <row r="175" spans="1:17" x14ac:dyDescent="0.25">
      <c r="A175" s="38">
        <f>[1]Data!A178</f>
        <v>42736</v>
      </c>
      <c r="B175" s="39">
        <f>[1]Data!B178</f>
        <v>1.7736630525470413E-2</v>
      </c>
      <c r="C175" s="39">
        <f>[1]Data!C178</f>
        <v>8.1874755330735641E-3</v>
      </c>
      <c r="D175" s="40">
        <f>[1]Data!F178</f>
        <v>-3.0726771553304309E-4</v>
      </c>
      <c r="E175" s="41">
        <f>[1]Data!G178</f>
        <v>-1.7469124949815538E-3</v>
      </c>
      <c r="F175" s="40">
        <f>[1]Data!H178</f>
        <v>1.3022385186892627E-2</v>
      </c>
      <c r="G175" s="41">
        <f>[1]Data!I178</f>
        <v>2.2411345145951694E-2</v>
      </c>
      <c r="H175" s="42">
        <f t="shared" si="20"/>
        <v>-1</v>
      </c>
      <c r="I175" s="43">
        <f t="shared" si="29"/>
        <v>1</v>
      </c>
      <c r="J175" s="37">
        <f t="shared" si="21"/>
        <v>0</v>
      </c>
      <c r="K175" s="37">
        <f t="shared" si="22"/>
        <v>3.0726771553304309E-4</v>
      </c>
      <c r="L175" s="37">
        <f t="shared" si="23"/>
        <v>0</v>
      </c>
      <c r="M175" s="37">
        <f t="shared" si="24"/>
        <v>-1.7469124949815538E-3</v>
      </c>
      <c r="N175" s="37">
        <f t="shared" si="25"/>
        <v>1.3022385186892627E-2</v>
      </c>
      <c r="O175" s="37">
        <f t="shared" si="26"/>
        <v>0</v>
      </c>
      <c r="P175" s="37">
        <f t="shared" si="27"/>
        <v>-2.2411345145951694E-2</v>
      </c>
      <c r="Q175" s="37">
        <f t="shared" si="28"/>
        <v>0</v>
      </c>
    </row>
    <row r="176" spans="1:17" x14ac:dyDescent="0.25">
      <c r="A176" s="38">
        <f>[1]Data!A179</f>
        <v>42767</v>
      </c>
      <c r="B176" s="39">
        <f>[1]Data!B179</f>
        <v>3.8538919433910968E-2</v>
      </c>
      <c r="C176" s="39">
        <f>[1]Data!C179</f>
        <v>3.3829412028939944E-2</v>
      </c>
      <c r="D176" s="40">
        <f>[1]Data!F179</f>
        <v>8.0374333251261249E-4</v>
      </c>
      <c r="E176" s="41">
        <f>[1]Data!G179</f>
        <v>1.1815673385502639E-2</v>
      </c>
      <c r="F176" s="40">
        <f>[1]Data!H179</f>
        <v>6.177626594760793E-3</v>
      </c>
      <c r="G176" s="41">
        <f>[1]Data!I179</f>
        <v>6.313412803153901E-3</v>
      </c>
      <c r="H176" s="42">
        <f t="shared" si="20"/>
        <v>-1</v>
      </c>
      <c r="I176" s="43">
        <f t="shared" si="29"/>
        <v>1</v>
      </c>
      <c r="J176" s="37">
        <f t="shared" si="21"/>
        <v>0</v>
      </c>
      <c r="K176" s="37">
        <f t="shared" si="22"/>
        <v>-8.0374333251261249E-4</v>
      </c>
      <c r="L176" s="37">
        <f t="shared" si="23"/>
        <v>0</v>
      </c>
      <c r="M176" s="37">
        <f t="shared" si="24"/>
        <v>1.1815673385502639E-2</v>
      </c>
      <c r="N176" s="37">
        <f t="shared" si="25"/>
        <v>6.177626594760793E-3</v>
      </c>
      <c r="O176" s="37">
        <f t="shared" si="26"/>
        <v>0</v>
      </c>
      <c r="P176" s="37">
        <f t="shared" si="27"/>
        <v>-6.313412803153901E-3</v>
      </c>
      <c r="Q176" s="37">
        <f t="shared" si="28"/>
        <v>0</v>
      </c>
    </row>
    <row r="177" spans="1:17" x14ac:dyDescent="0.25">
      <c r="A177" s="38">
        <f>[1]Data!A180</f>
        <v>42795</v>
      </c>
      <c r="B177" s="39">
        <f>[1]Data!B180</f>
        <v>1.2491492693997353E-3</v>
      </c>
      <c r="C177" s="39">
        <f>[1]Data!C180</f>
        <v>3.9922140618984803E-3</v>
      </c>
      <c r="D177" s="40">
        <f>[1]Data!F180</f>
        <v>8.5629368577621219E-3</v>
      </c>
      <c r="E177" s="41">
        <f>[1]Data!G180</f>
        <v>4.7337774498800505E-3</v>
      </c>
      <c r="F177" s="40">
        <f>[1]Data!H180</f>
        <v>2.2389316731830419E-3</v>
      </c>
      <c r="G177" s="41">
        <f>[1]Data!I180</f>
        <v>-2.5725897024647941E-2</v>
      </c>
      <c r="H177" s="42">
        <f t="shared" si="20"/>
        <v>-1</v>
      </c>
      <c r="I177" s="43">
        <f t="shared" si="29"/>
        <v>1</v>
      </c>
      <c r="J177" s="37">
        <f t="shared" si="21"/>
        <v>0</v>
      </c>
      <c r="K177" s="37">
        <f t="shared" si="22"/>
        <v>-8.5629368577621219E-3</v>
      </c>
      <c r="L177" s="37">
        <f t="shared" si="23"/>
        <v>0</v>
      </c>
      <c r="M177" s="37">
        <f t="shared" si="24"/>
        <v>4.7337774498800505E-3</v>
      </c>
      <c r="N177" s="37">
        <f t="shared" si="25"/>
        <v>2.2389316731830419E-3</v>
      </c>
      <c r="O177" s="37">
        <f t="shared" si="26"/>
        <v>0</v>
      </c>
      <c r="P177" s="37">
        <f t="shared" si="27"/>
        <v>2.5725897024647941E-2</v>
      </c>
      <c r="Q177" s="37">
        <f t="shared" si="28"/>
        <v>0</v>
      </c>
    </row>
    <row r="178" spans="1:17" x14ac:dyDescent="0.25">
      <c r="A178" s="38">
        <f>[1]Data!A181</f>
        <v>42826</v>
      </c>
      <c r="B178" s="39">
        <f>[1]Data!B181</f>
        <v>9.8773929442588729E-3</v>
      </c>
      <c r="C178" s="39">
        <f>[1]Data!C181</f>
        <v>-1.4290845438842705E-2</v>
      </c>
      <c r="D178" s="40">
        <f>[1]Data!F181</f>
        <v>3.8296605534574131E-3</v>
      </c>
      <c r="E178" s="41">
        <f>[1]Data!G181</f>
        <v>-4.7292438397868088E-3</v>
      </c>
      <c r="F178" s="40">
        <f>[1]Data!H181</f>
        <v>-2.2934516881969926E-3</v>
      </c>
      <c r="G178" s="41">
        <f>[1]Data!I181</f>
        <v>2.1143068773714904E-3</v>
      </c>
      <c r="H178" s="42">
        <f t="shared" si="20"/>
        <v>1</v>
      </c>
      <c r="I178" s="43">
        <f t="shared" si="29"/>
        <v>1</v>
      </c>
      <c r="J178" s="37">
        <f t="shared" si="21"/>
        <v>3.8296605534574131E-3</v>
      </c>
      <c r="K178" s="37">
        <f t="shared" si="22"/>
        <v>0</v>
      </c>
      <c r="L178" s="37">
        <f t="shared" si="23"/>
        <v>4.7292438397868088E-3</v>
      </c>
      <c r="M178" s="37">
        <f t="shared" si="24"/>
        <v>0</v>
      </c>
      <c r="N178" s="37">
        <f t="shared" si="25"/>
        <v>-2.2934516881969926E-3</v>
      </c>
      <c r="O178" s="37">
        <f t="shared" si="26"/>
        <v>0</v>
      </c>
      <c r="P178" s="37">
        <f t="shared" si="27"/>
        <v>-2.1143068773714904E-3</v>
      </c>
      <c r="Q178" s="37">
        <f t="shared" si="28"/>
        <v>0</v>
      </c>
    </row>
    <row r="179" spans="1:17" x14ac:dyDescent="0.25">
      <c r="A179" s="38">
        <f>[1]Data!A182</f>
        <v>42856</v>
      </c>
      <c r="B179" s="39">
        <f>[1]Data!B182</f>
        <v>1.4014317538461586E-2</v>
      </c>
      <c r="C179" s="39">
        <f>[1]Data!C182</f>
        <v>-1.2174791707059551E-2</v>
      </c>
      <c r="D179" s="40">
        <f>[1]Data!F182</f>
        <v>1.3048463036209022E-2</v>
      </c>
      <c r="E179" s="41">
        <f>[1]Data!G182</f>
        <v>5.5622347575965247E-3</v>
      </c>
      <c r="F179" s="40">
        <f>[1]Data!H182</f>
        <v>6.7812919234909548E-3</v>
      </c>
      <c r="G179" s="41">
        <f>[1]Data!I182</f>
        <v>-6.6150014584280652E-3</v>
      </c>
      <c r="H179" s="42">
        <f t="shared" si="20"/>
        <v>1</v>
      </c>
      <c r="I179" s="43">
        <f t="shared" si="29"/>
        <v>-1</v>
      </c>
      <c r="J179" s="37">
        <f t="shared" si="21"/>
        <v>1.3048463036209022E-2</v>
      </c>
      <c r="K179" s="37">
        <f t="shared" si="22"/>
        <v>0</v>
      </c>
      <c r="L179" s="37">
        <f t="shared" si="23"/>
        <v>-5.5622347575965247E-3</v>
      </c>
      <c r="M179" s="37">
        <f t="shared" si="24"/>
        <v>0</v>
      </c>
      <c r="N179" s="37">
        <f t="shared" si="25"/>
        <v>0</v>
      </c>
      <c r="O179" s="37">
        <f t="shared" si="26"/>
        <v>-6.7812919234909548E-3</v>
      </c>
      <c r="P179" s="37">
        <f t="shared" si="27"/>
        <v>0</v>
      </c>
      <c r="Q179" s="37">
        <f t="shared" si="28"/>
        <v>-6.6150014584280652E-3</v>
      </c>
    </row>
    <row r="180" spans="1:17" x14ac:dyDescent="0.25">
      <c r="A180" s="38">
        <f>[1]Data!A183</f>
        <v>42887</v>
      </c>
      <c r="B180" s="39">
        <f>[1]Data!B183</f>
        <v>6.3545861267207517E-3</v>
      </c>
      <c r="C180" s="39">
        <f>[1]Data!C183</f>
        <v>-1.6101415999681234E-2</v>
      </c>
      <c r="D180" s="40">
        <f>[1]Data!F183</f>
        <v>-4.7446716389456332E-3</v>
      </c>
      <c r="E180" s="41">
        <f>[1]Data!G183</f>
        <v>-1.931330464486547E-2</v>
      </c>
      <c r="F180" s="40">
        <f>[1]Data!H183</f>
        <v>9.1528318163321392E-3</v>
      </c>
      <c r="G180" s="41">
        <f>[1]Data!I183</f>
        <v>6.2874723135301919E-3</v>
      </c>
      <c r="H180" s="42">
        <f t="shared" si="20"/>
        <v>1</v>
      </c>
      <c r="I180" s="43">
        <f t="shared" si="29"/>
        <v>-1</v>
      </c>
      <c r="J180" s="37">
        <f t="shared" si="21"/>
        <v>-4.7446716389456332E-3</v>
      </c>
      <c r="K180" s="37">
        <f t="shared" si="22"/>
        <v>0</v>
      </c>
      <c r="L180" s="37">
        <f t="shared" si="23"/>
        <v>1.931330464486547E-2</v>
      </c>
      <c r="M180" s="37">
        <f t="shared" si="24"/>
        <v>0</v>
      </c>
      <c r="N180" s="37">
        <f t="shared" si="25"/>
        <v>0</v>
      </c>
      <c r="O180" s="37">
        <f t="shared" si="26"/>
        <v>-9.1528318163321392E-3</v>
      </c>
      <c r="P180" s="37">
        <f t="shared" si="27"/>
        <v>0</v>
      </c>
      <c r="Q180" s="37">
        <f t="shared" si="28"/>
        <v>6.2874723135301919E-3</v>
      </c>
    </row>
    <row r="181" spans="1:17" x14ac:dyDescent="0.25">
      <c r="A181" s="38">
        <f>[1]Data!A184</f>
        <v>42917</v>
      </c>
      <c r="B181" s="39">
        <f>[1]Data!B184</f>
        <v>2.0345845083848145E-2</v>
      </c>
      <c r="C181" s="39">
        <f>[1]Data!C184</f>
        <v>1.7845544606009206E-2</v>
      </c>
      <c r="D181" s="40">
        <f>[1]Data!F184</f>
        <v>-2.027021590706975E-4</v>
      </c>
      <c r="E181" s="41">
        <f>[1]Data!G184</f>
        <v>-9.3082848650070573E-3</v>
      </c>
      <c r="F181" s="40">
        <f>[1]Data!H184</f>
        <v>2.3545168863634497E-3</v>
      </c>
      <c r="G181" s="41">
        <f>[1]Data!I184</f>
        <v>-1.5838213840254231E-2</v>
      </c>
      <c r="H181" s="42">
        <f t="shared" si="20"/>
        <v>-1</v>
      </c>
      <c r="I181" s="43">
        <f t="shared" si="29"/>
        <v>-1</v>
      </c>
      <c r="J181" s="37">
        <f t="shared" si="21"/>
        <v>0</v>
      </c>
      <c r="K181" s="37">
        <f t="shared" si="22"/>
        <v>2.027021590706975E-4</v>
      </c>
      <c r="L181" s="37">
        <f t="shared" si="23"/>
        <v>0</v>
      </c>
      <c r="M181" s="37">
        <f t="shared" si="24"/>
        <v>-9.3082848650070573E-3</v>
      </c>
      <c r="N181" s="37">
        <f t="shared" si="25"/>
        <v>0</v>
      </c>
      <c r="O181" s="37">
        <f t="shared" si="26"/>
        <v>-2.3545168863634497E-3</v>
      </c>
      <c r="P181" s="37">
        <f t="shared" si="27"/>
        <v>0</v>
      </c>
      <c r="Q181" s="37">
        <f t="shared" si="28"/>
        <v>-1.5838213840254231E-2</v>
      </c>
    </row>
    <row r="182" spans="1:17" x14ac:dyDescent="0.25">
      <c r="A182" s="38">
        <f>[1]Data!A185</f>
        <v>42948</v>
      </c>
      <c r="B182" s="39">
        <f>[1]Data!B185</f>
        <v>2.9134528973781262E-3</v>
      </c>
      <c r="C182" s="39">
        <f>[1]Data!C185</f>
        <v>-4.1009972453845592E-2</v>
      </c>
      <c r="D182" s="40">
        <f>[1]Data!F185</f>
        <v>1.8720414788120646E-2</v>
      </c>
      <c r="E182" s="41">
        <f>[1]Data!G185</f>
        <v>8.3160340593675108E-3</v>
      </c>
      <c r="F182" s="40">
        <f>[1]Data!H185</f>
        <v>4.4476018160733407E-3</v>
      </c>
      <c r="G182" s="41">
        <f>[1]Data!I185</f>
        <v>1.0440815111997317E-2</v>
      </c>
      <c r="H182" s="42">
        <f t="shared" si="20"/>
        <v>1</v>
      </c>
      <c r="I182" s="43">
        <f t="shared" si="29"/>
        <v>1</v>
      </c>
      <c r="J182" s="37">
        <f t="shared" si="21"/>
        <v>1.8720414788120646E-2</v>
      </c>
      <c r="K182" s="37">
        <f t="shared" si="22"/>
        <v>0</v>
      </c>
      <c r="L182" s="37">
        <f t="shared" si="23"/>
        <v>-8.3160340593675108E-3</v>
      </c>
      <c r="M182" s="37">
        <f t="shared" si="24"/>
        <v>0</v>
      </c>
      <c r="N182" s="37">
        <f t="shared" si="25"/>
        <v>4.4476018160733407E-3</v>
      </c>
      <c r="O182" s="37">
        <f t="shared" si="26"/>
        <v>0</v>
      </c>
      <c r="P182" s="37">
        <f t="shared" si="27"/>
        <v>-1.0440815111997317E-2</v>
      </c>
      <c r="Q182" s="37">
        <f t="shared" si="28"/>
        <v>0</v>
      </c>
    </row>
    <row r="183" spans="1:17" x14ac:dyDescent="0.25">
      <c r="A183" s="38">
        <f>[1]Data!A186</f>
        <v>42979</v>
      </c>
      <c r="B183" s="39">
        <f>[1]Data!B186</f>
        <v>1.9949065315565978E-2</v>
      </c>
      <c r="C183" s="39">
        <f>[1]Data!C186</f>
        <v>2.4825683207458794E-2</v>
      </c>
      <c r="D183" s="40">
        <f>[1]Data!F186</f>
        <v>7.1503780901424818E-3</v>
      </c>
      <c r="E183" s="41">
        <f>[1]Data!G186</f>
        <v>-1.1476065359011158E-2</v>
      </c>
      <c r="F183" s="40">
        <f>[1]Data!H186</f>
        <v>-3.6838284491937236E-3</v>
      </c>
      <c r="G183" s="41">
        <f>[1]Data!I186</f>
        <v>9.9175769496123098E-3</v>
      </c>
      <c r="H183" s="42">
        <f t="shared" si="20"/>
        <v>-1</v>
      </c>
      <c r="I183" s="43">
        <f t="shared" si="29"/>
        <v>-1</v>
      </c>
      <c r="J183" s="37">
        <f t="shared" si="21"/>
        <v>0</v>
      </c>
      <c r="K183" s="37">
        <f t="shared" si="22"/>
        <v>-7.1503780901424818E-3</v>
      </c>
      <c r="L183" s="37">
        <f t="shared" si="23"/>
        <v>0</v>
      </c>
      <c r="M183" s="37">
        <f t="shared" si="24"/>
        <v>-1.1476065359011158E-2</v>
      </c>
      <c r="N183" s="37">
        <f t="shared" si="25"/>
        <v>0</v>
      </c>
      <c r="O183" s="37">
        <f t="shared" si="26"/>
        <v>3.6838284491937236E-3</v>
      </c>
      <c r="P183" s="37">
        <f t="shared" si="27"/>
        <v>0</v>
      </c>
      <c r="Q183" s="37">
        <f t="shared" si="28"/>
        <v>9.9175769496123098E-3</v>
      </c>
    </row>
    <row r="184" spans="1:17" x14ac:dyDescent="0.25">
      <c r="A184" s="38">
        <f>[1]Data!A187</f>
        <v>43009</v>
      </c>
      <c r="B184" s="39">
        <f>[1]Data!B187</f>
        <v>2.3290794499632155E-2</v>
      </c>
      <c r="C184" s="39">
        <f>[1]Data!C187</f>
        <v>2.7384725407794141E-2</v>
      </c>
      <c r="D184" s="40">
        <f>[1]Data!F187</f>
        <v>1.5569506471131917E-4</v>
      </c>
      <c r="E184" s="41">
        <f>[1]Data!G187</f>
        <v>3.8642134794598494E-3</v>
      </c>
      <c r="F184" s="40">
        <f>[1]Data!H187</f>
        <v>1.2421072327983434E-2</v>
      </c>
      <c r="G184" s="41">
        <f>[1]Data!I187</f>
        <v>-7.4003364513960937E-3</v>
      </c>
      <c r="H184" s="42">
        <f t="shared" si="20"/>
        <v>-1</v>
      </c>
      <c r="I184" s="43">
        <f t="shared" si="29"/>
        <v>1</v>
      </c>
      <c r="J184" s="37">
        <f t="shared" si="21"/>
        <v>0</v>
      </c>
      <c r="K184" s="37">
        <f t="shared" si="22"/>
        <v>-1.5569506471131917E-4</v>
      </c>
      <c r="L184" s="37">
        <f t="shared" si="23"/>
        <v>0</v>
      </c>
      <c r="M184" s="37">
        <f t="shared" si="24"/>
        <v>3.8642134794598494E-3</v>
      </c>
      <c r="N184" s="37">
        <f t="shared" si="25"/>
        <v>1.2421072327983434E-2</v>
      </c>
      <c r="O184" s="37">
        <f t="shared" si="26"/>
        <v>0</v>
      </c>
      <c r="P184" s="37">
        <f t="shared" si="27"/>
        <v>7.4003364513960937E-3</v>
      </c>
      <c r="Q184" s="37">
        <f t="shared" si="28"/>
        <v>0</v>
      </c>
    </row>
    <row r="185" spans="1:17" x14ac:dyDescent="0.25">
      <c r="A185" s="38">
        <f>[1]Data!A188</f>
        <v>43040</v>
      </c>
      <c r="B185" s="39">
        <f>[1]Data!B188</f>
        <v>3.0108033419569857E-2</v>
      </c>
      <c r="C185" s="39">
        <f>[1]Data!C188</f>
        <v>-9.2851896473847284E-3</v>
      </c>
      <c r="D185" s="40">
        <f>[1]Data!F188</f>
        <v>1.9124491699953942E-2</v>
      </c>
      <c r="E185" s="41">
        <f>[1]Data!G188</f>
        <v>-1.2864800095172853E-2</v>
      </c>
      <c r="F185" s="40">
        <f>[1]Data!H188</f>
        <v>5.8935784243084929E-3</v>
      </c>
      <c r="G185" s="41">
        <f>[1]Data!I188</f>
        <v>1.9478850220005867E-2</v>
      </c>
      <c r="H185" s="42">
        <f t="shared" si="20"/>
        <v>1</v>
      </c>
      <c r="I185" s="43">
        <f t="shared" si="29"/>
        <v>1</v>
      </c>
      <c r="J185" s="37">
        <f t="shared" si="21"/>
        <v>1.9124491699953942E-2</v>
      </c>
      <c r="K185" s="37">
        <f t="shared" si="22"/>
        <v>0</v>
      </c>
      <c r="L185" s="37">
        <f t="shared" si="23"/>
        <v>1.2864800095172853E-2</v>
      </c>
      <c r="M185" s="37">
        <f t="shared" si="24"/>
        <v>0</v>
      </c>
      <c r="N185" s="37">
        <f t="shared" si="25"/>
        <v>5.8935784243084929E-3</v>
      </c>
      <c r="O185" s="37">
        <f t="shared" si="26"/>
        <v>0</v>
      </c>
      <c r="P185" s="37">
        <f t="shared" si="27"/>
        <v>-1.9478850220005867E-2</v>
      </c>
      <c r="Q185" s="37">
        <f t="shared" si="28"/>
        <v>0</v>
      </c>
    </row>
    <row r="186" spans="1:17" x14ac:dyDescent="0.25">
      <c r="A186" s="38">
        <f>[1]Data!A189</f>
        <v>43070</v>
      </c>
      <c r="B186" s="39">
        <f>[1]Data!B189</f>
        <v>1.2054926300833912E-2</v>
      </c>
      <c r="C186" s="39">
        <f>[1]Data!C189</f>
        <v>1.4761218569910816E-2</v>
      </c>
      <c r="D186" s="40">
        <f>[1]Data!F189</f>
        <v>-2.6943650722405415E-3</v>
      </c>
      <c r="E186" s="41">
        <f>[1]Data!G189</f>
        <v>1.797561517747976E-2</v>
      </c>
      <c r="F186" s="40">
        <f>[1]Data!H189</f>
        <v>-3.5535092876116834E-3</v>
      </c>
      <c r="G186" s="41">
        <f>[1]Data!I189</f>
        <v>1.4431380571680936E-2</v>
      </c>
      <c r="H186" s="42">
        <f t="shared" si="20"/>
        <v>-1</v>
      </c>
      <c r="I186" s="43">
        <f t="shared" si="29"/>
        <v>-1</v>
      </c>
      <c r="J186" s="37">
        <f t="shared" si="21"/>
        <v>0</v>
      </c>
      <c r="K186" s="37">
        <f t="shared" si="22"/>
        <v>2.6943650722405415E-3</v>
      </c>
      <c r="L186" s="37">
        <f t="shared" si="23"/>
        <v>0</v>
      </c>
      <c r="M186" s="37">
        <f t="shared" si="24"/>
        <v>1.797561517747976E-2</v>
      </c>
      <c r="N186" s="37">
        <f t="shared" si="25"/>
        <v>0</v>
      </c>
      <c r="O186" s="37">
        <f t="shared" si="26"/>
        <v>3.5535092876116834E-3</v>
      </c>
      <c r="P186" s="37">
        <f t="shared" si="27"/>
        <v>0</v>
      </c>
      <c r="Q186" s="37">
        <f t="shared" si="28"/>
        <v>1.4431380571680936E-2</v>
      </c>
    </row>
    <row r="187" spans="1:17" x14ac:dyDescent="0.25">
      <c r="A187" s="38">
        <f>[1]Data!A190</f>
        <v>43101</v>
      </c>
      <c r="B187" s="39">
        <f>[1]Data!B190</f>
        <v>5.4828271854461215E-2</v>
      </c>
      <c r="C187" s="39">
        <f>[1]Data!C190</f>
        <v>8.489099216019512E-2</v>
      </c>
      <c r="D187" s="40">
        <f>[1]Data!F190</f>
        <v>-4.9188412320792449E-3</v>
      </c>
      <c r="E187" s="41">
        <f>[1]Data!G190</f>
        <v>-7.953068046105842E-3</v>
      </c>
      <c r="F187" s="40">
        <f>[1]Data!H190</f>
        <v>2.611185060363698E-2</v>
      </c>
      <c r="G187" s="41">
        <f>[1]Data!I190</f>
        <v>-9.7429498527237257E-3</v>
      </c>
      <c r="H187" s="42">
        <f t="shared" si="20"/>
        <v>-1</v>
      </c>
      <c r="I187" s="43">
        <f t="shared" si="29"/>
        <v>1</v>
      </c>
      <c r="J187" s="37">
        <f t="shared" si="21"/>
        <v>0</v>
      </c>
      <c r="K187" s="37">
        <f t="shared" si="22"/>
        <v>4.9188412320792449E-3</v>
      </c>
      <c r="L187" s="37">
        <f t="shared" si="23"/>
        <v>0</v>
      </c>
      <c r="M187" s="37">
        <f t="shared" si="24"/>
        <v>-7.953068046105842E-3</v>
      </c>
      <c r="N187" s="37">
        <f t="shared" si="25"/>
        <v>2.611185060363698E-2</v>
      </c>
      <c r="O187" s="37">
        <f t="shared" si="26"/>
        <v>0</v>
      </c>
      <c r="P187" s="37">
        <f t="shared" si="27"/>
        <v>9.7429498527237257E-3</v>
      </c>
      <c r="Q187" s="37">
        <f t="shared" si="28"/>
        <v>0</v>
      </c>
    </row>
    <row r="188" spans="1:17" x14ac:dyDescent="0.25">
      <c r="A188" s="38">
        <f>[1]Data!A191</f>
        <v>43132</v>
      </c>
      <c r="B188" s="39">
        <f>[1]Data!B191</f>
        <v>-3.7037849864770427E-2</v>
      </c>
      <c r="C188" s="39">
        <f>[1]Data!C191</f>
        <v>3.3142235625002285E-3</v>
      </c>
      <c r="D188" s="40">
        <f>[1]Data!F191</f>
        <v>4.612206093618048E-3</v>
      </c>
      <c r="E188" s="41">
        <f>[1]Data!G191</f>
        <v>1.4077719218767796E-2</v>
      </c>
      <c r="F188" s="40">
        <f>[1]Data!H191</f>
        <v>-5.1797452432327633E-2</v>
      </c>
      <c r="G188" s="41">
        <f>[1]Data!I191</f>
        <v>-3.0297480730135874E-2</v>
      </c>
      <c r="H188" s="42">
        <f t="shared" si="20"/>
        <v>-1</v>
      </c>
      <c r="I188" s="43">
        <f t="shared" si="29"/>
        <v>1</v>
      </c>
      <c r="J188" s="37">
        <f t="shared" si="21"/>
        <v>0</v>
      </c>
      <c r="K188" s="37">
        <f t="shared" si="22"/>
        <v>-4.612206093618048E-3</v>
      </c>
      <c r="L188" s="37">
        <f t="shared" si="23"/>
        <v>0</v>
      </c>
      <c r="M188" s="37">
        <f t="shared" si="24"/>
        <v>1.4077719218767796E-2</v>
      </c>
      <c r="N188" s="37">
        <f t="shared" si="25"/>
        <v>-5.1797452432327633E-2</v>
      </c>
      <c r="O188" s="37">
        <f t="shared" si="26"/>
        <v>0</v>
      </c>
      <c r="P188" s="37">
        <f t="shared" si="27"/>
        <v>3.0297480730135874E-2</v>
      </c>
      <c r="Q188" s="37">
        <f t="shared" si="28"/>
        <v>0</v>
      </c>
    </row>
    <row r="189" spans="1:17" x14ac:dyDescent="0.25">
      <c r="A189" s="38">
        <f>[1]Data!A192</f>
        <v>43160</v>
      </c>
      <c r="B189" s="39">
        <f>[1]Data!B192</f>
        <v>-2.7793433573292677E-2</v>
      </c>
      <c r="C189" s="39">
        <f>[1]Data!C192</f>
        <v>-5.2935112321216594E-3</v>
      </c>
      <c r="D189" s="40">
        <f>[1]Data!F192</f>
        <v>-2.7289331721891623E-2</v>
      </c>
      <c r="E189" s="41">
        <f>[1]Data!G192</f>
        <v>2.3406021679418101E-2</v>
      </c>
      <c r="F189" s="40">
        <f>[1]Data!H192</f>
        <v>4.1509370241881328E-3</v>
      </c>
      <c r="G189" s="41">
        <f>[1]Data!I192</f>
        <v>-4.2362346869143676E-3</v>
      </c>
      <c r="H189" s="42">
        <f t="shared" si="20"/>
        <v>1</v>
      </c>
      <c r="I189" s="43">
        <f t="shared" si="29"/>
        <v>1</v>
      </c>
      <c r="J189" s="37">
        <f t="shared" si="21"/>
        <v>-2.7289331721891623E-2</v>
      </c>
      <c r="K189" s="37">
        <f t="shared" si="22"/>
        <v>0</v>
      </c>
      <c r="L189" s="37">
        <f t="shared" si="23"/>
        <v>-2.3406021679418101E-2</v>
      </c>
      <c r="M189" s="37">
        <f t="shared" si="24"/>
        <v>0</v>
      </c>
      <c r="N189" s="37">
        <f t="shared" si="25"/>
        <v>4.1509370241881328E-3</v>
      </c>
      <c r="O189" s="37">
        <f t="shared" si="26"/>
        <v>0</v>
      </c>
      <c r="P189" s="37">
        <f t="shared" si="27"/>
        <v>4.2362346869143676E-3</v>
      </c>
      <c r="Q189" s="37">
        <f t="shared" si="28"/>
        <v>0</v>
      </c>
    </row>
    <row r="190" spans="1:17" x14ac:dyDescent="0.25">
      <c r="A190" s="38">
        <f>[1]Data!A193</f>
        <v>43191</v>
      </c>
      <c r="B190" s="39">
        <f>[1]Data!B193</f>
        <v>5.155135816983761E-3</v>
      </c>
      <c r="C190" s="39">
        <f>[1]Data!C193</f>
        <v>3.9553379733160809E-2</v>
      </c>
      <c r="D190" s="40">
        <f>[1]Data!F193</f>
        <v>-7.907851804735291E-3</v>
      </c>
      <c r="E190" s="41">
        <f>[1]Data!G193</f>
        <v>5.3875995769281076E-3</v>
      </c>
      <c r="F190" s="40">
        <f>[1]Data!H193</f>
        <v>-1.3120120457373973E-2</v>
      </c>
      <c r="G190" s="41">
        <f>[1]Data!I193</f>
        <v>-4.4493660091164625E-3</v>
      </c>
      <c r="H190" s="42">
        <f t="shared" si="20"/>
        <v>-1</v>
      </c>
      <c r="I190" s="43">
        <f t="shared" si="29"/>
        <v>-1</v>
      </c>
      <c r="J190" s="37">
        <f t="shared" si="21"/>
        <v>0</v>
      </c>
      <c r="K190" s="37">
        <f t="shared" si="22"/>
        <v>7.907851804735291E-3</v>
      </c>
      <c r="L190" s="37">
        <f t="shared" si="23"/>
        <v>0</v>
      </c>
      <c r="M190" s="37">
        <f t="shared" si="24"/>
        <v>5.3875995769281076E-3</v>
      </c>
      <c r="N190" s="37">
        <f t="shared" si="25"/>
        <v>0</v>
      </c>
      <c r="O190" s="37">
        <f t="shared" si="26"/>
        <v>1.3120120457373973E-2</v>
      </c>
      <c r="P190" s="37">
        <f t="shared" si="27"/>
        <v>0</v>
      </c>
      <c r="Q190" s="37">
        <f t="shared" si="28"/>
        <v>-4.4493660091164625E-3</v>
      </c>
    </row>
    <row r="191" spans="1:17" x14ac:dyDescent="0.25">
      <c r="A191" s="38">
        <f>[1]Data!A194</f>
        <v>43221</v>
      </c>
      <c r="B191" s="39">
        <f>[1]Data!B194</f>
        <v>2.4018339830640102E-2</v>
      </c>
      <c r="C191" s="39">
        <f>[1]Data!C194</f>
        <v>4.622878211369133E-2</v>
      </c>
      <c r="D191" s="40">
        <f>[1]Data!F194</f>
        <v>-8.9288138674606353E-3</v>
      </c>
      <c r="E191" s="41">
        <f>[1]Data!G194</f>
        <v>3.3127622359462053E-2</v>
      </c>
      <c r="F191" s="40">
        <f>[1]Data!H194</f>
        <v>9.0696994359868478E-3</v>
      </c>
      <c r="G191" s="41">
        <f>[1]Data!I194</f>
        <v>-3.1973625113052581E-4</v>
      </c>
      <c r="H191" s="42">
        <f t="shared" si="20"/>
        <v>-1</v>
      </c>
      <c r="I191" s="43">
        <f t="shared" si="29"/>
        <v>1</v>
      </c>
      <c r="J191" s="37">
        <f t="shared" si="21"/>
        <v>0</v>
      </c>
      <c r="K191" s="37">
        <f t="shared" si="22"/>
        <v>8.9288138674606353E-3</v>
      </c>
      <c r="L191" s="37">
        <f t="shared" si="23"/>
        <v>0</v>
      </c>
      <c r="M191" s="37">
        <f t="shared" si="24"/>
        <v>3.3127622359462053E-2</v>
      </c>
      <c r="N191" s="37">
        <f t="shared" si="25"/>
        <v>9.0696994359868478E-3</v>
      </c>
      <c r="O191" s="37">
        <f t="shared" si="26"/>
        <v>0</v>
      </c>
      <c r="P191" s="37">
        <f t="shared" si="27"/>
        <v>3.1973625113052581E-4</v>
      </c>
      <c r="Q191" s="37">
        <f t="shared" si="28"/>
        <v>0</v>
      </c>
    </row>
    <row r="192" spans="1:17" x14ac:dyDescent="0.25">
      <c r="A192" s="38">
        <f>[1]Data!A195</f>
        <v>43252</v>
      </c>
      <c r="B192" s="39">
        <f>[1]Data!B195</f>
        <v>5.7342135862078081E-3</v>
      </c>
      <c r="C192" s="39">
        <f>[1]Data!C195</f>
        <v>1.9890913306014949E-2</v>
      </c>
      <c r="D192" s="40">
        <f>[1]Data!F195</f>
        <v>-1.0852293153218664E-2</v>
      </c>
      <c r="E192" s="41">
        <f>[1]Data!G195</f>
        <v>9.7416301856381483E-3</v>
      </c>
      <c r="F192" s="40">
        <f>[1]Data!H195</f>
        <v>2.3455087543905965E-2</v>
      </c>
      <c r="G192" s="41">
        <f>[1]Data!I195</f>
        <v>-8.7115890843291292E-3</v>
      </c>
      <c r="H192" s="42">
        <f t="shared" si="20"/>
        <v>-1</v>
      </c>
      <c r="I192" s="43">
        <f t="shared" si="29"/>
        <v>1</v>
      </c>
      <c r="J192" s="37">
        <f t="shared" si="21"/>
        <v>0</v>
      </c>
      <c r="K192" s="37">
        <f t="shared" si="22"/>
        <v>1.0852293153218664E-2</v>
      </c>
      <c r="L192" s="37">
        <f t="shared" si="23"/>
        <v>0</v>
      </c>
      <c r="M192" s="37">
        <f t="shared" si="24"/>
        <v>9.7416301856381483E-3</v>
      </c>
      <c r="N192" s="37">
        <f t="shared" si="25"/>
        <v>2.3455087543905965E-2</v>
      </c>
      <c r="O192" s="37">
        <f t="shared" si="26"/>
        <v>0</v>
      </c>
      <c r="P192" s="37">
        <f t="shared" si="27"/>
        <v>8.7115890843291292E-3</v>
      </c>
      <c r="Q192" s="37">
        <f t="shared" si="28"/>
        <v>0</v>
      </c>
    </row>
    <row r="193" spans="1:17" x14ac:dyDescent="0.25">
      <c r="A193" s="38">
        <f>[1]Data!A196</f>
        <v>43282</v>
      </c>
      <c r="B193" s="39">
        <f>[1]Data!B196</f>
        <v>3.6376741452448347E-2</v>
      </c>
      <c r="C193" s="39">
        <f>[1]Data!C196</f>
        <v>5.0424260444974993E-2</v>
      </c>
      <c r="D193" s="40">
        <f>[1]Data!F196</f>
        <v>4.0243726201898361E-3</v>
      </c>
      <c r="E193" s="41">
        <f>[1]Data!G196</f>
        <v>3.5988725289574108E-3</v>
      </c>
      <c r="F193" s="40">
        <f>[1]Data!H196</f>
        <v>2.4109842838069995E-2</v>
      </c>
      <c r="G193" s="41">
        <f>[1]Data!I196</f>
        <v>4.2316357374993256E-3</v>
      </c>
      <c r="H193" s="42">
        <f t="shared" si="20"/>
        <v>-1</v>
      </c>
      <c r="I193" s="43">
        <f t="shared" si="29"/>
        <v>1</v>
      </c>
      <c r="J193" s="37">
        <f t="shared" si="21"/>
        <v>0</v>
      </c>
      <c r="K193" s="37">
        <f t="shared" si="22"/>
        <v>-4.0243726201898361E-3</v>
      </c>
      <c r="L193" s="37">
        <f t="shared" si="23"/>
        <v>0</v>
      </c>
      <c r="M193" s="37">
        <f t="shared" si="24"/>
        <v>3.5988725289574108E-3</v>
      </c>
      <c r="N193" s="37">
        <f t="shared" si="25"/>
        <v>2.4109842838069995E-2</v>
      </c>
      <c r="O193" s="37">
        <f t="shared" si="26"/>
        <v>0</v>
      </c>
      <c r="P193" s="37">
        <f t="shared" si="27"/>
        <v>-4.2316357374993256E-3</v>
      </c>
      <c r="Q193" s="37">
        <f t="shared" si="28"/>
        <v>0</v>
      </c>
    </row>
    <row r="194" spans="1:17" x14ac:dyDescent="0.25">
      <c r="A194" s="38">
        <f>[1]Data!A197</f>
        <v>43313</v>
      </c>
      <c r="B194" s="39">
        <f>[1]Data!B197</f>
        <v>3.1421186958409397E-2</v>
      </c>
      <c r="C194" s="39">
        <f>[1]Data!C197</f>
        <v>1.4811586670283932E-3</v>
      </c>
      <c r="D194" s="40">
        <f>[1]Data!F197</f>
        <v>1.3769505626484929E-2</v>
      </c>
      <c r="E194" s="41">
        <f>[1]Data!G197</f>
        <v>-3.1356211291794739E-3</v>
      </c>
      <c r="F194" s="40">
        <f>[1]Data!H197</f>
        <v>1.499390366819545E-2</v>
      </c>
      <c r="G194" s="41">
        <f>[1]Data!I197</f>
        <v>-6.4092701862888662E-3</v>
      </c>
      <c r="H194" s="42">
        <f t="shared" ref="H194:H257" si="30">IF(C194&gt;0,-1,1)</f>
        <v>-1</v>
      </c>
      <c r="I194" s="43">
        <f t="shared" si="29"/>
        <v>1</v>
      </c>
      <c r="J194" s="37">
        <f t="shared" ref="J194:J257" si="31">IF(H194=1,D194,0)</f>
        <v>0</v>
      </c>
      <c r="K194" s="37">
        <f t="shared" ref="K194:K257" si="32">IF(H194=-1,-D194,0)</f>
        <v>-1.3769505626484929E-2</v>
      </c>
      <c r="L194" s="37">
        <f t="shared" ref="L194:L257" si="33">IF(H194=1,-E194,0)</f>
        <v>0</v>
      </c>
      <c r="M194" s="37">
        <f t="shared" ref="M194:M257" si="34">IF(H194=-1,E194,0)</f>
        <v>-3.1356211291794739E-3</v>
      </c>
      <c r="N194" s="37">
        <f t="shared" ref="N194:N257" si="35">IF(I194=1,F194,0)</f>
        <v>1.499390366819545E-2</v>
      </c>
      <c r="O194" s="37">
        <f t="shared" ref="O194:O257" si="36">IF(I194=-1,-F194,0)</f>
        <v>0</v>
      </c>
      <c r="P194" s="37">
        <f t="shared" ref="P194:P257" si="37">IF(I194=1,-G194,0)</f>
        <v>6.4092701862888662E-3</v>
      </c>
      <c r="Q194" s="37">
        <f t="shared" ref="Q194:Q257" si="38">IF(I194=-1,G194,0)</f>
        <v>0</v>
      </c>
    </row>
    <row r="195" spans="1:17" x14ac:dyDescent="0.25">
      <c r="A195" s="38">
        <f>[1]Data!A198</f>
        <v>43344</v>
      </c>
      <c r="B195" s="39">
        <f>[1]Data!B198</f>
        <v>5.927802348534324E-3</v>
      </c>
      <c r="C195" s="39">
        <f>[1]Data!C198</f>
        <v>4.003650712396669E-2</v>
      </c>
      <c r="D195" s="40">
        <f>[1]Data!F198</f>
        <v>-1.0316341066677899E-3</v>
      </c>
      <c r="E195" s="41">
        <f>[1]Data!G198</f>
        <v>4.0162620680217831E-3</v>
      </c>
      <c r="F195" s="40">
        <f>[1]Data!H198</f>
        <v>-7.6417809972011853E-3</v>
      </c>
      <c r="G195" s="41">
        <f>[1]Data!I198</f>
        <v>-9.638032562270242E-3</v>
      </c>
      <c r="H195" s="42">
        <f t="shared" si="30"/>
        <v>-1</v>
      </c>
      <c r="I195" s="43">
        <f t="shared" ref="I195:I258" si="39">IF(C194&gt;0,1,-1)</f>
        <v>1</v>
      </c>
      <c r="J195" s="37">
        <f t="shared" si="31"/>
        <v>0</v>
      </c>
      <c r="K195" s="37">
        <f t="shared" si="32"/>
        <v>1.0316341066677899E-3</v>
      </c>
      <c r="L195" s="37">
        <f t="shared" si="33"/>
        <v>0</v>
      </c>
      <c r="M195" s="37">
        <f t="shared" si="34"/>
        <v>4.0162620680217831E-3</v>
      </c>
      <c r="N195" s="37">
        <f t="shared" si="35"/>
        <v>-7.6417809972011853E-3</v>
      </c>
      <c r="O195" s="37">
        <f t="shared" si="36"/>
        <v>0</v>
      </c>
      <c r="P195" s="37">
        <f t="shared" si="37"/>
        <v>9.638032562270242E-3</v>
      </c>
      <c r="Q195" s="37">
        <f t="shared" si="38"/>
        <v>0</v>
      </c>
    </row>
    <row r="196" spans="1:17" x14ac:dyDescent="0.25">
      <c r="A196" s="38">
        <f>[1]Data!A199</f>
        <v>43374</v>
      </c>
      <c r="B196" s="39">
        <f>[1]Data!B199</f>
        <v>-7.1608176933506767E-2</v>
      </c>
      <c r="C196" s="39">
        <f>[1]Data!C199</f>
        <v>-2.2454685946034773E-2</v>
      </c>
      <c r="D196" s="40">
        <f>[1]Data!F199</f>
        <v>-2.0553717379581858E-2</v>
      </c>
      <c r="E196" s="41">
        <f>[1]Data!G199</f>
        <v>-1.143701118667192E-3</v>
      </c>
      <c r="F196" s="40">
        <f>[1]Data!H199</f>
        <v>-1.0025517699890484E-2</v>
      </c>
      <c r="G196" s="41">
        <f>[1]Data!I199</f>
        <v>-3.4509257523105241E-2</v>
      </c>
      <c r="H196" s="42">
        <f t="shared" si="30"/>
        <v>1</v>
      </c>
      <c r="I196" s="43">
        <f t="shared" si="39"/>
        <v>1</v>
      </c>
      <c r="J196" s="37">
        <f t="shared" si="31"/>
        <v>-2.0553717379581858E-2</v>
      </c>
      <c r="K196" s="37">
        <f t="shared" si="32"/>
        <v>0</v>
      </c>
      <c r="L196" s="37">
        <f t="shared" si="33"/>
        <v>1.143701118667192E-3</v>
      </c>
      <c r="M196" s="37">
        <f t="shared" si="34"/>
        <v>0</v>
      </c>
      <c r="N196" s="37">
        <f t="shared" si="35"/>
        <v>-1.0025517699890484E-2</v>
      </c>
      <c r="O196" s="37">
        <f t="shared" si="36"/>
        <v>0</v>
      </c>
      <c r="P196" s="37">
        <f t="shared" si="37"/>
        <v>3.4509257523105241E-2</v>
      </c>
      <c r="Q196" s="37">
        <f t="shared" si="38"/>
        <v>0</v>
      </c>
    </row>
    <row r="197" spans="1:17" x14ac:dyDescent="0.25">
      <c r="A197" s="38">
        <f>[1]Data!A200</f>
        <v>43405</v>
      </c>
      <c r="B197" s="39">
        <f>[1]Data!B200</f>
        <v>1.8379691391875903E-2</v>
      </c>
      <c r="C197" s="39">
        <f>[1]Data!C200</f>
        <v>-3.5969844062635793E-2</v>
      </c>
      <c r="D197" s="40">
        <f>[1]Data!F200</f>
        <v>3.9326840232530066E-2</v>
      </c>
      <c r="E197" s="41">
        <f>[1]Data!G200</f>
        <v>2.6912111481402364E-3</v>
      </c>
      <c r="F197" s="40">
        <f>[1]Data!H200</f>
        <v>3.7637580457190539E-2</v>
      </c>
      <c r="G197" s="41">
        <f>[1]Data!I200</f>
        <v>-6.9525341384052705E-3</v>
      </c>
      <c r="H197" s="42">
        <f t="shared" si="30"/>
        <v>1</v>
      </c>
      <c r="I197" s="43">
        <f t="shared" si="39"/>
        <v>-1</v>
      </c>
      <c r="J197" s="37">
        <f t="shared" si="31"/>
        <v>3.9326840232530066E-2</v>
      </c>
      <c r="K197" s="37">
        <f t="shared" si="32"/>
        <v>0</v>
      </c>
      <c r="L197" s="37">
        <f t="shared" si="33"/>
        <v>-2.6912111481402364E-3</v>
      </c>
      <c r="M197" s="37">
        <f t="shared" si="34"/>
        <v>0</v>
      </c>
      <c r="N197" s="37">
        <f t="shared" si="35"/>
        <v>0</v>
      </c>
      <c r="O197" s="37">
        <f t="shared" si="36"/>
        <v>-3.7637580457190539E-2</v>
      </c>
      <c r="P197" s="37">
        <f t="shared" si="37"/>
        <v>0</v>
      </c>
      <c r="Q197" s="37">
        <f t="shared" si="38"/>
        <v>-6.9525341384052705E-3</v>
      </c>
    </row>
    <row r="198" spans="1:17" x14ac:dyDescent="0.25">
      <c r="A198" s="38">
        <f>[1]Data!A201</f>
        <v>43435</v>
      </c>
      <c r="B198" s="39">
        <f>[1]Data!B201</f>
        <v>-9.2168749331661873E-2</v>
      </c>
      <c r="C198" s="39">
        <f>[1]Data!C201</f>
        <v>-0.21185768769194702</v>
      </c>
      <c r="D198" s="40">
        <f>[1]Data!F201</f>
        <v>6.4367590049125331E-2</v>
      </c>
      <c r="E198" s="41">
        <f>[1]Data!G201</f>
        <v>1.5648958771348532E-3</v>
      </c>
      <c r="F198" s="40">
        <f>[1]Data!H201</f>
        <v>-4.2918108101582725E-2</v>
      </c>
      <c r="G198" s="41">
        <f>[1]Data!I201</f>
        <v>3.2803510581793024E-2</v>
      </c>
      <c r="H198" s="42">
        <f t="shared" si="30"/>
        <v>1</v>
      </c>
      <c r="I198" s="43">
        <f t="shared" si="39"/>
        <v>-1</v>
      </c>
      <c r="J198" s="37">
        <f t="shared" si="31"/>
        <v>6.4367590049125331E-2</v>
      </c>
      <c r="K198" s="37">
        <f t="shared" si="32"/>
        <v>0</v>
      </c>
      <c r="L198" s="37">
        <f t="shared" si="33"/>
        <v>-1.5648958771348532E-3</v>
      </c>
      <c r="M198" s="37">
        <f t="shared" si="34"/>
        <v>0</v>
      </c>
      <c r="N198" s="37">
        <f t="shared" si="35"/>
        <v>0</v>
      </c>
      <c r="O198" s="37">
        <f t="shared" si="36"/>
        <v>4.2918108101582725E-2</v>
      </c>
      <c r="P198" s="37">
        <f t="shared" si="37"/>
        <v>0</v>
      </c>
      <c r="Q198" s="37">
        <f t="shared" si="38"/>
        <v>3.2803510581793024E-2</v>
      </c>
    </row>
    <row r="199" spans="1:17" x14ac:dyDescent="0.25">
      <c r="A199" s="38">
        <f>[1]Data!A202</f>
        <v>43466</v>
      </c>
      <c r="B199" s="39">
        <f>[1]Data!B202</f>
        <v>7.7021910778385203E-2</v>
      </c>
      <c r="C199" s="39">
        <f>[1]Data!C202</f>
        <v>6.2412897833737845E-2</v>
      </c>
      <c r="D199" s="40">
        <f>[1]Data!F202</f>
        <v>2.4450809983496139E-2</v>
      </c>
      <c r="E199" s="41">
        <f>[1]Data!G202</f>
        <v>1.3620232353698167E-2</v>
      </c>
      <c r="F199" s="40">
        <f>[1]Data!H202</f>
        <v>2.7040014402131642E-2</v>
      </c>
      <c r="G199" s="41">
        <f>[1]Data!I202</f>
        <v>-6.588298738461275E-4</v>
      </c>
      <c r="H199" s="42">
        <f t="shared" si="30"/>
        <v>-1</v>
      </c>
      <c r="I199" s="43">
        <f t="shared" si="39"/>
        <v>-1</v>
      </c>
      <c r="J199" s="37">
        <f t="shared" si="31"/>
        <v>0</v>
      </c>
      <c r="K199" s="37">
        <f t="shared" si="32"/>
        <v>-2.4450809983496139E-2</v>
      </c>
      <c r="L199" s="37">
        <f t="shared" si="33"/>
        <v>0</v>
      </c>
      <c r="M199" s="37">
        <f t="shared" si="34"/>
        <v>1.3620232353698167E-2</v>
      </c>
      <c r="N199" s="37">
        <f t="shared" si="35"/>
        <v>0</v>
      </c>
      <c r="O199" s="37">
        <f t="shared" si="36"/>
        <v>-2.7040014402131642E-2</v>
      </c>
      <c r="P199" s="37">
        <f t="shared" si="37"/>
        <v>0</v>
      </c>
      <c r="Q199" s="37">
        <f t="shared" si="38"/>
        <v>-6.588298738461275E-4</v>
      </c>
    </row>
    <row r="200" spans="1:17" x14ac:dyDescent="0.25">
      <c r="A200" s="38">
        <f>[1]Data!A203</f>
        <v>43497</v>
      </c>
      <c r="B200" s="39">
        <f>[1]Data!B203</f>
        <v>3.1901454536871036E-2</v>
      </c>
      <c r="C200" s="39">
        <f>[1]Data!C203</f>
        <v>3.4578791536887671E-2</v>
      </c>
      <c r="D200" s="40">
        <f>[1]Data!F203</f>
        <v>-1.6496818060871888E-3</v>
      </c>
      <c r="E200" s="41">
        <f>[1]Data!G203</f>
        <v>-1.2831582499350359E-2</v>
      </c>
      <c r="F200" s="40">
        <f>[1]Data!H203</f>
        <v>7.7779418502615071E-4</v>
      </c>
      <c r="G200" s="41">
        <f>[1]Data!I203</f>
        <v>1.1087989592116305E-3</v>
      </c>
      <c r="H200" s="42">
        <f t="shared" si="30"/>
        <v>-1</v>
      </c>
      <c r="I200" s="43">
        <f t="shared" si="39"/>
        <v>1</v>
      </c>
      <c r="J200" s="37">
        <f t="shared" si="31"/>
        <v>0</v>
      </c>
      <c r="K200" s="37">
        <f t="shared" si="32"/>
        <v>1.6496818060871888E-3</v>
      </c>
      <c r="L200" s="37">
        <f t="shared" si="33"/>
        <v>0</v>
      </c>
      <c r="M200" s="37">
        <f t="shared" si="34"/>
        <v>-1.2831582499350359E-2</v>
      </c>
      <c r="N200" s="37">
        <f t="shared" si="35"/>
        <v>7.7779418502615071E-4</v>
      </c>
      <c r="O200" s="37">
        <f t="shared" si="36"/>
        <v>0</v>
      </c>
      <c r="P200" s="37">
        <f t="shared" si="37"/>
        <v>-1.1087989592116305E-3</v>
      </c>
      <c r="Q200" s="37">
        <f t="shared" si="38"/>
        <v>0</v>
      </c>
    </row>
    <row r="201" spans="1:17" x14ac:dyDescent="0.25">
      <c r="A201" s="38">
        <f>[1]Data!A204</f>
        <v>43525</v>
      </c>
      <c r="B201" s="39">
        <f>[1]Data!B204</f>
        <v>1.793895013713236E-2</v>
      </c>
      <c r="C201" s="39">
        <f>[1]Data!C204</f>
        <v>-3.5669839480469839E-4</v>
      </c>
      <c r="D201" s="40">
        <f>[1]Data!F204</f>
        <v>-7.9335959042815991E-3</v>
      </c>
      <c r="E201" s="41">
        <f>[1]Data!G204</f>
        <v>2.7990327444829342E-2</v>
      </c>
      <c r="F201" s="40">
        <f>[1]Data!H204</f>
        <v>-1.32564783316515E-2</v>
      </c>
      <c r="G201" s="41">
        <f>[1]Data!I204</f>
        <v>1.0738075946087874E-2</v>
      </c>
      <c r="H201" s="42">
        <f t="shared" si="30"/>
        <v>1</v>
      </c>
      <c r="I201" s="43">
        <f t="shared" si="39"/>
        <v>1</v>
      </c>
      <c r="J201" s="37">
        <f t="shared" si="31"/>
        <v>-7.9335959042815991E-3</v>
      </c>
      <c r="K201" s="37">
        <f t="shared" si="32"/>
        <v>0</v>
      </c>
      <c r="L201" s="37">
        <f t="shared" si="33"/>
        <v>-2.7990327444829342E-2</v>
      </c>
      <c r="M201" s="37">
        <f t="shared" si="34"/>
        <v>0</v>
      </c>
      <c r="N201" s="37">
        <f t="shared" si="35"/>
        <v>-1.32564783316515E-2</v>
      </c>
      <c r="O201" s="37">
        <f t="shared" si="36"/>
        <v>0</v>
      </c>
      <c r="P201" s="37">
        <f t="shared" si="37"/>
        <v>-1.0738075946087874E-2</v>
      </c>
      <c r="Q201" s="37">
        <f t="shared" si="38"/>
        <v>0</v>
      </c>
    </row>
    <row r="202" spans="1:17" x14ac:dyDescent="0.25">
      <c r="A202" s="38">
        <f>[1]Data!A205</f>
        <v>43556</v>
      </c>
      <c r="B202" s="39">
        <f>[1]Data!B205</f>
        <v>4.0039738729214951E-2</v>
      </c>
      <c r="C202" s="39">
        <f>[1]Data!C205</f>
        <v>5.8211696101089103E-2</v>
      </c>
      <c r="D202" s="40">
        <f>[1]Data!F205</f>
        <v>1.2836208250145786E-2</v>
      </c>
      <c r="E202" s="41">
        <f>[1]Data!G205</f>
        <v>1.0896548044421583E-2</v>
      </c>
      <c r="F202" s="40">
        <f>[1]Data!H205</f>
        <v>2.1329952712746219E-2</v>
      </c>
      <c r="G202" s="41">
        <f>[1]Data!I205</f>
        <v>-1.7043418807385507E-2</v>
      </c>
      <c r="H202" s="42">
        <f t="shared" si="30"/>
        <v>-1</v>
      </c>
      <c r="I202" s="43">
        <f t="shared" si="39"/>
        <v>-1</v>
      </c>
      <c r="J202" s="37">
        <f t="shared" si="31"/>
        <v>0</v>
      </c>
      <c r="K202" s="37">
        <f t="shared" si="32"/>
        <v>-1.2836208250145786E-2</v>
      </c>
      <c r="L202" s="37">
        <f t="shared" si="33"/>
        <v>0</v>
      </c>
      <c r="M202" s="37">
        <f t="shared" si="34"/>
        <v>1.0896548044421583E-2</v>
      </c>
      <c r="N202" s="37">
        <f t="shared" si="35"/>
        <v>0</v>
      </c>
      <c r="O202" s="37">
        <f t="shared" si="36"/>
        <v>-2.1329952712746219E-2</v>
      </c>
      <c r="P202" s="37">
        <f t="shared" si="37"/>
        <v>0</v>
      </c>
      <c r="Q202" s="37">
        <f t="shared" si="38"/>
        <v>-1.7043418807385507E-2</v>
      </c>
    </row>
    <row r="203" spans="1:17" x14ac:dyDescent="0.25">
      <c r="A203" s="38">
        <f>[1]Data!A206</f>
        <v>43586</v>
      </c>
      <c r="B203" s="39">
        <f>[1]Data!B206</f>
        <v>-6.5895104484750014E-2</v>
      </c>
      <c r="C203" s="39">
        <f>[1]Data!C206</f>
        <v>-4.3060739153136685E-2</v>
      </c>
      <c r="D203" s="40">
        <f>[1]Data!F206</f>
        <v>-4.0020836287496545E-2</v>
      </c>
      <c r="E203" s="41">
        <f>[1]Data!G206</f>
        <v>4.8968361084669731E-2</v>
      </c>
      <c r="F203" s="40">
        <f>[1]Data!H206</f>
        <v>-2.0930417113664015E-2</v>
      </c>
      <c r="G203" s="41">
        <f>[1]Data!I206</f>
        <v>1.2555292621467427E-2</v>
      </c>
      <c r="H203" s="42">
        <f t="shared" si="30"/>
        <v>1</v>
      </c>
      <c r="I203" s="43">
        <f t="shared" si="39"/>
        <v>1</v>
      </c>
      <c r="J203" s="37">
        <f t="shared" si="31"/>
        <v>-4.0020836287496545E-2</v>
      </c>
      <c r="K203" s="37">
        <f t="shared" si="32"/>
        <v>0</v>
      </c>
      <c r="L203" s="37">
        <f t="shared" si="33"/>
        <v>-4.8968361084669731E-2</v>
      </c>
      <c r="M203" s="37">
        <f t="shared" si="34"/>
        <v>0</v>
      </c>
      <c r="N203" s="37">
        <f t="shared" si="35"/>
        <v>-2.0930417113664015E-2</v>
      </c>
      <c r="O203" s="37">
        <f t="shared" si="36"/>
        <v>0</v>
      </c>
      <c r="P203" s="37">
        <f t="shared" si="37"/>
        <v>-1.2555292621467427E-2</v>
      </c>
      <c r="Q203" s="37">
        <f t="shared" si="38"/>
        <v>0</v>
      </c>
    </row>
    <row r="204" spans="1:17" x14ac:dyDescent="0.25">
      <c r="A204" s="38">
        <f>[1]Data!A207</f>
        <v>43617</v>
      </c>
      <c r="B204" s="39">
        <f>[1]Data!B207</f>
        <v>6.7272022468448489E-2</v>
      </c>
      <c r="C204" s="39">
        <f>[1]Data!C207</f>
        <v>7.1667902578850279E-2</v>
      </c>
      <c r="D204" s="40">
        <f>[1]Data!F207</f>
        <v>-3.4073026851065384E-3</v>
      </c>
      <c r="E204" s="41">
        <f>[1]Data!G207</f>
        <v>1.0444911862299582E-2</v>
      </c>
      <c r="F204" s="40">
        <f>[1]Data!H207</f>
        <v>4.399190773026062E-2</v>
      </c>
      <c r="G204" s="41">
        <f>[1]Data!I207</f>
        <v>1.3671303040833308E-3</v>
      </c>
      <c r="H204" s="42">
        <f t="shared" si="30"/>
        <v>-1</v>
      </c>
      <c r="I204" s="43">
        <f t="shared" si="39"/>
        <v>-1</v>
      </c>
      <c r="J204" s="37">
        <f t="shared" si="31"/>
        <v>0</v>
      </c>
      <c r="K204" s="37">
        <f t="shared" si="32"/>
        <v>3.4073026851065384E-3</v>
      </c>
      <c r="L204" s="37">
        <f t="shared" si="33"/>
        <v>0</v>
      </c>
      <c r="M204" s="37">
        <f t="shared" si="34"/>
        <v>1.0444911862299582E-2</v>
      </c>
      <c r="N204" s="37">
        <f t="shared" si="35"/>
        <v>0</v>
      </c>
      <c r="O204" s="37">
        <f t="shared" si="36"/>
        <v>-4.399190773026062E-2</v>
      </c>
      <c r="P204" s="37">
        <f t="shared" si="37"/>
        <v>0</v>
      </c>
      <c r="Q204" s="37">
        <f t="shared" si="38"/>
        <v>1.3671303040833308E-3</v>
      </c>
    </row>
    <row r="205" spans="1:17" x14ac:dyDescent="0.25">
      <c r="A205" s="38">
        <f>[1]Data!A208</f>
        <v>43647</v>
      </c>
      <c r="B205" s="39">
        <f>[1]Data!B208</f>
        <v>1.500620137629358E-2</v>
      </c>
      <c r="C205" s="39">
        <f>[1]Data!C208</f>
        <v>2.1197709253571204E-2</v>
      </c>
      <c r="D205" s="40">
        <f>[1]Data!F208</f>
        <v>-1.5790180353129762E-3</v>
      </c>
      <c r="E205" s="41">
        <f>[1]Data!G208</f>
        <v>7.174392460381933E-3</v>
      </c>
      <c r="F205" s="40">
        <f>[1]Data!H208</f>
        <v>1.2953234765340405E-2</v>
      </c>
      <c r="G205" s="41">
        <f>[1]Data!I208</f>
        <v>4.5282474430382831E-4</v>
      </c>
      <c r="H205" s="42">
        <f t="shared" si="30"/>
        <v>-1</v>
      </c>
      <c r="I205" s="43">
        <f t="shared" si="39"/>
        <v>1</v>
      </c>
      <c r="J205" s="37">
        <f t="shared" si="31"/>
        <v>0</v>
      </c>
      <c r="K205" s="37">
        <f t="shared" si="32"/>
        <v>1.5790180353129762E-3</v>
      </c>
      <c r="L205" s="37">
        <f t="shared" si="33"/>
        <v>0</v>
      </c>
      <c r="M205" s="37">
        <f t="shared" si="34"/>
        <v>7.174392460381933E-3</v>
      </c>
      <c r="N205" s="37">
        <f t="shared" si="35"/>
        <v>1.2953234765340405E-2</v>
      </c>
      <c r="O205" s="37">
        <f t="shared" si="36"/>
        <v>0</v>
      </c>
      <c r="P205" s="37">
        <f t="shared" si="37"/>
        <v>-4.5282474430382831E-4</v>
      </c>
      <c r="Q205" s="37">
        <f t="shared" si="38"/>
        <v>0</v>
      </c>
    </row>
    <row r="206" spans="1:17" x14ac:dyDescent="0.25">
      <c r="A206" s="38">
        <f>[1]Data!A209</f>
        <v>43678</v>
      </c>
      <c r="B206" s="39">
        <f>[1]Data!B209</f>
        <v>-1.6885378364657398E-2</v>
      </c>
      <c r="C206" s="39">
        <f>[1]Data!C209</f>
        <v>-0.10304671415057169</v>
      </c>
      <c r="D206" s="40">
        <f>[1]Data!F209</f>
        <v>-8.5760391843603401E-17</v>
      </c>
      <c r="E206" s="41">
        <f>[1]Data!G209</f>
        <v>1.8640966382109898E-2</v>
      </c>
      <c r="F206" s="40">
        <f>[1]Data!H209</f>
        <v>-3.2322727118099921E-2</v>
      </c>
      <c r="G206" s="41">
        <f>[1]Data!I209</f>
        <v>5.4323258675608874E-2</v>
      </c>
      <c r="H206" s="42">
        <f t="shared" si="30"/>
        <v>1</v>
      </c>
      <c r="I206" s="43">
        <f t="shared" si="39"/>
        <v>1</v>
      </c>
      <c r="J206" s="37">
        <f t="shared" si="31"/>
        <v>-8.5760391843603401E-17</v>
      </c>
      <c r="K206" s="37">
        <f t="shared" si="32"/>
        <v>0</v>
      </c>
      <c r="L206" s="37">
        <f t="shared" si="33"/>
        <v>-1.8640966382109898E-2</v>
      </c>
      <c r="M206" s="37">
        <f t="shared" si="34"/>
        <v>0</v>
      </c>
      <c r="N206" s="37">
        <f t="shared" si="35"/>
        <v>-3.2322727118099921E-2</v>
      </c>
      <c r="O206" s="37">
        <f t="shared" si="36"/>
        <v>0</v>
      </c>
      <c r="P206" s="37">
        <f t="shared" si="37"/>
        <v>-5.4323258675608874E-2</v>
      </c>
      <c r="Q206" s="37">
        <f t="shared" si="38"/>
        <v>0</v>
      </c>
    </row>
    <row r="207" spans="1:17" x14ac:dyDescent="0.25">
      <c r="A207" s="38">
        <f>[1]Data!A210</f>
        <v>43709</v>
      </c>
      <c r="B207" s="39">
        <f>[1]Data!B210</f>
        <v>1.9271248211454543E-2</v>
      </c>
      <c r="C207" s="39">
        <f>[1]Data!C210</f>
        <v>5.9839293231491952E-2</v>
      </c>
      <c r="D207" s="40">
        <f>[1]Data!F210</f>
        <v>-4.8403196492609636E-3</v>
      </c>
      <c r="E207" s="41">
        <f>[1]Data!G210</f>
        <v>8.5631392488743178E-3</v>
      </c>
      <c r="F207" s="40">
        <f>[1]Data!H210</f>
        <v>1.9470701481444874E-2</v>
      </c>
      <c r="G207" s="41">
        <f>[1]Data!I210</f>
        <v>-2.6326017837039459E-2</v>
      </c>
      <c r="H207" s="42">
        <f t="shared" si="30"/>
        <v>-1</v>
      </c>
      <c r="I207" s="43">
        <f t="shared" si="39"/>
        <v>-1</v>
      </c>
      <c r="J207" s="37">
        <f t="shared" si="31"/>
        <v>0</v>
      </c>
      <c r="K207" s="37">
        <f t="shared" si="32"/>
        <v>4.8403196492609636E-3</v>
      </c>
      <c r="L207" s="37">
        <f t="shared" si="33"/>
        <v>0</v>
      </c>
      <c r="M207" s="37">
        <f t="shared" si="34"/>
        <v>8.5631392488743178E-3</v>
      </c>
      <c r="N207" s="37">
        <f t="shared" si="35"/>
        <v>0</v>
      </c>
      <c r="O207" s="37">
        <f t="shared" si="36"/>
        <v>-1.9470701481444874E-2</v>
      </c>
      <c r="P207" s="37">
        <f t="shared" si="37"/>
        <v>0</v>
      </c>
      <c r="Q207" s="37">
        <f t="shared" si="38"/>
        <v>-2.6326017837039459E-2</v>
      </c>
    </row>
    <row r="208" spans="1:17" x14ac:dyDescent="0.25">
      <c r="A208" s="38">
        <f>[1]Data!A211</f>
        <v>43739</v>
      </c>
      <c r="B208" s="39">
        <f>[1]Data!B211</f>
        <v>2.1863755855332775E-2</v>
      </c>
      <c r="C208" s="39">
        <f>[1]Data!C211</f>
        <v>4.1360021286653836E-2</v>
      </c>
      <c r="D208" s="40">
        <f>[1]Data!F211</f>
        <v>1.1071934002620127E-2</v>
      </c>
      <c r="E208" s="41">
        <f>[1]Data!G211</f>
        <v>1.9373662194019918E-2</v>
      </c>
      <c r="F208" s="40">
        <f>[1]Data!H211</f>
        <v>-1.2512001002066814E-2</v>
      </c>
      <c r="G208" s="41">
        <f>[1]Data!I211</f>
        <v>1.3560329364563601E-2</v>
      </c>
      <c r="H208" s="42">
        <f t="shared" si="30"/>
        <v>-1</v>
      </c>
      <c r="I208" s="43">
        <f t="shared" si="39"/>
        <v>1</v>
      </c>
      <c r="J208" s="37">
        <f t="shared" si="31"/>
        <v>0</v>
      </c>
      <c r="K208" s="37">
        <f t="shared" si="32"/>
        <v>-1.1071934002620127E-2</v>
      </c>
      <c r="L208" s="37">
        <f t="shared" si="33"/>
        <v>0</v>
      </c>
      <c r="M208" s="37">
        <f t="shared" si="34"/>
        <v>1.9373662194019918E-2</v>
      </c>
      <c r="N208" s="37">
        <f t="shared" si="35"/>
        <v>-1.2512001002066814E-2</v>
      </c>
      <c r="O208" s="37">
        <f t="shared" si="36"/>
        <v>0</v>
      </c>
      <c r="P208" s="37">
        <f t="shared" si="37"/>
        <v>-1.3560329364563601E-2</v>
      </c>
      <c r="Q208" s="37">
        <f t="shared" si="38"/>
        <v>0</v>
      </c>
    </row>
    <row r="209" spans="1:17" x14ac:dyDescent="0.25">
      <c r="A209" s="38">
        <f>[1]Data!A212</f>
        <v>43770</v>
      </c>
      <c r="B209" s="39">
        <f>[1]Data!B212</f>
        <v>3.5558706102376735E-2</v>
      </c>
      <c r="C209" s="39">
        <f>[1]Data!C212</f>
        <v>3.1698852310559578E-2</v>
      </c>
      <c r="D209" s="40">
        <f>[1]Data!F212</f>
        <v>1.2936920610405946E-2</v>
      </c>
      <c r="E209" s="41">
        <f>[1]Data!G212</f>
        <v>4.9981935904771166E-3</v>
      </c>
      <c r="F209" s="40">
        <f>[1]Data!H212</f>
        <v>1.5862863522568556E-2</v>
      </c>
      <c r="G209" s="41">
        <f>[1]Data!I212</f>
        <v>-3.9893326980146304E-2</v>
      </c>
      <c r="H209" s="42">
        <f t="shared" si="30"/>
        <v>-1</v>
      </c>
      <c r="I209" s="43">
        <f t="shared" si="39"/>
        <v>1</v>
      </c>
      <c r="J209" s="37">
        <f t="shared" si="31"/>
        <v>0</v>
      </c>
      <c r="K209" s="37">
        <f t="shared" si="32"/>
        <v>-1.2936920610405946E-2</v>
      </c>
      <c r="L209" s="37">
        <f t="shared" si="33"/>
        <v>0</v>
      </c>
      <c r="M209" s="37">
        <f t="shared" si="34"/>
        <v>4.9981935904771166E-3</v>
      </c>
      <c r="N209" s="37">
        <f t="shared" si="35"/>
        <v>1.5862863522568556E-2</v>
      </c>
      <c r="O209" s="37">
        <f t="shared" si="36"/>
        <v>0</v>
      </c>
      <c r="P209" s="37">
        <f t="shared" si="37"/>
        <v>3.9893326980146304E-2</v>
      </c>
      <c r="Q209" s="37">
        <f t="shared" si="38"/>
        <v>0</v>
      </c>
    </row>
    <row r="210" spans="1:17" x14ac:dyDescent="0.25">
      <c r="A210" s="38">
        <f>[1]Data!A213</f>
        <v>43800</v>
      </c>
      <c r="B210" s="39">
        <f>[1]Data!B213</f>
        <v>2.8641314403768072E-2</v>
      </c>
      <c r="C210" s="39">
        <f>[1]Data!C213</f>
        <v>4.9023676097155258E-2</v>
      </c>
      <c r="D210" s="40">
        <f>[1]Data!F213</f>
        <v>3.5169616754017132E-3</v>
      </c>
      <c r="E210" s="41">
        <f>[1]Data!G213</f>
        <v>-8.598696048661968E-3</v>
      </c>
      <c r="F210" s="40">
        <f>[1]Data!H213</f>
        <v>1.7801957500472544E-3</v>
      </c>
      <c r="G210" s="41">
        <f>[1]Data!I213</f>
        <v>-1.313465865478125E-2</v>
      </c>
      <c r="H210" s="42">
        <f t="shared" si="30"/>
        <v>-1</v>
      </c>
      <c r="I210" s="43">
        <f t="shared" si="39"/>
        <v>1</v>
      </c>
      <c r="J210" s="37">
        <f t="shared" si="31"/>
        <v>0</v>
      </c>
      <c r="K210" s="37">
        <f t="shared" si="32"/>
        <v>-3.5169616754017132E-3</v>
      </c>
      <c r="L210" s="37">
        <f t="shared" si="33"/>
        <v>0</v>
      </c>
      <c r="M210" s="37">
        <f t="shared" si="34"/>
        <v>-8.598696048661968E-3</v>
      </c>
      <c r="N210" s="37">
        <f t="shared" si="35"/>
        <v>1.7801957500472544E-3</v>
      </c>
      <c r="O210" s="37">
        <f t="shared" si="36"/>
        <v>0</v>
      </c>
      <c r="P210" s="37">
        <f t="shared" si="37"/>
        <v>1.313465865478125E-2</v>
      </c>
      <c r="Q210" s="37">
        <f t="shared" si="38"/>
        <v>0</v>
      </c>
    </row>
    <row r="211" spans="1:17" x14ac:dyDescent="0.25">
      <c r="A211" s="38">
        <f>[1]Data!A214</f>
        <v>43831</v>
      </c>
      <c r="B211" s="39">
        <f>[1]Data!B214</f>
        <v>-4.039889798689994E-4</v>
      </c>
      <c r="C211" s="39">
        <f>[1]Data!C214</f>
        <v>-9.3355575274019637E-3</v>
      </c>
      <c r="D211" s="40">
        <f>[1]Data!F214</f>
        <v>-3.0578533959365453E-2</v>
      </c>
      <c r="E211" s="41">
        <f>[1]Data!G214</f>
        <v>3.4587267214807121E-2</v>
      </c>
      <c r="F211" s="40">
        <f>[1]Data!H214</f>
        <v>8.0147708123337359E-3</v>
      </c>
      <c r="G211" s="41">
        <f>[1]Data!I214</f>
        <v>9.2572618468068392E-3</v>
      </c>
      <c r="H211" s="42">
        <f t="shared" si="30"/>
        <v>1</v>
      </c>
      <c r="I211" s="43">
        <f t="shared" si="39"/>
        <v>1</v>
      </c>
      <c r="J211" s="37">
        <f t="shared" si="31"/>
        <v>-3.0578533959365453E-2</v>
      </c>
      <c r="K211" s="37">
        <f t="shared" si="32"/>
        <v>0</v>
      </c>
      <c r="L211" s="37">
        <f t="shared" si="33"/>
        <v>-3.4587267214807121E-2</v>
      </c>
      <c r="M211" s="37">
        <f t="shared" si="34"/>
        <v>0</v>
      </c>
      <c r="N211" s="37">
        <f t="shared" si="35"/>
        <v>8.0147708123337359E-3</v>
      </c>
      <c r="O211" s="37">
        <f t="shared" si="36"/>
        <v>0</v>
      </c>
      <c r="P211" s="37">
        <f t="shared" si="37"/>
        <v>-9.2572618468068392E-3</v>
      </c>
      <c r="Q211" s="37">
        <f t="shared" si="38"/>
        <v>0</v>
      </c>
    </row>
    <row r="212" spans="1:17" x14ac:dyDescent="0.25">
      <c r="A212" s="38">
        <f>[1]Data!A215</f>
        <v>43862</v>
      </c>
      <c r="B212" s="39">
        <f>[1]Data!B215</f>
        <v>-8.2475534437916068E-2</v>
      </c>
      <c r="C212" s="39">
        <f>[1]Data!C215</f>
        <v>-2.8896455353091689E-2</v>
      </c>
      <c r="D212" s="40">
        <f>[1]Data!F215</f>
        <v>-8.4617817573889573E-2</v>
      </c>
      <c r="E212" s="41">
        <f>[1]Data!G215</f>
        <v>3.3122523406681939E-2</v>
      </c>
      <c r="F212" s="40">
        <f>[1]Data!H215</f>
        <v>3.2024609406970363E-2</v>
      </c>
      <c r="G212" s="41">
        <f>[1]Data!I215</f>
        <v>-8.4663006108253135E-3</v>
      </c>
      <c r="H212" s="42">
        <f t="shared" si="30"/>
        <v>1</v>
      </c>
      <c r="I212" s="43">
        <f t="shared" si="39"/>
        <v>-1</v>
      </c>
      <c r="J212" s="37">
        <f t="shared" si="31"/>
        <v>-8.4617817573889573E-2</v>
      </c>
      <c r="K212" s="37">
        <f t="shared" si="32"/>
        <v>0</v>
      </c>
      <c r="L212" s="37">
        <f t="shared" si="33"/>
        <v>-3.3122523406681939E-2</v>
      </c>
      <c r="M212" s="37">
        <f t="shared" si="34"/>
        <v>0</v>
      </c>
      <c r="N212" s="37">
        <f t="shared" si="35"/>
        <v>0</v>
      </c>
      <c r="O212" s="37">
        <f t="shared" si="36"/>
        <v>-3.2024609406970363E-2</v>
      </c>
      <c r="P212" s="37">
        <f t="shared" si="37"/>
        <v>0</v>
      </c>
      <c r="Q212" s="37">
        <f t="shared" si="38"/>
        <v>-8.4663006108253135E-3</v>
      </c>
    </row>
    <row r="213" spans="1:17" x14ac:dyDescent="0.25">
      <c r="A213" s="38">
        <f>[1]Data!A216</f>
        <v>43891</v>
      </c>
      <c r="B213" s="39">
        <f>[1]Data!B216</f>
        <v>-0.13338385101653819</v>
      </c>
      <c r="C213" s="39">
        <f>[1]Data!C216</f>
        <v>-0.28018376553683783</v>
      </c>
      <c r="D213" s="40">
        <f>[1]Data!F216</f>
        <v>0.11914184455184304</v>
      </c>
      <c r="E213" s="41">
        <f>[1]Data!G216</f>
        <v>3.4158472861818862E-2</v>
      </c>
      <c r="F213" s="40">
        <f>[1]Data!H216</f>
        <v>4.0424781829973243E-3</v>
      </c>
      <c r="G213" s="41">
        <f>[1]Data!I216</f>
        <v>7.2668897470410485E-2</v>
      </c>
      <c r="H213" s="42">
        <f t="shared" si="30"/>
        <v>1</v>
      </c>
      <c r="I213" s="43">
        <f t="shared" si="39"/>
        <v>-1</v>
      </c>
      <c r="J213" s="37">
        <f t="shared" si="31"/>
        <v>0.11914184455184304</v>
      </c>
      <c r="K213" s="37">
        <f t="shared" si="32"/>
        <v>0</v>
      </c>
      <c r="L213" s="37">
        <f t="shared" si="33"/>
        <v>-3.4158472861818862E-2</v>
      </c>
      <c r="M213" s="37">
        <f t="shared" si="34"/>
        <v>0</v>
      </c>
      <c r="N213" s="37">
        <f t="shared" si="35"/>
        <v>0</v>
      </c>
      <c r="O213" s="37">
        <f t="shared" si="36"/>
        <v>-4.0424781829973243E-3</v>
      </c>
      <c r="P213" s="37">
        <f t="shared" si="37"/>
        <v>0</v>
      </c>
      <c r="Q213" s="37">
        <f t="shared" si="38"/>
        <v>7.2668897470410485E-2</v>
      </c>
    </row>
    <row r="214" spans="1:17" x14ac:dyDescent="0.25">
      <c r="A214" s="38">
        <f>[1]Data!A217</f>
        <v>43922</v>
      </c>
      <c r="B214" s="39">
        <f>[1]Data!B217</f>
        <v>0.11954483405199261</v>
      </c>
      <c r="C214" s="39">
        <f>[1]Data!C217</f>
        <v>5.0810756795842009E-2</v>
      </c>
      <c r="D214" s="40">
        <f>[1]Data!F217</f>
        <v>3.9964976912821498E-2</v>
      </c>
      <c r="E214" s="41">
        <f>[1]Data!G217</f>
        <v>-1.6652988985195807E-2</v>
      </c>
      <c r="F214" s="40">
        <f>[1]Data!H217</f>
        <v>2.8230113492507286E-2</v>
      </c>
      <c r="G214" s="41">
        <f>[1]Data!I217</f>
        <v>9.4731254942713415E-3</v>
      </c>
      <c r="H214" s="42">
        <f t="shared" si="30"/>
        <v>-1</v>
      </c>
      <c r="I214" s="43">
        <f t="shared" si="39"/>
        <v>-1</v>
      </c>
      <c r="J214" s="37">
        <f t="shared" si="31"/>
        <v>0</v>
      </c>
      <c r="K214" s="37">
        <f t="shared" si="32"/>
        <v>-3.9964976912821498E-2</v>
      </c>
      <c r="L214" s="37">
        <f t="shared" si="33"/>
        <v>0</v>
      </c>
      <c r="M214" s="37">
        <f t="shared" si="34"/>
        <v>-1.6652988985195807E-2</v>
      </c>
      <c r="N214" s="37">
        <f t="shared" si="35"/>
        <v>0</v>
      </c>
      <c r="O214" s="37">
        <f t="shared" si="36"/>
        <v>-2.8230113492507286E-2</v>
      </c>
      <c r="P214" s="37">
        <f t="shared" si="37"/>
        <v>0</v>
      </c>
      <c r="Q214" s="37">
        <f t="shared" si="38"/>
        <v>9.4731254942713415E-3</v>
      </c>
    </row>
    <row r="215" spans="1:17" x14ac:dyDescent="0.25">
      <c r="A215" s="38">
        <f>[1]Data!A218</f>
        <v>43952</v>
      </c>
      <c r="B215" s="39">
        <f>[1]Data!B218</f>
        <v>4.6544875288220017E-2</v>
      </c>
      <c r="C215" s="39">
        <f>[1]Data!C218</f>
        <v>2.6897857213899284E-2</v>
      </c>
      <c r="D215" s="40">
        <f>[1]Data!F218</f>
        <v>3.1511637601687931E-2</v>
      </c>
      <c r="E215" s="41">
        <f>[1]Data!G218</f>
        <v>-5.912094715439368E-3</v>
      </c>
      <c r="F215" s="40">
        <f>[1]Data!H218</f>
        <v>-9.686525317039155E-3</v>
      </c>
      <c r="G215" s="41">
        <f>[1]Data!I218</f>
        <v>-2.3090651334060804E-3</v>
      </c>
      <c r="H215" s="42">
        <f t="shared" si="30"/>
        <v>-1</v>
      </c>
      <c r="I215" s="43">
        <f t="shared" si="39"/>
        <v>1</v>
      </c>
      <c r="J215" s="37">
        <f t="shared" si="31"/>
        <v>0</v>
      </c>
      <c r="K215" s="37">
        <f t="shared" si="32"/>
        <v>-3.1511637601687931E-2</v>
      </c>
      <c r="L215" s="37">
        <f t="shared" si="33"/>
        <v>0</v>
      </c>
      <c r="M215" s="37">
        <f t="shared" si="34"/>
        <v>-5.912094715439368E-3</v>
      </c>
      <c r="N215" s="37">
        <f t="shared" si="35"/>
        <v>-9.686525317039155E-3</v>
      </c>
      <c r="O215" s="37">
        <f t="shared" si="36"/>
        <v>0</v>
      </c>
      <c r="P215" s="37">
        <f t="shared" si="37"/>
        <v>2.3090651334060804E-3</v>
      </c>
      <c r="Q215" s="37">
        <f t="shared" si="38"/>
        <v>0</v>
      </c>
    </row>
    <row r="216" spans="1:17" x14ac:dyDescent="0.25">
      <c r="A216" s="38">
        <f>[1]Data!A219</f>
        <v>43983</v>
      </c>
      <c r="B216" s="39">
        <f>[1]Data!B219</f>
        <v>1.7578794828849852E-2</v>
      </c>
      <c r="C216" s="39">
        <f>[1]Data!C219</f>
        <v>2.4563997019679484E-2</v>
      </c>
      <c r="D216" s="40">
        <f>[1]Data!F219</f>
        <v>-9.077189236067415E-4</v>
      </c>
      <c r="E216" s="41">
        <f>[1]Data!G219</f>
        <v>9.4382102108475086E-3</v>
      </c>
      <c r="F216" s="40">
        <f>[1]Data!H219</f>
        <v>4.8176311604839213E-2</v>
      </c>
      <c r="G216" s="41">
        <f>[1]Data!I219</f>
        <v>-4.5517773957081412E-2</v>
      </c>
      <c r="H216" s="42">
        <f t="shared" si="30"/>
        <v>-1</v>
      </c>
      <c r="I216" s="43">
        <f t="shared" si="39"/>
        <v>1</v>
      </c>
      <c r="J216" s="37">
        <f t="shared" si="31"/>
        <v>0</v>
      </c>
      <c r="K216" s="37">
        <f t="shared" si="32"/>
        <v>9.077189236067415E-4</v>
      </c>
      <c r="L216" s="37">
        <f t="shared" si="33"/>
        <v>0</v>
      </c>
      <c r="M216" s="37">
        <f t="shared" si="34"/>
        <v>9.4382102108475086E-3</v>
      </c>
      <c r="N216" s="37">
        <f t="shared" si="35"/>
        <v>4.8176311604839213E-2</v>
      </c>
      <c r="O216" s="37">
        <f t="shared" si="36"/>
        <v>0</v>
      </c>
      <c r="P216" s="37">
        <f t="shared" si="37"/>
        <v>4.5517773957081412E-2</v>
      </c>
      <c r="Q216" s="37">
        <f t="shared" si="38"/>
        <v>0</v>
      </c>
    </row>
    <row r="217" spans="1:17" x14ac:dyDescent="0.25">
      <c r="A217" s="38">
        <f>[1]Data!A220</f>
        <v>44013</v>
      </c>
      <c r="B217" s="39">
        <f>[1]Data!B220</f>
        <v>5.7223117971709883E-2</v>
      </c>
      <c r="C217" s="39">
        <f>[1]Data!C220</f>
        <v>3.381857113333079E-2</v>
      </c>
      <c r="D217" s="40">
        <f>[1]Data!F220</f>
        <v>-1.0409730545889451E-3</v>
      </c>
      <c r="E217" s="41">
        <f>[1]Data!G220</f>
        <v>1.8950940809573213E-2</v>
      </c>
      <c r="F217" s="40">
        <f>[1]Data!H220</f>
        <v>2.5043734133579919E-2</v>
      </c>
      <c r="G217" s="41">
        <f>[1]Data!I220</f>
        <v>4.9474103268462005E-3</v>
      </c>
      <c r="H217" s="42">
        <f t="shared" si="30"/>
        <v>-1</v>
      </c>
      <c r="I217" s="43">
        <f t="shared" si="39"/>
        <v>1</v>
      </c>
      <c r="J217" s="37">
        <f t="shared" si="31"/>
        <v>0</v>
      </c>
      <c r="K217" s="37">
        <f t="shared" si="32"/>
        <v>1.0409730545889451E-3</v>
      </c>
      <c r="L217" s="37">
        <f t="shared" si="33"/>
        <v>0</v>
      </c>
      <c r="M217" s="37">
        <f t="shared" si="34"/>
        <v>1.8950940809573213E-2</v>
      </c>
      <c r="N217" s="37">
        <f t="shared" si="35"/>
        <v>2.5043734133579919E-2</v>
      </c>
      <c r="O217" s="37">
        <f t="shared" si="36"/>
        <v>0</v>
      </c>
      <c r="P217" s="37">
        <f t="shared" si="37"/>
        <v>-4.9474103268462005E-3</v>
      </c>
      <c r="Q217" s="37">
        <f t="shared" si="38"/>
        <v>0</v>
      </c>
    </row>
    <row r="218" spans="1:17" x14ac:dyDescent="0.25">
      <c r="A218" s="38">
        <f>[1]Data!A221</f>
        <v>44044</v>
      </c>
      <c r="B218" s="39">
        <f>[1]Data!B221</f>
        <v>6.7468973641364963E-2</v>
      </c>
      <c r="C218" s="39">
        <f>[1]Data!C221</f>
        <v>6.6284061528658747E-2</v>
      </c>
      <c r="D218" s="40">
        <f>[1]Data!F221</f>
        <v>2.8544745681194899E-2</v>
      </c>
      <c r="E218" s="41">
        <f>[1]Data!G221</f>
        <v>-2.4423499225942866E-2</v>
      </c>
      <c r="F218" s="40">
        <f>[1]Data!H221</f>
        <v>2.435536138477289E-2</v>
      </c>
      <c r="G218" s="41">
        <f>[1]Data!I221</f>
        <v>-5.4595417744939118E-3</v>
      </c>
      <c r="H218" s="42">
        <f t="shared" si="30"/>
        <v>-1</v>
      </c>
      <c r="I218" s="43">
        <f t="shared" si="39"/>
        <v>1</v>
      </c>
      <c r="J218" s="37">
        <f t="shared" si="31"/>
        <v>0</v>
      </c>
      <c r="K218" s="37">
        <f t="shared" si="32"/>
        <v>-2.8544745681194899E-2</v>
      </c>
      <c r="L218" s="37">
        <f t="shared" si="33"/>
        <v>0</v>
      </c>
      <c r="M218" s="37">
        <f t="shared" si="34"/>
        <v>-2.4423499225942866E-2</v>
      </c>
      <c r="N218" s="37">
        <f t="shared" si="35"/>
        <v>2.435536138477289E-2</v>
      </c>
      <c r="O218" s="37">
        <f t="shared" si="36"/>
        <v>0</v>
      </c>
      <c r="P218" s="37">
        <f t="shared" si="37"/>
        <v>5.4595417744939118E-3</v>
      </c>
      <c r="Q218" s="37">
        <f t="shared" si="38"/>
        <v>0</v>
      </c>
    </row>
    <row r="219" spans="1:17" x14ac:dyDescent="0.25">
      <c r="A219" s="38">
        <f>[1]Data!A222</f>
        <v>44075</v>
      </c>
      <c r="B219" s="39">
        <f>[1]Data!B222</f>
        <v>-3.8162637604299825E-2</v>
      </c>
      <c r="C219" s="39">
        <f>[1]Data!C222</f>
        <v>-6.5835196447114802E-2</v>
      </c>
      <c r="D219" s="40">
        <f>[1]Data!F222</f>
        <v>1.3801127197242125E-2</v>
      </c>
      <c r="E219" s="41">
        <f>[1]Data!G222</f>
        <v>-6.1671171111852439E-3</v>
      </c>
      <c r="F219" s="40">
        <f>[1]Data!H222</f>
        <v>-4.7187031607900776E-2</v>
      </c>
      <c r="G219" s="41">
        <f>[1]Data!I222</f>
        <v>1.0640009348219716E-2</v>
      </c>
      <c r="H219" s="42">
        <f t="shared" si="30"/>
        <v>1</v>
      </c>
      <c r="I219" s="43">
        <f t="shared" si="39"/>
        <v>1</v>
      </c>
      <c r="J219" s="37">
        <f t="shared" si="31"/>
        <v>1.3801127197242125E-2</v>
      </c>
      <c r="K219" s="37">
        <f t="shared" si="32"/>
        <v>0</v>
      </c>
      <c r="L219" s="37">
        <f t="shared" si="33"/>
        <v>6.1671171111852439E-3</v>
      </c>
      <c r="M219" s="37">
        <f t="shared" si="34"/>
        <v>0</v>
      </c>
      <c r="N219" s="37">
        <f t="shared" si="35"/>
        <v>-4.7187031607900776E-2</v>
      </c>
      <c r="O219" s="37">
        <f t="shared" si="36"/>
        <v>0</v>
      </c>
      <c r="P219" s="37">
        <f t="shared" si="37"/>
        <v>-1.0640009348219716E-2</v>
      </c>
      <c r="Q219" s="37">
        <f t="shared" si="38"/>
        <v>0</v>
      </c>
    </row>
    <row r="220" spans="1:17" x14ac:dyDescent="0.25">
      <c r="A220" s="38">
        <f>[1]Data!A223</f>
        <v>44105</v>
      </c>
      <c r="B220" s="39">
        <f>[1]Data!B223</f>
        <v>-2.5249895399426077E-2</v>
      </c>
      <c r="C220" s="39">
        <f>[1]Data!C223</f>
        <v>5.0433310915136788E-2</v>
      </c>
      <c r="D220" s="40">
        <f>[1]Data!F223</f>
        <v>-4.8390562265195107E-2</v>
      </c>
      <c r="E220" s="41">
        <f>[1]Data!G223</f>
        <v>-7.1460642012588504E-3</v>
      </c>
      <c r="F220" s="40">
        <f>[1]Data!H223</f>
        <v>1.7376122530387436E-2</v>
      </c>
      <c r="G220" s="41">
        <f>[1]Data!I223</f>
        <v>-2.3770397829058831E-2</v>
      </c>
      <c r="H220" s="42">
        <f t="shared" si="30"/>
        <v>-1</v>
      </c>
      <c r="I220" s="43">
        <f t="shared" si="39"/>
        <v>-1</v>
      </c>
      <c r="J220" s="37">
        <f t="shared" si="31"/>
        <v>0</v>
      </c>
      <c r="K220" s="37">
        <f t="shared" si="32"/>
        <v>4.8390562265195107E-2</v>
      </c>
      <c r="L220" s="37">
        <f t="shared" si="33"/>
        <v>0</v>
      </c>
      <c r="M220" s="37">
        <f t="shared" si="34"/>
        <v>-7.1460642012588504E-3</v>
      </c>
      <c r="N220" s="37">
        <f t="shared" si="35"/>
        <v>0</v>
      </c>
      <c r="O220" s="37">
        <f t="shared" si="36"/>
        <v>-1.7376122530387436E-2</v>
      </c>
      <c r="P220" s="37">
        <f t="shared" si="37"/>
        <v>0</v>
      </c>
      <c r="Q220" s="37">
        <f t="shared" si="38"/>
        <v>-2.3770397829058831E-2</v>
      </c>
    </row>
    <row r="221" spans="1:17" x14ac:dyDescent="0.25">
      <c r="A221" s="38">
        <f>[1]Data!A224</f>
        <v>44136</v>
      </c>
      <c r="B221" s="39">
        <f>[1]Data!B224</f>
        <v>0.10325725550094472</v>
      </c>
      <c r="C221" s="39">
        <f>[1]Data!C224</f>
        <v>5.8724078336053101E-2</v>
      </c>
      <c r="D221" s="40">
        <f>[1]Data!F224</f>
        <v>1.8762721466198451E-2</v>
      </c>
      <c r="E221" s="41">
        <f>[1]Data!G224</f>
        <v>-9.2682344533405788E-3</v>
      </c>
      <c r="F221" s="40">
        <f>[1]Data!H224</f>
        <v>6.9837669112041478E-2</v>
      </c>
      <c r="G221" s="41">
        <f>[1]Data!I224</f>
        <v>1.2683144314982917E-2</v>
      </c>
      <c r="H221" s="42">
        <f t="shared" si="30"/>
        <v>-1</v>
      </c>
      <c r="I221" s="43">
        <f t="shared" si="39"/>
        <v>1</v>
      </c>
      <c r="J221" s="37">
        <f t="shared" si="31"/>
        <v>0</v>
      </c>
      <c r="K221" s="37">
        <f t="shared" si="32"/>
        <v>-1.8762721466198451E-2</v>
      </c>
      <c r="L221" s="37">
        <f t="shared" si="33"/>
        <v>0</v>
      </c>
      <c r="M221" s="37">
        <f t="shared" si="34"/>
        <v>-9.2682344533405788E-3</v>
      </c>
      <c r="N221" s="37">
        <f t="shared" si="35"/>
        <v>6.9837669112041478E-2</v>
      </c>
      <c r="O221" s="37">
        <f t="shared" si="36"/>
        <v>0</v>
      </c>
      <c r="P221" s="37">
        <f t="shared" si="37"/>
        <v>-1.2683144314982917E-2</v>
      </c>
      <c r="Q221" s="37">
        <f t="shared" si="38"/>
        <v>0</v>
      </c>
    </row>
    <row r="222" spans="1:17" x14ac:dyDescent="0.25">
      <c r="A222" s="38">
        <f>[1]Data!A225</f>
        <v>44166</v>
      </c>
      <c r="B222" s="39">
        <f>[1]Data!B225</f>
        <v>3.6378837239044566E-2</v>
      </c>
      <c r="C222" s="39">
        <f>[1]Data!C225</f>
        <v>3.7455498346783508E-2</v>
      </c>
      <c r="D222" s="40">
        <f>[1]Data!F225</f>
        <v>1.6232651290830739E-2</v>
      </c>
      <c r="E222" s="41">
        <f>[1]Data!G225</f>
        <v>4.9572194513811414E-3</v>
      </c>
      <c r="F222" s="40">
        <f>[1]Data!H225</f>
        <v>1.9231100883604513E-2</v>
      </c>
      <c r="G222" s="41">
        <f>[1]Data!I225</f>
        <v>-2.0584412472849062E-2</v>
      </c>
      <c r="H222" s="42">
        <f t="shared" si="30"/>
        <v>-1</v>
      </c>
      <c r="I222" s="43">
        <f t="shared" si="39"/>
        <v>1</v>
      </c>
      <c r="J222" s="37">
        <f t="shared" si="31"/>
        <v>0</v>
      </c>
      <c r="K222" s="37">
        <f t="shared" si="32"/>
        <v>-1.6232651290830739E-2</v>
      </c>
      <c r="L222" s="37">
        <f t="shared" si="33"/>
        <v>0</v>
      </c>
      <c r="M222" s="37">
        <f t="shared" si="34"/>
        <v>4.9572194513811414E-3</v>
      </c>
      <c r="N222" s="37">
        <f t="shared" si="35"/>
        <v>1.9231100883604513E-2</v>
      </c>
      <c r="O222" s="37">
        <f t="shared" si="36"/>
        <v>0</v>
      </c>
      <c r="P222" s="37">
        <f t="shared" si="37"/>
        <v>2.0584412472849062E-2</v>
      </c>
      <c r="Q222" s="37">
        <f t="shared" si="38"/>
        <v>0</v>
      </c>
    </row>
    <row r="223" spans="1:17" x14ac:dyDescent="0.25">
      <c r="A223" s="38">
        <f>[1]Data!A226</f>
        <v>44197</v>
      </c>
      <c r="B223" s="39">
        <f>[1]Data!B226</f>
        <v>-1.0242863776633608E-2</v>
      </c>
      <c r="C223" s="39">
        <f>[1]Data!C226</f>
        <v>5.3800505606036331E-2</v>
      </c>
      <c r="D223" s="40">
        <f>[1]Data!F226</f>
        <v>-3.7965943621629986E-2</v>
      </c>
      <c r="E223" s="41">
        <f>[1]Data!G226</f>
        <v>-1.0926908059107593E-2</v>
      </c>
      <c r="F223" s="40">
        <f>[1]Data!H226</f>
        <v>1.9546640054376244E-2</v>
      </c>
      <c r="G223" s="41">
        <f>[1]Data!I226</f>
        <v>-4.1488033938793661E-2</v>
      </c>
      <c r="H223" s="42">
        <f t="shared" si="30"/>
        <v>-1</v>
      </c>
      <c r="I223" s="43">
        <f t="shared" si="39"/>
        <v>1</v>
      </c>
      <c r="J223" s="37">
        <f t="shared" si="31"/>
        <v>0</v>
      </c>
      <c r="K223" s="37">
        <f t="shared" si="32"/>
        <v>3.7965943621629986E-2</v>
      </c>
      <c r="L223" s="37">
        <f t="shared" si="33"/>
        <v>0</v>
      </c>
      <c r="M223" s="37">
        <f t="shared" si="34"/>
        <v>-1.0926908059107593E-2</v>
      </c>
      <c r="N223" s="37">
        <f t="shared" si="35"/>
        <v>1.9546640054376244E-2</v>
      </c>
      <c r="O223" s="37">
        <f t="shared" si="36"/>
        <v>0</v>
      </c>
      <c r="P223" s="37">
        <f t="shared" si="37"/>
        <v>4.1488033938793661E-2</v>
      </c>
      <c r="Q223" s="37">
        <f t="shared" si="38"/>
        <v>0</v>
      </c>
    </row>
    <row r="224" spans="1:17" x14ac:dyDescent="0.25">
      <c r="A224" s="38">
        <f>[1]Data!A227</f>
        <v>44228</v>
      </c>
      <c r="B224" s="39">
        <f>[1]Data!B227</f>
        <v>2.742605383338521E-2</v>
      </c>
      <c r="C224" s="39">
        <f>[1]Data!C227</f>
        <v>0.11043778553510218</v>
      </c>
      <c r="D224" s="40">
        <f>[1]Data!F227</f>
        <v>-1.7384024666514359E-2</v>
      </c>
      <c r="E224" s="41">
        <f>[1]Data!G227</f>
        <v>6.5892914761212194E-3</v>
      </c>
      <c r="F224" s="40">
        <f>[1]Data!H227</f>
        <v>4.6565654072414545E-2</v>
      </c>
      <c r="G224" s="41">
        <f>[1]Data!I227</f>
        <v>-2.5307333706020389E-2</v>
      </c>
      <c r="H224" s="42">
        <f t="shared" si="30"/>
        <v>-1</v>
      </c>
      <c r="I224" s="43">
        <f t="shared" si="39"/>
        <v>1</v>
      </c>
      <c r="J224" s="37">
        <f t="shared" si="31"/>
        <v>0</v>
      </c>
      <c r="K224" s="37">
        <f t="shared" si="32"/>
        <v>1.7384024666514359E-2</v>
      </c>
      <c r="L224" s="37">
        <f t="shared" si="33"/>
        <v>0</v>
      </c>
      <c r="M224" s="37">
        <f t="shared" si="34"/>
        <v>6.5892914761212194E-3</v>
      </c>
      <c r="N224" s="37">
        <f t="shared" si="35"/>
        <v>4.6565654072414545E-2</v>
      </c>
      <c r="O224" s="37">
        <f t="shared" si="36"/>
        <v>0</v>
      </c>
      <c r="P224" s="37">
        <f t="shared" si="37"/>
        <v>2.5307333706020389E-2</v>
      </c>
      <c r="Q224" s="37">
        <f t="shared" si="38"/>
        <v>0</v>
      </c>
    </row>
    <row r="225" spans="1:17" x14ac:dyDescent="0.25">
      <c r="A225" s="38">
        <f>[1]Data!A228</f>
        <v>44256</v>
      </c>
      <c r="B225" s="39">
        <f>[1]Data!B228</f>
        <v>4.4398912813180841E-2</v>
      </c>
      <c r="C225" s="39">
        <f>[1]Data!C228</f>
        <v>8.602422644532659E-2</v>
      </c>
      <c r="D225" s="40">
        <f>[1]Data!F228</f>
        <v>1.7434699494535747E-2</v>
      </c>
      <c r="E225" s="41">
        <f>[1]Data!G228</f>
        <v>5.1815325318994637E-3</v>
      </c>
      <c r="F225" s="40">
        <f>[1]Data!H228</f>
        <v>8.5603789557191674E-3</v>
      </c>
      <c r="G225" s="41">
        <f>[1]Data!I228</f>
        <v>-2.8655038580267456E-2</v>
      </c>
      <c r="H225" s="42">
        <f t="shared" si="30"/>
        <v>-1</v>
      </c>
      <c r="I225" s="43">
        <f t="shared" si="39"/>
        <v>1</v>
      </c>
      <c r="J225" s="37">
        <f t="shared" si="31"/>
        <v>0</v>
      </c>
      <c r="K225" s="37">
        <f t="shared" si="32"/>
        <v>-1.7434699494535747E-2</v>
      </c>
      <c r="L225" s="37">
        <f t="shared" si="33"/>
        <v>0</v>
      </c>
      <c r="M225" s="37">
        <f t="shared" si="34"/>
        <v>5.1815325318994637E-3</v>
      </c>
      <c r="N225" s="37">
        <f t="shared" si="35"/>
        <v>8.5603789557191674E-3</v>
      </c>
      <c r="O225" s="37">
        <f t="shared" si="36"/>
        <v>0</v>
      </c>
      <c r="P225" s="37">
        <f t="shared" si="37"/>
        <v>2.8655038580267456E-2</v>
      </c>
      <c r="Q225" s="37">
        <f t="shared" si="38"/>
        <v>0</v>
      </c>
    </row>
    <row r="226" spans="1:17" x14ac:dyDescent="0.25">
      <c r="A226" s="38">
        <f>[1]Data!A229</f>
        <v>44287</v>
      </c>
      <c r="B226" s="39">
        <f>[1]Data!B229</f>
        <v>5.1558238542363341E-2</v>
      </c>
      <c r="C226" s="39">
        <f>[1]Data!C229</f>
        <v>2.2431054914758015E-3</v>
      </c>
      <c r="D226" s="40">
        <f>[1]Data!F229</f>
        <v>1.2126781256457655E-2</v>
      </c>
      <c r="E226" s="41">
        <f>[1]Data!G229</f>
        <v>-1.2543451851814881E-2</v>
      </c>
      <c r="F226" s="40">
        <f>[1]Data!H229</f>
        <v>3.0293643363770127E-2</v>
      </c>
      <c r="G226" s="41">
        <f>[1]Data!I229</f>
        <v>2.0090355650542794E-2</v>
      </c>
      <c r="H226" s="42">
        <f t="shared" si="30"/>
        <v>-1</v>
      </c>
      <c r="I226" s="43">
        <f t="shared" si="39"/>
        <v>1</v>
      </c>
      <c r="J226" s="37">
        <f t="shared" si="31"/>
        <v>0</v>
      </c>
      <c r="K226" s="37">
        <f t="shared" si="32"/>
        <v>-1.2126781256457655E-2</v>
      </c>
      <c r="L226" s="37">
        <f t="shared" si="33"/>
        <v>0</v>
      </c>
      <c r="M226" s="37">
        <f t="shared" si="34"/>
        <v>-1.2543451851814881E-2</v>
      </c>
      <c r="N226" s="37">
        <f t="shared" si="35"/>
        <v>3.0293643363770127E-2</v>
      </c>
      <c r="O226" s="37">
        <f t="shared" si="36"/>
        <v>0</v>
      </c>
      <c r="P226" s="37">
        <f t="shared" si="37"/>
        <v>-2.0090355650542794E-2</v>
      </c>
      <c r="Q226" s="37">
        <f t="shared" si="38"/>
        <v>0</v>
      </c>
    </row>
    <row r="227" spans="1:17" x14ac:dyDescent="0.25">
      <c r="A227" s="38">
        <f>[1]Data!A230</f>
        <v>44317</v>
      </c>
      <c r="B227" s="39">
        <f>[1]Data!B230</f>
        <v>6.5446098984584186E-3</v>
      </c>
      <c r="C227" s="39">
        <f>[1]Data!C230</f>
        <v>-1.151218306930323E-4</v>
      </c>
      <c r="D227" s="40">
        <f>[1]Data!F230</f>
        <v>1.2215842357166922E-2</v>
      </c>
      <c r="E227" s="41">
        <f>[1]Data!G230</f>
        <v>5.5777026221061465E-3</v>
      </c>
      <c r="F227" s="40">
        <f>[1]Data!H230</f>
        <v>1.148423361336148E-2</v>
      </c>
      <c r="G227" s="41">
        <f>[1]Data!I230</f>
        <v>5.7119539558551256E-3</v>
      </c>
      <c r="H227" s="42">
        <f t="shared" si="30"/>
        <v>1</v>
      </c>
      <c r="I227" s="43">
        <f t="shared" si="39"/>
        <v>1</v>
      </c>
      <c r="J227" s="37">
        <f t="shared" si="31"/>
        <v>1.2215842357166922E-2</v>
      </c>
      <c r="K227" s="37">
        <f t="shared" si="32"/>
        <v>0</v>
      </c>
      <c r="L227" s="37">
        <f t="shared" si="33"/>
        <v>-5.5777026221061465E-3</v>
      </c>
      <c r="M227" s="37">
        <f t="shared" si="34"/>
        <v>0</v>
      </c>
      <c r="N227" s="37">
        <f t="shared" si="35"/>
        <v>1.148423361336148E-2</v>
      </c>
      <c r="O227" s="37">
        <f t="shared" si="36"/>
        <v>0</v>
      </c>
      <c r="P227" s="37">
        <f t="shared" si="37"/>
        <v>-5.7119539558551256E-3</v>
      </c>
      <c r="Q227" s="37">
        <f t="shared" si="38"/>
        <v>0</v>
      </c>
    </row>
    <row r="228" spans="1:17" x14ac:dyDescent="0.25">
      <c r="A228" s="38">
        <f>[1]Data!A231</f>
        <v>44348</v>
      </c>
      <c r="B228" s="39">
        <f>[1]Data!B231</f>
        <v>2.2179778274440821E-2</v>
      </c>
      <c r="C228" s="39">
        <f>[1]Data!C231</f>
        <v>-3.0655097020226812E-2</v>
      </c>
      <c r="D228" s="40">
        <f>[1]Data!F231</f>
        <v>1.696333741766997E-2</v>
      </c>
      <c r="E228" s="41">
        <f>[1]Data!G231</f>
        <v>7.3711573761226874E-3</v>
      </c>
      <c r="F228" s="40">
        <f>[1]Data!H231</f>
        <v>5.10547761978978E-3</v>
      </c>
      <c r="G228" s="41">
        <f>[1]Data!I231</f>
        <v>8.8507930187924858E-3</v>
      </c>
      <c r="H228" s="42">
        <f t="shared" si="30"/>
        <v>1</v>
      </c>
      <c r="I228" s="43">
        <f t="shared" si="39"/>
        <v>-1</v>
      </c>
      <c r="J228" s="37">
        <f t="shared" si="31"/>
        <v>1.696333741766997E-2</v>
      </c>
      <c r="K228" s="37">
        <f t="shared" si="32"/>
        <v>0</v>
      </c>
      <c r="L228" s="37">
        <f t="shared" si="33"/>
        <v>-7.3711573761226874E-3</v>
      </c>
      <c r="M228" s="37">
        <f t="shared" si="34"/>
        <v>0</v>
      </c>
      <c r="N228" s="37">
        <f t="shared" si="35"/>
        <v>0</v>
      </c>
      <c r="O228" s="37">
        <f t="shared" si="36"/>
        <v>-5.10547761978978E-3</v>
      </c>
      <c r="P228" s="37">
        <f t="shared" si="37"/>
        <v>0</v>
      </c>
      <c r="Q228" s="37">
        <f t="shared" si="38"/>
        <v>8.8507930187924858E-3</v>
      </c>
    </row>
    <row r="229" spans="1:17" x14ac:dyDescent="0.25">
      <c r="A229" s="38">
        <f>[1]Data!A232</f>
        <v>44378</v>
      </c>
      <c r="B229" s="39">
        <f>[1]Data!B232</f>
        <v>2.4119266388236284E-2</v>
      </c>
      <c r="C229" s="39">
        <f>[1]Data!C232</f>
        <v>-1.9218809799632017E-2</v>
      </c>
      <c r="D229" s="40">
        <f>[1]Data!F232</f>
        <v>6.9798021718870265E-3</v>
      </c>
      <c r="E229" s="41">
        <f>[1]Data!G232</f>
        <v>1.3392975497376024E-4</v>
      </c>
      <c r="F229" s="40">
        <f>[1]Data!H232</f>
        <v>6.6590971395921635E-3</v>
      </c>
      <c r="G229" s="41">
        <f>[1]Data!I232</f>
        <v>3.0454553422428508E-2</v>
      </c>
      <c r="H229" s="42">
        <f t="shared" si="30"/>
        <v>1</v>
      </c>
      <c r="I229" s="43">
        <f t="shared" si="39"/>
        <v>-1</v>
      </c>
      <c r="J229" s="37">
        <f t="shared" si="31"/>
        <v>6.9798021718870265E-3</v>
      </c>
      <c r="K229" s="37">
        <f t="shared" si="32"/>
        <v>0</v>
      </c>
      <c r="L229" s="37">
        <f t="shared" si="33"/>
        <v>-1.3392975497376024E-4</v>
      </c>
      <c r="M229" s="37">
        <f t="shared" si="34"/>
        <v>0</v>
      </c>
      <c r="N229" s="37">
        <f t="shared" si="35"/>
        <v>0</v>
      </c>
      <c r="O229" s="37">
        <f t="shared" si="36"/>
        <v>-6.6590971395921635E-3</v>
      </c>
      <c r="P229" s="37">
        <f t="shared" si="37"/>
        <v>0</v>
      </c>
      <c r="Q229" s="37">
        <f t="shared" si="38"/>
        <v>3.0454553422428508E-2</v>
      </c>
    </row>
    <row r="230" spans="1:17" x14ac:dyDescent="0.25">
      <c r="A230" s="38">
        <f>[1]Data!A233</f>
        <v>44409</v>
      </c>
      <c r="B230" s="39">
        <f>[1]Data!B233</f>
        <v>2.9325454689421535E-2</v>
      </c>
      <c r="C230" s="39">
        <f>[1]Data!C233</f>
        <v>2.9162464152286509E-3</v>
      </c>
      <c r="D230" s="40">
        <f>[1]Data!F233</f>
        <v>1.8326270727281269E-2</v>
      </c>
      <c r="E230" s="41">
        <f>[1]Data!G233</f>
        <v>-1.1490464061884264E-2</v>
      </c>
      <c r="F230" s="40">
        <f>[1]Data!H233</f>
        <v>9.0350287328493824E-3</v>
      </c>
      <c r="G230" s="41">
        <f>[1]Data!I233</f>
        <v>-1.0487486988141873E-2</v>
      </c>
      <c r="H230" s="42">
        <f t="shared" si="30"/>
        <v>-1</v>
      </c>
      <c r="I230" s="43">
        <f t="shared" si="39"/>
        <v>-1</v>
      </c>
      <c r="J230" s="37">
        <f t="shared" si="31"/>
        <v>0</v>
      </c>
      <c r="K230" s="37">
        <f t="shared" si="32"/>
        <v>-1.8326270727281269E-2</v>
      </c>
      <c r="L230" s="37">
        <f t="shared" si="33"/>
        <v>0</v>
      </c>
      <c r="M230" s="37">
        <f t="shared" si="34"/>
        <v>-1.1490464061884264E-2</v>
      </c>
      <c r="N230" s="37">
        <f t="shared" si="35"/>
        <v>0</v>
      </c>
      <c r="O230" s="37">
        <f t="shared" si="36"/>
        <v>-9.0350287328493824E-3</v>
      </c>
      <c r="P230" s="37">
        <f t="shared" si="37"/>
        <v>0</v>
      </c>
      <c r="Q230" s="37">
        <f t="shared" si="38"/>
        <v>-1.0487486988141873E-2</v>
      </c>
    </row>
    <row r="231" spans="1:17" x14ac:dyDescent="0.25">
      <c r="A231" s="38">
        <f>[1]Data!A234</f>
        <v>44440</v>
      </c>
      <c r="B231" s="39">
        <f>[1]Data!B234</f>
        <v>-4.772644369023616E-2</v>
      </c>
      <c r="C231" s="39">
        <f>[1]Data!C234</f>
        <v>-4.8574503818244685E-2</v>
      </c>
      <c r="D231" s="40">
        <f>[1]Data!F234</f>
        <v>-2.0115820546968352E-2</v>
      </c>
      <c r="E231" s="41">
        <f>[1]Data!G234</f>
        <v>-5.0464856597345863E-2</v>
      </c>
      <c r="F231" s="40">
        <f>[1]Data!H234</f>
        <v>-1.4405299472210753E-3</v>
      </c>
      <c r="G231" s="41">
        <f>[1]Data!I234</f>
        <v>-4.7948403519810535E-3</v>
      </c>
      <c r="H231" s="42">
        <f t="shared" si="30"/>
        <v>1</v>
      </c>
      <c r="I231" s="43">
        <f t="shared" si="39"/>
        <v>1</v>
      </c>
      <c r="J231" s="37">
        <f t="shared" si="31"/>
        <v>-2.0115820546968352E-2</v>
      </c>
      <c r="K231" s="37">
        <f t="shared" si="32"/>
        <v>0</v>
      </c>
      <c r="L231" s="37">
        <f t="shared" si="33"/>
        <v>5.0464856597345863E-2</v>
      </c>
      <c r="M231" s="37">
        <f t="shared" si="34"/>
        <v>0</v>
      </c>
      <c r="N231" s="37">
        <f t="shared" si="35"/>
        <v>-1.4405299472210753E-3</v>
      </c>
      <c r="O231" s="37">
        <f t="shared" si="36"/>
        <v>0</v>
      </c>
      <c r="P231" s="37">
        <f t="shared" si="37"/>
        <v>4.7948403519810535E-3</v>
      </c>
      <c r="Q231" s="37">
        <f t="shared" si="38"/>
        <v>0</v>
      </c>
    </row>
    <row r="232" spans="1:17" x14ac:dyDescent="0.25">
      <c r="A232" s="38">
        <f>[1]Data!A235</f>
        <v>44470</v>
      </c>
      <c r="B232" s="39">
        <f>[1]Data!B235</f>
        <v>6.7811520185359464E-2</v>
      </c>
      <c r="C232" s="39">
        <f>[1]Data!C235</f>
        <v>6.641177784413213E-2</v>
      </c>
      <c r="D232" s="40">
        <f>[1]Data!F235</f>
        <v>1.2401001113649456E-2</v>
      </c>
      <c r="E232" s="41">
        <f>[1]Data!G235</f>
        <v>3.5352190616262616E-2</v>
      </c>
      <c r="F232" s="40">
        <f>[1]Data!H235</f>
        <v>2.1941322895229948E-2</v>
      </c>
      <c r="G232" s="41">
        <f>[1]Data!I235</f>
        <v>-8.7589070445465121E-3</v>
      </c>
      <c r="H232" s="42">
        <f t="shared" si="30"/>
        <v>-1</v>
      </c>
      <c r="I232" s="43">
        <f t="shared" si="39"/>
        <v>-1</v>
      </c>
      <c r="J232" s="37">
        <f t="shared" si="31"/>
        <v>0</v>
      </c>
      <c r="K232" s="37">
        <f t="shared" si="32"/>
        <v>-1.2401001113649456E-2</v>
      </c>
      <c r="L232" s="37">
        <f t="shared" si="33"/>
        <v>0</v>
      </c>
      <c r="M232" s="37">
        <f t="shared" si="34"/>
        <v>3.5352190616262616E-2</v>
      </c>
      <c r="N232" s="37">
        <f t="shared" si="35"/>
        <v>0</v>
      </c>
      <c r="O232" s="37">
        <f t="shared" si="36"/>
        <v>-2.1941322895229948E-2</v>
      </c>
      <c r="P232" s="37">
        <f t="shared" si="37"/>
        <v>0</v>
      </c>
      <c r="Q232" s="37">
        <f t="shared" si="38"/>
        <v>-8.7589070445465121E-3</v>
      </c>
    </row>
    <row r="233" spans="1:17" x14ac:dyDescent="0.25">
      <c r="A233" s="38">
        <f>[1]Data!A236</f>
        <v>44501</v>
      </c>
      <c r="B233" s="39">
        <f>[1]Data!B236</f>
        <v>-8.0673554045536805E-3</v>
      </c>
      <c r="C233" s="39">
        <f>[1]Data!C236</f>
        <v>1.4972978925412972E-2</v>
      </c>
      <c r="D233" s="40">
        <f>[1]Data!F236</f>
        <v>-2.8840826497794219E-2</v>
      </c>
      <c r="E233" s="41">
        <f>[1]Data!G236</f>
        <v>2.1537887401986894E-2</v>
      </c>
      <c r="F233" s="40">
        <f>[1]Data!H236</f>
        <v>2.0005490052964581E-2</v>
      </c>
      <c r="G233" s="41">
        <f>[1]Data!I236</f>
        <v>1.2116522201603058E-2</v>
      </c>
      <c r="H233" s="42">
        <f t="shared" si="30"/>
        <v>-1</v>
      </c>
      <c r="I233" s="43">
        <f t="shared" si="39"/>
        <v>1</v>
      </c>
      <c r="J233" s="37">
        <f t="shared" si="31"/>
        <v>0</v>
      </c>
      <c r="K233" s="37">
        <f t="shared" si="32"/>
        <v>2.8840826497794219E-2</v>
      </c>
      <c r="L233" s="37">
        <f t="shared" si="33"/>
        <v>0</v>
      </c>
      <c r="M233" s="37">
        <f t="shared" si="34"/>
        <v>2.1537887401986894E-2</v>
      </c>
      <c r="N233" s="37">
        <f t="shared" si="35"/>
        <v>2.0005490052964581E-2</v>
      </c>
      <c r="O233" s="37">
        <f t="shared" si="36"/>
        <v>0</v>
      </c>
      <c r="P233" s="37">
        <f t="shared" si="37"/>
        <v>-1.2116522201603058E-2</v>
      </c>
      <c r="Q233" s="37">
        <f t="shared" si="38"/>
        <v>0</v>
      </c>
    </row>
    <row r="234" spans="1:17" x14ac:dyDescent="0.25">
      <c r="A234" s="38">
        <f>[1]Data!A237</f>
        <v>44531</v>
      </c>
      <c r="B234" s="39">
        <f>[1]Data!B237</f>
        <v>4.5210268361061477E-2</v>
      </c>
      <c r="C234" s="39">
        <f>[1]Data!C237</f>
        <v>3.3856448687732785E-2</v>
      </c>
      <c r="D234" s="40">
        <f>[1]Data!F237</f>
        <v>2.5374119839260571E-2</v>
      </c>
      <c r="E234" s="41">
        <f>[1]Data!G237</f>
        <v>-6.323674093309908E-3</v>
      </c>
      <c r="F234" s="40">
        <f>[1]Data!H237</f>
        <v>2.7538990939022526E-2</v>
      </c>
      <c r="G234" s="41">
        <f>[1]Data!I237</f>
        <v>-2.6852351765409531E-3</v>
      </c>
      <c r="H234" s="42">
        <f t="shared" si="30"/>
        <v>-1</v>
      </c>
      <c r="I234" s="43">
        <f t="shared" si="39"/>
        <v>1</v>
      </c>
      <c r="J234" s="37">
        <f t="shared" si="31"/>
        <v>0</v>
      </c>
      <c r="K234" s="37">
        <f t="shared" si="32"/>
        <v>-2.5374119839260571E-2</v>
      </c>
      <c r="L234" s="37">
        <f t="shared" si="33"/>
        <v>0</v>
      </c>
      <c r="M234" s="37">
        <f t="shared" si="34"/>
        <v>-6.323674093309908E-3</v>
      </c>
      <c r="N234" s="37">
        <f t="shared" si="35"/>
        <v>2.7538990939022526E-2</v>
      </c>
      <c r="O234" s="37">
        <f t="shared" si="36"/>
        <v>0</v>
      </c>
      <c r="P234" s="37">
        <f t="shared" si="37"/>
        <v>2.6852351765409531E-3</v>
      </c>
      <c r="Q234" s="37">
        <f t="shared" si="38"/>
        <v>0</v>
      </c>
    </row>
    <row r="235" spans="1:17" x14ac:dyDescent="0.25">
      <c r="A235" s="38">
        <f>[1]Data!A238</f>
        <v>44562</v>
      </c>
      <c r="B235" s="39">
        <f>[1]Data!B238</f>
        <v>-5.4183147552412894E-2</v>
      </c>
      <c r="C235" s="39">
        <f>[1]Data!C238</f>
        <v>-3.7315541756700842E-2</v>
      </c>
      <c r="D235" s="40">
        <f>[1]Data!F238</f>
        <v>2.2636409234365662E-2</v>
      </c>
      <c r="E235" s="41">
        <f>[1]Data!G238</f>
        <v>-4.2129798501501243E-4</v>
      </c>
      <c r="F235" s="40">
        <f>[1]Data!H238</f>
        <v>-1.8851744402737389E-2</v>
      </c>
      <c r="G235" s="41">
        <f>[1]Data!I238</f>
        <v>-4.0838967133271536E-2</v>
      </c>
      <c r="H235" s="42">
        <f t="shared" si="30"/>
        <v>1</v>
      </c>
      <c r="I235" s="43">
        <f t="shared" si="39"/>
        <v>1</v>
      </c>
      <c r="J235" s="37">
        <f t="shared" si="31"/>
        <v>2.2636409234365662E-2</v>
      </c>
      <c r="K235" s="37">
        <f t="shared" si="32"/>
        <v>0</v>
      </c>
      <c r="L235" s="37">
        <f t="shared" si="33"/>
        <v>4.2129798501501243E-4</v>
      </c>
      <c r="M235" s="37">
        <f t="shared" si="34"/>
        <v>0</v>
      </c>
      <c r="N235" s="37">
        <f t="shared" si="35"/>
        <v>-1.8851744402737389E-2</v>
      </c>
      <c r="O235" s="37">
        <f t="shared" si="36"/>
        <v>0</v>
      </c>
      <c r="P235" s="37">
        <f t="shared" si="37"/>
        <v>4.0838967133271536E-2</v>
      </c>
      <c r="Q235" s="37">
        <f t="shared" si="38"/>
        <v>0</v>
      </c>
    </row>
    <row r="236" spans="1:17" x14ac:dyDescent="0.25">
      <c r="A236" s="38">
        <f>[1]Data!A239</f>
        <v>44593</v>
      </c>
      <c r="B236" s="39">
        <f>[1]Data!B239</f>
        <v>-2.9961465282810056E-2</v>
      </c>
      <c r="C236" s="39">
        <f>[1]Data!C239</f>
        <v>-2.0604266682628408E-2</v>
      </c>
      <c r="D236" s="40">
        <f>[1]Data!F239</f>
        <v>1.6301219398284696E-2</v>
      </c>
      <c r="E236" s="41">
        <f>[1]Data!G239</f>
        <v>9.1934973856490493E-3</v>
      </c>
      <c r="F236" s="40">
        <f>[1]Data!H239</f>
        <v>-5.9072520587277015E-3</v>
      </c>
      <c r="G236" s="41">
        <f>[1]Data!I239</f>
        <v>-2.1985102829656576E-2</v>
      </c>
      <c r="H236" s="42">
        <f t="shared" si="30"/>
        <v>1</v>
      </c>
      <c r="I236" s="43">
        <f t="shared" si="39"/>
        <v>-1</v>
      </c>
      <c r="J236" s="37">
        <f t="shared" si="31"/>
        <v>1.6301219398284696E-2</v>
      </c>
      <c r="K236" s="37">
        <f t="shared" si="32"/>
        <v>0</v>
      </c>
      <c r="L236" s="37">
        <f t="shared" si="33"/>
        <v>-9.1934973856490493E-3</v>
      </c>
      <c r="M236" s="37">
        <f t="shared" si="34"/>
        <v>0</v>
      </c>
      <c r="N236" s="37">
        <f t="shared" si="35"/>
        <v>0</v>
      </c>
      <c r="O236" s="37">
        <f t="shared" si="36"/>
        <v>5.9072520587277015E-3</v>
      </c>
      <c r="P236" s="37">
        <f t="shared" si="37"/>
        <v>0</v>
      </c>
      <c r="Q236" s="37">
        <f t="shared" si="38"/>
        <v>-2.1985102829656576E-2</v>
      </c>
    </row>
    <row r="237" spans="1:17" x14ac:dyDescent="0.25">
      <c r="A237" s="38">
        <f>[1]Data!A240</f>
        <v>44621</v>
      </c>
      <c r="B237" s="39">
        <f>[1]Data!B240</f>
        <v>3.6901152909018811E-2</v>
      </c>
      <c r="C237" s="39">
        <f>[1]Data!C240</f>
        <v>8.9885063159876544E-2</v>
      </c>
      <c r="D237" s="40">
        <f>[1]Data!F240</f>
        <v>1.6182762188979259E-2</v>
      </c>
      <c r="E237" s="41">
        <f>[1]Data!G240</f>
        <v>1.3184671065982648E-2</v>
      </c>
      <c r="F237" s="40">
        <f>[1]Data!H240</f>
        <v>-4.0189359076868367E-2</v>
      </c>
      <c r="G237" s="41">
        <f>[1]Data!I240</f>
        <v>-3.6936724875798934E-3</v>
      </c>
      <c r="H237" s="42">
        <f t="shared" si="30"/>
        <v>-1</v>
      </c>
      <c r="I237" s="43">
        <f t="shared" si="39"/>
        <v>-1</v>
      </c>
      <c r="J237" s="37">
        <f t="shared" si="31"/>
        <v>0</v>
      </c>
      <c r="K237" s="37">
        <f t="shared" si="32"/>
        <v>-1.6182762188979259E-2</v>
      </c>
      <c r="L237" s="37">
        <f t="shared" si="33"/>
        <v>0</v>
      </c>
      <c r="M237" s="37">
        <f t="shared" si="34"/>
        <v>1.3184671065982648E-2</v>
      </c>
      <c r="N237" s="37">
        <f t="shared" si="35"/>
        <v>0</v>
      </c>
      <c r="O237" s="37">
        <f t="shared" si="36"/>
        <v>4.0189359076868367E-2</v>
      </c>
      <c r="P237" s="37">
        <f t="shared" si="37"/>
        <v>0</v>
      </c>
      <c r="Q237" s="37">
        <f t="shared" si="38"/>
        <v>-3.6936724875798934E-3</v>
      </c>
    </row>
    <row r="238" spans="1:17" x14ac:dyDescent="0.25">
      <c r="A238" s="38">
        <f>[1]Data!A241</f>
        <v>44652</v>
      </c>
      <c r="B238" s="39">
        <f>[1]Data!B241</f>
        <v>-9.1862059431613879E-2</v>
      </c>
      <c r="C238" s="39">
        <f>[1]Data!C241</f>
        <v>3.6116596232121351E-2</v>
      </c>
      <c r="D238" s="40">
        <f>[1]Data!F241</f>
        <v>-3.3509970123769106E-2</v>
      </c>
      <c r="E238" s="41">
        <f>[1]Data!G241</f>
        <v>-4.5106034144923278E-3</v>
      </c>
      <c r="F238" s="40">
        <f>[1]Data!H241</f>
        <v>-6.3748698554428338E-3</v>
      </c>
      <c r="G238" s="41">
        <f>[1]Data!I241</f>
        <v>-4.1713923872158269E-2</v>
      </c>
      <c r="H238" s="42">
        <f t="shared" si="30"/>
        <v>-1</v>
      </c>
      <c r="I238" s="43">
        <f t="shared" si="39"/>
        <v>1</v>
      </c>
      <c r="J238" s="37">
        <f t="shared" si="31"/>
        <v>0</v>
      </c>
      <c r="K238" s="37">
        <f t="shared" si="32"/>
        <v>3.3509970123769106E-2</v>
      </c>
      <c r="L238" s="37">
        <f t="shared" si="33"/>
        <v>0</v>
      </c>
      <c r="M238" s="37">
        <f t="shared" si="34"/>
        <v>-4.5106034144923278E-3</v>
      </c>
      <c r="N238" s="37">
        <f t="shared" si="35"/>
        <v>-6.3748698554428338E-3</v>
      </c>
      <c r="O238" s="37">
        <f t="shared" si="36"/>
        <v>0</v>
      </c>
      <c r="P238" s="37">
        <f t="shared" si="37"/>
        <v>4.1713923872158269E-2</v>
      </c>
      <c r="Q238" s="37">
        <f t="shared" si="38"/>
        <v>0</v>
      </c>
    </row>
    <row r="239" spans="1:17" x14ac:dyDescent="0.25">
      <c r="A239" s="38">
        <f>[1]Data!A242</f>
        <v>44682</v>
      </c>
      <c r="B239" s="39">
        <f>[1]Data!B242</f>
        <v>2.2547708845364368E-3</v>
      </c>
      <c r="C239" s="39">
        <f>[1]Data!C242</f>
        <v>-4.9625936824924513E-2</v>
      </c>
      <c r="D239" s="40">
        <f>[1]Data!F242</f>
        <v>5.8080529031280477E-2</v>
      </c>
      <c r="E239" s="41">
        <f>[1]Data!G242</f>
        <v>-1.6590826960377794E-2</v>
      </c>
      <c r="F239" s="40">
        <f>[1]Data!H242</f>
        <v>-1.6031069070328533E-3</v>
      </c>
      <c r="G239" s="41">
        <f>[1]Data!I242</f>
        <v>-4.7897659323441547E-2</v>
      </c>
      <c r="H239" s="42">
        <f t="shared" si="30"/>
        <v>1</v>
      </c>
      <c r="I239" s="43">
        <f t="shared" si="39"/>
        <v>1</v>
      </c>
      <c r="J239" s="37">
        <f t="shared" si="31"/>
        <v>5.8080529031280477E-2</v>
      </c>
      <c r="K239" s="37">
        <f t="shared" si="32"/>
        <v>0</v>
      </c>
      <c r="L239" s="37">
        <f t="shared" si="33"/>
        <v>1.6590826960377794E-2</v>
      </c>
      <c r="M239" s="37">
        <f t="shared" si="34"/>
        <v>0</v>
      </c>
      <c r="N239" s="37">
        <f t="shared" si="35"/>
        <v>-1.6031069070328533E-3</v>
      </c>
      <c r="O239" s="37">
        <f t="shared" si="36"/>
        <v>0</v>
      </c>
      <c r="P239" s="37">
        <f t="shared" si="37"/>
        <v>4.7897659323441547E-2</v>
      </c>
      <c r="Q239" s="37">
        <f t="shared" si="38"/>
        <v>0</v>
      </c>
    </row>
    <row r="240" spans="1:17" x14ac:dyDescent="0.25">
      <c r="A240" s="38">
        <f>[1]Data!A243</f>
        <v>44713</v>
      </c>
      <c r="B240" s="39">
        <f>[1]Data!B243</f>
        <v>-8.6059583848674445E-2</v>
      </c>
      <c r="C240" s="39">
        <f>[1]Data!C243</f>
        <v>-6.6284959335857985E-2</v>
      </c>
      <c r="D240" s="40">
        <f>[1]Data!F243</f>
        <v>7.6098943102592912E-3</v>
      </c>
      <c r="E240" s="41">
        <f>[1]Data!G243</f>
        <v>1.4556806555055089E-2</v>
      </c>
      <c r="F240" s="40">
        <f>[1]Data!H243</f>
        <v>6.7820448430330922E-3</v>
      </c>
      <c r="G240" s="41">
        <f>[1]Data!I243</f>
        <v>-1.0653574469724036E-2</v>
      </c>
      <c r="H240" s="42">
        <f t="shared" si="30"/>
        <v>1</v>
      </c>
      <c r="I240" s="43">
        <f t="shared" si="39"/>
        <v>-1</v>
      </c>
      <c r="J240" s="37">
        <f t="shared" si="31"/>
        <v>7.6098943102592912E-3</v>
      </c>
      <c r="K240" s="37">
        <f t="shared" si="32"/>
        <v>0</v>
      </c>
      <c r="L240" s="37">
        <f t="shared" si="33"/>
        <v>-1.4556806555055089E-2</v>
      </c>
      <c r="M240" s="37">
        <f t="shared" si="34"/>
        <v>0</v>
      </c>
      <c r="N240" s="37">
        <f t="shared" si="35"/>
        <v>0</v>
      </c>
      <c r="O240" s="37">
        <f t="shared" si="36"/>
        <v>-6.7820448430330922E-3</v>
      </c>
      <c r="P240" s="37">
        <f t="shared" si="37"/>
        <v>0</v>
      </c>
      <c r="Q240" s="37">
        <f t="shared" si="38"/>
        <v>-1.0653574469724036E-2</v>
      </c>
    </row>
    <row r="241" spans="1:17" x14ac:dyDescent="0.25">
      <c r="A241" s="38">
        <f>[1]Data!A244</f>
        <v>44743</v>
      </c>
      <c r="B241" s="39">
        <f>[1]Data!B244</f>
        <v>8.8091124831144063E-2</v>
      </c>
      <c r="C241" s="39">
        <f>[1]Data!C244</f>
        <v>1.2693886789839605E-2</v>
      </c>
      <c r="D241" s="40">
        <f>[1]Data!F244</f>
        <v>4.1885610161670708E-2</v>
      </c>
      <c r="E241" s="41">
        <f>[1]Data!G244</f>
        <v>-9.4922099550556385E-3</v>
      </c>
      <c r="F241" s="40">
        <f>[1]Data!H244</f>
        <v>2.9822572227213E-2</v>
      </c>
      <c r="G241" s="41">
        <f>[1]Data!I244</f>
        <v>-1.886995706164055E-2</v>
      </c>
      <c r="H241" s="42">
        <f t="shared" si="30"/>
        <v>-1</v>
      </c>
      <c r="I241" s="43">
        <f t="shared" si="39"/>
        <v>-1</v>
      </c>
      <c r="J241" s="37">
        <f t="shared" si="31"/>
        <v>0</v>
      </c>
      <c r="K241" s="37">
        <f t="shared" si="32"/>
        <v>-4.1885610161670708E-2</v>
      </c>
      <c r="L241" s="37">
        <f t="shared" si="33"/>
        <v>0</v>
      </c>
      <c r="M241" s="37">
        <f t="shared" si="34"/>
        <v>-9.4922099550556385E-3</v>
      </c>
      <c r="N241" s="37">
        <f t="shared" si="35"/>
        <v>0</v>
      </c>
      <c r="O241" s="37">
        <f t="shared" si="36"/>
        <v>-2.9822572227213E-2</v>
      </c>
      <c r="P241" s="37">
        <f t="shared" si="37"/>
        <v>0</v>
      </c>
      <c r="Q241" s="37">
        <f t="shared" si="38"/>
        <v>-1.886995706164055E-2</v>
      </c>
    </row>
    <row r="242" spans="1:17" x14ac:dyDescent="0.25">
      <c r="A242" s="38">
        <f>[1]Data!A245</f>
        <v>44774</v>
      </c>
      <c r="B242" s="39">
        <f>[1]Data!B245</f>
        <v>-4.1657799857286626E-2</v>
      </c>
      <c r="C242" s="39">
        <f>[1]Data!C245</f>
        <v>6.062324073068464E-2</v>
      </c>
      <c r="D242" s="40">
        <f>[1]Data!F245</f>
        <v>-6.5995677701862043E-2</v>
      </c>
      <c r="E242" s="41">
        <f>[1]Data!G245</f>
        <v>-1.0315013568283377E-2</v>
      </c>
      <c r="F242" s="40">
        <f>[1]Data!H245</f>
        <v>3.5858619216959159E-3</v>
      </c>
      <c r="G242" s="41">
        <f>[1]Data!I245</f>
        <v>-6.3932624235382499E-3</v>
      </c>
      <c r="H242" s="42">
        <f t="shared" si="30"/>
        <v>-1</v>
      </c>
      <c r="I242" s="43">
        <f t="shared" si="39"/>
        <v>1</v>
      </c>
      <c r="J242" s="37">
        <f t="shared" si="31"/>
        <v>0</v>
      </c>
      <c r="K242" s="37">
        <f t="shared" si="32"/>
        <v>6.5995677701862043E-2</v>
      </c>
      <c r="L242" s="37">
        <f t="shared" si="33"/>
        <v>0</v>
      </c>
      <c r="M242" s="37">
        <f t="shared" si="34"/>
        <v>-1.0315013568283377E-2</v>
      </c>
      <c r="N242" s="37">
        <f t="shared" si="35"/>
        <v>3.5858619216959159E-3</v>
      </c>
      <c r="O242" s="37">
        <f t="shared" si="36"/>
        <v>0</v>
      </c>
      <c r="P242" s="37">
        <f t="shared" si="37"/>
        <v>6.3932624235382499E-3</v>
      </c>
      <c r="Q242" s="37">
        <f t="shared" si="38"/>
        <v>0</v>
      </c>
    </row>
    <row r="243" spans="1:17" x14ac:dyDescent="0.25">
      <c r="A243" s="38">
        <f>[1]Data!A246</f>
        <v>44805</v>
      </c>
      <c r="B243" s="39">
        <f>[1]Data!B246</f>
        <v>-9.7002169996013396E-2</v>
      </c>
      <c r="C243" s="39">
        <f>[1]Data!C246</f>
        <v>8.3886388646190434E-3</v>
      </c>
      <c r="D243" s="40">
        <f>[1]Data!F246</f>
        <v>-4.6603959657814595E-2</v>
      </c>
      <c r="E243" s="41">
        <f>[1]Data!G246</f>
        <v>-2.7153218540924524E-2</v>
      </c>
      <c r="F243" s="40">
        <f>[1]Data!H246</f>
        <v>1.3072733488800007E-2</v>
      </c>
      <c r="G243" s="41">
        <f>[1]Data!I246</f>
        <v>-3.2535810818751787E-2</v>
      </c>
      <c r="H243" s="42">
        <f t="shared" si="30"/>
        <v>-1</v>
      </c>
      <c r="I243" s="43">
        <f t="shared" si="39"/>
        <v>1</v>
      </c>
      <c r="J243" s="37">
        <f t="shared" si="31"/>
        <v>0</v>
      </c>
      <c r="K243" s="37">
        <f t="shared" si="32"/>
        <v>4.6603959657814595E-2</v>
      </c>
      <c r="L243" s="37">
        <f t="shared" si="33"/>
        <v>0</v>
      </c>
      <c r="M243" s="37">
        <f t="shared" si="34"/>
        <v>-2.7153218540924524E-2</v>
      </c>
      <c r="N243" s="37">
        <f t="shared" si="35"/>
        <v>1.3072733488800007E-2</v>
      </c>
      <c r="O243" s="37">
        <f t="shared" si="36"/>
        <v>0</v>
      </c>
      <c r="P243" s="37">
        <f t="shared" si="37"/>
        <v>3.2535810818751787E-2</v>
      </c>
      <c r="Q243" s="37">
        <f t="shared" si="38"/>
        <v>0</v>
      </c>
    </row>
    <row r="244" spans="1:17" x14ac:dyDescent="0.25">
      <c r="A244" s="38">
        <f>[1]Data!A247</f>
        <v>44835</v>
      </c>
      <c r="B244" s="39">
        <f>[1]Data!B247</f>
        <v>7.8141380151404344E-2</v>
      </c>
      <c r="C244" s="39">
        <f>[1]Data!C247</f>
        <v>0.13935565166982827</v>
      </c>
      <c r="D244" s="40">
        <f>[1]Data!F247</f>
        <v>3.1350248517966972E-2</v>
      </c>
      <c r="E244" s="41">
        <f>[1]Data!G247</f>
        <v>3.1067135403424123E-2</v>
      </c>
      <c r="F244" s="40">
        <f>[1]Data!H247</f>
        <v>1.5584465585531511E-2</v>
      </c>
      <c r="G244" s="41">
        <f>[1]Data!I247</f>
        <v>-1.1968878114308447E-2</v>
      </c>
      <c r="H244" s="42">
        <f t="shared" si="30"/>
        <v>-1</v>
      </c>
      <c r="I244" s="43">
        <f t="shared" si="39"/>
        <v>1</v>
      </c>
      <c r="J244" s="37">
        <f t="shared" si="31"/>
        <v>0</v>
      </c>
      <c r="K244" s="37">
        <f t="shared" si="32"/>
        <v>-3.1350248517966972E-2</v>
      </c>
      <c r="L244" s="37">
        <f t="shared" si="33"/>
        <v>0</v>
      </c>
      <c r="M244" s="37">
        <f t="shared" si="34"/>
        <v>3.1067135403424123E-2</v>
      </c>
      <c r="N244" s="37">
        <f t="shared" si="35"/>
        <v>1.5584465585531511E-2</v>
      </c>
      <c r="O244" s="37">
        <f t="shared" si="36"/>
        <v>0</v>
      </c>
      <c r="P244" s="37">
        <f t="shared" si="37"/>
        <v>1.1968878114308447E-2</v>
      </c>
      <c r="Q244" s="37">
        <f t="shared" si="38"/>
        <v>0</v>
      </c>
    </row>
    <row r="245" spans="1:17" x14ac:dyDescent="0.25">
      <c r="A245" s="38">
        <f>[1]Data!A248</f>
        <v>44866</v>
      </c>
      <c r="B245" s="39">
        <f>[1]Data!B248</f>
        <v>5.4101386552727962E-2</v>
      </c>
      <c r="C245" s="39">
        <f>[1]Data!C248</f>
        <v>-2.1269418729255508E-2</v>
      </c>
      <c r="D245" s="40">
        <f>[1]Data!F248</f>
        <v>3.2635390949806997E-2</v>
      </c>
      <c r="E245" s="41">
        <f>[1]Data!G248</f>
        <v>2.6334171503575893E-2</v>
      </c>
      <c r="F245" s="40">
        <f>[1]Data!H248</f>
        <v>-1.6341383721180588E-2</v>
      </c>
      <c r="G245" s="41">
        <f>[1]Data!I248</f>
        <v>-2.7428896165786927E-2</v>
      </c>
      <c r="H245" s="42">
        <f t="shared" si="30"/>
        <v>1</v>
      </c>
      <c r="I245" s="43">
        <f t="shared" si="39"/>
        <v>1</v>
      </c>
      <c r="J245" s="37">
        <f t="shared" si="31"/>
        <v>3.2635390949806997E-2</v>
      </c>
      <c r="K245" s="37">
        <f t="shared" si="32"/>
        <v>0</v>
      </c>
      <c r="L245" s="37">
        <f t="shared" si="33"/>
        <v>-2.6334171503575893E-2</v>
      </c>
      <c r="M245" s="37">
        <f t="shared" si="34"/>
        <v>0</v>
      </c>
      <c r="N245" s="37">
        <f t="shared" si="35"/>
        <v>-1.6341383721180588E-2</v>
      </c>
      <c r="O245" s="37">
        <f t="shared" si="36"/>
        <v>0</v>
      </c>
      <c r="P245" s="37">
        <f t="shared" si="37"/>
        <v>2.7428896165786927E-2</v>
      </c>
      <c r="Q245" s="37">
        <f t="shared" si="38"/>
        <v>0</v>
      </c>
    </row>
    <row r="246" spans="1:17" x14ac:dyDescent="0.25">
      <c r="A246" s="38">
        <f>[1]Data!A249</f>
        <v>44896</v>
      </c>
      <c r="B246" s="39">
        <f>[1]Data!B249</f>
        <v>-5.9355424807020774E-2</v>
      </c>
      <c r="C246" s="39">
        <f>[1]Data!C249</f>
        <v>-6.3660020850272947E-2</v>
      </c>
      <c r="D246" s="40">
        <f>[1]Data!F249</f>
        <v>-9.8873564368634689E-3</v>
      </c>
      <c r="E246" s="41">
        <f>[1]Data!G249</f>
        <v>-4.0741727636447671E-2</v>
      </c>
      <c r="F246" s="40">
        <f>[1]Data!H249</f>
        <v>-3.6265950376248794E-2</v>
      </c>
      <c r="G246" s="41">
        <f>[1]Data!I249</f>
        <v>6.592438389733847E-2</v>
      </c>
      <c r="H246" s="42">
        <f t="shared" si="30"/>
        <v>1</v>
      </c>
      <c r="I246" s="43">
        <f t="shared" si="39"/>
        <v>-1</v>
      </c>
      <c r="J246" s="37">
        <f t="shared" si="31"/>
        <v>-9.8873564368634689E-3</v>
      </c>
      <c r="K246" s="37">
        <f t="shared" si="32"/>
        <v>0</v>
      </c>
      <c r="L246" s="37">
        <f t="shared" si="33"/>
        <v>4.0741727636447671E-2</v>
      </c>
      <c r="M246" s="37">
        <f t="shared" si="34"/>
        <v>0</v>
      </c>
      <c r="N246" s="37">
        <f t="shared" si="35"/>
        <v>0</v>
      </c>
      <c r="O246" s="37">
        <f t="shared" si="36"/>
        <v>3.6265950376248794E-2</v>
      </c>
      <c r="P246" s="37">
        <f t="shared" si="37"/>
        <v>0</v>
      </c>
      <c r="Q246" s="37">
        <f t="shared" si="38"/>
        <v>6.592438389733847E-2</v>
      </c>
    </row>
    <row r="247" spans="1:17" x14ac:dyDescent="0.25">
      <c r="A247" s="38">
        <f>[1]Data!A250</f>
        <v>44927</v>
      </c>
      <c r="B247" s="39">
        <f>[1]Data!B250</f>
        <v>6.0989042987148877E-2</v>
      </c>
      <c r="C247" s="39">
        <f>[1]Data!C250</f>
        <v>-2.8703901397100898E-2</v>
      </c>
      <c r="D247" s="40">
        <f>[1]Data!F250</f>
        <v>1.5570332348981508E-2</v>
      </c>
      <c r="E247" s="41">
        <f>[1]Data!G250</f>
        <v>-4.6658610633868586E-4</v>
      </c>
      <c r="F247" s="40">
        <f>[1]Data!H250</f>
        <v>1.4098805850262989E-2</v>
      </c>
      <c r="G247" s="41">
        <f>[1]Data!I250</f>
        <v>6.0223087445092256E-2</v>
      </c>
      <c r="H247" s="42">
        <f t="shared" si="30"/>
        <v>1</v>
      </c>
      <c r="I247" s="43">
        <f t="shared" si="39"/>
        <v>-1</v>
      </c>
      <c r="J247" s="37">
        <f t="shared" si="31"/>
        <v>1.5570332348981508E-2</v>
      </c>
      <c r="K247" s="37">
        <f t="shared" si="32"/>
        <v>0</v>
      </c>
      <c r="L247" s="37">
        <f t="shared" si="33"/>
        <v>4.6658610633868586E-4</v>
      </c>
      <c r="M247" s="37">
        <f t="shared" si="34"/>
        <v>0</v>
      </c>
      <c r="N247" s="37">
        <f t="shared" si="35"/>
        <v>0</v>
      </c>
      <c r="O247" s="37">
        <f t="shared" si="36"/>
        <v>-1.4098805850262989E-2</v>
      </c>
      <c r="P247" s="37">
        <f t="shared" si="37"/>
        <v>0</v>
      </c>
      <c r="Q247" s="37">
        <f t="shared" si="38"/>
        <v>6.0223087445092256E-2</v>
      </c>
    </row>
    <row r="248" spans="1:17" x14ac:dyDescent="0.25">
      <c r="A248" s="38">
        <f>[1]Data!A251</f>
        <v>44958</v>
      </c>
      <c r="B248" s="39">
        <f>[1]Data!B251</f>
        <v>-2.5464125557989256E-2</v>
      </c>
      <c r="C248" s="39">
        <f>[1]Data!C251</f>
        <v>3.393514641699949E-2</v>
      </c>
      <c r="D248" s="40">
        <f>[1]Data!F251</f>
        <v>-5.7373839170864645E-3</v>
      </c>
      <c r="E248" s="41">
        <f>[1]Data!G251</f>
        <v>3.9404879804261807E-3</v>
      </c>
      <c r="F248" s="40">
        <f>[1]Data!H251</f>
        <v>2.120154946171568E-2</v>
      </c>
      <c r="G248" s="41">
        <f>[1]Data!I251</f>
        <v>-1.7315227024552043E-2</v>
      </c>
      <c r="H248" s="42">
        <f t="shared" si="30"/>
        <v>-1</v>
      </c>
      <c r="I248" s="43">
        <f t="shared" si="39"/>
        <v>-1</v>
      </c>
      <c r="J248" s="37">
        <f t="shared" si="31"/>
        <v>0</v>
      </c>
      <c r="K248" s="37">
        <f t="shared" si="32"/>
        <v>5.7373839170864645E-3</v>
      </c>
      <c r="L248" s="37">
        <f t="shared" si="33"/>
        <v>0</v>
      </c>
      <c r="M248" s="37">
        <f t="shared" si="34"/>
        <v>3.9404879804261807E-3</v>
      </c>
      <c r="N248" s="37">
        <f t="shared" si="35"/>
        <v>0</v>
      </c>
      <c r="O248" s="37">
        <f t="shared" si="36"/>
        <v>-2.120154946171568E-2</v>
      </c>
      <c r="P248" s="37">
        <f t="shared" si="37"/>
        <v>0</v>
      </c>
      <c r="Q248" s="37">
        <f t="shared" si="38"/>
        <v>-1.7315227024552043E-2</v>
      </c>
    </row>
    <row r="249" spans="1:17" x14ac:dyDescent="0.25">
      <c r="A249" s="38">
        <f>[1]Data!A252</f>
        <v>44986</v>
      </c>
      <c r="B249" s="39">
        <f>[1]Data!B252</f>
        <v>3.640694729499569E-2</v>
      </c>
      <c r="C249" s="39">
        <f>[1]Data!C252</f>
        <v>-2.3821380612611725E-2</v>
      </c>
      <c r="D249" s="40">
        <f>[1]Data!F252</f>
        <v>2.5932478440488804E-2</v>
      </c>
      <c r="E249" s="41">
        <f>[1]Data!G252</f>
        <v>1.296305279039766E-2</v>
      </c>
      <c r="F249" s="40">
        <f>[1]Data!H252</f>
        <v>5.0595579084371876E-3</v>
      </c>
      <c r="G249" s="41">
        <f>[1]Data!I252</f>
        <v>2.5590878126626132E-3</v>
      </c>
      <c r="H249" s="42">
        <f t="shared" si="30"/>
        <v>1</v>
      </c>
      <c r="I249" s="43">
        <f t="shared" si="39"/>
        <v>1</v>
      </c>
      <c r="J249" s="37">
        <f t="shared" si="31"/>
        <v>2.5932478440488804E-2</v>
      </c>
      <c r="K249" s="37">
        <f t="shared" si="32"/>
        <v>0</v>
      </c>
      <c r="L249" s="37">
        <f t="shared" si="33"/>
        <v>-1.296305279039766E-2</v>
      </c>
      <c r="M249" s="37">
        <f t="shared" si="34"/>
        <v>0</v>
      </c>
      <c r="N249" s="37">
        <f t="shared" si="35"/>
        <v>5.0595579084371876E-3</v>
      </c>
      <c r="O249" s="37">
        <f t="shared" si="36"/>
        <v>0</v>
      </c>
      <c r="P249" s="37">
        <f t="shared" si="37"/>
        <v>-2.5590878126626132E-3</v>
      </c>
      <c r="Q249" s="37">
        <f t="shared" si="38"/>
        <v>0</v>
      </c>
    </row>
    <row r="250" spans="1:17" x14ac:dyDescent="0.25">
      <c r="A250" s="38">
        <f>[1]Data!A253</f>
        <v>45017</v>
      </c>
      <c r="B250" s="39">
        <f>[1]Data!B253</f>
        <v>1.58486521482058E-2</v>
      </c>
      <c r="C250" s="39">
        <f>[1]Data!C253</f>
        <v>1.4416909340226054E-2</v>
      </c>
      <c r="D250" s="40">
        <f>[1]Data!F253</f>
        <v>7.9656680460839097E-3</v>
      </c>
      <c r="E250" s="41">
        <f>[1]Data!G253</f>
        <v>9.9117768762516031E-3</v>
      </c>
      <c r="F250" s="40">
        <f>[1]Data!H253</f>
        <v>5.3723531069235515E-4</v>
      </c>
      <c r="G250" s="41">
        <f>[1]Data!I253</f>
        <v>6.3793332121780538E-3</v>
      </c>
      <c r="H250" s="42">
        <f t="shared" si="30"/>
        <v>-1</v>
      </c>
      <c r="I250" s="43">
        <f t="shared" si="39"/>
        <v>-1</v>
      </c>
      <c r="J250" s="37">
        <f t="shared" si="31"/>
        <v>0</v>
      </c>
      <c r="K250" s="37">
        <f t="shared" si="32"/>
        <v>-7.9656680460839097E-3</v>
      </c>
      <c r="L250" s="37">
        <f t="shared" si="33"/>
        <v>0</v>
      </c>
      <c r="M250" s="37">
        <f t="shared" si="34"/>
        <v>9.9117768762516031E-3</v>
      </c>
      <c r="N250" s="37">
        <f t="shared" si="35"/>
        <v>0</v>
      </c>
      <c r="O250" s="37">
        <f t="shared" si="36"/>
        <v>-5.3723531069235515E-4</v>
      </c>
      <c r="P250" s="37">
        <f t="shared" si="37"/>
        <v>0</v>
      </c>
      <c r="Q250" s="37">
        <f t="shared" si="38"/>
        <v>6.3793332121780538E-3</v>
      </c>
    </row>
    <row r="251" spans="1:17" x14ac:dyDescent="0.25">
      <c r="A251" s="38">
        <f>[1]Data!A254</f>
        <v>45047</v>
      </c>
      <c r="B251" s="39">
        <f>[1]Data!B254</f>
        <v>4.6056456231339778E-3</v>
      </c>
      <c r="C251" s="39">
        <f>[1]Data!C254</f>
        <v>5.558518579025535E-2</v>
      </c>
      <c r="D251" s="40">
        <f>[1]Data!F254</f>
        <v>-1.8409776175125152E-3</v>
      </c>
      <c r="E251" s="41">
        <f>[1]Data!G254</f>
        <v>1.8521673682312632E-2</v>
      </c>
      <c r="F251" s="40">
        <f>[1]Data!H254</f>
        <v>-7.9656680460839582E-3</v>
      </c>
      <c r="G251" s="41">
        <f>[1]Data!I254</f>
        <v>-1.233665227295235E-2</v>
      </c>
      <c r="H251" s="42">
        <f t="shared" si="30"/>
        <v>-1</v>
      </c>
      <c r="I251" s="43">
        <f t="shared" si="39"/>
        <v>1</v>
      </c>
      <c r="J251" s="37">
        <f t="shared" si="31"/>
        <v>0</v>
      </c>
      <c r="K251" s="37">
        <f t="shared" si="32"/>
        <v>1.8409776175125152E-3</v>
      </c>
      <c r="L251" s="37">
        <f t="shared" si="33"/>
        <v>0</v>
      </c>
      <c r="M251" s="37">
        <f t="shared" si="34"/>
        <v>1.8521673682312632E-2</v>
      </c>
      <c r="N251" s="37">
        <f t="shared" si="35"/>
        <v>-7.9656680460839582E-3</v>
      </c>
      <c r="O251" s="37">
        <f t="shared" si="36"/>
        <v>0</v>
      </c>
      <c r="P251" s="37">
        <f t="shared" si="37"/>
        <v>1.233665227295235E-2</v>
      </c>
      <c r="Q251" s="37">
        <f t="shared" si="38"/>
        <v>0</v>
      </c>
    </row>
    <row r="252" spans="1:17" x14ac:dyDescent="0.25">
      <c r="A252" s="38">
        <f>[1]Data!A255</f>
        <v>45078</v>
      </c>
      <c r="B252" s="39">
        <f>[1]Data!B255</f>
        <v>6.2786786809685191E-2</v>
      </c>
      <c r="C252" s="39">
        <f>[1]Data!C255</f>
        <v>5.1366834277172271E-2</v>
      </c>
      <c r="D252" s="40">
        <f>[1]Data!F255</f>
        <v>1.539028211431351E-2</v>
      </c>
      <c r="E252" s="41">
        <f>[1]Data!G255</f>
        <v>6.1389511311554651E-3</v>
      </c>
      <c r="F252" s="40">
        <f>[1]Data!H255</f>
        <v>2.0607024806775186E-2</v>
      </c>
      <c r="G252" s="41">
        <f>[1]Data!I255</f>
        <v>-1.8046065467901554E-2</v>
      </c>
      <c r="H252" s="42">
        <f t="shared" si="30"/>
        <v>-1</v>
      </c>
      <c r="I252" s="43">
        <f t="shared" si="39"/>
        <v>1</v>
      </c>
      <c r="J252" s="37">
        <f t="shared" si="31"/>
        <v>0</v>
      </c>
      <c r="K252" s="37">
        <f t="shared" si="32"/>
        <v>-1.539028211431351E-2</v>
      </c>
      <c r="L252" s="37">
        <f t="shared" si="33"/>
        <v>0</v>
      </c>
      <c r="M252" s="37">
        <f t="shared" si="34"/>
        <v>6.1389511311554651E-3</v>
      </c>
      <c r="N252" s="37">
        <f t="shared" si="35"/>
        <v>2.0607024806775186E-2</v>
      </c>
      <c r="O252" s="37">
        <f t="shared" si="36"/>
        <v>0</v>
      </c>
      <c r="P252" s="37">
        <f t="shared" si="37"/>
        <v>1.8046065467901554E-2</v>
      </c>
      <c r="Q252" s="37">
        <f t="shared" si="38"/>
        <v>0</v>
      </c>
    </row>
    <row r="253" spans="1:17" x14ac:dyDescent="0.25">
      <c r="A253" s="38">
        <f>[1]Data!A256</f>
        <v>45108</v>
      </c>
      <c r="B253" s="39">
        <f>[1]Data!B256</f>
        <v>3.2209042036108075E-2</v>
      </c>
      <c r="C253" s="39">
        <f>[1]Data!C256</f>
        <v>3.7099351628328815E-2</v>
      </c>
      <c r="D253" s="40">
        <f>[1]Data!F256</f>
        <v>7.8730585470919226E-3</v>
      </c>
      <c r="E253" s="41">
        <f>[1]Data!G256</f>
        <v>-1.3008261248185188E-2</v>
      </c>
      <c r="F253" s="40">
        <f>[1]Data!H256</f>
        <v>-8.1998711954159188E-3</v>
      </c>
      <c r="G253" s="41">
        <f>[1]Data!I256</f>
        <v>-3.4203228368274614E-2</v>
      </c>
      <c r="H253" s="42">
        <f t="shared" si="30"/>
        <v>-1</v>
      </c>
      <c r="I253" s="43">
        <f t="shared" si="39"/>
        <v>1</v>
      </c>
      <c r="J253" s="37">
        <f t="shared" si="31"/>
        <v>0</v>
      </c>
      <c r="K253" s="37">
        <f t="shared" si="32"/>
        <v>-7.8730585470919226E-3</v>
      </c>
      <c r="L253" s="37">
        <f t="shared" si="33"/>
        <v>0</v>
      </c>
      <c r="M253" s="37">
        <f t="shared" si="34"/>
        <v>-1.3008261248185188E-2</v>
      </c>
      <c r="N253" s="37">
        <f t="shared" si="35"/>
        <v>-8.1998711954159188E-3</v>
      </c>
      <c r="O253" s="37">
        <f t="shared" si="36"/>
        <v>0</v>
      </c>
      <c r="P253" s="37">
        <f t="shared" si="37"/>
        <v>3.4203228368274614E-2</v>
      </c>
      <c r="Q253" s="37">
        <f t="shared" si="38"/>
        <v>0</v>
      </c>
    </row>
    <row r="254" spans="1:17" x14ac:dyDescent="0.25">
      <c r="A254" s="38">
        <f>[1]Data!A257</f>
        <v>45139</v>
      </c>
      <c r="B254" s="39">
        <f>[1]Data!B257</f>
        <v>-1.6385701417559566E-2</v>
      </c>
      <c r="C254" s="39">
        <f>[1]Data!C257</f>
        <v>3.4355888593008435E-2</v>
      </c>
      <c r="D254" s="40">
        <f>[1]Data!F257</f>
        <v>2.4751390414202261E-2</v>
      </c>
      <c r="E254" s="41">
        <f>[1]Data!G257</f>
        <v>4.3567907116918693E-2</v>
      </c>
      <c r="F254" s="40">
        <f>[1]Data!H257</f>
        <v>-1.5586547649061687E-2</v>
      </c>
      <c r="G254" s="41">
        <f>[1]Data!I257</f>
        <v>-4.2954270293844576E-2</v>
      </c>
      <c r="H254" s="42">
        <f t="shared" si="30"/>
        <v>-1</v>
      </c>
      <c r="I254" s="43">
        <f t="shared" si="39"/>
        <v>1</v>
      </c>
      <c r="J254" s="37">
        <f t="shared" si="31"/>
        <v>0</v>
      </c>
      <c r="K254" s="37">
        <f t="shared" si="32"/>
        <v>-2.4751390414202261E-2</v>
      </c>
      <c r="L254" s="37">
        <f t="shared" si="33"/>
        <v>0</v>
      </c>
      <c r="M254" s="37">
        <f t="shared" si="34"/>
        <v>4.3567907116918693E-2</v>
      </c>
      <c r="N254" s="37">
        <f t="shared" si="35"/>
        <v>-1.5586547649061687E-2</v>
      </c>
      <c r="O254" s="37">
        <f t="shared" si="36"/>
        <v>0</v>
      </c>
      <c r="P254" s="37">
        <f t="shared" si="37"/>
        <v>4.2954270293844576E-2</v>
      </c>
      <c r="Q254" s="37">
        <f t="shared" si="38"/>
        <v>0</v>
      </c>
    </row>
    <row r="255" spans="1:17" x14ac:dyDescent="0.25">
      <c r="A255" s="38">
        <f>[1]Data!A258</f>
        <v>45170</v>
      </c>
      <c r="B255" s="39">
        <f>[1]Data!B258</f>
        <v>-4.8596290544066056E-2</v>
      </c>
      <c r="C255" s="39">
        <f>[1]Data!C258</f>
        <v>1.0681884654112257E-2</v>
      </c>
      <c r="D255" s="40">
        <f>[1]Data!F258</f>
        <v>-6.8539573097565684E-3</v>
      </c>
      <c r="E255" s="41">
        <f>[1]Data!G258</f>
        <v>-3.0426348947618843E-2</v>
      </c>
      <c r="F255" s="40">
        <f>[1]Data!H258</f>
        <v>-1.0782916968361523E-2</v>
      </c>
      <c r="G255" s="41">
        <f>[1]Data!I258</f>
        <v>-2.0774505230996245E-2</v>
      </c>
      <c r="H255" s="42">
        <f t="shared" si="30"/>
        <v>-1</v>
      </c>
      <c r="I255" s="43">
        <f t="shared" si="39"/>
        <v>1</v>
      </c>
      <c r="J255" s="37">
        <f t="shared" si="31"/>
        <v>0</v>
      </c>
      <c r="K255" s="37">
        <f t="shared" si="32"/>
        <v>6.8539573097565684E-3</v>
      </c>
      <c r="L255" s="37">
        <f t="shared" si="33"/>
        <v>0</v>
      </c>
      <c r="M255" s="37">
        <f t="shared" si="34"/>
        <v>-3.0426348947618843E-2</v>
      </c>
      <c r="N255" s="37">
        <f t="shared" si="35"/>
        <v>-1.0782916968361523E-2</v>
      </c>
      <c r="O255" s="37">
        <f t="shared" si="36"/>
        <v>0</v>
      </c>
      <c r="P255" s="37">
        <f t="shared" si="37"/>
        <v>2.0774505230996245E-2</v>
      </c>
      <c r="Q255" s="37">
        <f t="shared" si="38"/>
        <v>0</v>
      </c>
    </row>
    <row r="256" spans="1:17" x14ac:dyDescent="0.25">
      <c r="A256" s="38">
        <f>[1]Data!A259</f>
        <v>45200</v>
      </c>
      <c r="B256" s="39">
        <f>[1]Data!B259</f>
        <v>-2.1947724150478545E-2</v>
      </c>
      <c r="C256" s="39">
        <f>[1]Data!C259</f>
        <v>4.5433788607178741E-2</v>
      </c>
      <c r="D256" s="40">
        <f>[1]Data!F259</f>
        <v>-7.1241208321481874E-3</v>
      </c>
      <c r="E256" s="41">
        <f>[1]Data!G259</f>
        <v>4.0761703172671072E-3</v>
      </c>
      <c r="F256" s="40">
        <f>[1]Data!H259</f>
        <v>4.8073716103814489E-3</v>
      </c>
      <c r="G256" s="41">
        <f>[1]Data!I259</f>
        <v>-4.1807514329919145E-2</v>
      </c>
      <c r="H256" s="42">
        <f t="shared" si="30"/>
        <v>-1</v>
      </c>
      <c r="I256" s="43">
        <f t="shared" si="39"/>
        <v>1</v>
      </c>
      <c r="J256" s="37">
        <f t="shared" si="31"/>
        <v>0</v>
      </c>
      <c r="K256" s="37">
        <f t="shared" si="32"/>
        <v>7.1241208321481874E-3</v>
      </c>
      <c r="L256" s="37">
        <f t="shared" si="33"/>
        <v>0</v>
      </c>
      <c r="M256" s="37">
        <f t="shared" si="34"/>
        <v>4.0761703172671072E-3</v>
      </c>
      <c r="N256" s="37">
        <f t="shared" si="35"/>
        <v>4.8073716103814489E-3</v>
      </c>
      <c r="O256" s="37">
        <f t="shared" si="36"/>
        <v>0</v>
      </c>
      <c r="P256" s="37">
        <f t="shared" si="37"/>
        <v>4.1807514329919145E-2</v>
      </c>
      <c r="Q256" s="37">
        <f t="shared" si="38"/>
        <v>0</v>
      </c>
    </row>
    <row r="257" spans="1:17" x14ac:dyDescent="0.25">
      <c r="A257" s="38">
        <f>[1]Data!A260</f>
        <v>45231</v>
      </c>
      <c r="B257" s="39">
        <f>[1]Data!B260</f>
        <v>8.7409824483363888E-2</v>
      </c>
      <c r="C257" s="39">
        <f>[1]Data!C260</f>
        <v>-2.9977367869131852E-3</v>
      </c>
      <c r="D257" s="40">
        <f>[1]Data!F260</f>
        <v>6.8817742481404858E-3</v>
      </c>
      <c r="E257" s="41">
        <f>[1]Data!G260</f>
        <v>1.1092712032213549E-2</v>
      </c>
      <c r="F257" s="40">
        <f>[1]Data!H260</f>
        <v>4.3813207279914342E-2</v>
      </c>
      <c r="G257" s="41">
        <f>[1]Data!I260</f>
        <v>5.5642173558489175E-2</v>
      </c>
      <c r="H257" s="42">
        <f t="shared" si="30"/>
        <v>1</v>
      </c>
      <c r="I257" s="43">
        <f t="shared" si="39"/>
        <v>1</v>
      </c>
      <c r="J257" s="37">
        <f t="shared" si="31"/>
        <v>6.8817742481404858E-3</v>
      </c>
      <c r="K257" s="37">
        <f t="shared" si="32"/>
        <v>0</v>
      </c>
      <c r="L257" s="37">
        <f t="shared" si="33"/>
        <v>-1.1092712032213549E-2</v>
      </c>
      <c r="M257" s="37">
        <f t="shared" si="34"/>
        <v>0</v>
      </c>
      <c r="N257" s="37">
        <f t="shared" si="35"/>
        <v>4.3813207279914342E-2</v>
      </c>
      <c r="O257" s="37">
        <f t="shared" si="36"/>
        <v>0</v>
      </c>
      <c r="P257" s="37">
        <f t="shared" si="37"/>
        <v>-5.5642173558489175E-2</v>
      </c>
      <c r="Q257" s="37">
        <f t="shared" si="38"/>
        <v>0</v>
      </c>
    </row>
    <row r="258" spans="1:17" x14ac:dyDescent="0.25">
      <c r="A258" s="38">
        <f>[1]Data!A261</f>
        <v>45261</v>
      </c>
      <c r="B258" s="39">
        <f>[1]Data!B261</f>
        <v>4.4643772916211313E-2</v>
      </c>
      <c r="C258" s="39">
        <f>[1]Data!C261</f>
        <v>-4.4658325790076607E-2</v>
      </c>
      <c r="D258" s="40">
        <f>[1]Data!F261</f>
        <v>5.5062902406491348E-3</v>
      </c>
      <c r="E258" s="41">
        <f>[1]Data!G261</f>
        <v>-5.0551421704840213E-4</v>
      </c>
      <c r="F258" s="40">
        <f>[1]Data!H261</f>
        <v>4.0016389801776379E-3</v>
      </c>
      <c r="G258" s="41">
        <f>[1]Data!I261</f>
        <v>4.3406286384425376E-2</v>
      </c>
      <c r="H258" s="42">
        <f t="shared" ref="H258:H280" si="40">IF(C258&gt;0,-1,1)</f>
        <v>1</v>
      </c>
      <c r="I258" s="43">
        <f t="shared" si="39"/>
        <v>-1</v>
      </c>
      <c r="J258" s="37">
        <f t="shared" ref="J258:J280" si="41">IF(H258=1,D258,0)</f>
        <v>5.5062902406491348E-3</v>
      </c>
      <c r="K258" s="37">
        <f t="shared" ref="K258:K280" si="42">IF(H258=-1,-D258,0)</f>
        <v>0</v>
      </c>
      <c r="L258" s="37">
        <f t="shared" ref="L258:L280" si="43">IF(H258=1,-E258,0)</f>
        <v>5.0551421704840213E-4</v>
      </c>
      <c r="M258" s="37">
        <f t="shared" ref="M258:M280" si="44">IF(H258=-1,E258,0)</f>
        <v>0</v>
      </c>
      <c r="N258" s="37">
        <f t="shared" ref="N258:N280" si="45">IF(I258=1,F258,0)</f>
        <v>0</v>
      </c>
      <c r="O258" s="37">
        <f t="shared" ref="O258:O280" si="46">IF(I258=-1,-F258,0)</f>
        <v>-4.0016389801776379E-3</v>
      </c>
      <c r="P258" s="37">
        <f t="shared" ref="P258:P280" si="47">IF(I258=1,-G258,0)</f>
        <v>0</v>
      </c>
      <c r="Q258" s="37">
        <f t="shared" ref="Q258:Q280" si="48">IF(I258=-1,G258,0)</f>
        <v>4.3406286384425376E-2</v>
      </c>
    </row>
    <row r="259" spans="1:17" x14ac:dyDescent="0.25">
      <c r="A259" s="38">
        <f>[1]Data!A262</f>
        <v>45292</v>
      </c>
      <c r="B259" s="39">
        <f>[1]Data!B262</f>
        <v>1.5800957516541425E-2</v>
      </c>
      <c r="C259" s="39">
        <f>[1]Data!C262</f>
        <v>7.1569505137652881E-2</v>
      </c>
      <c r="D259" s="40">
        <f>[1]Data!F262</f>
        <v>-4.0919138594321634E-3</v>
      </c>
      <c r="E259" s="41">
        <f>[1]Data!G262</f>
        <v>2.8969369212235873E-2</v>
      </c>
      <c r="F259" s="40">
        <f>[1]Data!H262</f>
        <v>-1.4948636087541312E-3</v>
      </c>
      <c r="G259" s="41">
        <f>[1]Data!I262</f>
        <v>-1.6724934027748946E-2</v>
      </c>
      <c r="H259" s="42">
        <f t="shared" si="40"/>
        <v>-1</v>
      </c>
      <c r="I259" s="43">
        <f t="shared" ref="I259:I280" si="49">IF(C258&gt;0,1,-1)</f>
        <v>-1</v>
      </c>
      <c r="J259" s="37">
        <f t="shared" si="41"/>
        <v>0</v>
      </c>
      <c r="K259" s="37">
        <f t="shared" si="42"/>
        <v>4.0919138594321634E-3</v>
      </c>
      <c r="L259" s="37">
        <f t="shared" si="43"/>
        <v>0</v>
      </c>
      <c r="M259" s="37">
        <f t="shared" si="44"/>
        <v>2.8969369212235873E-2</v>
      </c>
      <c r="N259" s="37">
        <f t="shared" si="45"/>
        <v>0</v>
      </c>
      <c r="O259" s="37">
        <f t="shared" si="46"/>
        <v>1.4948636087541312E-3</v>
      </c>
      <c r="P259" s="37">
        <f t="shared" si="47"/>
        <v>0</v>
      </c>
      <c r="Q259" s="37">
        <f t="shared" si="48"/>
        <v>-1.6724934027748946E-2</v>
      </c>
    </row>
    <row r="260" spans="1:17" x14ac:dyDescent="0.25">
      <c r="A260" s="38">
        <f>[1]Data!A263</f>
        <v>45323</v>
      </c>
      <c r="B260" s="39">
        <f>[1]Data!B263</f>
        <v>5.0870715521053947E-2</v>
      </c>
      <c r="C260" s="39">
        <f>[1]Data!C263</f>
        <v>8.9102841275943034E-2</v>
      </c>
      <c r="D260" s="40">
        <f>[1]Data!F263</f>
        <v>1.1421240067535665E-3</v>
      </c>
      <c r="E260" s="41">
        <f>[1]Data!G263</f>
        <v>1.6594409000635822E-2</v>
      </c>
      <c r="F260" s="40">
        <f>[1]Data!H263</f>
        <v>3.1032701476210567E-2</v>
      </c>
      <c r="G260" s="41">
        <f>[1]Data!I263</f>
        <v>-1.8435637178925084E-2</v>
      </c>
      <c r="H260" s="42">
        <f t="shared" si="40"/>
        <v>-1</v>
      </c>
      <c r="I260" s="43">
        <f t="shared" si="49"/>
        <v>1</v>
      </c>
      <c r="J260" s="37">
        <f t="shared" si="41"/>
        <v>0</v>
      </c>
      <c r="K260" s="37">
        <f t="shared" si="42"/>
        <v>-1.1421240067535665E-3</v>
      </c>
      <c r="L260" s="37">
        <f t="shared" si="43"/>
        <v>0</v>
      </c>
      <c r="M260" s="37">
        <f t="shared" si="44"/>
        <v>1.6594409000635822E-2</v>
      </c>
      <c r="N260" s="37">
        <f t="shared" si="45"/>
        <v>3.1032701476210567E-2</v>
      </c>
      <c r="O260" s="37">
        <f t="shared" si="46"/>
        <v>0</v>
      </c>
      <c r="P260" s="37">
        <f t="shared" si="47"/>
        <v>1.8435637178925084E-2</v>
      </c>
      <c r="Q260" s="37">
        <f t="shared" si="48"/>
        <v>0</v>
      </c>
    </row>
    <row r="261" spans="1:17" x14ac:dyDescent="0.25">
      <c r="A261" s="38">
        <f>[1]Data!A264</f>
        <v>45352</v>
      </c>
      <c r="B261" s="39">
        <f>[1]Data!B264</f>
        <v>3.2178750060169029E-2</v>
      </c>
      <c r="C261" s="39">
        <f>[1]Data!C264</f>
        <v>3.901761419476165E-2</v>
      </c>
      <c r="D261" s="40">
        <f>[1]Data!F264</f>
        <v>1.6648253842542285E-3</v>
      </c>
      <c r="E261" s="41">
        <f>[1]Data!G264</f>
        <v>1.6302003058535058E-2</v>
      </c>
      <c r="F261" s="40">
        <f>[1]Data!H264</f>
        <v>1.3159058951112419E-2</v>
      </c>
      <c r="G261" s="41">
        <f>[1]Data!I264</f>
        <v>2.1235647958883171E-2</v>
      </c>
      <c r="H261" s="42">
        <f t="shared" si="40"/>
        <v>-1</v>
      </c>
      <c r="I261" s="43">
        <f t="shared" si="49"/>
        <v>1</v>
      </c>
      <c r="J261" s="37">
        <f t="shared" si="41"/>
        <v>0</v>
      </c>
      <c r="K261" s="37">
        <f t="shared" si="42"/>
        <v>-1.6648253842542285E-3</v>
      </c>
      <c r="L261" s="37">
        <f t="shared" si="43"/>
        <v>0</v>
      </c>
      <c r="M261" s="37">
        <f t="shared" si="44"/>
        <v>1.6302003058535058E-2</v>
      </c>
      <c r="N261" s="37">
        <f t="shared" si="45"/>
        <v>1.3159058951112419E-2</v>
      </c>
      <c r="O261" s="37">
        <f t="shared" si="46"/>
        <v>0</v>
      </c>
      <c r="P261" s="37">
        <f t="shared" si="47"/>
        <v>-2.1235647958883171E-2</v>
      </c>
      <c r="Q261" s="37">
        <f t="shared" si="48"/>
        <v>0</v>
      </c>
    </row>
    <row r="262" spans="1:17" x14ac:dyDescent="0.25">
      <c r="A262" s="38">
        <f>[1]Data!A265</f>
        <v>45383</v>
      </c>
      <c r="B262" s="39">
        <f>[1]Data!B265</f>
        <v>-4.1155041750283824E-2</v>
      </c>
      <c r="C262" s="39">
        <f>[1]Data!C265</f>
        <v>1.4109990981579848E-3</v>
      </c>
      <c r="D262" s="40">
        <f>[1]Data!F265</f>
        <v>1.3679412404378172E-2</v>
      </c>
      <c r="E262" s="41">
        <f>[1]Data!G265</f>
        <v>-1.0486649375916802E-2</v>
      </c>
      <c r="F262" s="40">
        <f>[1]Data!H265</f>
        <v>-8.9104523069123732E-3</v>
      </c>
      <c r="G262" s="41">
        <f>[1]Data!I265</f>
        <v>-3.1429933253891595E-2</v>
      </c>
      <c r="H262" s="42">
        <f t="shared" si="40"/>
        <v>-1</v>
      </c>
      <c r="I262" s="43">
        <f t="shared" si="49"/>
        <v>1</v>
      </c>
      <c r="J262" s="37">
        <f t="shared" si="41"/>
        <v>0</v>
      </c>
      <c r="K262" s="37">
        <f t="shared" si="42"/>
        <v>-1.3679412404378172E-2</v>
      </c>
      <c r="L262" s="37">
        <f t="shared" si="43"/>
        <v>0</v>
      </c>
      <c r="M262" s="37">
        <f t="shared" si="44"/>
        <v>-1.0486649375916802E-2</v>
      </c>
      <c r="N262" s="37">
        <f t="shared" si="45"/>
        <v>-8.9104523069123732E-3</v>
      </c>
      <c r="O262" s="37">
        <f t="shared" si="46"/>
        <v>0</v>
      </c>
      <c r="P262" s="37">
        <f t="shared" si="47"/>
        <v>3.1429933253891595E-2</v>
      </c>
      <c r="Q262" s="37">
        <f t="shared" si="48"/>
        <v>0</v>
      </c>
    </row>
    <row r="263" spans="1:17" x14ac:dyDescent="0.25">
      <c r="A263" s="38">
        <f>[1]Data!A266</f>
        <v>45413</v>
      </c>
      <c r="B263" s="39">
        <f>[1]Data!B266</f>
        <v>4.9341926200576133E-2</v>
      </c>
      <c r="C263" s="39">
        <f>[1]Data!C266</f>
        <v>1.5893809749767701E-2</v>
      </c>
      <c r="D263" s="40">
        <f>[1]Data!F266</f>
        <v>-7.5375643514422695E-3</v>
      </c>
      <c r="E263" s="41">
        <f>[1]Data!G266</f>
        <v>-1.2524900429691337E-2</v>
      </c>
      <c r="F263" s="40">
        <f>[1]Data!H266</f>
        <v>2.9753173513714228E-2</v>
      </c>
      <c r="G263" s="41">
        <f>[1]Data!I266</f>
        <v>3.1661917816724595E-2</v>
      </c>
      <c r="H263" s="42">
        <f t="shared" si="40"/>
        <v>-1</v>
      </c>
      <c r="I263" s="43">
        <f t="shared" si="49"/>
        <v>1</v>
      </c>
      <c r="J263" s="37">
        <f t="shared" si="41"/>
        <v>0</v>
      </c>
      <c r="K263" s="37">
        <f t="shared" si="42"/>
        <v>7.5375643514422695E-3</v>
      </c>
      <c r="L263" s="37">
        <f t="shared" si="43"/>
        <v>0</v>
      </c>
      <c r="M263" s="37">
        <f t="shared" si="44"/>
        <v>-1.2524900429691337E-2</v>
      </c>
      <c r="N263" s="37">
        <f t="shared" si="45"/>
        <v>2.9753173513714228E-2</v>
      </c>
      <c r="O263" s="37">
        <f t="shared" si="46"/>
        <v>0</v>
      </c>
      <c r="P263" s="37">
        <f t="shared" si="47"/>
        <v>-3.1661917816724595E-2</v>
      </c>
      <c r="Q263" s="37">
        <f t="shared" si="48"/>
        <v>0</v>
      </c>
    </row>
    <row r="264" spans="1:17" x14ac:dyDescent="0.25">
      <c r="A264" s="38">
        <f>[1]Data!A267</f>
        <v>45444</v>
      </c>
      <c r="B264" s="39">
        <f>[1]Data!B267</f>
        <v>3.4672137981978199E-2</v>
      </c>
      <c r="C264" s="39">
        <f>[1]Data!C267</f>
        <v>-1.3570107312282052E-2</v>
      </c>
      <c r="D264" s="40">
        <f>[1]Data!F267</f>
        <v>2.723190918377312E-3</v>
      </c>
      <c r="E264" s="41">
        <f>[1]Data!G267</f>
        <v>-2.7510876495499673E-2</v>
      </c>
      <c r="F264" s="40">
        <f>[1]Data!H267</f>
        <v>1.2512304391934124E-2</v>
      </c>
      <c r="G264" s="41">
        <f>[1]Data!I267</f>
        <v>1.4952763595864015E-2</v>
      </c>
      <c r="H264" s="42">
        <f t="shared" si="40"/>
        <v>1</v>
      </c>
      <c r="I264" s="43">
        <f t="shared" si="49"/>
        <v>1</v>
      </c>
      <c r="J264" s="37">
        <f t="shared" si="41"/>
        <v>2.723190918377312E-3</v>
      </c>
      <c r="K264" s="37">
        <f t="shared" si="42"/>
        <v>0</v>
      </c>
      <c r="L264" s="37">
        <f t="shared" si="43"/>
        <v>2.7510876495499673E-2</v>
      </c>
      <c r="M264" s="37">
        <f t="shared" si="44"/>
        <v>0</v>
      </c>
      <c r="N264" s="37">
        <f t="shared" si="45"/>
        <v>1.2512304391934124E-2</v>
      </c>
      <c r="O264" s="37">
        <f t="shared" si="46"/>
        <v>0</v>
      </c>
      <c r="P264" s="37">
        <f t="shared" si="47"/>
        <v>-1.4952763595864015E-2</v>
      </c>
      <c r="Q264" s="37">
        <f t="shared" si="48"/>
        <v>0</v>
      </c>
    </row>
    <row r="265" spans="1:17" x14ac:dyDescent="0.25">
      <c r="A265" s="38">
        <f>[1]Data!A268</f>
        <v>45474</v>
      </c>
      <c r="B265" s="39">
        <f>[1]Data!B268</f>
        <v>1.2036422652770377E-2</v>
      </c>
      <c r="C265" s="39">
        <f>[1]Data!C268</f>
        <v>6.3733967610182553E-3</v>
      </c>
      <c r="D265" s="40">
        <f>[1]Data!F268</f>
        <v>-6.9474075330781503E-3</v>
      </c>
      <c r="E265" s="41">
        <f>[1]Data!G268</f>
        <v>2.3045732831310929E-2</v>
      </c>
      <c r="F265" s="40">
        <f>[1]Data!H268</f>
        <v>2.0119043559437007E-2</v>
      </c>
      <c r="G265" s="41">
        <f>[1]Data!I268</f>
        <v>1.37970494602731E-2</v>
      </c>
      <c r="H265" s="42">
        <f t="shared" si="40"/>
        <v>-1</v>
      </c>
      <c r="I265" s="43">
        <f t="shared" si="49"/>
        <v>-1</v>
      </c>
      <c r="J265" s="37">
        <f t="shared" si="41"/>
        <v>0</v>
      </c>
      <c r="K265" s="37">
        <f t="shared" si="42"/>
        <v>6.9474075330781503E-3</v>
      </c>
      <c r="L265" s="37">
        <f t="shared" si="43"/>
        <v>0</v>
      </c>
      <c r="M265" s="37">
        <f t="shared" si="44"/>
        <v>2.3045732831310929E-2</v>
      </c>
      <c r="N265" s="37">
        <f t="shared" si="45"/>
        <v>0</v>
      </c>
      <c r="O265" s="37">
        <f t="shared" si="46"/>
        <v>-2.0119043559437007E-2</v>
      </c>
      <c r="P265" s="37">
        <f t="shared" si="47"/>
        <v>0</v>
      </c>
      <c r="Q265" s="37">
        <f t="shared" si="48"/>
        <v>1.37970494602731E-2</v>
      </c>
    </row>
    <row r="266" spans="1:17" x14ac:dyDescent="0.25">
      <c r="A266" s="38">
        <f>[1]Data!A269</f>
        <v>45505</v>
      </c>
      <c r="B266" s="39">
        <f>[1]Data!B269</f>
        <v>2.3096674300165244E-2</v>
      </c>
      <c r="C266" s="39">
        <f>[1]Data!C269</f>
        <v>-2.6188565902419116E-2</v>
      </c>
      <c r="D266" s="40">
        <f>[1]Data!F269</f>
        <v>5.4432595171319481E-3</v>
      </c>
      <c r="E266" s="41">
        <f>[1]Data!G269</f>
        <v>-2.2949531899315638E-2</v>
      </c>
      <c r="F266" s="40">
        <f>[1]Data!H269</f>
        <v>-6.0141403170915958E-2</v>
      </c>
      <c r="G266" s="41">
        <f>[1]Data!I269</f>
        <v>1.4863421378237351E-2</v>
      </c>
      <c r="H266" s="42">
        <f t="shared" si="40"/>
        <v>1</v>
      </c>
      <c r="I266" s="43">
        <f t="shared" si="49"/>
        <v>1</v>
      </c>
      <c r="J266" s="37">
        <f t="shared" si="41"/>
        <v>5.4432595171319481E-3</v>
      </c>
      <c r="K266" s="37">
        <f t="shared" si="42"/>
        <v>0</v>
      </c>
      <c r="L266" s="37">
        <f t="shared" si="43"/>
        <v>2.2949531899315638E-2</v>
      </c>
      <c r="M266" s="37">
        <f t="shared" si="44"/>
        <v>0</v>
      </c>
      <c r="N266" s="37">
        <f t="shared" si="45"/>
        <v>-6.0141403170915958E-2</v>
      </c>
      <c r="O266" s="37">
        <f t="shared" si="46"/>
        <v>0</v>
      </c>
      <c r="P266" s="37">
        <f t="shared" si="47"/>
        <v>-1.4863421378237351E-2</v>
      </c>
      <c r="Q266" s="37">
        <f t="shared" si="48"/>
        <v>0</v>
      </c>
    </row>
    <row r="267" spans="1:17" x14ac:dyDescent="0.25">
      <c r="A267" s="38">
        <f>[1]Data!A270</f>
        <v>45536</v>
      </c>
      <c r="B267" s="39">
        <f>[1]Data!B270</f>
        <v>2.0787250725068776E-2</v>
      </c>
      <c r="C267" s="39">
        <f>[1]Data!C270</f>
        <v>-1.1957683430430775E-2</v>
      </c>
      <c r="D267" s="40">
        <f>[1]Data!F270</f>
        <v>7.1541371203220332E-3</v>
      </c>
      <c r="E267" s="41">
        <f>[1]Data!G270</f>
        <v>-5.7935885191071632E-3</v>
      </c>
      <c r="F267" s="40">
        <f>[1]Data!H270</f>
        <v>-3.1117013644920338E-2</v>
      </c>
      <c r="G267" s="41">
        <f>[1]Data!I270</f>
        <v>3.8879968116322536E-2</v>
      </c>
      <c r="H267" s="42">
        <f t="shared" si="40"/>
        <v>1</v>
      </c>
      <c r="I267" s="43">
        <f t="shared" si="49"/>
        <v>-1</v>
      </c>
      <c r="J267" s="37">
        <f t="shared" si="41"/>
        <v>7.1541371203220332E-3</v>
      </c>
      <c r="K267" s="37">
        <f t="shared" si="42"/>
        <v>0</v>
      </c>
      <c r="L267" s="37">
        <f t="shared" si="43"/>
        <v>5.7935885191071632E-3</v>
      </c>
      <c r="M267" s="37">
        <f t="shared" si="44"/>
        <v>0</v>
      </c>
      <c r="N267" s="37">
        <f t="shared" si="45"/>
        <v>0</v>
      </c>
      <c r="O267" s="37">
        <f t="shared" si="46"/>
        <v>3.1117013644920338E-2</v>
      </c>
      <c r="P267" s="37">
        <f t="shared" si="47"/>
        <v>0</v>
      </c>
      <c r="Q267" s="37">
        <f t="shared" si="48"/>
        <v>3.8879968116322536E-2</v>
      </c>
    </row>
    <row r="268" spans="1:17" x14ac:dyDescent="0.25">
      <c r="A268" s="38">
        <f>[1]Data!A271</f>
        <v>45566</v>
      </c>
      <c r="B268" s="39">
        <f>[1]Data!B271</f>
        <v>-8.9637250286328206E-3</v>
      </c>
      <c r="C268" s="39">
        <f>[1]Data!C271</f>
        <v>7.5531379394351394E-2</v>
      </c>
      <c r="D268" s="40">
        <f>[1]Data!F271</f>
        <v>-2.601957976440664E-2</v>
      </c>
      <c r="E268" s="41">
        <f>[1]Data!G271</f>
        <v>2.3824947236706136E-3</v>
      </c>
      <c r="F268" s="40">
        <f>[1]Data!H271</f>
        <v>-1.0442140020132771E-2</v>
      </c>
      <c r="G268" s="41">
        <f>[1]Data!I271</f>
        <v>-3.0675082917408353E-2</v>
      </c>
      <c r="H268" s="42">
        <f t="shared" si="40"/>
        <v>-1</v>
      </c>
      <c r="I268" s="43">
        <f t="shared" si="49"/>
        <v>-1</v>
      </c>
      <c r="J268" s="37">
        <f t="shared" si="41"/>
        <v>0</v>
      </c>
      <c r="K268" s="37">
        <f t="shared" si="42"/>
        <v>2.601957976440664E-2</v>
      </c>
      <c r="L268" s="37">
        <f t="shared" si="43"/>
        <v>0</v>
      </c>
      <c r="M268" s="37">
        <f t="shared" si="44"/>
        <v>2.3824947236706136E-3</v>
      </c>
      <c r="N268" s="37">
        <f t="shared" si="45"/>
        <v>0</v>
      </c>
      <c r="O268" s="37">
        <f t="shared" si="46"/>
        <v>1.0442140020132771E-2</v>
      </c>
      <c r="P268" s="37">
        <f t="shared" si="47"/>
        <v>0</v>
      </c>
      <c r="Q268" s="37">
        <f t="shared" si="48"/>
        <v>-3.0675082917408353E-2</v>
      </c>
    </row>
    <row r="269" spans="1:17" x14ac:dyDescent="0.25">
      <c r="A269" s="38">
        <f>[1]Data!A272</f>
        <v>45597</v>
      </c>
      <c r="B269" s="39">
        <f>[1]Data!B272</f>
        <v>5.7923013086624189E-2</v>
      </c>
      <c r="C269" s="39">
        <f>[1]Data!C272</f>
        <v>6.2794062589265745E-2</v>
      </c>
      <c r="D269" s="40">
        <f>[1]Data!F272</f>
        <v>1.4846949421476317E-2</v>
      </c>
      <c r="E269" s="41">
        <f>[1]Data!G272</f>
        <v>3.9395219458884141E-2</v>
      </c>
      <c r="F269" s="40">
        <f>[1]Data!H272</f>
        <v>4.6338520008788547E-2</v>
      </c>
      <c r="G269" s="41">
        <f>[1]Data!I272</f>
        <v>-8.818994088863677E-3</v>
      </c>
      <c r="H269" s="42">
        <f t="shared" si="40"/>
        <v>-1</v>
      </c>
      <c r="I269" s="43">
        <f t="shared" si="49"/>
        <v>1</v>
      </c>
      <c r="J269" s="37">
        <f t="shared" si="41"/>
        <v>0</v>
      </c>
      <c r="K269" s="37">
        <f t="shared" si="42"/>
        <v>-1.4846949421476317E-2</v>
      </c>
      <c r="L269" s="37">
        <f t="shared" si="43"/>
        <v>0</v>
      </c>
      <c r="M269" s="37">
        <f t="shared" si="44"/>
        <v>3.9395219458884141E-2</v>
      </c>
      <c r="N269" s="37">
        <f t="shared" si="45"/>
        <v>4.6338520008788547E-2</v>
      </c>
      <c r="O269" s="37">
        <f t="shared" si="46"/>
        <v>0</v>
      </c>
      <c r="P269" s="37">
        <f t="shared" si="47"/>
        <v>8.818994088863677E-3</v>
      </c>
      <c r="Q269" s="37">
        <f t="shared" si="48"/>
        <v>0</v>
      </c>
    </row>
    <row r="270" spans="1:17" x14ac:dyDescent="0.25">
      <c r="A270" s="38">
        <f>[1]Data!A273</f>
        <v>45627</v>
      </c>
      <c r="B270" s="39">
        <f>[1]Data!B273</f>
        <v>-2.4354253846920634E-2</v>
      </c>
      <c r="C270" s="39">
        <f>[1]Data!C273</f>
        <v>3.9036998208068344E-2</v>
      </c>
      <c r="D270" s="40">
        <f>[1]Data!F273</f>
        <v>-8.6135309785591897E-3</v>
      </c>
      <c r="E270" s="41">
        <f>[1]Data!G273</f>
        <v>-1.115924717554876E-2</v>
      </c>
      <c r="F270" s="40">
        <f>[1]Data!H273</f>
        <v>8.6917097530328155E-3</v>
      </c>
      <c r="G270" s="41">
        <f>[1]Data!I273</f>
        <v>7.9242570584242746E-3</v>
      </c>
      <c r="H270" s="42">
        <f t="shared" si="40"/>
        <v>-1</v>
      </c>
      <c r="I270" s="43">
        <f t="shared" si="49"/>
        <v>1</v>
      </c>
      <c r="J270" s="37">
        <f t="shared" si="41"/>
        <v>0</v>
      </c>
      <c r="K270" s="37">
        <f t="shared" si="42"/>
        <v>8.6135309785591897E-3</v>
      </c>
      <c r="L270" s="37">
        <f t="shared" si="43"/>
        <v>0</v>
      </c>
      <c r="M270" s="37">
        <f t="shared" si="44"/>
        <v>-1.115924717554876E-2</v>
      </c>
      <c r="N270" s="37">
        <f t="shared" si="45"/>
        <v>8.6917097530328155E-3</v>
      </c>
      <c r="O270" s="37">
        <f t="shared" si="46"/>
        <v>0</v>
      </c>
      <c r="P270" s="37">
        <f t="shared" si="47"/>
        <v>-7.9242570584242746E-3</v>
      </c>
      <c r="Q270" s="37">
        <f t="shared" si="48"/>
        <v>0</v>
      </c>
    </row>
    <row r="271" spans="1:17" x14ac:dyDescent="0.25">
      <c r="A271" s="38">
        <f>[1]Data!A274</f>
        <v>45658</v>
      </c>
      <c r="B271" s="39">
        <f>[1]Data!B274</f>
        <v>2.6502009567008759E-2</v>
      </c>
      <c r="C271" s="39">
        <f>[1]Data!C274</f>
        <v>3.7929519450425733E-2</v>
      </c>
      <c r="D271" s="40">
        <f>[1]Data!F274</f>
        <v>-1.0167113227328512E-2</v>
      </c>
      <c r="E271" s="41">
        <f>[1]Data!G274</f>
        <v>6.1722234289853725E-3</v>
      </c>
      <c r="F271" s="40">
        <f>[1]Data!H274</f>
        <v>5.8013851190404702E-3</v>
      </c>
      <c r="G271" s="41">
        <f>[1]Data!I274</f>
        <v>-1.499805088929935E-2</v>
      </c>
      <c r="H271" s="42">
        <f t="shared" si="40"/>
        <v>-1</v>
      </c>
      <c r="I271" s="43">
        <f t="shared" si="49"/>
        <v>1</v>
      </c>
      <c r="J271" s="37">
        <f t="shared" si="41"/>
        <v>0</v>
      </c>
      <c r="K271" s="37">
        <f t="shared" si="42"/>
        <v>1.0167113227328512E-2</v>
      </c>
      <c r="L271" s="37">
        <f t="shared" si="43"/>
        <v>0</v>
      </c>
      <c r="M271" s="37">
        <f t="shared" si="44"/>
        <v>6.1722234289853725E-3</v>
      </c>
      <c r="N271" s="37">
        <f t="shared" si="45"/>
        <v>5.8013851190404702E-3</v>
      </c>
      <c r="O271" s="37">
        <f t="shared" si="46"/>
        <v>0</v>
      </c>
      <c r="P271" s="37">
        <f t="shared" si="47"/>
        <v>1.499805088929935E-2</v>
      </c>
      <c r="Q271" s="37">
        <f t="shared" si="48"/>
        <v>0</v>
      </c>
    </row>
    <row r="272" spans="1:17" x14ac:dyDescent="0.25">
      <c r="A272" s="38">
        <f>[1]Data!A275</f>
        <v>45689</v>
      </c>
      <c r="B272" s="39">
        <f>[1]Data!B275</f>
        <v>-1.2776043967811583E-2</v>
      </c>
      <c r="C272" s="39">
        <f>[1]Data!C275</f>
        <v>-3.500936501709119E-2</v>
      </c>
      <c r="D272" s="40">
        <f>[1]Data!F275</f>
        <v>-5.0865333317791379E-3</v>
      </c>
      <c r="E272" s="41">
        <f>[1]Data!G275</f>
        <v>2.8087473180161238E-2</v>
      </c>
      <c r="F272" s="40">
        <f>[1]Data!H275</f>
        <v>-1.7461244313232028E-3</v>
      </c>
      <c r="G272" s="41">
        <f>[1]Data!I275</f>
        <v>2.0621095775060161E-2</v>
      </c>
      <c r="H272" s="42">
        <f t="shared" si="40"/>
        <v>1</v>
      </c>
      <c r="I272" s="43">
        <f t="shared" si="49"/>
        <v>1</v>
      </c>
      <c r="J272" s="37">
        <f t="shared" si="41"/>
        <v>-5.0865333317791379E-3</v>
      </c>
      <c r="K272" s="37">
        <f t="shared" si="42"/>
        <v>0</v>
      </c>
      <c r="L272" s="37">
        <f t="shared" si="43"/>
        <v>-2.8087473180161238E-2</v>
      </c>
      <c r="M272" s="37">
        <f t="shared" si="44"/>
        <v>0</v>
      </c>
      <c r="N272" s="37">
        <f t="shared" si="45"/>
        <v>-1.7461244313232028E-3</v>
      </c>
      <c r="O272" s="37">
        <f t="shared" si="46"/>
        <v>0</v>
      </c>
      <c r="P272" s="37">
        <f t="shared" si="47"/>
        <v>-2.0621095775060161E-2</v>
      </c>
      <c r="Q272" s="37">
        <f t="shared" si="48"/>
        <v>0</v>
      </c>
    </row>
    <row r="273" spans="1:17" x14ac:dyDescent="0.25">
      <c r="A273" s="38">
        <f>[1]Data!A276</f>
        <v>45717</v>
      </c>
      <c r="B273" s="39">
        <f>[1]Data!B276</f>
        <v>-5.7331697768171243E-2</v>
      </c>
      <c r="C273" s="39">
        <f>[1]Data!C276</f>
        <v>-3.3407846146737079E-2</v>
      </c>
      <c r="D273" s="40">
        <f>[1]Data!F276</f>
        <v>-8.1718970707223143E-3</v>
      </c>
      <c r="E273" s="41">
        <f>[1]Data!G276</f>
        <v>3.6319127510171141E-3</v>
      </c>
      <c r="F273" s="40">
        <f>[1]Data!H276</f>
        <v>-3.1213501580951396E-2</v>
      </c>
      <c r="G273" s="41">
        <f>[1]Data!I276</f>
        <v>-2.2278008159225978E-2</v>
      </c>
      <c r="H273" s="42">
        <f t="shared" si="40"/>
        <v>1</v>
      </c>
      <c r="I273" s="43">
        <f t="shared" si="49"/>
        <v>-1</v>
      </c>
      <c r="J273" s="37">
        <f t="shared" si="41"/>
        <v>-8.1718970707223143E-3</v>
      </c>
      <c r="K273" s="37">
        <f t="shared" si="42"/>
        <v>0</v>
      </c>
      <c r="L273" s="37">
        <f t="shared" si="43"/>
        <v>-3.6319127510171141E-3</v>
      </c>
      <c r="M273" s="37">
        <f t="shared" si="44"/>
        <v>0</v>
      </c>
      <c r="N273" s="37">
        <f t="shared" si="45"/>
        <v>0</v>
      </c>
      <c r="O273" s="37">
        <f t="shared" si="46"/>
        <v>3.1213501580951396E-2</v>
      </c>
      <c r="P273" s="37">
        <f t="shared" si="47"/>
        <v>0</v>
      </c>
      <c r="Q273" s="37">
        <f t="shared" si="48"/>
        <v>-2.2278008159225978E-2</v>
      </c>
    </row>
    <row r="274" spans="1:17" x14ac:dyDescent="0.25">
      <c r="A274" s="38">
        <f>[1]Data!A277</f>
        <v>45748</v>
      </c>
      <c r="B274" s="39">
        <f>[1]Data!B277</f>
        <v>-8.7079434414738428E-3</v>
      </c>
      <c r="C274" s="39">
        <f>[1]Data!C277</f>
        <v>-1.1483725364181536E-2</v>
      </c>
      <c r="D274" s="40">
        <f>[1]Data!F277</f>
        <v>5.0464070106939728E-2</v>
      </c>
      <c r="E274" s="41">
        <f>[1]Data!G277</f>
        <v>3.3990149814473548E-2</v>
      </c>
      <c r="F274" s="40">
        <f>[1]Data!H277</f>
        <v>-0.10351692435420581</v>
      </c>
      <c r="G274" s="41">
        <f>[1]Data!I277</f>
        <v>-7.2364724208488149E-3</v>
      </c>
      <c r="H274" s="42">
        <f t="shared" si="40"/>
        <v>1</v>
      </c>
      <c r="I274" s="43">
        <f t="shared" si="49"/>
        <v>-1</v>
      </c>
      <c r="J274" s="37">
        <f t="shared" si="41"/>
        <v>5.0464070106939728E-2</v>
      </c>
      <c r="K274" s="37">
        <f t="shared" si="42"/>
        <v>0</v>
      </c>
      <c r="L274" s="37">
        <f t="shared" si="43"/>
        <v>-3.3990149814473548E-2</v>
      </c>
      <c r="M274" s="37">
        <f t="shared" si="44"/>
        <v>0</v>
      </c>
      <c r="N274" s="37">
        <f t="shared" si="45"/>
        <v>0</v>
      </c>
      <c r="O274" s="37">
        <f t="shared" si="46"/>
        <v>0.10351692435420581</v>
      </c>
      <c r="P274" s="37">
        <f t="shared" si="47"/>
        <v>0</v>
      </c>
      <c r="Q274" s="37">
        <f t="shared" si="48"/>
        <v>-7.2364724208488149E-3</v>
      </c>
    </row>
    <row r="275" spans="1:17" x14ac:dyDescent="0.25">
      <c r="A275" s="38">
        <f>[1]Data!A278</f>
        <v>45778</v>
      </c>
      <c r="B275" s="39">
        <f>[1]Data!B278</f>
        <v>6.0949225706794605E-2</v>
      </c>
      <c r="C275" s="39">
        <f>[1]Data!C278</f>
        <v>0.10957911041744683</v>
      </c>
      <c r="D275" s="40">
        <f>[1]Data!F278</f>
        <v>1.1141170220970385E-2</v>
      </c>
      <c r="E275" s="41">
        <f>[1]Data!G278</f>
        <v>2.713825197772381E-2</v>
      </c>
      <c r="F275" s="40">
        <f>[1]Data!H278</f>
        <v>1.1849305622369077E-2</v>
      </c>
      <c r="G275" s="41">
        <f>[1]Data!I278</f>
        <v>-1.4030753308767668E-2</v>
      </c>
      <c r="H275" s="42">
        <f t="shared" si="40"/>
        <v>-1</v>
      </c>
      <c r="I275" s="43">
        <f t="shared" si="49"/>
        <v>-1</v>
      </c>
      <c r="J275" s="37">
        <f t="shared" si="41"/>
        <v>0</v>
      </c>
      <c r="K275" s="37">
        <f t="shared" si="42"/>
        <v>-1.1141170220970385E-2</v>
      </c>
      <c r="L275" s="37">
        <f t="shared" si="43"/>
        <v>0</v>
      </c>
      <c r="M275" s="37">
        <f t="shared" si="44"/>
        <v>2.713825197772381E-2</v>
      </c>
      <c r="N275" s="37">
        <f t="shared" si="45"/>
        <v>0</v>
      </c>
      <c r="O275" s="37">
        <f t="shared" si="46"/>
        <v>-1.1849305622369077E-2</v>
      </c>
      <c r="P275" s="37">
        <f t="shared" si="47"/>
        <v>0</v>
      </c>
      <c r="Q275" s="37">
        <f t="shared" si="48"/>
        <v>-1.4030753308767668E-2</v>
      </c>
    </row>
    <row r="276" spans="1:17" x14ac:dyDescent="0.25">
      <c r="A276" s="38">
        <f>[1]Data!A279</f>
        <v>45809</v>
      </c>
      <c r="B276" s="39">
        <f>[1]Data!B279</f>
        <v>5.0109422082739628E-2</v>
      </c>
      <c r="C276" s="39">
        <f>[1]Data!C279</f>
        <v>1.1664630776718258E-2</v>
      </c>
      <c r="D276" s="40">
        <f>[1]Data!F279</f>
        <v>2.9066005384365462E-2</v>
      </c>
      <c r="E276" s="41">
        <f>[1]Data!G279</f>
        <v>1.6912792689625568E-2</v>
      </c>
      <c r="F276" s="40">
        <f>[1]Data!H279</f>
        <v>1.6407174187849045E-2</v>
      </c>
      <c r="G276" s="41">
        <f>[1]Data!I279</f>
        <v>-7.1216753098330733E-3</v>
      </c>
      <c r="H276" s="42">
        <f t="shared" si="40"/>
        <v>-1</v>
      </c>
      <c r="I276" s="43">
        <f t="shared" si="49"/>
        <v>1</v>
      </c>
      <c r="J276" s="37">
        <f t="shared" si="41"/>
        <v>0</v>
      </c>
      <c r="K276" s="37">
        <f t="shared" si="42"/>
        <v>-2.9066005384365462E-2</v>
      </c>
      <c r="L276" s="37">
        <f t="shared" si="43"/>
        <v>0</v>
      </c>
      <c r="M276" s="37">
        <f t="shared" si="44"/>
        <v>1.6912792689625568E-2</v>
      </c>
      <c r="N276" s="37">
        <f t="shared" si="45"/>
        <v>1.6407174187849045E-2</v>
      </c>
      <c r="O276" s="37">
        <f t="shared" si="46"/>
        <v>0</v>
      </c>
      <c r="P276" s="37">
        <f t="shared" si="47"/>
        <v>7.1216753098330733E-3</v>
      </c>
      <c r="Q276" s="37">
        <f t="shared" si="48"/>
        <v>0</v>
      </c>
    </row>
    <row r="277" spans="1:17" x14ac:dyDescent="0.25">
      <c r="A277" s="38">
        <f>[1]Data!A280</f>
        <v>45839</v>
      </c>
      <c r="B277" s="39">
        <f>[1]Data!B280</f>
        <v>2.2770325416294181E-2</v>
      </c>
      <c r="C277" s="39">
        <f>[1]Data!C280</f>
        <v>3.3737406528080702E-2</v>
      </c>
      <c r="D277" s="40">
        <f>[1]Data!F280</f>
        <v>5.1073623354443189E-3</v>
      </c>
      <c r="E277" s="41">
        <f>[1]Data!G280</f>
        <v>4.6125415532246722E-3</v>
      </c>
      <c r="F277" s="40">
        <f>[1]Data!H280</f>
        <v>4.0220880825346979E-3</v>
      </c>
      <c r="G277" s="41">
        <f>[1]Data!I280</f>
        <v>-2.1753909381793265E-2</v>
      </c>
      <c r="H277" s="42">
        <f t="shared" si="40"/>
        <v>-1</v>
      </c>
      <c r="I277" s="43">
        <f t="shared" si="49"/>
        <v>1</v>
      </c>
      <c r="J277" s="37">
        <f t="shared" si="41"/>
        <v>0</v>
      </c>
      <c r="K277" s="37">
        <f t="shared" si="42"/>
        <v>-5.1073623354443189E-3</v>
      </c>
      <c r="L277" s="37">
        <f t="shared" si="43"/>
        <v>0</v>
      </c>
      <c r="M277" s="37">
        <f t="shared" si="44"/>
        <v>4.6125415532246722E-3</v>
      </c>
      <c r="N277" s="37">
        <f t="shared" si="45"/>
        <v>4.0220880825346979E-3</v>
      </c>
      <c r="O277" s="37">
        <f t="shared" si="46"/>
        <v>0</v>
      </c>
      <c r="P277" s="37">
        <f t="shared" si="47"/>
        <v>2.1753909381793265E-2</v>
      </c>
      <c r="Q277" s="37">
        <f t="shared" si="48"/>
        <v>0</v>
      </c>
    </row>
    <row r="278" spans="1:17" ht="15.75" thickBot="1" x14ac:dyDescent="0.3">
      <c r="A278" s="44">
        <f>[1]Data!A281</f>
        <v>45870</v>
      </c>
      <c r="B278" s="45">
        <f>[1]Data!B281</f>
        <v>9.4946638684212728E-3</v>
      </c>
      <c r="C278" s="45">
        <f>[1]Data!C281</f>
        <v>6.6001117953861342E-3</v>
      </c>
      <c r="D278" s="46">
        <f>[1]Data!F281</f>
        <v>0</v>
      </c>
      <c r="E278" s="47">
        <f>[1]Data!G281</f>
        <v>0</v>
      </c>
      <c r="F278" s="46">
        <f>[1]Data!H281</f>
        <v>2.6889009812874562E-4</v>
      </c>
      <c r="G278" s="47">
        <f>[1]Data!I281</f>
        <v>1.2406993948444583E-2</v>
      </c>
      <c r="H278" s="42">
        <f t="shared" si="40"/>
        <v>-1</v>
      </c>
      <c r="I278" s="43">
        <f t="shared" si="49"/>
        <v>1</v>
      </c>
      <c r="J278" s="37">
        <f t="shared" si="41"/>
        <v>0</v>
      </c>
      <c r="K278" s="37">
        <f t="shared" si="42"/>
        <v>0</v>
      </c>
      <c r="L278" s="37">
        <f t="shared" si="43"/>
        <v>0</v>
      </c>
      <c r="M278" s="37">
        <f t="shared" si="44"/>
        <v>0</v>
      </c>
      <c r="N278" s="37">
        <f t="shared" si="45"/>
        <v>2.6889009812874562E-4</v>
      </c>
      <c r="O278" s="37">
        <f t="shared" si="46"/>
        <v>0</v>
      </c>
      <c r="P278" s="37">
        <f t="shared" si="47"/>
        <v>-1.2406993948444583E-2</v>
      </c>
      <c r="Q278" s="37">
        <f t="shared" si="48"/>
        <v>0</v>
      </c>
    </row>
    <row r="279" spans="1:17" x14ac:dyDescent="0.25">
      <c r="A279" s="48">
        <v>45901</v>
      </c>
      <c r="B279" s="49">
        <v>3.5234000000000001E-2</v>
      </c>
      <c r="C279" s="49">
        <v>7.9579999999999998E-3</v>
      </c>
      <c r="D279" s="50">
        <v>-9.3199999999999999E-4</v>
      </c>
      <c r="E279" s="41">
        <v>7.5950000000000002E-3</v>
      </c>
      <c r="F279" s="40">
        <v>5.927E-3</v>
      </c>
      <c r="G279" s="41">
        <v>3.9731000000000002E-2</v>
      </c>
      <c r="H279" s="42">
        <f t="shared" si="40"/>
        <v>-1</v>
      </c>
      <c r="I279" s="43">
        <f t="shared" si="49"/>
        <v>1</v>
      </c>
      <c r="J279" s="37">
        <f t="shared" si="41"/>
        <v>0</v>
      </c>
      <c r="K279" s="37">
        <f t="shared" si="42"/>
        <v>9.3199999999999999E-4</v>
      </c>
      <c r="L279" s="37">
        <f t="shared" si="43"/>
        <v>0</v>
      </c>
      <c r="M279" s="37">
        <f t="shared" si="44"/>
        <v>7.5950000000000002E-3</v>
      </c>
      <c r="N279" s="37">
        <f t="shared" si="45"/>
        <v>5.927E-3</v>
      </c>
      <c r="O279" s="37">
        <f t="shared" si="46"/>
        <v>0</v>
      </c>
      <c r="P279" s="37">
        <f t="shared" si="47"/>
        <v>-3.9731000000000002E-2</v>
      </c>
      <c r="Q279" s="37">
        <f t="shared" si="48"/>
        <v>0</v>
      </c>
    </row>
    <row r="280" spans="1:17" x14ac:dyDescent="0.25">
      <c r="A280" s="48">
        <v>45931</v>
      </c>
      <c r="B280" s="49">
        <v>3.2113000000000003E-2</v>
      </c>
      <c r="C280" s="51">
        <v>-2.4447E-2</v>
      </c>
      <c r="D280" s="40">
        <v>2.3838000000000002E-2</v>
      </c>
      <c r="E280" s="52">
        <v>-9.8560000000000002E-3</v>
      </c>
      <c r="F280" s="40">
        <v>4.4229999999999998E-3</v>
      </c>
      <c r="G280" s="41">
        <v>1.4040000000000001E-3</v>
      </c>
      <c r="H280" s="42">
        <f t="shared" si="40"/>
        <v>1</v>
      </c>
      <c r="I280" s="43">
        <f t="shared" si="49"/>
        <v>1</v>
      </c>
      <c r="J280" s="37">
        <f t="shared" si="41"/>
        <v>2.3838000000000002E-2</v>
      </c>
      <c r="K280" s="37">
        <f t="shared" si="42"/>
        <v>0</v>
      </c>
      <c r="L280" s="37">
        <f t="shared" si="43"/>
        <v>9.8560000000000002E-3</v>
      </c>
      <c r="M280" s="37">
        <f t="shared" si="44"/>
        <v>0</v>
      </c>
      <c r="N280" s="37">
        <f t="shared" si="45"/>
        <v>4.4229999999999998E-3</v>
      </c>
      <c r="O280" s="37">
        <f t="shared" si="46"/>
        <v>0</v>
      </c>
      <c r="P280" s="37">
        <f t="shared" si="47"/>
        <v>-1.4040000000000001E-3</v>
      </c>
      <c r="Q280" s="37">
        <f t="shared" si="48"/>
        <v>0</v>
      </c>
    </row>
    <row r="281" spans="1:17" x14ac:dyDescent="0.25">
      <c r="A281" s="48"/>
    </row>
    <row r="282" spans="1:17" x14ac:dyDescent="0.25">
      <c r="A282" s="48"/>
    </row>
    <row r="283" spans="1:17" x14ac:dyDescent="0.25">
      <c r="A283" s="48"/>
    </row>
    <row r="284" spans="1:17" x14ac:dyDescent="0.25">
      <c r="A284" s="48"/>
    </row>
    <row r="285" spans="1:17" x14ac:dyDescent="0.25">
      <c r="A285" s="48"/>
    </row>
    <row r="286" spans="1:17" x14ac:dyDescent="0.25">
      <c r="A286" s="48"/>
    </row>
    <row r="287" spans="1:17" x14ac:dyDescent="0.25">
      <c r="A287" s="48"/>
    </row>
    <row r="288" spans="1:17" x14ac:dyDescent="0.25">
      <c r="A288" s="48"/>
    </row>
    <row r="289" spans="1:1" x14ac:dyDescent="0.25">
      <c r="A289" s="48"/>
    </row>
    <row r="290" spans="1:1" x14ac:dyDescent="0.25">
      <c r="A290" s="48"/>
    </row>
    <row r="291" spans="1:1" x14ac:dyDescent="0.25">
      <c r="A291" s="48"/>
    </row>
    <row r="292" spans="1:1" x14ac:dyDescent="0.25">
      <c r="A292" s="48"/>
    </row>
    <row r="293" spans="1:1" x14ac:dyDescent="0.25">
      <c r="A293" s="48"/>
    </row>
    <row r="294" spans="1:1" x14ac:dyDescent="0.25">
      <c r="A294" s="48"/>
    </row>
    <row r="295" spans="1:1" x14ac:dyDescent="0.25">
      <c r="A295" s="48"/>
    </row>
    <row r="296" spans="1:1" x14ac:dyDescent="0.25">
      <c r="A296" s="48"/>
    </row>
    <row r="297" spans="1:1" x14ac:dyDescent="0.25">
      <c r="A297" s="48"/>
    </row>
    <row r="298" spans="1:1" x14ac:dyDescent="0.25">
      <c r="A298" s="4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Calligaro</cp:lastModifiedBy>
  <dcterms:created xsi:type="dcterms:W3CDTF">2025-11-04T12:59:17Z</dcterms:created>
  <dcterms:modified xsi:type="dcterms:W3CDTF">2025-11-04T14:42:02Z</dcterms:modified>
</cp:coreProperties>
</file>