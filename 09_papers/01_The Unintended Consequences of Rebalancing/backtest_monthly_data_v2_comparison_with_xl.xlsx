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/FromZeroToQuant-/09_papers/01_The Unintended Consequences of Rebalancing/"/>
    </mc:Choice>
  </mc:AlternateContent>
  <xr:revisionPtr revIDLastSave="38" documentId="8_{80951FC1-4917-4F25-86F8-F6DBFD0B4EC5}" xr6:coauthVersionLast="47" xr6:coauthVersionMax="47" xr10:uidLastSave="{618737BA-1BE3-44AD-9E32-07EFD05D81D3}"/>
  <bookViews>
    <workbookView xWindow="-120" yWindow="-120" windowWidth="29040" windowHeight="17520" firstSheet="2" activeTab="4" xr2:uid="{00000000-000D-0000-FFFF-FFFF00000000}"/>
  </bookViews>
  <sheets>
    <sheet name="py_v2" sheetId="1" r:id="rId1"/>
    <sheet name="py_v2_raw_py" sheetId="2" r:id="rId2"/>
    <sheet name="py_v2_raw_xl_calc" sheetId="3" r:id="rId3"/>
    <sheet name="py_v2_raw_xl_calc_xl_signal" sheetId="4" r:id="rId4"/>
    <sheet name="xl_data_xl_sign_xl_cal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9" i="4" l="1"/>
  <c r="J279" i="4"/>
  <c r="I279" i="4"/>
  <c r="H279" i="4"/>
  <c r="H1048576" i="4" s="1"/>
  <c r="S278" i="5" l="1"/>
  <c r="R278" i="5"/>
  <c r="Q278" i="5"/>
  <c r="P278" i="5"/>
  <c r="O278" i="5"/>
  <c r="N278" i="5"/>
  <c r="M278" i="5"/>
  <c r="L278" i="5"/>
  <c r="S277" i="5"/>
  <c r="R277" i="5"/>
  <c r="Q277" i="5"/>
  <c r="P277" i="5"/>
  <c r="O277" i="5"/>
  <c r="N277" i="5"/>
  <c r="M277" i="5"/>
  <c r="L277" i="5"/>
  <c r="S276" i="5"/>
  <c r="R276" i="5"/>
  <c r="Q276" i="5"/>
  <c r="P276" i="5"/>
  <c r="O276" i="5"/>
  <c r="N276" i="5"/>
  <c r="M276" i="5"/>
  <c r="L276" i="5"/>
  <c r="S275" i="5"/>
  <c r="R275" i="5"/>
  <c r="Q275" i="5"/>
  <c r="P275" i="5"/>
  <c r="O275" i="5"/>
  <c r="N275" i="5"/>
  <c r="M275" i="5"/>
  <c r="L275" i="5"/>
  <c r="S274" i="5"/>
  <c r="R274" i="5"/>
  <c r="Q274" i="5"/>
  <c r="P274" i="5"/>
  <c r="O274" i="5"/>
  <c r="N274" i="5"/>
  <c r="M274" i="5"/>
  <c r="L274" i="5"/>
  <c r="S273" i="5"/>
  <c r="R273" i="5"/>
  <c r="Q273" i="5"/>
  <c r="P273" i="5"/>
  <c r="O273" i="5"/>
  <c r="N273" i="5"/>
  <c r="M273" i="5"/>
  <c r="L273" i="5"/>
  <c r="S272" i="5"/>
  <c r="R272" i="5"/>
  <c r="Q272" i="5"/>
  <c r="P272" i="5"/>
  <c r="O272" i="5"/>
  <c r="N272" i="5"/>
  <c r="M272" i="5"/>
  <c r="L272" i="5"/>
  <c r="S271" i="5"/>
  <c r="R271" i="5"/>
  <c r="Q271" i="5"/>
  <c r="P271" i="5"/>
  <c r="O271" i="5"/>
  <c r="N271" i="5"/>
  <c r="M271" i="5"/>
  <c r="L271" i="5"/>
  <c r="S270" i="5"/>
  <c r="R270" i="5"/>
  <c r="Q270" i="5"/>
  <c r="P270" i="5"/>
  <c r="O270" i="5"/>
  <c r="N270" i="5"/>
  <c r="M270" i="5"/>
  <c r="L270" i="5"/>
  <c r="S269" i="5"/>
  <c r="R269" i="5"/>
  <c r="Q269" i="5"/>
  <c r="P269" i="5"/>
  <c r="O269" i="5"/>
  <c r="N269" i="5"/>
  <c r="M269" i="5"/>
  <c r="L269" i="5"/>
  <c r="S268" i="5"/>
  <c r="R268" i="5"/>
  <c r="Q268" i="5"/>
  <c r="P268" i="5"/>
  <c r="O268" i="5"/>
  <c r="N268" i="5"/>
  <c r="M268" i="5"/>
  <c r="L268" i="5"/>
  <c r="S267" i="5"/>
  <c r="R267" i="5"/>
  <c r="Q267" i="5"/>
  <c r="P267" i="5"/>
  <c r="O267" i="5"/>
  <c r="N267" i="5"/>
  <c r="M267" i="5"/>
  <c r="L267" i="5"/>
  <c r="S266" i="5"/>
  <c r="R266" i="5"/>
  <c r="Q266" i="5"/>
  <c r="P266" i="5"/>
  <c r="O266" i="5"/>
  <c r="N266" i="5"/>
  <c r="M266" i="5"/>
  <c r="L266" i="5"/>
  <c r="S265" i="5"/>
  <c r="R265" i="5"/>
  <c r="Q265" i="5"/>
  <c r="P265" i="5"/>
  <c r="O265" i="5"/>
  <c r="N265" i="5"/>
  <c r="M265" i="5"/>
  <c r="L265" i="5"/>
  <c r="S264" i="5"/>
  <c r="R264" i="5"/>
  <c r="Q264" i="5"/>
  <c r="P264" i="5"/>
  <c r="O264" i="5"/>
  <c r="N264" i="5"/>
  <c r="M264" i="5"/>
  <c r="L264" i="5"/>
  <c r="S263" i="5"/>
  <c r="R263" i="5"/>
  <c r="Q263" i="5"/>
  <c r="P263" i="5"/>
  <c r="O263" i="5"/>
  <c r="N263" i="5"/>
  <c r="M263" i="5"/>
  <c r="L263" i="5"/>
  <c r="S262" i="5"/>
  <c r="R262" i="5"/>
  <c r="Q262" i="5"/>
  <c r="P262" i="5"/>
  <c r="O262" i="5"/>
  <c r="N262" i="5"/>
  <c r="M262" i="5"/>
  <c r="L262" i="5"/>
  <c r="S261" i="5"/>
  <c r="R261" i="5"/>
  <c r="Q261" i="5"/>
  <c r="P261" i="5"/>
  <c r="O261" i="5"/>
  <c r="N261" i="5"/>
  <c r="M261" i="5"/>
  <c r="L261" i="5"/>
  <c r="S260" i="5"/>
  <c r="R260" i="5"/>
  <c r="Q260" i="5"/>
  <c r="P260" i="5"/>
  <c r="O260" i="5"/>
  <c r="N260" i="5"/>
  <c r="M260" i="5"/>
  <c r="L260" i="5"/>
  <c r="S259" i="5"/>
  <c r="R259" i="5"/>
  <c r="Q259" i="5"/>
  <c r="P259" i="5"/>
  <c r="O259" i="5"/>
  <c r="N259" i="5"/>
  <c r="M259" i="5"/>
  <c r="L259" i="5"/>
  <c r="S258" i="5"/>
  <c r="R258" i="5"/>
  <c r="Q258" i="5"/>
  <c r="P258" i="5"/>
  <c r="O258" i="5"/>
  <c r="N258" i="5"/>
  <c r="M258" i="5"/>
  <c r="L258" i="5"/>
  <c r="S257" i="5"/>
  <c r="R257" i="5"/>
  <c r="Q257" i="5"/>
  <c r="P257" i="5"/>
  <c r="O257" i="5"/>
  <c r="N257" i="5"/>
  <c r="M257" i="5"/>
  <c r="L257" i="5"/>
  <c r="S256" i="5"/>
  <c r="R256" i="5"/>
  <c r="Q256" i="5"/>
  <c r="P256" i="5"/>
  <c r="O256" i="5"/>
  <c r="N256" i="5"/>
  <c r="M256" i="5"/>
  <c r="L256" i="5"/>
  <c r="S255" i="5"/>
  <c r="R255" i="5"/>
  <c r="Q255" i="5"/>
  <c r="P255" i="5"/>
  <c r="O255" i="5"/>
  <c r="N255" i="5"/>
  <c r="M255" i="5"/>
  <c r="L255" i="5"/>
  <c r="S254" i="5"/>
  <c r="R254" i="5"/>
  <c r="Q254" i="5"/>
  <c r="P254" i="5"/>
  <c r="O254" i="5"/>
  <c r="N254" i="5"/>
  <c r="M254" i="5"/>
  <c r="L254" i="5"/>
  <c r="S253" i="5"/>
  <c r="R253" i="5"/>
  <c r="Q253" i="5"/>
  <c r="P253" i="5"/>
  <c r="O253" i="5"/>
  <c r="N253" i="5"/>
  <c r="M253" i="5"/>
  <c r="L253" i="5"/>
  <c r="S252" i="5"/>
  <c r="R252" i="5"/>
  <c r="Q252" i="5"/>
  <c r="P252" i="5"/>
  <c r="O252" i="5"/>
  <c r="N252" i="5"/>
  <c r="M252" i="5"/>
  <c r="L252" i="5"/>
  <c r="S251" i="5"/>
  <c r="R251" i="5"/>
  <c r="Q251" i="5"/>
  <c r="P251" i="5"/>
  <c r="O251" i="5"/>
  <c r="N251" i="5"/>
  <c r="M251" i="5"/>
  <c r="L251" i="5"/>
  <c r="S250" i="5"/>
  <c r="R250" i="5"/>
  <c r="Q250" i="5"/>
  <c r="P250" i="5"/>
  <c r="O250" i="5"/>
  <c r="N250" i="5"/>
  <c r="M250" i="5"/>
  <c r="L250" i="5"/>
  <c r="S249" i="5"/>
  <c r="R249" i="5"/>
  <c r="Q249" i="5"/>
  <c r="P249" i="5"/>
  <c r="O249" i="5"/>
  <c r="N249" i="5"/>
  <c r="M249" i="5"/>
  <c r="L249" i="5"/>
  <c r="S248" i="5"/>
  <c r="R248" i="5"/>
  <c r="Q248" i="5"/>
  <c r="P248" i="5"/>
  <c r="O248" i="5"/>
  <c r="N248" i="5"/>
  <c r="M248" i="5"/>
  <c r="L248" i="5"/>
  <c r="S247" i="5"/>
  <c r="R247" i="5"/>
  <c r="Q247" i="5"/>
  <c r="P247" i="5"/>
  <c r="O247" i="5"/>
  <c r="N247" i="5"/>
  <c r="M247" i="5"/>
  <c r="L247" i="5"/>
  <c r="S246" i="5"/>
  <c r="R246" i="5"/>
  <c r="Q246" i="5"/>
  <c r="P246" i="5"/>
  <c r="O246" i="5"/>
  <c r="N246" i="5"/>
  <c r="M246" i="5"/>
  <c r="L246" i="5"/>
  <c r="S245" i="5"/>
  <c r="R245" i="5"/>
  <c r="Q245" i="5"/>
  <c r="P245" i="5"/>
  <c r="O245" i="5"/>
  <c r="N245" i="5"/>
  <c r="M245" i="5"/>
  <c r="L245" i="5"/>
  <c r="S244" i="5"/>
  <c r="R244" i="5"/>
  <c r="Q244" i="5"/>
  <c r="P244" i="5"/>
  <c r="O244" i="5"/>
  <c r="N244" i="5"/>
  <c r="M244" i="5"/>
  <c r="L244" i="5"/>
  <c r="S243" i="5"/>
  <c r="R243" i="5"/>
  <c r="Q243" i="5"/>
  <c r="P243" i="5"/>
  <c r="O243" i="5"/>
  <c r="N243" i="5"/>
  <c r="M243" i="5"/>
  <c r="L243" i="5"/>
  <c r="S242" i="5"/>
  <c r="R242" i="5"/>
  <c r="Q242" i="5"/>
  <c r="P242" i="5"/>
  <c r="O242" i="5"/>
  <c r="N242" i="5"/>
  <c r="M242" i="5"/>
  <c r="L242" i="5"/>
  <c r="S241" i="5"/>
  <c r="R241" i="5"/>
  <c r="Q241" i="5"/>
  <c r="P241" i="5"/>
  <c r="O241" i="5"/>
  <c r="N241" i="5"/>
  <c r="M241" i="5"/>
  <c r="L241" i="5"/>
  <c r="S240" i="5"/>
  <c r="R240" i="5"/>
  <c r="Q240" i="5"/>
  <c r="P240" i="5"/>
  <c r="O240" i="5"/>
  <c r="N240" i="5"/>
  <c r="M240" i="5"/>
  <c r="L240" i="5"/>
  <c r="S239" i="5"/>
  <c r="R239" i="5"/>
  <c r="Q239" i="5"/>
  <c r="P239" i="5"/>
  <c r="O239" i="5"/>
  <c r="N239" i="5"/>
  <c r="M239" i="5"/>
  <c r="L239" i="5"/>
  <c r="S238" i="5"/>
  <c r="R238" i="5"/>
  <c r="Q238" i="5"/>
  <c r="P238" i="5"/>
  <c r="O238" i="5"/>
  <c r="N238" i="5"/>
  <c r="M238" i="5"/>
  <c r="L238" i="5"/>
  <c r="S237" i="5"/>
  <c r="R237" i="5"/>
  <c r="Q237" i="5"/>
  <c r="P237" i="5"/>
  <c r="O237" i="5"/>
  <c r="N237" i="5"/>
  <c r="M237" i="5"/>
  <c r="L237" i="5"/>
  <c r="S236" i="5"/>
  <c r="R236" i="5"/>
  <c r="Q236" i="5"/>
  <c r="P236" i="5"/>
  <c r="O236" i="5"/>
  <c r="N236" i="5"/>
  <c r="M236" i="5"/>
  <c r="L236" i="5"/>
  <c r="S235" i="5"/>
  <c r="R235" i="5"/>
  <c r="Q235" i="5"/>
  <c r="P235" i="5"/>
  <c r="O235" i="5"/>
  <c r="N235" i="5"/>
  <c r="M235" i="5"/>
  <c r="L235" i="5"/>
  <c r="S234" i="5"/>
  <c r="R234" i="5"/>
  <c r="Q234" i="5"/>
  <c r="P234" i="5"/>
  <c r="O234" i="5"/>
  <c r="N234" i="5"/>
  <c r="M234" i="5"/>
  <c r="L234" i="5"/>
  <c r="S233" i="5"/>
  <c r="R233" i="5"/>
  <c r="Q233" i="5"/>
  <c r="P233" i="5"/>
  <c r="O233" i="5"/>
  <c r="N233" i="5"/>
  <c r="M233" i="5"/>
  <c r="L233" i="5"/>
  <c r="S232" i="5"/>
  <c r="R232" i="5"/>
  <c r="Q232" i="5"/>
  <c r="P232" i="5"/>
  <c r="O232" i="5"/>
  <c r="N232" i="5"/>
  <c r="M232" i="5"/>
  <c r="L232" i="5"/>
  <c r="S231" i="5"/>
  <c r="R231" i="5"/>
  <c r="Q231" i="5"/>
  <c r="P231" i="5"/>
  <c r="O231" i="5"/>
  <c r="N231" i="5"/>
  <c r="M231" i="5"/>
  <c r="L231" i="5"/>
  <c r="S230" i="5"/>
  <c r="R230" i="5"/>
  <c r="Q230" i="5"/>
  <c r="P230" i="5"/>
  <c r="O230" i="5"/>
  <c r="N230" i="5"/>
  <c r="M230" i="5"/>
  <c r="L230" i="5"/>
  <c r="S229" i="5"/>
  <c r="R229" i="5"/>
  <c r="Q229" i="5"/>
  <c r="P229" i="5"/>
  <c r="O229" i="5"/>
  <c r="N229" i="5"/>
  <c r="M229" i="5"/>
  <c r="L229" i="5"/>
  <c r="S228" i="5"/>
  <c r="R228" i="5"/>
  <c r="Q228" i="5"/>
  <c r="P228" i="5"/>
  <c r="O228" i="5"/>
  <c r="N228" i="5"/>
  <c r="M228" i="5"/>
  <c r="L228" i="5"/>
  <c r="S227" i="5"/>
  <c r="R227" i="5"/>
  <c r="Q227" i="5"/>
  <c r="P227" i="5"/>
  <c r="O227" i="5"/>
  <c r="N227" i="5"/>
  <c r="M227" i="5"/>
  <c r="L227" i="5"/>
  <c r="S226" i="5"/>
  <c r="R226" i="5"/>
  <c r="Q226" i="5"/>
  <c r="P226" i="5"/>
  <c r="O226" i="5"/>
  <c r="N226" i="5"/>
  <c r="M226" i="5"/>
  <c r="L226" i="5"/>
  <c r="S225" i="5"/>
  <c r="R225" i="5"/>
  <c r="Q225" i="5"/>
  <c r="P225" i="5"/>
  <c r="O225" i="5"/>
  <c r="N225" i="5"/>
  <c r="M225" i="5"/>
  <c r="L225" i="5"/>
  <c r="S224" i="5"/>
  <c r="R224" i="5"/>
  <c r="Q224" i="5"/>
  <c r="P224" i="5"/>
  <c r="O224" i="5"/>
  <c r="N224" i="5"/>
  <c r="M224" i="5"/>
  <c r="L224" i="5"/>
  <c r="S223" i="5"/>
  <c r="R223" i="5"/>
  <c r="Q223" i="5"/>
  <c r="P223" i="5"/>
  <c r="O223" i="5"/>
  <c r="N223" i="5"/>
  <c r="M223" i="5"/>
  <c r="L223" i="5"/>
  <c r="S222" i="5"/>
  <c r="R222" i="5"/>
  <c r="Q222" i="5"/>
  <c r="P222" i="5"/>
  <c r="O222" i="5"/>
  <c r="N222" i="5"/>
  <c r="M222" i="5"/>
  <c r="L222" i="5"/>
  <c r="S221" i="5"/>
  <c r="R221" i="5"/>
  <c r="Q221" i="5"/>
  <c r="P221" i="5"/>
  <c r="O221" i="5"/>
  <c r="N221" i="5"/>
  <c r="M221" i="5"/>
  <c r="L221" i="5"/>
  <c r="S220" i="5"/>
  <c r="R220" i="5"/>
  <c r="Q220" i="5"/>
  <c r="P220" i="5"/>
  <c r="O220" i="5"/>
  <c r="N220" i="5"/>
  <c r="M220" i="5"/>
  <c r="L220" i="5"/>
  <c r="S219" i="5"/>
  <c r="R219" i="5"/>
  <c r="Q219" i="5"/>
  <c r="P219" i="5"/>
  <c r="O219" i="5"/>
  <c r="N219" i="5"/>
  <c r="M219" i="5"/>
  <c r="L219" i="5"/>
  <c r="S218" i="5"/>
  <c r="R218" i="5"/>
  <c r="Q218" i="5"/>
  <c r="P218" i="5"/>
  <c r="O218" i="5"/>
  <c r="N218" i="5"/>
  <c r="M218" i="5"/>
  <c r="L218" i="5"/>
  <c r="S217" i="5"/>
  <c r="R217" i="5"/>
  <c r="Q217" i="5"/>
  <c r="P217" i="5"/>
  <c r="O217" i="5"/>
  <c r="N217" i="5"/>
  <c r="M217" i="5"/>
  <c r="L217" i="5"/>
  <c r="S216" i="5"/>
  <c r="R216" i="5"/>
  <c r="Q216" i="5"/>
  <c r="P216" i="5"/>
  <c r="O216" i="5"/>
  <c r="N216" i="5"/>
  <c r="M216" i="5"/>
  <c r="L216" i="5"/>
  <c r="S215" i="5"/>
  <c r="R215" i="5"/>
  <c r="Q215" i="5"/>
  <c r="P215" i="5"/>
  <c r="O215" i="5"/>
  <c r="N215" i="5"/>
  <c r="M215" i="5"/>
  <c r="L215" i="5"/>
  <c r="S214" i="5"/>
  <c r="R214" i="5"/>
  <c r="Q214" i="5"/>
  <c r="P214" i="5"/>
  <c r="O214" i="5"/>
  <c r="N214" i="5"/>
  <c r="M214" i="5"/>
  <c r="L214" i="5"/>
  <c r="S213" i="5"/>
  <c r="R213" i="5"/>
  <c r="Q213" i="5"/>
  <c r="P213" i="5"/>
  <c r="O213" i="5"/>
  <c r="N213" i="5"/>
  <c r="M213" i="5"/>
  <c r="L213" i="5"/>
  <c r="S212" i="5"/>
  <c r="R212" i="5"/>
  <c r="Q212" i="5"/>
  <c r="P212" i="5"/>
  <c r="O212" i="5"/>
  <c r="N212" i="5"/>
  <c r="M212" i="5"/>
  <c r="L212" i="5"/>
  <c r="S211" i="5"/>
  <c r="R211" i="5"/>
  <c r="Q211" i="5"/>
  <c r="P211" i="5"/>
  <c r="O211" i="5"/>
  <c r="N211" i="5"/>
  <c r="M211" i="5"/>
  <c r="L211" i="5"/>
  <c r="S210" i="5"/>
  <c r="R210" i="5"/>
  <c r="Q210" i="5"/>
  <c r="P210" i="5"/>
  <c r="O210" i="5"/>
  <c r="N210" i="5"/>
  <c r="M210" i="5"/>
  <c r="L210" i="5"/>
  <c r="S209" i="5"/>
  <c r="R209" i="5"/>
  <c r="Q209" i="5"/>
  <c r="P209" i="5"/>
  <c r="O209" i="5"/>
  <c r="N209" i="5"/>
  <c r="M209" i="5"/>
  <c r="L209" i="5"/>
  <c r="S208" i="5"/>
  <c r="R208" i="5"/>
  <c r="Q208" i="5"/>
  <c r="P208" i="5"/>
  <c r="O208" i="5"/>
  <c r="N208" i="5"/>
  <c r="M208" i="5"/>
  <c r="L208" i="5"/>
  <c r="S207" i="5"/>
  <c r="R207" i="5"/>
  <c r="Q207" i="5"/>
  <c r="P207" i="5"/>
  <c r="O207" i="5"/>
  <c r="N207" i="5"/>
  <c r="M207" i="5"/>
  <c r="L207" i="5"/>
  <c r="S206" i="5"/>
  <c r="R206" i="5"/>
  <c r="Q206" i="5"/>
  <c r="P206" i="5"/>
  <c r="O206" i="5"/>
  <c r="N206" i="5"/>
  <c r="M206" i="5"/>
  <c r="L206" i="5"/>
  <c r="S205" i="5"/>
  <c r="R205" i="5"/>
  <c r="Q205" i="5"/>
  <c r="P205" i="5"/>
  <c r="O205" i="5"/>
  <c r="N205" i="5"/>
  <c r="M205" i="5"/>
  <c r="L205" i="5"/>
  <c r="S204" i="5"/>
  <c r="R204" i="5"/>
  <c r="Q204" i="5"/>
  <c r="P204" i="5"/>
  <c r="O204" i="5"/>
  <c r="N204" i="5"/>
  <c r="M204" i="5"/>
  <c r="L204" i="5"/>
  <c r="S203" i="5"/>
  <c r="R203" i="5"/>
  <c r="Q203" i="5"/>
  <c r="P203" i="5"/>
  <c r="O203" i="5"/>
  <c r="N203" i="5"/>
  <c r="M203" i="5"/>
  <c r="L203" i="5"/>
  <c r="S202" i="5"/>
  <c r="R202" i="5"/>
  <c r="Q202" i="5"/>
  <c r="P202" i="5"/>
  <c r="O202" i="5"/>
  <c r="N202" i="5"/>
  <c r="M202" i="5"/>
  <c r="L202" i="5"/>
  <c r="S201" i="5"/>
  <c r="R201" i="5"/>
  <c r="Q201" i="5"/>
  <c r="P201" i="5"/>
  <c r="O201" i="5"/>
  <c r="N201" i="5"/>
  <c r="M201" i="5"/>
  <c r="L201" i="5"/>
  <c r="S200" i="5"/>
  <c r="R200" i="5"/>
  <c r="Q200" i="5"/>
  <c r="P200" i="5"/>
  <c r="O200" i="5"/>
  <c r="N200" i="5"/>
  <c r="M200" i="5"/>
  <c r="L200" i="5"/>
  <c r="S199" i="5"/>
  <c r="R199" i="5"/>
  <c r="Q199" i="5"/>
  <c r="P199" i="5"/>
  <c r="O199" i="5"/>
  <c r="N199" i="5"/>
  <c r="M199" i="5"/>
  <c r="L199" i="5"/>
  <c r="S198" i="5"/>
  <c r="R198" i="5"/>
  <c r="Q198" i="5"/>
  <c r="P198" i="5"/>
  <c r="O198" i="5"/>
  <c r="N198" i="5"/>
  <c r="M198" i="5"/>
  <c r="L198" i="5"/>
  <c r="S197" i="5"/>
  <c r="R197" i="5"/>
  <c r="Q197" i="5"/>
  <c r="P197" i="5"/>
  <c r="O197" i="5"/>
  <c r="N197" i="5"/>
  <c r="M197" i="5"/>
  <c r="L197" i="5"/>
  <c r="S196" i="5"/>
  <c r="R196" i="5"/>
  <c r="Q196" i="5"/>
  <c r="P196" i="5"/>
  <c r="O196" i="5"/>
  <c r="N196" i="5"/>
  <c r="M196" i="5"/>
  <c r="L196" i="5"/>
  <c r="S195" i="5"/>
  <c r="R195" i="5"/>
  <c r="Q195" i="5"/>
  <c r="P195" i="5"/>
  <c r="O195" i="5"/>
  <c r="N195" i="5"/>
  <c r="M195" i="5"/>
  <c r="L195" i="5"/>
  <c r="S194" i="5"/>
  <c r="R194" i="5"/>
  <c r="Q194" i="5"/>
  <c r="P194" i="5"/>
  <c r="O194" i="5"/>
  <c r="N194" i="5"/>
  <c r="M194" i="5"/>
  <c r="L194" i="5"/>
  <c r="S193" i="5"/>
  <c r="R193" i="5"/>
  <c r="Q193" i="5"/>
  <c r="P193" i="5"/>
  <c r="O193" i="5"/>
  <c r="N193" i="5"/>
  <c r="M193" i="5"/>
  <c r="L193" i="5"/>
  <c r="S192" i="5"/>
  <c r="R192" i="5"/>
  <c r="Q192" i="5"/>
  <c r="P192" i="5"/>
  <c r="O192" i="5"/>
  <c r="N192" i="5"/>
  <c r="M192" i="5"/>
  <c r="L192" i="5"/>
  <c r="S191" i="5"/>
  <c r="R191" i="5"/>
  <c r="Q191" i="5"/>
  <c r="P191" i="5"/>
  <c r="O191" i="5"/>
  <c r="N191" i="5"/>
  <c r="M191" i="5"/>
  <c r="L191" i="5"/>
  <c r="S190" i="5"/>
  <c r="R190" i="5"/>
  <c r="Q190" i="5"/>
  <c r="P190" i="5"/>
  <c r="O190" i="5"/>
  <c r="N190" i="5"/>
  <c r="M190" i="5"/>
  <c r="L190" i="5"/>
  <c r="S189" i="5"/>
  <c r="R189" i="5"/>
  <c r="Q189" i="5"/>
  <c r="P189" i="5"/>
  <c r="O189" i="5"/>
  <c r="N189" i="5"/>
  <c r="M189" i="5"/>
  <c r="L189" i="5"/>
  <c r="S188" i="5"/>
  <c r="R188" i="5"/>
  <c r="Q188" i="5"/>
  <c r="P188" i="5"/>
  <c r="O188" i="5"/>
  <c r="N188" i="5"/>
  <c r="M188" i="5"/>
  <c r="L188" i="5"/>
  <c r="S187" i="5"/>
  <c r="R187" i="5"/>
  <c r="Q187" i="5"/>
  <c r="P187" i="5"/>
  <c r="O187" i="5"/>
  <c r="N187" i="5"/>
  <c r="M187" i="5"/>
  <c r="L187" i="5"/>
  <c r="S186" i="5"/>
  <c r="R186" i="5"/>
  <c r="Q186" i="5"/>
  <c r="P186" i="5"/>
  <c r="O186" i="5"/>
  <c r="N186" i="5"/>
  <c r="M186" i="5"/>
  <c r="L186" i="5"/>
  <c r="S185" i="5"/>
  <c r="R185" i="5"/>
  <c r="Q185" i="5"/>
  <c r="P185" i="5"/>
  <c r="O185" i="5"/>
  <c r="N185" i="5"/>
  <c r="M185" i="5"/>
  <c r="L185" i="5"/>
  <c r="S184" i="5"/>
  <c r="R184" i="5"/>
  <c r="Q184" i="5"/>
  <c r="P184" i="5"/>
  <c r="O184" i="5"/>
  <c r="N184" i="5"/>
  <c r="M184" i="5"/>
  <c r="L184" i="5"/>
  <c r="S183" i="5"/>
  <c r="R183" i="5"/>
  <c r="Q183" i="5"/>
  <c r="P183" i="5"/>
  <c r="O183" i="5"/>
  <c r="N183" i="5"/>
  <c r="M183" i="5"/>
  <c r="L183" i="5"/>
  <c r="S182" i="5"/>
  <c r="R182" i="5"/>
  <c r="Q182" i="5"/>
  <c r="P182" i="5"/>
  <c r="O182" i="5"/>
  <c r="N182" i="5"/>
  <c r="M182" i="5"/>
  <c r="L182" i="5"/>
  <c r="S181" i="5"/>
  <c r="R181" i="5"/>
  <c r="Q181" i="5"/>
  <c r="P181" i="5"/>
  <c r="O181" i="5"/>
  <c r="N181" i="5"/>
  <c r="M181" i="5"/>
  <c r="L181" i="5"/>
  <c r="S180" i="5"/>
  <c r="R180" i="5"/>
  <c r="Q180" i="5"/>
  <c r="P180" i="5"/>
  <c r="O180" i="5"/>
  <c r="N180" i="5"/>
  <c r="M180" i="5"/>
  <c r="L180" i="5"/>
  <c r="S179" i="5"/>
  <c r="R179" i="5"/>
  <c r="Q179" i="5"/>
  <c r="P179" i="5"/>
  <c r="O179" i="5"/>
  <c r="N179" i="5"/>
  <c r="M179" i="5"/>
  <c r="L179" i="5"/>
  <c r="S178" i="5"/>
  <c r="R178" i="5"/>
  <c r="Q178" i="5"/>
  <c r="P178" i="5"/>
  <c r="O178" i="5"/>
  <c r="N178" i="5"/>
  <c r="M178" i="5"/>
  <c r="L178" i="5"/>
  <c r="S177" i="5"/>
  <c r="R177" i="5"/>
  <c r="Q177" i="5"/>
  <c r="P177" i="5"/>
  <c r="O177" i="5"/>
  <c r="N177" i="5"/>
  <c r="M177" i="5"/>
  <c r="L177" i="5"/>
  <c r="S176" i="5"/>
  <c r="R176" i="5"/>
  <c r="Q176" i="5"/>
  <c r="P176" i="5"/>
  <c r="O176" i="5"/>
  <c r="N176" i="5"/>
  <c r="M176" i="5"/>
  <c r="L176" i="5"/>
  <c r="S175" i="5"/>
  <c r="R175" i="5"/>
  <c r="Q175" i="5"/>
  <c r="P175" i="5"/>
  <c r="O175" i="5"/>
  <c r="N175" i="5"/>
  <c r="M175" i="5"/>
  <c r="L175" i="5"/>
  <c r="S174" i="5"/>
  <c r="R174" i="5"/>
  <c r="Q174" i="5"/>
  <c r="P174" i="5"/>
  <c r="O174" i="5"/>
  <c r="N174" i="5"/>
  <c r="M174" i="5"/>
  <c r="L174" i="5"/>
  <c r="S173" i="5"/>
  <c r="R173" i="5"/>
  <c r="Q173" i="5"/>
  <c r="P173" i="5"/>
  <c r="O173" i="5"/>
  <c r="N173" i="5"/>
  <c r="M173" i="5"/>
  <c r="L173" i="5"/>
  <c r="S172" i="5"/>
  <c r="R172" i="5"/>
  <c r="Q172" i="5"/>
  <c r="P172" i="5"/>
  <c r="O172" i="5"/>
  <c r="N172" i="5"/>
  <c r="M172" i="5"/>
  <c r="L172" i="5"/>
  <c r="S171" i="5"/>
  <c r="R171" i="5"/>
  <c r="Q171" i="5"/>
  <c r="P171" i="5"/>
  <c r="O171" i="5"/>
  <c r="N171" i="5"/>
  <c r="M171" i="5"/>
  <c r="L171" i="5"/>
  <c r="S170" i="5"/>
  <c r="R170" i="5"/>
  <c r="Q170" i="5"/>
  <c r="P170" i="5"/>
  <c r="O170" i="5"/>
  <c r="N170" i="5"/>
  <c r="M170" i="5"/>
  <c r="L170" i="5"/>
  <c r="S169" i="5"/>
  <c r="R169" i="5"/>
  <c r="Q169" i="5"/>
  <c r="P169" i="5"/>
  <c r="O169" i="5"/>
  <c r="N169" i="5"/>
  <c r="M169" i="5"/>
  <c r="L169" i="5"/>
  <c r="S168" i="5"/>
  <c r="R168" i="5"/>
  <c r="Q168" i="5"/>
  <c r="P168" i="5"/>
  <c r="O168" i="5"/>
  <c r="N168" i="5"/>
  <c r="M168" i="5"/>
  <c r="L168" i="5"/>
  <c r="S167" i="5"/>
  <c r="R167" i="5"/>
  <c r="Q167" i="5"/>
  <c r="P167" i="5"/>
  <c r="O167" i="5"/>
  <c r="N167" i="5"/>
  <c r="M167" i="5"/>
  <c r="L167" i="5"/>
  <c r="S166" i="5"/>
  <c r="R166" i="5"/>
  <c r="Q166" i="5"/>
  <c r="P166" i="5"/>
  <c r="O166" i="5"/>
  <c r="N166" i="5"/>
  <c r="M166" i="5"/>
  <c r="L166" i="5"/>
  <c r="S165" i="5"/>
  <c r="R165" i="5"/>
  <c r="Q165" i="5"/>
  <c r="P165" i="5"/>
  <c r="O165" i="5"/>
  <c r="N165" i="5"/>
  <c r="M165" i="5"/>
  <c r="L165" i="5"/>
  <c r="S164" i="5"/>
  <c r="R164" i="5"/>
  <c r="Q164" i="5"/>
  <c r="P164" i="5"/>
  <c r="O164" i="5"/>
  <c r="N164" i="5"/>
  <c r="M164" i="5"/>
  <c r="L164" i="5"/>
  <c r="S163" i="5"/>
  <c r="R163" i="5"/>
  <c r="Q163" i="5"/>
  <c r="P163" i="5"/>
  <c r="O163" i="5"/>
  <c r="N163" i="5"/>
  <c r="M163" i="5"/>
  <c r="L163" i="5"/>
  <c r="S162" i="5"/>
  <c r="R162" i="5"/>
  <c r="Q162" i="5"/>
  <c r="P162" i="5"/>
  <c r="O162" i="5"/>
  <c r="N162" i="5"/>
  <c r="M162" i="5"/>
  <c r="L162" i="5"/>
  <c r="S161" i="5"/>
  <c r="R161" i="5"/>
  <c r="Q161" i="5"/>
  <c r="P161" i="5"/>
  <c r="O161" i="5"/>
  <c r="N161" i="5"/>
  <c r="M161" i="5"/>
  <c r="L161" i="5"/>
  <c r="S160" i="5"/>
  <c r="R160" i="5"/>
  <c r="Q160" i="5"/>
  <c r="P160" i="5"/>
  <c r="O160" i="5"/>
  <c r="N160" i="5"/>
  <c r="M160" i="5"/>
  <c r="L160" i="5"/>
  <c r="S159" i="5"/>
  <c r="R159" i="5"/>
  <c r="Q159" i="5"/>
  <c r="P159" i="5"/>
  <c r="O159" i="5"/>
  <c r="N159" i="5"/>
  <c r="M159" i="5"/>
  <c r="L159" i="5"/>
  <c r="S158" i="5"/>
  <c r="R158" i="5"/>
  <c r="Q158" i="5"/>
  <c r="P158" i="5"/>
  <c r="O158" i="5"/>
  <c r="N158" i="5"/>
  <c r="M158" i="5"/>
  <c r="L158" i="5"/>
  <c r="S157" i="5"/>
  <c r="R157" i="5"/>
  <c r="Q157" i="5"/>
  <c r="P157" i="5"/>
  <c r="O157" i="5"/>
  <c r="N157" i="5"/>
  <c r="M157" i="5"/>
  <c r="L157" i="5"/>
  <c r="S156" i="5"/>
  <c r="R156" i="5"/>
  <c r="Q156" i="5"/>
  <c r="P156" i="5"/>
  <c r="O156" i="5"/>
  <c r="N156" i="5"/>
  <c r="M156" i="5"/>
  <c r="L156" i="5"/>
  <c r="S155" i="5"/>
  <c r="R155" i="5"/>
  <c r="Q155" i="5"/>
  <c r="P155" i="5"/>
  <c r="O155" i="5"/>
  <c r="N155" i="5"/>
  <c r="M155" i="5"/>
  <c r="L155" i="5"/>
  <c r="S154" i="5"/>
  <c r="R154" i="5"/>
  <c r="Q154" i="5"/>
  <c r="P154" i="5"/>
  <c r="O154" i="5"/>
  <c r="N154" i="5"/>
  <c r="M154" i="5"/>
  <c r="L154" i="5"/>
  <c r="S153" i="5"/>
  <c r="R153" i="5"/>
  <c r="Q153" i="5"/>
  <c r="P153" i="5"/>
  <c r="O153" i="5"/>
  <c r="N153" i="5"/>
  <c r="M153" i="5"/>
  <c r="L153" i="5"/>
  <c r="S152" i="5"/>
  <c r="R152" i="5"/>
  <c r="Q152" i="5"/>
  <c r="P152" i="5"/>
  <c r="O152" i="5"/>
  <c r="N152" i="5"/>
  <c r="M152" i="5"/>
  <c r="L152" i="5"/>
  <c r="S151" i="5"/>
  <c r="R151" i="5"/>
  <c r="Q151" i="5"/>
  <c r="P151" i="5"/>
  <c r="O151" i="5"/>
  <c r="N151" i="5"/>
  <c r="M151" i="5"/>
  <c r="L151" i="5"/>
  <c r="S150" i="5"/>
  <c r="R150" i="5"/>
  <c r="Q150" i="5"/>
  <c r="P150" i="5"/>
  <c r="O150" i="5"/>
  <c r="N150" i="5"/>
  <c r="M150" i="5"/>
  <c r="L150" i="5"/>
  <c r="S149" i="5"/>
  <c r="R149" i="5"/>
  <c r="Q149" i="5"/>
  <c r="P149" i="5"/>
  <c r="O149" i="5"/>
  <c r="N149" i="5"/>
  <c r="M149" i="5"/>
  <c r="L149" i="5"/>
  <c r="S148" i="5"/>
  <c r="R148" i="5"/>
  <c r="Q148" i="5"/>
  <c r="P148" i="5"/>
  <c r="O148" i="5"/>
  <c r="N148" i="5"/>
  <c r="M148" i="5"/>
  <c r="L148" i="5"/>
  <c r="S147" i="5"/>
  <c r="R147" i="5"/>
  <c r="Q147" i="5"/>
  <c r="P147" i="5"/>
  <c r="O147" i="5"/>
  <c r="N147" i="5"/>
  <c r="M147" i="5"/>
  <c r="L147" i="5"/>
  <c r="S146" i="5"/>
  <c r="R146" i="5"/>
  <c r="Q146" i="5"/>
  <c r="P146" i="5"/>
  <c r="O146" i="5"/>
  <c r="N146" i="5"/>
  <c r="M146" i="5"/>
  <c r="L146" i="5"/>
  <c r="S145" i="5"/>
  <c r="R145" i="5"/>
  <c r="Q145" i="5"/>
  <c r="P145" i="5"/>
  <c r="O145" i="5"/>
  <c r="N145" i="5"/>
  <c r="M145" i="5"/>
  <c r="L145" i="5"/>
  <c r="S144" i="5"/>
  <c r="R144" i="5"/>
  <c r="Q144" i="5"/>
  <c r="P144" i="5"/>
  <c r="O144" i="5"/>
  <c r="N144" i="5"/>
  <c r="M144" i="5"/>
  <c r="L144" i="5"/>
  <c r="S143" i="5"/>
  <c r="R143" i="5"/>
  <c r="Q143" i="5"/>
  <c r="P143" i="5"/>
  <c r="O143" i="5"/>
  <c r="N143" i="5"/>
  <c r="M143" i="5"/>
  <c r="L143" i="5"/>
  <c r="S142" i="5"/>
  <c r="R142" i="5"/>
  <c r="Q142" i="5"/>
  <c r="P142" i="5"/>
  <c r="O142" i="5"/>
  <c r="N142" i="5"/>
  <c r="M142" i="5"/>
  <c r="L142" i="5"/>
  <c r="S141" i="5"/>
  <c r="R141" i="5"/>
  <c r="Q141" i="5"/>
  <c r="P141" i="5"/>
  <c r="O141" i="5"/>
  <c r="N141" i="5"/>
  <c r="M141" i="5"/>
  <c r="L141" i="5"/>
  <c r="S140" i="5"/>
  <c r="R140" i="5"/>
  <c r="Q140" i="5"/>
  <c r="P140" i="5"/>
  <c r="O140" i="5"/>
  <c r="N140" i="5"/>
  <c r="M140" i="5"/>
  <c r="L140" i="5"/>
  <c r="S139" i="5"/>
  <c r="R139" i="5"/>
  <c r="Q139" i="5"/>
  <c r="P139" i="5"/>
  <c r="O139" i="5"/>
  <c r="N139" i="5"/>
  <c r="M139" i="5"/>
  <c r="L139" i="5"/>
  <c r="S138" i="5"/>
  <c r="R138" i="5"/>
  <c r="Q138" i="5"/>
  <c r="P138" i="5"/>
  <c r="O138" i="5"/>
  <c r="N138" i="5"/>
  <c r="M138" i="5"/>
  <c r="L138" i="5"/>
  <c r="S137" i="5"/>
  <c r="R137" i="5"/>
  <c r="Q137" i="5"/>
  <c r="P137" i="5"/>
  <c r="O137" i="5"/>
  <c r="N137" i="5"/>
  <c r="M137" i="5"/>
  <c r="L137" i="5"/>
  <c r="S136" i="5"/>
  <c r="R136" i="5"/>
  <c r="Q136" i="5"/>
  <c r="P136" i="5"/>
  <c r="O136" i="5"/>
  <c r="N136" i="5"/>
  <c r="M136" i="5"/>
  <c r="L136" i="5"/>
  <c r="S135" i="5"/>
  <c r="R135" i="5"/>
  <c r="Q135" i="5"/>
  <c r="P135" i="5"/>
  <c r="O135" i="5"/>
  <c r="N135" i="5"/>
  <c r="M135" i="5"/>
  <c r="L135" i="5"/>
  <c r="S134" i="5"/>
  <c r="R134" i="5"/>
  <c r="Q134" i="5"/>
  <c r="P134" i="5"/>
  <c r="O134" i="5"/>
  <c r="N134" i="5"/>
  <c r="M134" i="5"/>
  <c r="L134" i="5"/>
  <c r="S133" i="5"/>
  <c r="R133" i="5"/>
  <c r="Q133" i="5"/>
  <c r="P133" i="5"/>
  <c r="O133" i="5"/>
  <c r="N133" i="5"/>
  <c r="M133" i="5"/>
  <c r="L133" i="5"/>
  <c r="S132" i="5"/>
  <c r="R132" i="5"/>
  <c r="Q132" i="5"/>
  <c r="P132" i="5"/>
  <c r="O132" i="5"/>
  <c r="N132" i="5"/>
  <c r="M132" i="5"/>
  <c r="L132" i="5"/>
  <c r="S131" i="5"/>
  <c r="R131" i="5"/>
  <c r="Q131" i="5"/>
  <c r="P131" i="5"/>
  <c r="O131" i="5"/>
  <c r="N131" i="5"/>
  <c r="M131" i="5"/>
  <c r="L131" i="5"/>
  <c r="S130" i="5"/>
  <c r="R130" i="5"/>
  <c r="Q130" i="5"/>
  <c r="P130" i="5"/>
  <c r="O130" i="5"/>
  <c r="N130" i="5"/>
  <c r="M130" i="5"/>
  <c r="L130" i="5"/>
  <c r="S129" i="5"/>
  <c r="R129" i="5"/>
  <c r="Q129" i="5"/>
  <c r="P129" i="5"/>
  <c r="O129" i="5"/>
  <c r="N129" i="5"/>
  <c r="M129" i="5"/>
  <c r="L129" i="5"/>
  <c r="S128" i="5"/>
  <c r="R128" i="5"/>
  <c r="Q128" i="5"/>
  <c r="P128" i="5"/>
  <c r="O128" i="5"/>
  <c r="N128" i="5"/>
  <c r="M128" i="5"/>
  <c r="L128" i="5"/>
  <c r="S127" i="5"/>
  <c r="R127" i="5"/>
  <c r="Q127" i="5"/>
  <c r="P127" i="5"/>
  <c r="O127" i="5"/>
  <c r="N127" i="5"/>
  <c r="M127" i="5"/>
  <c r="L127" i="5"/>
  <c r="S126" i="5"/>
  <c r="R126" i="5"/>
  <c r="Q126" i="5"/>
  <c r="P126" i="5"/>
  <c r="O126" i="5"/>
  <c r="N126" i="5"/>
  <c r="M126" i="5"/>
  <c r="L126" i="5"/>
  <c r="S125" i="5"/>
  <c r="R125" i="5"/>
  <c r="Q125" i="5"/>
  <c r="P125" i="5"/>
  <c r="O125" i="5"/>
  <c r="N125" i="5"/>
  <c r="M125" i="5"/>
  <c r="L125" i="5"/>
  <c r="S124" i="5"/>
  <c r="R124" i="5"/>
  <c r="Q124" i="5"/>
  <c r="P124" i="5"/>
  <c r="O124" i="5"/>
  <c r="N124" i="5"/>
  <c r="M124" i="5"/>
  <c r="L124" i="5"/>
  <c r="S123" i="5"/>
  <c r="R123" i="5"/>
  <c r="Q123" i="5"/>
  <c r="P123" i="5"/>
  <c r="O123" i="5"/>
  <c r="N123" i="5"/>
  <c r="M123" i="5"/>
  <c r="L123" i="5"/>
  <c r="S122" i="5"/>
  <c r="R122" i="5"/>
  <c r="Q122" i="5"/>
  <c r="P122" i="5"/>
  <c r="O122" i="5"/>
  <c r="N122" i="5"/>
  <c r="M122" i="5"/>
  <c r="L122" i="5"/>
  <c r="S121" i="5"/>
  <c r="R121" i="5"/>
  <c r="Q121" i="5"/>
  <c r="P121" i="5"/>
  <c r="O121" i="5"/>
  <c r="N121" i="5"/>
  <c r="M121" i="5"/>
  <c r="L121" i="5"/>
  <c r="S120" i="5"/>
  <c r="R120" i="5"/>
  <c r="Q120" i="5"/>
  <c r="P120" i="5"/>
  <c r="O120" i="5"/>
  <c r="N120" i="5"/>
  <c r="M120" i="5"/>
  <c r="L120" i="5"/>
  <c r="S119" i="5"/>
  <c r="R119" i="5"/>
  <c r="Q119" i="5"/>
  <c r="P119" i="5"/>
  <c r="O119" i="5"/>
  <c r="N119" i="5"/>
  <c r="M119" i="5"/>
  <c r="L119" i="5"/>
  <c r="S118" i="5"/>
  <c r="R118" i="5"/>
  <c r="Q118" i="5"/>
  <c r="P118" i="5"/>
  <c r="O118" i="5"/>
  <c r="N118" i="5"/>
  <c r="M118" i="5"/>
  <c r="L118" i="5"/>
  <c r="S117" i="5"/>
  <c r="R117" i="5"/>
  <c r="Q117" i="5"/>
  <c r="P117" i="5"/>
  <c r="O117" i="5"/>
  <c r="N117" i="5"/>
  <c r="M117" i="5"/>
  <c r="L117" i="5"/>
  <c r="S116" i="5"/>
  <c r="R116" i="5"/>
  <c r="Q116" i="5"/>
  <c r="P116" i="5"/>
  <c r="O116" i="5"/>
  <c r="N116" i="5"/>
  <c r="M116" i="5"/>
  <c r="L116" i="5"/>
  <c r="S115" i="5"/>
  <c r="R115" i="5"/>
  <c r="Q115" i="5"/>
  <c r="P115" i="5"/>
  <c r="O115" i="5"/>
  <c r="N115" i="5"/>
  <c r="M115" i="5"/>
  <c r="L115" i="5"/>
  <c r="S114" i="5"/>
  <c r="R114" i="5"/>
  <c r="Q114" i="5"/>
  <c r="P114" i="5"/>
  <c r="O114" i="5"/>
  <c r="N114" i="5"/>
  <c r="M114" i="5"/>
  <c r="L114" i="5"/>
  <c r="S113" i="5"/>
  <c r="R113" i="5"/>
  <c r="Q113" i="5"/>
  <c r="P113" i="5"/>
  <c r="O113" i="5"/>
  <c r="N113" i="5"/>
  <c r="M113" i="5"/>
  <c r="L113" i="5"/>
  <c r="S112" i="5"/>
  <c r="R112" i="5"/>
  <c r="Q112" i="5"/>
  <c r="P112" i="5"/>
  <c r="O112" i="5"/>
  <c r="N112" i="5"/>
  <c r="M112" i="5"/>
  <c r="L112" i="5"/>
  <c r="S111" i="5"/>
  <c r="R111" i="5"/>
  <c r="Q111" i="5"/>
  <c r="P111" i="5"/>
  <c r="O111" i="5"/>
  <c r="N111" i="5"/>
  <c r="M111" i="5"/>
  <c r="L111" i="5"/>
  <c r="S110" i="5"/>
  <c r="R110" i="5"/>
  <c r="Q110" i="5"/>
  <c r="P110" i="5"/>
  <c r="O110" i="5"/>
  <c r="N110" i="5"/>
  <c r="M110" i="5"/>
  <c r="L110" i="5"/>
  <c r="S109" i="5"/>
  <c r="R109" i="5"/>
  <c r="Q109" i="5"/>
  <c r="P109" i="5"/>
  <c r="O109" i="5"/>
  <c r="N109" i="5"/>
  <c r="M109" i="5"/>
  <c r="L109" i="5"/>
  <c r="S108" i="5"/>
  <c r="R108" i="5"/>
  <c r="Q108" i="5"/>
  <c r="P108" i="5"/>
  <c r="O108" i="5"/>
  <c r="N108" i="5"/>
  <c r="M108" i="5"/>
  <c r="L108" i="5"/>
  <c r="S107" i="5"/>
  <c r="R107" i="5"/>
  <c r="Q107" i="5"/>
  <c r="P107" i="5"/>
  <c r="O107" i="5"/>
  <c r="N107" i="5"/>
  <c r="M107" i="5"/>
  <c r="L107" i="5"/>
  <c r="S106" i="5"/>
  <c r="R106" i="5"/>
  <c r="Q106" i="5"/>
  <c r="P106" i="5"/>
  <c r="O106" i="5"/>
  <c r="N106" i="5"/>
  <c r="M106" i="5"/>
  <c r="L106" i="5"/>
  <c r="S105" i="5"/>
  <c r="R105" i="5"/>
  <c r="Q105" i="5"/>
  <c r="P105" i="5"/>
  <c r="O105" i="5"/>
  <c r="N105" i="5"/>
  <c r="M105" i="5"/>
  <c r="L105" i="5"/>
  <c r="S104" i="5"/>
  <c r="R104" i="5"/>
  <c r="Q104" i="5"/>
  <c r="P104" i="5"/>
  <c r="O104" i="5"/>
  <c r="N104" i="5"/>
  <c r="M104" i="5"/>
  <c r="L104" i="5"/>
  <c r="S103" i="5"/>
  <c r="R103" i="5"/>
  <c r="Q103" i="5"/>
  <c r="P103" i="5"/>
  <c r="O103" i="5"/>
  <c r="N103" i="5"/>
  <c r="M103" i="5"/>
  <c r="L103" i="5"/>
  <c r="S102" i="5"/>
  <c r="R102" i="5"/>
  <c r="Q102" i="5"/>
  <c r="P102" i="5"/>
  <c r="O102" i="5"/>
  <c r="N102" i="5"/>
  <c r="M102" i="5"/>
  <c r="L102" i="5"/>
  <c r="S101" i="5"/>
  <c r="R101" i="5"/>
  <c r="Q101" i="5"/>
  <c r="P101" i="5"/>
  <c r="O101" i="5"/>
  <c r="N101" i="5"/>
  <c r="M101" i="5"/>
  <c r="L101" i="5"/>
  <c r="S100" i="5"/>
  <c r="R100" i="5"/>
  <c r="Q100" i="5"/>
  <c r="P100" i="5"/>
  <c r="O100" i="5"/>
  <c r="N100" i="5"/>
  <c r="M100" i="5"/>
  <c r="L100" i="5"/>
  <c r="S99" i="5"/>
  <c r="R99" i="5"/>
  <c r="Q99" i="5"/>
  <c r="P99" i="5"/>
  <c r="O99" i="5"/>
  <c r="N99" i="5"/>
  <c r="M99" i="5"/>
  <c r="L99" i="5"/>
  <c r="S98" i="5"/>
  <c r="R98" i="5"/>
  <c r="Q98" i="5"/>
  <c r="P98" i="5"/>
  <c r="O98" i="5"/>
  <c r="N98" i="5"/>
  <c r="M98" i="5"/>
  <c r="L98" i="5"/>
  <c r="S97" i="5"/>
  <c r="R97" i="5"/>
  <c r="Q97" i="5"/>
  <c r="P97" i="5"/>
  <c r="O97" i="5"/>
  <c r="N97" i="5"/>
  <c r="M97" i="5"/>
  <c r="L97" i="5"/>
  <c r="S96" i="5"/>
  <c r="R96" i="5"/>
  <c r="Q96" i="5"/>
  <c r="P96" i="5"/>
  <c r="O96" i="5"/>
  <c r="N96" i="5"/>
  <c r="M96" i="5"/>
  <c r="L96" i="5"/>
  <c r="S95" i="5"/>
  <c r="R95" i="5"/>
  <c r="Q95" i="5"/>
  <c r="P95" i="5"/>
  <c r="O95" i="5"/>
  <c r="N95" i="5"/>
  <c r="M95" i="5"/>
  <c r="L95" i="5"/>
  <c r="S94" i="5"/>
  <c r="R94" i="5"/>
  <c r="Q94" i="5"/>
  <c r="P94" i="5"/>
  <c r="O94" i="5"/>
  <c r="N94" i="5"/>
  <c r="M94" i="5"/>
  <c r="L94" i="5"/>
  <c r="S93" i="5"/>
  <c r="R93" i="5"/>
  <c r="Q93" i="5"/>
  <c r="P93" i="5"/>
  <c r="O93" i="5"/>
  <c r="N93" i="5"/>
  <c r="M93" i="5"/>
  <c r="L93" i="5"/>
  <c r="S92" i="5"/>
  <c r="R92" i="5"/>
  <c r="Q92" i="5"/>
  <c r="P92" i="5"/>
  <c r="O92" i="5"/>
  <c r="N92" i="5"/>
  <c r="M92" i="5"/>
  <c r="L92" i="5"/>
  <c r="S91" i="5"/>
  <c r="R91" i="5"/>
  <c r="Q91" i="5"/>
  <c r="P91" i="5"/>
  <c r="O91" i="5"/>
  <c r="N91" i="5"/>
  <c r="M91" i="5"/>
  <c r="L91" i="5"/>
  <c r="S90" i="5"/>
  <c r="R90" i="5"/>
  <c r="Q90" i="5"/>
  <c r="P90" i="5"/>
  <c r="O90" i="5"/>
  <c r="N90" i="5"/>
  <c r="M90" i="5"/>
  <c r="L90" i="5"/>
  <c r="S89" i="5"/>
  <c r="R89" i="5"/>
  <c r="Q89" i="5"/>
  <c r="P89" i="5"/>
  <c r="O89" i="5"/>
  <c r="N89" i="5"/>
  <c r="M89" i="5"/>
  <c r="L89" i="5"/>
  <c r="S88" i="5"/>
  <c r="R88" i="5"/>
  <c r="Q88" i="5"/>
  <c r="P88" i="5"/>
  <c r="O88" i="5"/>
  <c r="N88" i="5"/>
  <c r="M88" i="5"/>
  <c r="L88" i="5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64" i="5"/>
  <c r="R64" i="5"/>
  <c r="Q64" i="5"/>
  <c r="P64" i="5"/>
  <c r="O64" i="5"/>
  <c r="N64" i="5"/>
  <c r="M64" i="5"/>
  <c r="L64" i="5"/>
  <c r="S63" i="5"/>
  <c r="R63" i="5"/>
  <c r="Q63" i="5"/>
  <c r="P63" i="5"/>
  <c r="O63" i="5"/>
  <c r="N63" i="5"/>
  <c r="M63" i="5"/>
  <c r="L63" i="5"/>
  <c r="S62" i="5"/>
  <c r="R62" i="5"/>
  <c r="Q62" i="5"/>
  <c r="P62" i="5"/>
  <c r="O62" i="5"/>
  <c r="N62" i="5"/>
  <c r="M62" i="5"/>
  <c r="L62" i="5"/>
  <c r="S61" i="5"/>
  <c r="R61" i="5"/>
  <c r="Q61" i="5"/>
  <c r="P61" i="5"/>
  <c r="O61" i="5"/>
  <c r="N61" i="5"/>
  <c r="M61" i="5"/>
  <c r="L61" i="5"/>
  <c r="S60" i="5"/>
  <c r="R60" i="5"/>
  <c r="Q60" i="5"/>
  <c r="P60" i="5"/>
  <c r="O60" i="5"/>
  <c r="N60" i="5"/>
  <c r="M60" i="5"/>
  <c r="L60" i="5"/>
  <c r="S59" i="5"/>
  <c r="R59" i="5"/>
  <c r="Q59" i="5"/>
  <c r="P59" i="5"/>
  <c r="O59" i="5"/>
  <c r="N59" i="5"/>
  <c r="M59" i="5"/>
  <c r="L59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5" i="5"/>
  <c r="R45" i="5"/>
  <c r="Q45" i="5"/>
  <c r="P45" i="5"/>
  <c r="O45" i="5"/>
  <c r="N45" i="5"/>
  <c r="M45" i="5"/>
  <c r="L45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S35" i="5"/>
  <c r="R35" i="5"/>
  <c r="Q35" i="5"/>
  <c r="P35" i="5"/>
  <c r="O35" i="5"/>
  <c r="N35" i="5"/>
  <c r="M35" i="5"/>
  <c r="L35" i="5"/>
  <c r="S34" i="5"/>
  <c r="R34" i="5"/>
  <c r="Q34" i="5"/>
  <c r="P34" i="5"/>
  <c r="O34" i="5"/>
  <c r="N34" i="5"/>
  <c r="M34" i="5"/>
  <c r="L34" i="5"/>
  <c r="S33" i="5"/>
  <c r="R33" i="5"/>
  <c r="Q33" i="5"/>
  <c r="P33" i="5"/>
  <c r="O33" i="5"/>
  <c r="N33" i="5"/>
  <c r="M33" i="5"/>
  <c r="L33" i="5"/>
  <c r="S32" i="5"/>
  <c r="R32" i="5"/>
  <c r="Q32" i="5"/>
  <c r="P32" i="5"/>
  <c r="O32" i="5"/>
  <c r="N32" i="5"/>
  <c r="M32" i="5"/>
  <c r="L32" i="5"/>
  <c r="S31" i="5"/>
  <c r="R31" i="5"/>
  <c r="Q31" i="5"/>
  <c r="P31" i="5"/>
  <c r="O31" i="5"/>
  <c r="N31" i="5"/>
  <c r="M31" i="5"/>
  <c r="L31" i="5"/>
  <c r="S30" i="5"/>
  <c r="R30" i="5"/>
  <c r="Q30" i="5"/>
  <c r="P30" i="5"/>
  <c r="O30" i="5"/>
  <c r="N30" i="5"/>
  <c r="M30" i="5"/>
  <c r="L30" i="5"/>
  <c r="S29" i="5"/>
  <c r="R29" i="5"/>
  <c r="Q29" i="5"/>
  <c r="P29" i="5"/>
  <c r="O29" i="5"/>
  <c r="N29" i="5"/>
  <c r="M29" i="5"/>
  <c r="L29" i="5"/>
  <c r="S28" i="5"/>
  <c r="R28" i="5"/>
  <c r="Q28" i="5"/>
  <c r="P28" i="5"/>
  <c r="O28" i="5"/>
  <c r="N28" i="5"/>
  <c r="M28" i="5"/>
  <c r="L28" i="5"/>
  <c r="S27" i="5"/>
  <c r="R27" i="5"/>
  <c r="Q27" i="5"/>
  <c r="P27" i="5"/>
  <c r="O27" i="5"/>
  <c r="N27" i="5"/>
  <c r="M27" i="5"/>
  <c r="L27" i="5"/>
  <c r="S26" i="5"/>
  <c r="R26" i="5"/>
  <c r="Q26" i="5"/>
  <c r="P26" i="5"/>
  <c r="O26" i="5"/>
  <c r="N26" i="5"/>
  <c r="M26" i="5"/>
  <c r="L26" i="5"/>
  <c r="S25" i="5"/>
  <c r="R25" i="5"/>
  <c r="Q25" i="5"/>
  <c r="P25" i="5"/>
  <c r="O25" i="5"/>
  <c r="N25" i="5"/>
  <c r="M25" i="5"/>
  <c r="L25" i="5"/>
  <c r="S24" i="5"/>
  <c r="R24" i="5"/>
  <c r="Q24" i="5"/>
  <c r="P24" i="5"/>
  <c r="O24" i="5"/>
  <c r="N24" i="5"/>
  <c r="M24" i="5"/>
  <c r="L24" i="5"/>
  <c r="S23" i="5"/>
  <c r="R23" i="5"/>
  <c r="Q23" i="5"/>
  <c r="P23" i="5"/>
  <c r="O23" i="5"/>
  <c r="N23" i="5"/>
  <c r="M23" i="5"/>
  <c r="L23" i="5"/>
  <c r="S22" i="5"/>
  <c r="R22" i="5"/>
  <c r="Q22" i="5"/>
  <c r="P22" i="5"/>
  <c r="O22" i="5"/>
  <c r="N22" i="5"/>
  <c r="M22" i="5"/>
  <c r="L22" i="5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S19" i="5"/>
  <c r="R19" i="5"/>
  <c r="Q19" i="5"/>
  <c r="P19" i="5"/>
  <c r="O19" i="5"/>
  <c r="N19" i="5"/>
  <c r="M19" i="5"/>
  <c r="L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O16" i="5"/>
  <c r="N16" i="5"/>
  <c r="M16" i="5"/>
  <c r="L16" i="5"/>
  <c r="S15" i="5"/>
  <c r="R15" i="5"/>
  <c r="Q15" i="5"/>
  <c r="P15" i="5"/>
  <c r="O15" i="5"/>
  <c r="N15" i="5"/>
  <c r="M15" i="5"/>
  <c r="L15" i="5"/>
  <c r="S14" i="5"/>
  <c r="R14" i="5"/>
  <c r="Q14" i="5"/>
  <c r="P14" i="5"/>
  <c r="O14" i="5"/>
  <c r="N14" i="5"/>
  <c r="M14" i="5"/>
  <c r="L14" i="5"/>
  <c r="S13" i="5"/>
  <c r="R13" i="5"/>
  <c r="Q13" i="5"/>
  <c r="P13" i="5"/>
  <c r="O13" i="5"/>
  <c r="N13" i="5"/>
  <c r="M13" i="5"/>
  <c r="L13" i="5"/>
  <c r="S12" i="5"/>
  <c r="R12" i="5"/>
  <c r="Q12" i="5"/>
  <c r="P12" i="5"/>
  <c r="O12" i="5"/>
  <c r="N12" i="5"/>
  <c r="M12" i="5"/>
  <c r="L12" i="5"/>
  <c r="S11" i="5"/>
  <c r="R11" i="5"/>
  <c r="Q11" i="5"/>
  <c r="P11" i="5"/>
  <c r="O11" i="5"/>
  <c r="N11" i="5"/>
  <c r="M11" i="5"/>
  <c r="L11" i="5"/>
  <c r="S10" i="5"/>
  <c r="R10" i="5"/>
  <c r="Q10" i="5"/>
  <c r="P10" i="5"/>
  <c r="O10" i="5"/>
  <c r="N10" i="5"/>
  <c r="M10" i="5"/>
  <c r="L10" i="5"/>
  <c r="S9" i="5"/>
  <c r="R9" i="5"/>
  <c r="Q9" i="5"/>
  <c r="P9" i="5"/>
  <c r="O9" i="5"/>
  <c r="N9" i="5"/>
  <c r="M9" i="5"/>
  <c r="L9" i="5"/>
  <c r="S8" i="5"/>
  <c r="R8" i="5"/>
  <c r="Q8" i="5"/>
  <c r="P8" i="5"/>
  <c r="O8" i="5"/>
  <c r="N8" i="5"/>
  <c r="M8" i="5"/>
  <c r="L8" i="5"/>
  <c r="S7" i="5"/>
  <c r="R7" i="5"/>
  <c r="Q7" i="5"/>
  <c r="P7" i="5"/>
  <c r="O7" i="5"/>
  <c r="N7" i="5"/>
  <c r="M7" i="5"/>
  <c r="L7" i="5"/>
  <c r="S6" i="5"/>
  <c r="R6" i="5"/>
  <c r="Q6" i="5"/>
  <c r="P6" i="5"/>
  <c r="O6" i="5"/>
  <c r="N6" i="5"/>
  <c r="M6" i="5"/>
  <c r="L6" i="5"/>
  <c r="S5" i="5"/>
  <c r="R5" i="5"/>
  <c r="Q5" i="5"/>
  <c r="P5" i="5"/>
  <c r="O5" i="5"/>
  <c r="N5" i="5"/>
  <c r="M5" i="5"/>
  <c r="L5" i="5"/>
  <c r="S4" i="5"/>
  <c r="R4" i="5"/>
  <c r="Q4" i="5"/>
  <c r="P4" i="5"/>
  <c r="O4" i="5"/>
  <c r="N4" i="5"/>
  <c r="M4" i="5"/>
  <c r="L4" i="5"/>
  <c r="S3" i="5"/>
  <c r="R3" i="5"/>
  <c r="Q3" i="5"/>
  <c r="P3" i="5"/>
  <c r="X3" i="5" s="1"/>
  <c r="X4" i="5" s="1"/>
  <c r="X5" i="5" s="1"/>
  <c r="O3" i="5"/>
  <c r="N3" i="5"/>
  <c r="M3" i="5"/>
  <c r="L3" i="5"/>
  <c r="S2" i="5"/>
  <c r="AA2" i="5" s="1"/>
  <c r="AA3" i="5" s="1"/>
  <c r="AA4" i="5" s="1"/>
  <c r="AA5" i="5" s="1"/>
  <c r="R2" i="5"/>
  <c r="Z2" i="5" s="1"/>
  <c r="Q2" i="5"/>
  <c r="Y2" i="5" s="1"/>
  <c r="P2" i="5"/>
  <c r="X2" i="5" s="1"/>
  <c r="O2" i="5"/>
  <c r="W2" i="5" s="1"/>
  <c r="N2" i="5"/>
  <c r="V2" i="5" s="1"/>
  <c r="M2" i="5"/>
  <c r="AB2" i="5" s="1"/>
  <c r="AB3" i="5" s="1"/>
  <c r="AB4" i="5" s="1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B122" i="5" s="1"/>
  <c r="AB123" i="5" s="1"/>
  <c r="AB124" i="5" s="1"/>
  <c r="AB125" i="5" s="1"/>
  <c r="AB126" i="5" s="1"/>
  <c r="AB127" i="5" s="1"/>
  <c r="AB128" i="5" s="1"/>
  <c r="AB129" i="5" s="1"/>
  <c r="AB130" i="5" s="1"/>
  <c r="AB131" i="5" s="1"/>
  <c r="AB132" i="5" s="1"/>
  <c r="AB133" i="5" s="1"/>
  <c r="AB134" i="5" s="1"/>
  <c r="AB135" i="5" s="1"/>
  <c r="AB136" i="5" s="1"/>
  <c r="AB137" i="5" s="1"/>
  <c r="AB138" i="5" s="1"/>
  <c r="AB139" i="5" s="1"/>
  <c r="AB140" i="5" s="1"/>
  <c r="AB141" i="5" s="1"/>
  <c r="AB142" i="5" s="1"/>
  <c r="AB143" i="5" s="1"/>
  <c r="AB144" i="5" s="1"/>
  <c r="AB145" i="5" s="1"/>
  <c r="AB146" i="5" s="1"/>
  <c r="AB147" i="5" s="1"/>
  <c r="AB148" i="5" s="1"/>
  <c r="AB149" i="5" s="1"/>
  <c r="AB150" i="5" s="1"/>
  <c r="AB151" i="5" s="1"/>
  <c r="AB152" i="5" s="1"/>
  <c r="AB153" i="5" s="1"/>
  <c r="AB154" i="5" s="1"/>
  <c r="AB155" i="5" s="1"/>
  <c r="AB156" i="5" s="1"/>
  <c r="AB157" i="5" s="1"/>
  <c r="AB158" i="5" s="1"/>
  <c r="AB159" i="5" s="1"/>
  <c r="AB160" i="5" s="1"/>
  <c r="AB161" i="5" s="1"/>
  <c r="AB162" i="5" s="1"/>
  <c r="AB163" i="5" s="1"/>
  <c r="AB164" i="5" s="1"/>
  <c r="AB165" i="5" s="1"/>
  <c r="AB166" i="5" s="1"/>
  <c r="AB167" i="5" s="1"/>
  <c r="AB168" i="5" s="1"/>
  <c r="AB169" i="5" s="1"/>
  <c r="AB170" i="5" s="1"/>
  <c r="AB171" i="5" s="1"/>
  <c r="AB172" i="5" s="1"/>
  <c r="AB173" i="5" s="1"/>
  <c r="AB174" i="5" s="1"/>
  <c r="AB175" i="5" s="1"/>
  <c r="AB176" i="5" s="1"/>
  <c r="AB177" i="5" s="1"/>
  <c r="AB178" i="5" s="1"/>
  <c r="AB179" i="5" s="1"/>
  <c r="AB180" i="5" s="1"/>
  <c r="AB181" i="5" s="1"/>
  <c r="AB182" i="5" s="1"/>
  <c r="AB183" i="5" s="1"/>
  <c r="AB184" i="5" s="1"/>
  <c r="AB185" i="5" s="1"/>
  <c r="AB186" i="5" s="1"/>
  <c r="AB187" i="5" s="1"/>
  <c r="AB188" i="5" s="1"/>
  <c r="AB189" i="5" s="1"/>
  <c r="AB190" i="5" s="1"/>
  <c r="AB191" i="5" s="1"/>
  <c r="AB192" i="5" s="1"/>
  <c r="AB193" i="5" s="1"/>
  <c r="AB194" i="5" s="1"/>
  <c r="AB195" i="5" s="1"/>
  <c r="AB196" i="5" s="1"/>
  <c r="AB197" i="5" s="1"/>
  <c r="AB198" i="5" s="1"/>
  <c r="AB199" i="5" s="1"/>
  <c r="AB200" i="5" s="1"/>
  <c r="AB201" i="5" s="1"/>
  <c r="AB202" i="5" s="1"/>
  <c r="AB203" i="5" s="1"/>
  <c r="AB204" i="5" s="1"/>
  <c r="AB205" i="5" s="1"/>
  <c r="AB206" i="5" s="1"/>
  <c r="AB207" i="5" s="1"/>
  <c r="AB208" i="5" s="1"/>
  <c r="AB209" i="5" s="1"/>
  <c r="AB210" i="5" s="1"/>
  <c r="AB211" i="5" s="1"/>
  <c r="AB212" i="5" s="1"/>
  <c r="AB213" i="5" s="1"/>
  <c r="AB214" i="5" s="1"/>
  <c r="AB215" i="5" s="1"/>
  <c r="AB216" i="5" s="1"/>
  <c r="AB217" i="5" s="1"/>
  <c r="AB218" i="5" s="1"/>
  <c r="AB219" i="5" s="1"/>
  <c r="AB220" i="5" s="1"/>
  <c r="AB221" i="5" s="1"/>
  <c r="AB222" i="5" s="1"/>
  <c r="AB223" i="5" s="1"/>
  <c r="AB224" i="5" s="1"/>
  <c r="AB225" i="5" s="1"/>
  <c r="AB226" i="5" s="1"/>
  <c r="AB227" i="5" s="1"/>
  <c r="AB228" i="5" s="1"/>
  <c r="AB229" i="5" s="1"/>
  <c r="AB230" i="5" s="1"/>
  <c r="AB231" i="5" s="1"/>
  <c r="AB232" i="5" s="1"/>
  <c r="AB233" i="5" s="1"/>
  <c r="AB234" i="5" s="1"/>
  <c r="AB235" i="5" s="1"/>
  <c r="AB236" i="5" s="1"/>
  <c r="AB237" i="5" s="1"/>
  <c r="AB238" i="5" s="1"/>
  <c r="AB239" i="5" s="1"/>
  <c r="AB240" i="5" s="1"/>
  <c r="AB241" i="5" s="1"/>
  <c r="AB242" i="5" s="1"/>
  <c r="AB243" i="5" s="1"/>
  <c r="AB244" i="5" s="1"/>
  <c r="AB245" i="5" s="1"/>
  <c r="AB246" i="5" s="1"/>
  <c r="AB247" i="5" s="1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AB258" i="5" s="1"/>
  <c r="AB259" i="5" s="1"/>
  <c r="AB260" i="5" s="1"/>
  <c r="AB261" i="5" s="1"/>
  <c r="AB262" i="5" s="1"/>
  <c r="AB263" i="5" s="1"/>
  <c r="AB264" i="5" s="1"/>
  <c r="AB265" i="5" s="1"/>
  <c r="AB266" i="5" s="1"/>
  <c r="AB267" i="5" s="1"/>
  <c r="AB268" i="5" s="1"/>
  <c r="AB269" i="5" s="1"/>
  <c r="AB270" i="5" s="1"/>
  <c r="AB271" i="5" s="1"/>
  <c r="AB272" i="5" s="1"/>
  <c r="AB273" i="5" s="1"/>
  <c r="AB274" i="5" s="1"/>
  <c r="AB275" i="5" s="1"/>
  <c r="AB276" i="5" s="1"/>
  <c r="AB277" i="5" s="1"/>
  <c r="AB278" i="5" s="1"/>
  <c r="L2" i="5"/>
  <c r="T2" i="5" s="1"/>
  <c r="S278" i="4"/>
  <c r="R278" i="4"/>
  <c r="Q278" i="4"/>
  <c r="P278" i="4"/>
  <c r="O278" i="4"/>
  <c r="N278" i="4"/>
  <c r="M278" i="4"/>
  <c r="L278" i="4"/>
  <c r="S277" i="4"/>
  <c r="R277" i="4"/>
  <c r="Q277" i="4"/>
  <c r="P277" i="4"/>
  <c r="O277" i="4"/>
  <c r="N277" i="4"/>
  <c r="M277" i="4"/>
  <c r="L277" i="4"/>
  <c r="S276" i="4"/>
  <c r="R276" i="4"/>
  <c r="Q276" i="4"/>
  <c r="P276" i="4"/>
  <c r="O276" i="4"/>
  <c r="N276" i="4"/>
  <c r="M276" i="4"/>
  <c r="L276" i="4"/>
  <c r="S275" i="4"/>
  <c r="R275" i="4"/>
  <c r="Q275" i="4"/>
  <c r="P275" i="4"/>
  <c r="O275" i="4"/>
  <c r="N275" i="4"/>
  <c r="M275" i="4"/>
  <c r="L275" i="4"/>
  <c r="S274" i="4"/>
  <c r="R274" i="4"/>
  <c r="Q274" i="4"/>
  <c r="P274" i="4"/>
  <c r="O274" i="4"/>
  <c r="N274" i="4"/>
  <c r="M274" i="4"/>
  <c r="L274" i="4"/>
  <c r="S273" i="4"/>
  <c r="R273" i="4"/>
  <c r="Q273" i="4"/>
  <c r="P273" i="4"/>
  <c r="O273" i="4"/>
  <c r="N273" i="4"/>
  <c r="M273" i="4"/>
  <c r="L273" i="4"/>
  <c r="S272" i="4"/>
  <c r="R272" i="4"/>
  <c r="Q272" i="4"/>
  <c r="P272" i="4"/>
  <c r="O272" i="4"/>
  <c r="N272" i="4"/>
  <c r="M272" i="4"/>
  <c r="L272" i="4"/>
  <c r="S271" i="4"/>
  <c r="R271" i="4"/>
  <c r="Q271" i="4"/>
  <c r="P271" i="4"/>
  <c r="O271" i="4"/>
  <c r="N271" i="4"/>
  <c r="M271" i="4"/>
  <c r="L271" i="4"/>
  <c r="S270" i="4"/>
  <c r="R270" i="4"/>
  <c r="Q270" i="4"/>
  <c r="P270" i="4"/>
  <c r="O270" i="4"/>
  <c r="N270" i="4"/>
  <c r="M270" i="4"/>
  <c r="L270" i="4"/>
  <c r="S269" i="4"/>
  <c r="R269" i="4"/>
  <c r="Q269" i="4"/>
  <c r="P269" i="4"/>
  <c r="O269" i="4"/>
  <c r="N269" i="4"/>
  <c r="M269" i="4"/>
  <c r="L269" i="4"/>
  <c r="S268" i="4"/>
  <c r="R268" i="4"/>
  <c r="Q268" i="4"/>
  <c r="P268" i="4"/>
  <c r="O268" i="4"/>
  <c r="N268" i="4"/>
  <c r="M268" i="4"/>
  <c r="L268" i="4"/>
  <c r="S267" i="4"/>
  <c r="R267" i="4"/>
  <c r="Q267" i="4"/>
  <c r="P267" i="4"/>
  <c r="O267" i="4"/>
  <c r="N267" i="4"/>
  <c r="M267" i="4"/>
  <c r="L267" i="4"/>
  <c r="S266" i="4"/>
  <c r="R266" i="4"/>
  <c r="Q266" i="4"/>
  <c r="P266" i="4"/>
  <c r="O266" i="4"/>
  <c r="N266" i="4"/>
  <c r="M266" i="4"/>
  <c r="L266" i="4"/>
  <c r="S265" i="4"/>
  <c r="R265" i="4"/>
  <c r="Q265" i="4"/>
  <c r="P265" i="4"/>
  <c r="O265" i="4"/>
  <c r="N265" i="4"/>
  <c r="M265" i="4"/>
  <c r="L265" i="4"/>
  <c r="S264" i="4"/>
  <c r="R264" i="4"/>
  <c r="Q264" i="4"/>
  <c r="P264" i="4"/>
  <c r="O264" i="4"/>
  <c r="N264" i="4"/>
  <c r="M264" i="4"/>
  <c r="L264" i="4"/>
  <c r="S263" i="4"/>
  <c r="R263" i="4"/>
  <c r="Q263" i="4"/>
  <c r="P263" i="4"/>
  <c r="O263" i="4"/>
  <c r="N263" i="4"/>
  <c r="M263" i="4"/>
  <c r="L263" i="4"/>
  <c r="S262" i="4"/>
  <c r="R262" i="4"/>
  <c r="Q262" i="4"/>
  <c r="P262" i="4"/>
  <c r="O262" i="4"/>
  <c r="N262" i="4"/>
  <c r="M262" i="4"/>
  <c r="L262" i="4"/>
  <c r="S261" i="4"/>
  <c r="R261" i="4"/>
  <c r="Q261" i="4"/>
  <c r="P261" i="4"/>
  <c r="O261" i="4"/>
  <c r="N261" i="4"/>
  <c r="M261" i="4"/>
  <c r="L261" i="4"/>
  <c r="S260" i="4"/>
  <c r="R260" i="4"/>
  <c r="Q260" i="4"/>
  <c r="P260" i="4"/>
  <c r="O260" i="4"/>
  <c r="N260" i="4"/>
  <c r="M260" i="4"/>
  <c r="L260" i="4"/>
  <c r="S259" i="4"/>
  <c r="R259" i="4"/>
  <c r="Q259" i="4"/>
  <c r="P259" i="4"/>
  <c r="O259" i="4"/>
  <c r="N259" i="4"/>
  <c r="M259" i="4"/>
  <c r="L259" i="4"/>
  <c r="S258" i="4"/>
  <c r="R258" i="4"/>
  <c r="Q258" i="4"/>
  <c r="P258" i="4"/>
  <c r="O258" i="4"/>
  <c r="N258" i="4"/>
  <c r="M258" i="4"/>
  <c r="L258" i="4"/>
  <c r="S257" i="4"/>
  <c r="R257" i="4"/>
  <c r="Q257" i="4"/>
  <c r="P257" i="4"/>
  <c r="O257" i="4"/>
  <c r="N257" i="4"/>
  <c r="M257" i="4"/>
  <c r="L257" i="4"/>
  <c r="S256" i="4"/>
  <c r="R256" i="4"/>
  <c r="Q256" i="4"/>
  <c r="P256" i="4"/>
  <c r="O256" i="4"/>
  <c r="N256" i="4"/>
  <c r="M256" i="4"/>
  <c r="L256" i="4"/>
  <c r="S255" i="4"/>
  <c r="R255" i="4"/>
  <c r="Q255" i="4"/>
  <c r="P255" i="4"/>
  <c r="O255" i="4"/>
  <c r="N255" i="4"/>
  <c r="M255" i="4"/>
  <c r="L255" i="4"/>
  <c r="S254" i="4"/>
  <c r="R254" i="4"/>
  <c r="Q254" i="4"/>
  <c r="P254" i="4"/>
  <c r="O254" i="4"/>
  <c r="N254" i="4"/>
  <c r="M254" i="4"/>
  <c r="L254" i="4"/>
  <c r="S253" i="4"/>
  <c r="R253" i="4"/>
  <c r="Q253" i="4"/>
  <c r="P253" i="4"/>
  <c r="O253" i="4"/>
  <c r="N253" i="4"/>
  <c r="M253" i="4"/>
  <c r="L253" i="4"/>
  <c r="S252" i="4"/>
  <c r="R252" i="4"/>
  <c r="Q252" i="4"/>
  <c r="P252" i="4"/>
  <c r="O252" i="4"/>
  <c r="N252" i="4"/>
  <c r="M252" i="4"/>
  <c r="L252" i="4"/>
  <c r="S251" i="4"/>
  <c r="R251" i="4"/>
  <c r="Q251" i="4"/>
  <c r="P251" i="4"/>
  <c r="O251" i="4"/>
  <c r="N251" i="4"/>
  <c r="M251" i="4"/>
  <c r="L251" i="4"/>
  <c r="S250" i="4"/>
  <c r="R250" i="4"/>
  <c r="Q250" i="4"/>
  <c r="P250" i="4"/>
  <c r="O250" i="4"/>
  <c r="N250" i="4"/>
  <c r="M250" i="4"/>
  <c r="L250" i="4"/>
  <c r="S249" i="4"/>
  <c r="R249" i="4"/>
  <c r="Q249" i="4"/>
  <c r="P249" i="4"/>
  <c r="O249" i="4"/>
  <c r="N249" i="4"/>
  <c r="M249" i="4"/>
  <c r="L249" i="4"/>
  <c r="S248" i="4"/>
  <c r="R248" i="4"/>
  <c r="Q248" i="4"/>
  <c r="P248" i="4"/>
  <c r="O248" i="4"/>
  <c r="N248" i="4"/>
  <c r="M248" i="4"/>
  <c r="L248" i="4"/>
  <c r="S247" i="4"/>
  <c r="R247" i="4"/>
  <c r="Q247" i="4"/>
  <c r="P247" i="4"/>
  <c r="O247" i="4"/>
  <c r="N247" i="4"/>
  <c r="M247" i="4"/>
  <c r="L247" i="4"/>
  <c r="S246" i="4"/>
  <c r="R246" i="4"/>
  <c r="Q246" i="4"/>
  <c r="P246" i="4"/>
  <c r="O246" i="4"/>
  <c r="N246" i="4"/>
  <c r="M246" i="4"/>
  <c r="L246" i="4"/>
  <c r="S245" i="4"/>
  <c r="R245" i="4"/>
  <c r="Q245" i="4"/>
  <c r="P245" i="4"/>
  <c r="O245" i="4"/>
  <c r="N245" i="4"/>
  <c r="M245" i="4"/>
  <c r="L245" i="4"/>
  <c r="S244" i="4"/>
  <c r="R244" i="4"/>
  <c r="Q244" i="4"/>
  <c r="P244" i="4"/>
  <c r="O244" i="4"/>
  <c r="N244" i="4"/>
  <c r="M244" i="4"/>
  <c r="L244" i="4"/>
  <c r="S243" i="4"/>
  <c r="R243" i="4"/>
  <c r="Q243" i="4"/>
  <c r="P243" i="4"/>
  <c r="O243" i="4"/>
  <c r="N243" i="4"/>
  <c r="M243" i="4"/>
  <c r="L243" i="4"/>
  <c r="S242" i="4"/>
  <c r="R242" i="4"/>
  <c r="Q242" i="4"/>
  <c r="P242" i="4"/>
  <c r="O242" i="4"/>
  <c r="N242" i="4"/>
  <c r="M242" i="4"/>
  <c r="L242" i="4"/>
  <c r="S241" i="4"/>
  <c r="R241" i="4"/>
  <c r="Q241" i="4"/>
  <c r="P241" i="4"/>
  <c r="O241" i="4"/>
  <c r="N241" i="4"/>
  <c r="M241" i="4"/>
  <c r="L241" i="4"/>
  <c r="S240" i="4"/>
  <c r="R240" i="4"/>
  <c r="Q240" i="4"/>
  <c r="P240" i="4"/>
  <c r="O240" i="4"/>
  <c r="N240" i="4"/>
  <c r="M240" i="4"/>
  <c r="L240" i="4"/>
  <c r="S239" i="4"/>
  <c r="R239" i="4"/>
  <c r="Q239" i="4"/>
  <c r="P239" i="4"/>
  <c r="O239" i="4"/>
  <c r="N239" i="4"/>
  <c r="M239" i="4"/>
  <c r="L239" i="4"/>
  <c r="S238" i="4"/>
  <c r="R238" i="4"/>
  <c r="Q238" i="4"/>
  <c r="P238" i="4"/>
  <c r="O238" i="4"/>
  <c r="N238" i="4"/>
  <c r="M238" i="4"/>
  <c r="L238" i="4"/>
  <c r="S237" i="4"/>
  <c r="R237" i="4"/>
  <c r="Q237" i="4"/>
  <c r="P237" i="4"/>
  <c r="O237" i="4"/>
  <c r="N237" i="4"/>
  <c r="M237" i="4"/>
  <c r="L237" i="4"/>
  <c r="S236" i="4"/>
  <c r="R236" i="4"/>
  <c r="Q236" i="4"/>
  <c r="P236" i="4"/>
  <c r="O236" i="4"/>
  <c r="N236" i="4"/>
  <c r="M236" i="4"/>
  <c r="L236" i="4"/>
  <c r="S235" i="4"/>
  <c r="R235" i="4"/>
  <c r="Q235" i="4"/>
  <c r="P235" i="4"/>
  <c r="O235" i="4"/>
  <c r="N235" i="4"/>
  <c r="M235" i="4"/>
  <c r="L235" i="4"/>
  <c r="S234" i="4"/>
  <c r="R234" i="4"/>
  <c r="Q234" i="4"/>
  <c r="P234" i="4"/>
  <c r="O234" i="4"/>
  <c r="N234" i="4"/>
  <c r="M234" i="4"/>
  <c r="L234" i="4"/>
  <c r="S233" i="4"/>
  <c r="R233" i="4"/>
  <c r="Q233" i="4"/>
  <c r="P233" i="4"/>
  <c r="O233" i="4"/>
  <c r="N233" i="4"/>
  <c r="M233" i="4"/>
  <c r="L233" i="4"/>
  <c r="S232" i="4"/>
  <c r="R232" i="4"/>
  <c r="Q232" i="4"/>
  <c r="P232" i="4"/>
  <c r="O232" i="4"/>
  <c r="N232" i="4"/>
  <c r="M232" i="4"/>
  <c r="L232" i="4"/>
  <c r="S231" i="4"/>
  <c r="R231" i="4"/>
  <c r="Q231" i="4"/>
  <c r="P231" i="4"/>
  <c r="O231" i="4"/>
  <c r="N231" i="4"/>
  <c r="M231" i="4"/>
  <c r="L231" i="4"/>
  <c r="S230" i="4"/>
  <c r="R230" i="4"/>
  <c r="Q230" i="4"/>
  <c r="P230" i="4"/>
  <c r="O230" i="4"/>
  <c r="N230" i="4"/>
  <c r="M230" i="4"/>
  <c r="L230" i="4"/>
  <c r="S229" i="4"/>
  <c r="R229" i="4"/>
  <c r="Q229" i="4"/>
  <c r="P229" i="4"/>
  <c r="O229" i="4"/>
  <c r="N229" i="4"/>
  <c r="M229" i="4"/>
  <c r="L229" i="4"/>
  <c r="S228" i="4"/>
  <c r="R228" i="4"/>
  <c r="Q228" i="4"/>
  <c r="P228" i="4"/>
  <c r="O228" i="4"/>
  <c r="N228" i="4"/>
  <c r="M228" i="4"/>
  <c r="L228" i="4"/>
  <c r="S227" i="4"/>
  <c r="R227" i="4"/>
  <c r="Q227" i="4"/>
  <c r="P227" i="4"/>
  <c r="O227" i="4"/>
  <c r="N227" i="4"/>
  <c r="M227" i="4"/>
  <c r="L227" i="4"/>
  <c r="S226" i="4"/>
  <c r="R226" i="4"/>
  <c r="Q226" i="4"/>
  <c r="P226" i="4"/>
  <c r="O226" i="4"/>
  <c r="N226" i="4"/>
  <c r="M226" i="4"/>
  <c r="L226" i="4"/>
  <c r="S225" i="4"/>
  <c r="R225" i="4"/>
  <c r="Q225" i="4"/>
  <c r="P225" i="4"/>
  <c r="O225" i="4"/>
  <c r="N225" i="4"/>
  <c r="M225" i="4"/>
  <c r="L225" i="4"/>
  <c r="S224" i="4"/>
  <c r="R224" i="4"/>
  <c r="Q224" i="4"/>
  <c r="P224" i="4"/>
  <c r="O224" i="4"/>
  <c r="N224" i="4"/>
  <c r="M224" i="4"/>
  <c r="L224" i="4"/>
  <c r="S223" i="4"/>
  <c r="R223" i="4"/>
  <c r="Q223" i="4"/>
  <c r="P223" i="4"/>
  <c r="O223" i="4"/>
  <c r="N223" i="4"/>
  <c r="M223" i="4"/>
  <c r="L223" i="4"/>
  <c r="S222" i="4"/>
  <c r="R222" i="4"/>
  <c r="Q222" i="4"/>
  <c r="P222" i="4"/>
  <c r="O222" i="4"/>
  <c r="N222" i="4"/>
  <c r="M222" i="4"/>
  <c r="L222" i="4"/>
  <c r="S221" i="4"/>
  <c r="R221" i="4"/>
  <c r="Q221" i="4"/>
  <c r="P221" i="4"/>
  <c r="O221" i="4"/>
  <c r="N221" i="4"/>
  <c r="M221" i="4"/>
  <c r="L221" i="4"/>
  <c r="S220" i="4"/>
  <c r="R220" i="4"/>
  <c r="Q220" i="4"/>
  <c r="P220" i="4"/>
  <c r="O220" i="4"/>
  <c r="N220" i="4"/>
  <c r="M220" i="4"/>
  <c r="L220" i="4"/>
  <c r="S219" i="4"/>
  <c r="R219" i="4"/>
  <c r="Q219" i="4"/>
  <c r="P219" i="4"/>
  <c r="O219" i="4"/>
  <c r="N219" i="4"/>
  <c r="M219" i="4"/>
  <c r="L219" i="4"/>
  <c r="S218" i="4"/>
  <c r="R218" i="4"/>
  <c r="Q218" i="4"/>
  <c r="P218" i="4"/>
  <c r="O218" i="4"/>
  <c r="N218" i="4"/>
  <c r="M218" i="4"/>
  <c r="L218" i="4"/>
  <c r="S217" i="4"/>
  <c r="R217" i="4"/>
  <c r="Q217" i="4"/>
  <c r="P217" i="4"/>
  <c r="O217" i="4"/>
  <c r="N217" i="4"/>
  <c r="M217" i="4"/>
  <c r="L217" i="4"/>
  <c r="S216" i="4"/>
  <c r="R216" i="4"/>
  <c r="Q216" i="4"/>
  <c r="P216" i="4"/>
  <c r="O216" i="4"/>
  <c r="N216" i="4"/>
  <c r="M216" i="4"/>
  <c r="L216" i="4"/>
  <c r="S215" i="4"/>
  <c r="R215" i="4"/>
  <c r="Q215" i="4"/>
  <c r="P215" i="4"/>
  <c r="O215" i="4"/>
  <c r="N215" i="4"/>
  <c r="M215" i="4"/>
  <c r="L215" i="4"/>
  <c r="S214" i="4"/>
  <c r="R214" i="4"/>
  <c r="Q214" i="4"/>
  <c r="P214" i="4"/>
  <c r="O214" i="4"/>
  <c r="N214" i="4"/>
  <c r="M214" i="4"/>
  <c r="L214" i="4"/>
  <c r="S213" i="4"/>
  <c r="R213" i="4"/>
  <c r="Q213" i="4"/>
  <c r="P213" i="4"/>
  <c r="O213" i="4"/>
  <c r="N213" i="4"/>
  <c r="M213" i="4"/>
  <c r="L213" i="4"/>
  <c r="S212" i="4"/>
  <c r="R212" i="4"/>
  <c r="Q212" i="4"/>
  <c r="P212" i="4"/>
  <c r="O212" i="4"/>
  <c r="N212" i="4"/>
  <c r="M212" i="4"/>
  <c r="L212" i="4"/>
  <c r="S211" i="4"/>
  <c r="R211" i="4"/>
  <c r="Q211" i="4"/>
  <c r="P211" i="4"/>
  <c r="O211" i="4"/>
  <c r="N211" i="4"/>
  <c r="M211" i="4"/>
  <c r="L211" i="4"/>
  <c r="S210" i="4"/>
  <c r="R210" i="4"/>
  <c r="Q210" i="4"/>
  <c r="P210" i="4"/>
  <c r="O210" i="4"/>
  <c r="N210" i="4"/>
  <c r="M210" i="4"/>
  <c r="L210" i="4"/>
  <c r="S209" i="4"/>
  <c r="R209" i="4"/>
  <c r="Q209" i="4"/>
  <c r="P209" i="4"/>
  <c r="O209" i="4"/>
  <c r="N209" i="4"/>
  <c r="M209" i="4"/>
  <c r="L209" i="4"/>
  <c r="S208" i="4"/>
  <c r="R208" i="4"/>
  <c r="Q208" i="4"/>
  <c r="P208" i="4"/>
  <c r="O208" i="4"/>
  <c r="N208" i="4"/>
  <c r="M208" i="4"/>
  <c r="L208" i="4"/>
  <c r="S207" i="4"/>
  <c r="R207" i="4"/>
  <c r="Q207" i="4"/>
  <c r="P207" i="4"/>
  <c r="O207" i="4"/>
  <c r="N207" i="4"/>
  <c r="M207" i="4"/>
  <c r="L207" i="4"/>
  <c r="S206" i="4"/>
  <c r="R206" i="4"/>
  <c r="Q206" i="4"/>
  <c r="P206" i="4"/>
  <c r="O206" i="4"/>
  <c r="N206" i="4"/>
  <c r="M206" i="4"/>
  <c r="L206" i="4"/>
  <c r="S205" i="4"/>
  <c r="R205" i="4"/>
  <c r="Q205" i="4"/>
  <c r="P205" i="4"/>
  <c r="O205" i="4"/>
  <c r="N205" i="4"/>
  <c r="M205" i="4"/>
  <c r="L205" i="4"/>
  <c r="S204" i="4"/>
  <c r="R204" i="4"/>
  <c r="Q204" i="4"/>
  <c r="P204" i="4"/>
  <c r="O204" i="4"/>
  <c r="N204" i="4"/>
  <c r="M204" i="4"/>
  <c r="L204" i="4"/>
  <c r="S203" i="4"/>
  <c r="R203" i="4"/>
  <c r="Q203" i="4"/>
  <c r="P203" i="4"/>
  <c r="O203" i="4"/>
  <c r="N203" i="4"/>
  <c r="M203" i="4"/>
  <c r="L203" i="4"/>
  <c r="S202" i="4"/>
  <c r="R202" i="4"/>
  <c r="Q202" i="4"/>
  <c r="P202" i="4"/>
  <c r="O202" i="4"/>
  <c r="N202" i="4"/>
  <c r="M202" i="4"/>
  <c r="L202" i="4"/>
  <c r="S201" i="4"/>
  <c r="R201" i="4"/>
  <c r="Q201" i="4"/>
  <c r="P201" i="4"/>
  <c r="O201" i="4"/>
  <c r="N201" i="4"/>
  <c r="M201" i="4"/>
  <c r="L201" i="4"/>
  <c r="S200" i="4"/>
  <c r="R200" i="4"/>
  <c r="Q200" i="4"/>
  <c r="P200" i="4"/>
  <c r="O200" i="4"/>
  <c r="N200" i="4"/>
  <c r="M200" i="4"/>
  <c r="L200" i="4"/>
  <c r="S199" i="4"/>
  <c r="R199" i="4"/>
  <c r="Q199" i="4"/>
  <c r="P199" i="4"/>
  <c r="O199" i="4"/>
  <c r="N199" i="4"/>
  <c r="M199" i="4"/>
  <c r="L199" i="4"/>
  <c r="S198" i="4"/>
  <c r="R198" i="4"/>
  <c r="Q198" i="4"/>
  <c r="P198" i="4"/>
  <c r="O198" i="4"/>
  <c r="N198" i="4"/>
  <c r="M198" i="4"/>
  <c r="L198" i="4"/>
  <c r="S197" i="4"/>
  <c r="R197" i="4"/>
  <c r="Q197" i="4"/>
  <c r="P197" i="4"/>
  <c r="O197" i="4"/>
  <c r="N197" i="4"/>
  <c r="M197" i="4"/>
  <c r="L197" i="4"/>
  <c r="S196" i="4"/>
  <c r="R196" i="4"/>
  <c r="Q196" i="4"/>
  <c r="P196" i="4"/>
  <c r="O196" i="4"/>
  <c r="N196" i="4"/>
  <c r="M196" i="4"/>
  <c r="L196" i="4"/>
  <c r="S195" i="4"/>
  <c r="R195" i="4"/>
  <c r="Q195" i="4"/>
  <c r="P195" i="4"/>
  <c r="O195" i="4"/>
  <c r="N195" i="4"/>
  <c r="M195" i="4"/>
  <c r="L195" i="4"/>
  <c r="S194" i="4"/>
  <c r="R194" i="4"/>
  <c r="Q194" i="4"/>
  <c r="P194" i="4"/>
  <c r="O194" i="4"/>
  <c r="N194" i="4"/>
  <c r="M194" i="4"/>
  <c r="L194" i="4"/>
  <c r="S193" i="4"/>
  <c r="R193" i="4"/>
  <c r="Q193" i="4"/>
  <c r="P193" i="4"/>
  <c r="O193" i="4"/>
  <c r="N193" i="4"/>
  <c r="M193" i="4"/>
  <c r="L193" i="4"/>
  <c r="S192" i="4"/>
  <c r="R192" i="4"/>
  <c r="Q192" i="4"/>
  <c r="P192" i="4"/>
  <c r="O192" i="4"/>
  <c r="N192" i="4"/>
  <c r="M192" i="4"/>
  <c r="L192" i="4"/>
  <c r="S191" i="4"/>
  <c r="R191" i="4"/>
  <c r="Q191" i="4"/>
  <c r="P191" i="4"/>
  <c r="O191" i="4"/>
  <c r="N191" i="4"/>
  <c r="M191" i="4"/>
  <c r="L191" i="4"/>
  <c r="S190" i="4"/>
  <c r="R190" i="4"/>
  <c r="Q190" i="4"/>
  <c r="P190" i="4"/>
  <c r="O190" i="4"/>
  <c r="N190" i="4"/>
  <c r="M190" i="4"/>
  <c r="L190" i="4"/>
  <c r="S189" i="4"/>
  <c r="R189" i="4"/>
  <c r="Q189" i="4"/>
  <c r="P189" i="4"/>
  <c r="O189" i="4"/>
  <c r="N189" i="4"/>
  <c r="M189" i="4"/>
  <c r="L189" i="4"/>
  <c r="S188" i="4"/>
  <c r="R188" i="4"/>
  <c r="Q188" i="4"/>
  <c r="P188" i="4"/>
  <c r="O188" i="4"/>
  <c r="N188" i="4"/>
  <c r="M188" i="4"/>
  <c r="L188" i="4"/>
  <c r="S187" i="4"/>
  <c r="R187" i="4"/>
  <c r="Q187" i="4"/>
  <c r="P187" i="4"/>
  <c r="O187" i="4"/>
  <c r="N187" i="4"/>
  <c r="M187" i="4"/>
  <c r="L187" i="4"/>
  <c r="S186" i="4"/>
  <c r="R186" i="4"/>
  <c r="Q186" i="4"/>
  <c r="P186" i="4"/>
  <c r="O186" i="4"/>
  <c r="N186" i="4"/>
  <c r="M186" i="4"/>
  <c r="L186" i="4"/>
  <c r="S185" i="4"/>
  <c r="R185" i="4"/>
  <c r="Q185" i="4"/>
  <c r="P185" i="4"/>
  <c r="O185" i="4"/>
  <c r="N185" i="4"/>
  <c r="M185" i="4"/>
  <c r="L185" i="4"/>
  <c r="S184" i="4"/>
  <c r="R184" i="4"/>
  <c r="Q184" i="4"/>
  <c r="P184" i="4"/>
  <c r="O184" i="4"/>
  <c r="N184" i="4"/>
  <c r="M184" i="4"/>
  <c r="L184" i="4"/>
  <c r="S183" i="4"/>
  <c r="R183" i="4"/>
  <c r="Q183" i="4"/>
  <c r="P183" i="4"/>
  <c r="O183" i="4"/>
  <c r="N183" i="4"/>
  <c r="M183" i="4"/>
  <c r="L183" i="4"/>
  <c r="S182" i="4"/>
  <c r="R182" i="4"/>
  <c r="Q182" i="4"/>
  <c r="P182" i="4"/>
  <c r="O182" i="4"/>
  <c r="N182" i="4"/>
  <c r="M182" i="4"/>
  <c r="L182" i="4"/>
  <c r="S181" i="4"/>
  <c r="R181" i="4"/>
  <c r="Q181" i="4"/>
  <c r="P181" i="4"/>
  <c r="O181" i="4"/>
  <c r="N181" i="4"/>
  <c r="M181" i="4"/>
  <c r="L181" i="4"/>
  <c r="S180" i="4"/>
  <c r="R180" i="4"/>
  <c r="Q180" i="4"/>
  <c r="P180" i="4"/>
  <c r="O180" i="4"/>
  <c r="N180" i="4"/>
  <c r="M180" i="4"/>
  <c r="L180" i="4"/>
  <c r="S179" i="4"/>
  <c r="R179" i="4"/>
  <c r="Q179" i="4"/>
  <c r="P179" i="4"/>
  <c r="O179" i="4"/>
  <c r="N179" i="4"/>
  <c r="M179" i="4"/>
  <c r="L179" i="4"/>
  <c r="S178" i="4"/>
  <c r="R178" i="4"/>
  <c r="Q178" i="4"/>
  <c r="P178" i="4"/>
  <c r="O178" i="4"/>
  <c r="N178" i="4"/>
  <c r="M178" i="4"/>
  <c r="L178" i="4"/>
  <c r="S177" i="4"/>
  <c r="R177" i="4"/>
  <c r="Q177" i="4"/>
  <c r="P177" i="4"/>
  <c r="O177" i="4"/>
  <c r="N177" i="4"/>
  <c r="M177" i="4"/>
  <c r="L177" i="4"/>
  <c r="S176" i="4"/>
  <c r="R176" i="4"/>
  <c r="Q176" i="4"/>
  <c r="P176" i="4"/>
  <c r="O176" i="4"/>
  <c r="N176" i="4"/>
  <c r="M176" i="4"/>
  <c r="L176" i="4"/>
  <c r="S175" i="4"/>
  <c r="R175" i="4"/>
  <c r="Q175" i="4"/>
  <c r="P175" i="4"/>
  <c r="O175" i="4"/>
  <c r="N175" i="4"/>
  <c r="M175" i="4"/>
  <c r="L175" i="4"/>
  <c r="S174" i="4"/>
  <c r="R174" i="4"/>
  <c r="Q174" i="4"/>
  <c r="P174" i="4"/>
  <c r="O174" i="4"/>
  <c r="N174" i="4"/>
  <c r="M174" i="4"/>
  <c r="L174" i="4"/>
  <c r="S173" i="4"/>
  <c r="R173" i="4"/>
  <c r="Q173" i="4"/>
  <c r="P173" i="4"/>
  <c r="O173" i="4"/>
  <c r="N173" i="4"/>
  <c r="M173" i="4"/>
  <c r="L173" i="4"/>
  <c r="S172" i="4"/>
  <c r="R172" i="4"/>
  <c r="Q172" i="4"/>
  <c r="P172" i="4"/>
  <c r="O172" i="4"/>
  <c r="N172" i="4"/>
  <c r="M172" i="4"/>
  <c r="L172" i="4"/>
  <c r="S171" i="4"/>
  <c r="R171" i="4"/>
  <c r="Q171" i="4"/>
  <c r="P171" i="4"/>
  <c r="O171" i="4"/>
  <c r="N171" i="4"/>
  <c r="M171" i="4"/>
  <c r="L171" i="4"/>
  <c r="S170" i="4"/>
  <c r="R170" i="4"/>
  <c r="Q170" i="4"/>
  <c r="P170" i="4"/>
  <c r="O170" i="4"/>
  <c r="N170" i="4"/>
  <c r="M170" i="4"/>
  <c r="L170" i="4"/>
  <c r="S169" i="4"/>
  <c r="R169" i="4"/>
  <c r="Q169" i="4"/>
  <c r="P169" i="4"/>
  <c r="O169" i="4"/>
  <c r="N169" i="4"/>
  <c r="M169" i="4"/>
  <c r="L169" i="4"/>
  <c r="S168" i="4"/>
  <c r="R168" i="4"/>
  <c r="Q168" i="4"/>
  <c r="P168" i="4"/>
  <c r="O168" i="4"/>
  <c r="N168" i="4"/>
  <c r="M168" i="4"/>
  <c r="L168" i="4"/>
  <c r="S167" i="4"/>
  <c r="R167" i="4"/>
  <c r="Q167" i="4"/>
  <c r="P167" i="4"/>
  <c r="O167" i="4"/>
  <c r="N167" i="4"/>
  <c r="M167" i="4"/>
  <c r="L167" i="4"/>
  <c r="S166" i="4"/>
  <c r="R166" i="4"/>
  <c r="Q166" i="4"/>
  <c r="P166" i="4"/>
  <c r="O166" i="4"/>
  <c r="N166" i="4"/>
  <c r="M166" i="4"/>
  <c r="L166" i="4"/>
  <c r="S165" i="4"/>
  <c r="R165" i="4"/>
  <c r="Q165" i="4"/>
  <c r="P165" i="4"/>
  <c r="O165" i="4"/>
  <c r="N165" i="4"/>
  <c r="M165" i="4"/>
  <c r="L165" i="4"/>
  <c r="S164" i="4"/>
  <c r="R164" i="4"/>
  <c r="Q164" i="4"/>
  <c r="P164" i="4"/>
  <c r="O164" i="4"/>
  <c r="N164" i="4"/>
  <c r="M164" i="4"/>
  <c r="L164" i="4"/>
  <c r="S163" i="4"/>
  <c r="R163" i="4"/>
  <c r="Q163" i="4"/>
  <c r="P163" i="4"/>
  <c r="O163" i="4"/>
  <c r="N163" i="4"/>
  <c r="M163" i="4"/>
  <c r="L163" i="4"/>
  <c r="S162" i="4"/>
  <c r="R162" i="4"/>
  <c r="Q162" i="4"/>
  <c r="P162" i="4"/>
  <c r="O162" i="4"/>
  <c r="N162" i="4"/>
  <c r="M162" i="4"/>
  <c r="L162" i="4"/>
  <c r="S161" i="4"/>
  <c r="R161" i="4"/>
  <c r="Q161" i="4"/>
  <c r="P161" i="4"/>
  <c r="O161" i="4"/>
  <c r="N161" i="4"/>
  <c r="M161" i="4"/>
  <c r="L161" i="4"/>
  <c r="S160" i="4"/>
  <c r="R160" i="4"/>
  <c r="Q160" i="4"/>
  <c r="P160" i="4"/>
  <c r="O160" i="4"/>
  <c r="N160" i="4"/>
  <c r="M160" i="4"/>
  <c r="L160" i="4"/>
  <c r="S159" i="4"/>
  <c r="R159" i="4"/>
  <c r="Q159" i="4"/>
  <c r="P159" i="4"/>
  <c r="O159" i="4"/>
  <c r="N159" i="4"/>
  <c r="M159" i="4"/>
  <c r="L159" i="4"/>
  <c r="S158" i="4"/>
  <c r="R158" i="4"/>
  <c r="Q158" i="4"/>
  <c r="P158" i="4"/>
  <c r="O158" i="4"/>
  <c r="N158" i="4"/>
  <c r="M158" i="4"/>
  <c r="L158" i="4"/>
  <c r="S157" i="4"/>
  <c r="R157" i="4"/>
  <c r="Q157" i="4"/>
  <c r="P157" i="4"/>
  <c r="O157" i="4"/>
  <c r="N157" i="4"/>
  <c r="M157" i="4"/>
  <c r="L157" i="4"/>
  <c r="S156" i="4"/>
  <c r="R156" i="4"/>
  <c r="Q156" i="4"/>
  <c r="P156" i="4"/>
  <c r="O156" i="4"/>
  <c r="N156" i="4"/>
  <c r="M156" i="4"/>
  <c r="L156" i="4"/>
  <c r="S155" i="4"/>
  <c r="R155" i="4"/>
  <c r="Q155" i="4"/>
  <c r="P155" i="4"/>
  <c r="O155" i="4"/>
  <c r="N155" i="4"/>
  <c r="M155" i="4"/>
  <c r="L155" i="4"/>
  <c r="S154" i="4"/>
  <c r="R154" i="4"/>
  <c r="Q154" i="4"/>
  <c r="P154" i="4"/>
  <c r="O154" i="4"/>
  <c r="N154" i="4"/>
  <c r="M154" i="4"/>
  <c r="L154" i="4"/>
  <c r="S153" i="4"/>
  <c r="R153" i="4"/>
  <c r="Q153" i="4"/>
  <c r="P153" i="4"/>
  <c r="O153" i="4"/>
  <c r="N153" i="4"/>
  <c r="M153" i="4"/>
  <c r="L153" i="4"/>
  <c r="S152" i="4"/>
  <c r="R152" i="4"/>
  <c r="Q152" i="4"/>
  <c r="P152" i="4"/>
  <c r="O152" i="4"/>
  <c r="N152" i="4"/>
  <c r="M152" i="4"/>
  <c r="L152" i="4"/>
  <c r="S151" i="4"/>
  <c r="R151" i="4"/>
  <c r="Q151" i="4"/>
  <c r="P151" i="4"/>
  <c r="O151" i="4"/>
  <c r="N151" i="4"/>
  <c r="M151" i="4"/>
  <c r="L151" i="4"/>
  <c r="S150" i="4"/>
  <c r="R150" i="4"/>
  <c r="Q150" i="4"/>
  <c r="P150" i="4"/>
  <c r="O150" i="4"/>
  <c r="N150" i="4"/>
  <c r="M150" i="4"/>
  <c r="L150" i="4"/>
  <c r="S149" i="4"/>
  <c r="R149" i="4"/>
  <c r="Q149" i="4"/>
  <c r="P149" i="4"/>
  <c r="O149" i="4"/>
  <c r="N149" i="4"/>
  <c r="M149" i="4"/>
  <c r="L149" i="4"/>
  <c r="S148" i="4"/>
  <c r="R148" i="4"/>
  <c r="Q148" i="4"/>
  <c r="P148" i="4"/>
  <c r="O148" i="4"/>
  <c r="N148" i="4"/>
  <c r="M148" i="4"/>
  <c r="L148" i="4"/>
  <c r="S147" i="4"/>
  <c r="R147" i="4"/>
  <c r="Q147" i="4"/>
  <c r="P147" i="4"/>
  <c r="O147" i="4"/>
  <c r="N147" i="4"/>
  <c r="M147" i="4"/>
  <c r="L147" i="4"/>
  <c r="S146" i="4"/>
  <c r="R146" i="4"/>
  <c r="Q146" i="4"/>
  <c r="P146" i="4"/>
  <c r="O146" i="4"/>
  <c r="N146" i="4"/>
  <c r="M146" i="4"/>
  <c r="L146" i="4"/>
  <c r="S145" i="4"/>
  <c r="R145" i="4"/>
  <c r="Q145" i="4"/>
  <c r="P145" i="4"/>
  <c r="O145" i="4"/>
  <c r="N145" i="4"/>
  <c r="M145" i="4"/>
  <c r="L145" i="4"/>
  <c r="S144" i="4"/>
  <c r="R144" i="4"/>
  <c r="Q144" i="4"/>
  <c r="P144" i="4"/>
  <c r="O144" i="4"/>
  <c r="N144" i="4"/>
  <c r="M144" i="4"/>
  <c r="L144" i="4"/>
  <c r="S143" i="4"/>
  <c r="R143" i="4"/>
  <c r="Q143" i="4"/>
  <c r="P143" i="4"/>
  <c r="O143" i="4"/>
  <c r="N143" i="4"/>
  <c r="M143" i="4"/>
  <c r="L143" i="4"/>
  <c r="S142" i="4"/>
  <c r="R142" i="4"/>
  <c r="Q142" i="4"/>
  <c r="P142" i="4"/>
  <c r="O142" i="4"/>
  <c r="N142" i="4"/>
  <c r="M142" i="4"/>
  <c r="L142" i="4"/>
  <c r="S141" i="4"/>
  <c r="R141" i="4"/>
  <c r="Q141" i="4"/>
  <c r="P141" i="4"/>
  <c r="O141" i="4"/>
  <c r="N141" i="4"/>
  <c r="M141" i="4"/>
  <c r="L141" i="4"/>
  <c r="S140" i="4"/>
  <c r="R140" i="4"/>
  <c r="Q140" i="4"/>
  <c r="P140" i="4"/>
  <c r="O140" i="4"/>
  <c r="N140" i="4"/>
  <c r="M140" i="4"/>
  <c r="L140" i="4"/>
  <c r="S139" i="4"/>
  <c r="R139" i="4"/>
  <c r="Q139" i="4"/>
  <c r="P139" i="4"/>
  <c r="O139" i="4"/>
  <c r="N139" i="4"/>
  <c r="M139" i="4"/>
  <c r="L139" i="4"/>
  <c r="S138" i="4"/>
  <c r="R138" i="4"/>
  <c r="Q138" i="4"/>
  <c r="P138" i="4"/>
  <c r="O138" i="4"/>
  <c r="N138" i="4"/>
  <c r="M138" i="4"/>
  <c r="L138" i="4"/>
  <c r="S137" i="4"/>
  <c r="R137" i="4"/>
  <c r="Q137" i="4"/>
  <c r="P137" i="4"/>
  <c r="O137" i="4"/>
  <c r="N137" i="4"/>
  <c r="M137" i="4"/>
  <c r="L137" i="4"/>
  <c r="S136" i="4"/>
  <c r="R136" i="4"/>
  <c r="Q136" i="4"/>
  <c r="P136" i="4"/>
  <c r="O136" i="4"/>
  <c r="N136" i="4"/>
  <c r="M136" i="4"/>
  <c r="L136" i="4"/>
  <c r="S135" i="4"/>
  <c r="R135" i="4"/>
  <c r="Q135" i="4"/>
  <c r="P135" i="4"/>
  <c r="O135" i="4"/>
  <c r="N135" i="4"/>
  <c r="M135" i="4"/>
  <c r="L135" i="4"/>
  <c r="S134" i="4"/>
  <c r="R134" i="4"/>
  <c r="Q134" i="4"/>
  <c r="P134" i="4"/>
  <c r="O134" i="4"/>
  <c r="N134" i="4"/>
  <c r="M134" i="4"/>
  <c r="L134" i="4"/>
  <c r="S133" i="4"/>
  <c r="R133" i="4"/>
  <c r="Q133" i="4"/>
  <c r="P133" i="4"/>
  <c r="O133" i="4"/>
  <c r="N133" i="4"/>
  <c r="M133" i="4"/>
  <c r="L133" i="4"/>
  <c r="S132" i="4"/>
  <c r="R132" i="4"/>
  <c r="Q132" i="4"/>
  <c r="P132" i="4"/>
  <c r="O132" i="4"/>
  <c r="N132" i="4"/>
  <c r="M132" i="4"/>
  <c r="L132" i="4"/>
  <c r="S131" i="4"/>
  <c r="R131" i="4"/>
  <c r="Q131" i="4"/>
  <c r="P131" i="4"/>
  <c r="O131" i="4"/>
  <c r="N131" i="4"/>
  <c r="M131" i="4"/>
  <c r="L131" i="4"/>
  <c r="S130" i="4"/>
  <c r="R130" i="4"/>
  <c r="Q130" i="4"/>
  <c r="P130" i="4"/>
  <c r="O130" i="4"/>
  <c r="N130" i="4"/>
  <c r="M130" i="4"/>
  <c r="L130" i="4"/>
  <c r="S129" i="4"/>
  <c r="R129" i="4"/>
  <c r="Q129" i="4"/>
  <c r="P129" i="4"/>
  <c r="O129" i="4"/>
  <c r="N129" i="4"/>
  <c r="M129" i="4"/>
  <c r="L129" i="4"/>
  <c r="S128" i="4"/>
  <c r="R128" i="4"/>
  <c r="Q128" i="4"/>
  <c r="P128" i="4"/>
  <c r="O128" i="4"/>
  <c r="N128" i="4"/>
  <c r="M128" i="4"/>
  <c r="L128" i="4"/>
  <c r="S127" i="4"/>
  <c r="R127" i="4"/>
  <c r="Q127" i="4"/>
  <c r="P127" i="4"/>
  <c r="O127" i="4"/>
  <c r="N127" i="4"/>
  <c r="M127" i="4"/>
  <c r="L127" i="4"/>
  <c r="S126" i="4"/>
  <c r="R126" i="4"/>
  <c r="Q126" i="4"/>
  <c r="P126" i="4"/>
  <c r="O126" i="4"/>
  <c r="N126" i="4"/>
  <c r="M126" i="4"/>
  <c r="L126" i="4"/>
  <c r="S125" i="4"/>
  <c r="R125" i="4"/>
  <c r="Q125" i="4"/>
  <c r="P125" i="4"/>
  <c r="O125" i="4"/>
  <c r="N125" i="4"/>
  <c r="M125" i="4"/>
  <c r="L125" i="4"/>
  <c r="S124" i="4"/>
  <c r="R124" i="4"/>
  <c r="Q124" i="4"/>
  <c r="P124" i="4"/>
  <c r="O124" i="4"/>
  <c r="N124" i="4"/>
  <c r="M124" i="4"/>
  <c r="L124" i="4"/>
  <c r="S123" i="4"/>
  <c r="R123" i="4"/>
  <c r="Q123" i="4"/>
  <c r="P123" i="4"/>
  <c r="O123" i="4"/>
  <c r="N123" i="4"/>
  <c r="M123" i="4"/>
  <c r="L123" i="4"/>
  <c r="S122" i="4"/>
  <c r="R122" i="4"/>
  <c r="Q122" i="4"/>
  <c r="P122" i="4"/>
  <c r="O122" i="4"/>
  <c r="N122" i="4"/>
  <c r="M122" i="4"/>
  <c r="L122" i="4"/>
  <c r="S121" i="4"/>
  <c r="R121" i="4"/>
  <c r="Q121" i="4"/>
  <c r="P121" i="4"/>
  <c r="O121" i="4"/>
  <c r="N121" i="4"/>
  <c r="M121" i="4"/>
  <c r="L121" i="4"/>
  <c r="S120" i="4"/>
  <c r="R120" i="4"/>
  <c r="Q120" i="4"/>
  <c r="P120" i="4"/>
  <c r="O120" i="4"/>
  <c r="N120" i="4"/>
  <c r="M120" i="4"/>
  <c r="L120" i="4"/>
  <c r="S119" i="4"/>
  <c r="R119" i="4"/>
  <c r="Q119" i="4"/>
  <c r="P119" i="4"/>
  <c r="O119" i="4"/>
  <c r="N119" i="4"/>
  <c r="M119" i="4"/>
  <c r="L119" i="4"/>
  <c r="S118" i="4"/>
  <c r="R118" i="4"/>
  <c r="Q118" i="4"/>
  <c r="P118" i="4"/>
  <c r="O118" i="4"/>
  <c r="N118" i="4"/>
  <c r="M118" i="4"/>
  <c r="L118" i="4"/>
  <c r="S117" i="4"/>
  <c r="R117" i="4"/>
  <c r="Q117" i="4"/>
  <c r="P117" i="4"/>
  <c r="O117" i="4"/>
  <c r="N117" i="4"/>
  <c r="M117" i="4"/>
  <c r="L117" i="4"/>
  <c r="S116" i="4"/>
  <c r="R116" i="4"/>
  <c r="Q116" i="4"/>
  <c r="P116" i="4"/>
  <c r="O116" i="4"/>
  <c r="N116" i="4"/>
  <c r="M116" i="4"/>
  <c r="L116" i="4"/>
  <c r="S115" i="4"/>
  <c r="R115" i="4"/>
  <c r="Q115" i="4"/>
  <c r="P115" i="4"/>
  <c r="O115" i="4"/>
  <c r="N115" i="4"/>
  <c r="M115" i="4"/>
  <c r="L115" i="4"/>
  <c r="S114" i="4"/>
  <c r="R114" i="4"/>
  <c r="Q114" i="4"/>
  <c r="P114" i="4"/>
  <c r="O114" i="4"/>
  <c r="N114" i="4"/>
  <c r="M114" i="4"/>
  <c r="L114" i="4"/>
  <c r="S113" i="4"/>
  <c r="R113" i="4"/>
  <c r="Q113" i="4"/>
  <c r="P113" i="4"/>
  <c r="O113" i="4"/>
  <c r="N113" i="4"/>
  <c r="M113" i="4"/>
  <c r="L113" i="4"/>
  <c r="S112" i="4"/>
  <c r="R112" i="4"/>
  <c r="Q112" i="4"/>
  <c r="P112" i="4"/>
  <c r="O112" i="4"/>
  <c r="N112" i="4"/>
  <c r="M112" i="4"/>
  <c r="L112" i="4"/>
  <c r="S111" i="4"/>
  <c r="R111" i="4"/>
  <c r="Q111" i="4"/>
  <c r="P111" i="4"/>
  <c r="O111" i="4"/>
  <c r="N111" i="4"/>
  <c r="M111" i="4"/>
  <c r="L111" i="4"/>
  <c r="S110" i="4"/>
  <c r="R110" i="4"/>
  <c r="Q110" i="4"/>
  <c r="P110" i="4"/>
  <c r="O110" i="4"/>
  <c r="N110" i="4"/>
  <c r="M110" i="4"/>
  <c r="L110" i="4"/>
  <c r="S109" i="4"/>
  <c r="R109" i="4"/>
  <c r="Q109" i="4"/>
  <c r="P109" i="4"/>
  <c r="O109" i="4"/>
  <c r="N109" i="4"/>
  <c r="M109" i="4"/>
  <c r="L109" i="4"/>
  <c r="S108" i="4"/>
  <c r="R108" i="4"/>
  <c r="Q108" i="4"/>
  <c r="P108" i="4"/>
  <c r="O108" i="4"/>
  <c r="N108" i="4"/>
  <c r="M108" i="4"/>
  <c r="L108" i="4"/>
  <c r="S107" i="4"/>
  <c r="R107" i="4"/>
  <c r="Q107" i="4"/>
  <c r="P107" i="4"/>
  <c r="O107" i="4"/>
  <c r="N107" i="4"/>
  <c r="M107" i="4"/>
  <c r="L107" i="4"/>
  <c r="S106" i="4"/>
  <c r="R106" i="4"/>
  <c r="Q106" i="4"/>
  <c r="P106" i="4"/>
  <c r="O106" i="4"/>
  <c r="N106" i="4"/>
  <c r="M106" i="4"/>
  <c r="L106" i="4"/>
  <c r="S105" i="4"/>
  <c r="R105" i="4"/>
  <c r="Q105" i="4"/>
  <c r="P105" i="4"/>
  <c r="O105" i="4"/>
  <c r="N105" i="4"/>
  <c r="M105" i="4"/>
  <c r="L105" i="4"/>
  <c r="S104" i="4"/>
  <c r="R104" i="4"/>
  <c r="Q104" i="4"/>
  <c r="P104" i="4"/>
  <c r="O104" i="4"/>
  <c r="N104" i="4"/>
  <c r="M104" i="4"/>
  <c r="L104" i="4"/>
  <c r="S103" i="4"/>
  <c r="R103" i="4"/>
  <c r="Q103" i="4"/>
  <c r="P103" i="4"/>
  <c r="O103" i="4"/>
  <c r="N103" i="4"/>
  <c r="M103" i="4"/>
  <c r="L103" i="4"/>
  <c r="S102" i="4"/>
  <c r="R102" i="4"/>
  <c r="Q102" i="4"/>
  <c r="P102" i="4"/>
  <c r="O102" i="4"/>
  <c r="N102" i="4"/>
  <c r="M102" i="4"/>
  <c r="L102" i="4"/>
  <c r="S101" i="4"/>
  <c r="R101" i="4"/>
  <c r="Q101" i="4"/>
  <c r="P101" i="4"/>
  <c r="O101" i="4"/>
  <c r="N101" i="4"/>
  <c r="M101" i="4"/>
  <c r="L101" i="4"/>
  <c r="S100" i="4"/>
  <c r="R100" i="4"/>
  <c r="Q100" i="4"/>
  <c r="P100" i="4"/>
  <c r="O100" i="4"/>
  <c r="N100" i="4"/>
  <c r="M100" i="4"/>
  <c r="L100" i="4"/>
  <c r="S99" i="4"/>
  <c r="R99" i="4"/>
  <c r="Q99" i="4"/>
  <c r="P99" i="4"/>
  <c r="O99" i="4"/>
  <c r="N99" i="4"/>
  <c r="M99" i="4"/>
  <c r="L99" i="4"/>
  <c r="S98" i="4"/>
  <c r="R98" i="4"/>
  <c r="Q98" i="4"/>
  <c r="P98" i="4"/>
  <c r="O98" i="4"/>
  <c r="N98" i="4"/>
  <c r="M98" i="4"/>
  <c r="L98" i="4"/>
  <c r="S97" i="4"/>
  <c r="R97" i="4"/>
  <c r="Q97" i="4"/>
  <c r="P97" i="4"/>
  <c r="O97" i="4"/>
  <c r="N97" i="4"/>
  <c r="M97" i="4"/>
  <c r="L97" i="4"/>
  <c r="S96" i="4"/>
  <c r="R96" i="4"/>
  <c r="Q96" i="4"/>
  <c r="P96" i="4"/>
  <c r="O96" i="4"/>
  <c r="N96" i="4"/>
  <c r="M96" i="4"/>
  <c r="L96" i="4"/>
  <c r="S95" i="4"/>
  <c r="R95" i="4"/>
  <c r="Q95" i="4"/>
  <c r="P95" i="4"/>
  <c r="O95" i="4"/>
  <c r="N95" i="4"/>
  <c r="M95" i="4"/>
  <c r="L95" i="4"/>
  <c r="S94" i="4"/>
  <c r="R94" i="4"/>
  <c r="Q94" i="4"/>
  <c r="P94" i="4"/>
  <c r="O94" i="4"/>
  <c r="N94" i="4"/>
  <c r="M94" i="4"/>
  <c r="L94" i="4"/>
  <c r="S93" i="4"/>
  <c r="R93" i="4"/>
  <c r="Q93" i="4"/>
  <c r="P93" i="4"/>
  <c r="O93" i="4"/>
  <c r="N93" i="4"/>
  <c r="M93" i="4"/>
  <c r="L93" i="4"/>
  <c r="S92" i="4"/>
  <c r="R92" i="4"/>
  <c r="Q92" i="4"/>
  <c r="P92" i="4"/>
  <c r="O92" i="4"/>
  <c r="N92" i="4"/>
  <c r="M92" i="4"/>
  <c r="L92" i="4"/>
  <c r="S91" i="4"/>
  <c r="R91" i="4"/>
  <c r="Q91" i="4"/>
  <c r="P91" i="4"/>
  <c r="O91" i="4"/>
  <c r="N91" i="4"/>
  <c r="M91" i="4"/>
  <c r="L91" i="4"/>
  <c r="S90" i="4"/>
  <c r="R90" i="4"/>
  <c r="Q90" i="4"/>
  <c r="P90" i="4"/>
  <c r="O90" i="4"/>
  <c r="N90" i="4"/>
  <c r="M90" i="4"/>
  <c r="L90" i="4"/>
  <c r="S89" i="4"/>
  <c r="R89" i="4"/>
  <c r="Q89" i="4"/>
  <c r="P89" i="4"/>
  <c r="O89" i="4"/>
  <c r="N89" i="4"/>
  <c r="M89" i="4"/>
  <c r="L89" i="4"/>
  <c r="S88" i="4"/>
  <c r="R88" i="4"/>
  <c r="Q88" i="4"/>
  <c r="P88" i="4"/>
  <c r="O88" i="4"/>
  <c r="N88" i="4"/>
  <c r="M88" i="4"/>
  <c r="L88" i="4"/>
  <c r="S87" i="4"/>
  <c r="R87" i="4"/>
  <c r="Q87" i="4"/>
  <c r="P87" i="4"/>
  <c r="O87" i="4"/>
  <c r="N87" i="4"/>
  <c r="M87" i="4"/>
  <c r="L87" i="4"/>
  <c r="S86" i="4"/>
  <c r="R86" i="4"/>
  <c r="Q86" i="4"/>
  <c r="P86" i="4"/>
  <c r="O86" i="4"/>
  <c r="N86" i="4"/>
  <c r="M86" i="4"/>
  <c r="L86" i="4"/>
  <c r="S85" i="4"/>
  <c r="R85" i="4"/>
  <c r="Q85" i="4"/>
  <c r="P85" i="4"/>
  <c r="O85" i="4"/>
  <c r="N85" i="4"/>
  <c r="M85" i="4"/>
  <c r="L85" i="4"/>
  <c r="S84" i="4"/>
  <c r="R84" i="4"/>
  <c r="Q84" i="4"/>
  <c r="P84" i="4"/>
  <c r="O84" i="4"/>
  <c r="N84" i="4"/>
  <c r="M84" i="4"/>
  <c r="L84" i="4"/>
  <c r="S83" i="4"/>
  <c r="R83" i="4"/>
  <c r="Q83" i="4"/>
  <c r="P83" i="4"/>
  <c r="O83" i="4"/>
  <c r="N83" i="4"/>
  <c r="M83" i="4"/>
  <c r="L83" i="4"/>
  <c r="S82" i="4"/>
  <c r="R82" i="4"/>
  <c r="Q82" i="4"/>
  <c r="P82" i="4"/>
  <c r="O82" i="4"/>
  <c r="N82" i="4"/>
  <c r="M82" i="4"/>
  <c r="L82" i="4"/>
  <c r="S81" i="4"/>
  <c r="R81" i="4"/>
  <c r="Q81" i="4"/>
  <c r="P81" i="4"/>
  <c r="O81" i="4"/>
  <c r="N81" i="4"/>
  <c r="M81" i="4"/>
  <c r="L81" i="4"/>
  <c r="S80" i="4"/>
  <c r="R80" i="4"/>
  <c r="Q80" i="4"/>
  <c r="P80" i="4"/>
  <c r="O80" i="4"/>
  <c r="N80" i="4"/>
  <c r="M80" i="4"/>
  <c r="L80" i="4"/>
  <c r="S79" i="4"/>
  <c r="R79" i="4"/>
  <c r="Q79" i="4"/>
  <c r="P79" i="4"/>
  <c r="O79" i="4"/>
  <c r="N79" i="4"/>
  <c r="M79" i="4"/>
  <c r="L79" i="4"/>
  <c r="S78" i="4"/>
  <c r="R78" i="4"/>
  <c r="Q78" i="4"/>
  <c r="P78" i="4"/>
  <c r="O78" i="4"/>
  <c r="N78" i="4"/>
  <c r="M78" i="4"/>
  <c r="L78" i="4"/>
  <c r="S77" i="4"/>
  <c r="R77" i="4"/>
  <c r="Q77" i="4"/>
  <c r="P77" i="4"/>
  <c r="O77" i="4"/>
  <c r="N77" i="4"/>
  <c r="M77" i="4"/>
  <c r="L77" i="4"/>
  <c r="S76" i="4"/>
  <c r="R76" i="4"/>
  <c r="Q76" i="4"/>
  <c r="P76" i="4"/>
  <c r="O76" i="4"/>
  <c r="N76" i="4"/>
  <c r="M76" i="4"/>
  <c r="L76" i="4"/>
  <c r="S75" i="4"/>
  <c r="R75" i="4"/>
  <c r="Q75" i="4"/>
  <c r="P75" i="4"/>
  <c r="O75" i="4"/>
  <c r="N75" i="4"/>
  <c r="M75" i="4"/>
  <c r="L75" i="4"/>
  <c r="S74" i="4"/>
  <c r="R74" i="4"/>
  <c r="Q74" i="4"/>
  <c r="P74" i="4"/>
  <c r="O74" i="4"/>
  <c r="N74" i="4"/>
  <c r="M74" i="4"/>
  <c r="L74" i="4"/>
  <c r="S73" i="4"/>
  <c r="R73" i="4"/>
  <c r="Q73" i="4"/>
  <c r="P73" i="4"/>
  <c r="O73" i="4"/>
  <c r="N73" i="4"/>
  <c r="M73" i="4"/>
  <c r="L73" i="4"/>
  <c r="S72" i="4"/>
  <c r="R72" i="4"/>
  <c r="Q72" i="4"/>
  <c r="P72" i="4"/>
  <c r="O72" i="4"/>
  <c r="N72" i="4"/>
  <c r="M72" i="4"/>
  <c r="L72" i="4"/>
  <c r="S71" i="4"/>
  <c r="R71" i="4"/>
  <c r="Q71" i="4"/>
  <c r="P71" i="4"/>
  <c r="O71" i="4"/>
  <c r="N71" i="4"/>
  <c r="M71" i="4"/>
  <c r="L71" i="4"/>
  <c r="S70" i="4"/>
  <c r="R70" i="4"/>
  <c r="Q70" i="4"/>
  <c r="P70" i="4"/>
  <c r="O70" i="4"/>
  <c r="N70" i="4"/>
  <c r="M70" i="4"/>
  <c r="L70" i="4"/>
  <c r="S69" i="4"/>
  <c r="R69" i="4"/>
  <c r="Q69" i="4"/>
  <c r="P69" i="4"/>
  <c r="O69" i="4"/>
  <c r="N69" i="4"/>
  <c r="M69" i="4"/>
  <c r="L69" i="4"/>
  <c r="S68" i="4"/>
  <c r="R68" i="4"/>
  <c r="Q68" i="4"/>
  <c r="P68" i="4"/>
  <c r="O68" i="4"/>
  <c r="N68" i="4"/>
  <c r="M68" i="4"/>
  <c r="L68" i="4"/>
  <c r="S67" i="4"/>
  <c r="R67" i="4"/>
  <c r="Q67" i="4"/>
  <c r="P67" i="4"/>
  <c r="O67" i="4"/>
  <c r="N67" i="4"/>
  <c r="M67" i="4"/>
  <c r="L67" i="4"/>
  <c r="S66" i="4"/>
  <c r="R66" i="4"/>
  <c r="Q66" i="4"/>
  <c r="P66" i="4"/>
  <c r="O66" i="4"/>
  <c r="N66" i="4"/>
  <c r="M66" i="4"/>
  <c r="L66" i="4"/>
  <c r="S65" i="4"/>
  <c r="R65" i="4"/>
  <c r="Q65" i="4"/>
  <c r="P65" i="4"/>
  <c r="O65" i="4"/>
  <c r="N65" i="4"/>
  <c r="M65" i="4"/>
  <c r="L65" i="4"/>
  <c r="S64" i="4"/>
  <c r="R64" i="4"/>
  <c r="Q64" i="4"/>
  <c r="P64" i="4"/>
  <c r="O64" i="4"/>
  <c r="N64" i="4"/>
  <c r="M64" i="4"/>
  <c r="L64" i="4"/>
  <c r="S63" i="4"/>
  <c r="R63" i="4"/>
  <c r="Q63" i="4"/>
  <c r="P63" i="4"/>
  <c r="O63" i="4"/>
  <c r="N63" i="4"/>
  <c r="M63" i="4"/>
  <c r="L63" i="4"/>
  <c r="S62" i="4"/>
  <c r="R62" i="4"/>
  <c r="Q62" i="4"/>
  <c r="P62" i="4"/>
  <c r="O62" i="4"/>
  <c r="N62" i="4"/>
  <c r="M62" i="4"/>
  <c r="L62" i="4"/>
  <c r="S61" i="4"/>
  <c r="R61" i="4"/>
  <c r="Q61" i="4"/>
  <c r="P61" i="4"/>
  <c r="O61" i="4"/>
  <c r="N61" i="4"/>
  <c r="M61" i="4"/>
  <c r="L61" i="4"/>
  <c r="S60" i="4"/>
  <c r="R60" i="4"/>
  <c r="Q60" i="4"/>
  <c r="P60" i="4"/>
  <c r="O60" i="4"/>
  <c r="N60" i="4"/>
  <c r="M60" i="4"/>
  <c r="L60" i="4"/>
  <c r="S59" i="4"/>
  <c r="R59" i="4"/>
  <c r="Q59" i="4"/>
  <c r="P59" i="4"/>
  <c r="O59" i="4"/>
  <c r="N59" i="4"/>
  <c r="M59" i="4"/>
  <c r="L59" i="4"/>
  <c r="S58" i="4"/>
  <c r="R58" i="4"/>
  <c r="Q58" i="4"/>
  <c r="P58" i="4"/>
  <c r="O58" i="4"/>
  <c r="N58" i="4"/>
  <c r="M58" i="4"/>
  <c r="L58" i="4"/>
  <c r="S57" i="4"/>
  <c r="R57" i="4"/>
  <c r="Q57" i="4"/>
  <c r="P57" i="4"/>
  <c r="O57" i="4"/>
  <c r="N57" i="4"/>
  <c r="M57" i="4"/>
  <c r="L57" i="4"/>
  <c r="S56" i="4"/>
  <c r="R56" i="4"/>
  <c r="Q56" i="4"/>
  <c r="P56" i="4"/>
  <c r="O56" i="4"/>
  <c r="N56" i="4"/>
  <c r="M56" i="4"/>
  <c r="L56" i="4"/>
  <c r="S55" i="4"/>
  <c r="R55" i="4"/>
  <c r="Q55" i="4"/>
  <c r="P55" i="4"/>
  <c r="O55" i="4"/>
  <c r="N55" i="4"/>
  <c r="M55" i="4"/>
  <c r="L55" i="4"/>
  <c r="S54" i="4"/>
  <c r="R54" i="4"/>
  <c r="Q54" i="4"/>
  <c r="P54" i="4"/>
  <c r="O54" i="4"/>
  <c r="N54" i="4"/>
  <c r="M54" i="4"/>
  <c r="L54" i="4"/>
  <c r="S53" i="4"/>
  <c r="R53" i="4"/>
  <c r="Q53" i="4"/>
  <c r="P53" i="4"/>
  <c r="O53" i="4"/>
  <c r="N53" i="4"/>
  <c r="M53" i="4"/>
  <c r="L53" i="4"/>
  <c r="S52" i="4"/>
  <c r="R52" i="4"/>
  <c r="Q52" i="4"/>
  <c r="P52" i="4"/>
  <c r="O52" i="4"/>
  <c r="N52" i="4"/>
  <c r="M52" i="4"/>
  <c r="L52" i="4"/>
  <c r="S51" i="4"/>
  <c r="R51" i="4"/>
  <c r="Q51" i="4"/>
  <c r="P51" i="4"/>
  <c r="O51" i="4"/>
  <c r="N51" i="4"/>
  <c r="M51" i="4"/>
  <c r="L51" i="4"/>
  <c r="S50" i="4"/>
  <c r="R50" i="4"/>
  <c r="Q50" i="4"/>
  <c r="P50" i="4"/>
  <c r="O50" i="4"/>
  <c r="N50" i="4"/>
  <c r="M50" i="4"/>
  <c r="L50" i="4"/>
  <c r="S49" i="4"/>
  <c r="R49" i="4"/>
  <c r="Q49" i="4"/>
  <c r="P49" i="4"/>
  <c r="O49" i="4"/>
  <c r="N49" i="4"/>
  <c r="M49" i="4"/>
  <c r="L49" i="4"/>
  <c r="S48" i="4"/>
  <c r="R48" i="4"/>
  <c r="Q48" i="4"/>
  <c r="P48" i="4"/>
  <c r="O48" i="4"/>
  <c r="N48" i="4"/>
  <c r="M48" i="4"/>
  <c r="L48" i="4"/>
  <c r="S47" i="4"/>
  <c r="R47" i="4"/>
  <c r="Q47" i="4"/>
  <c r="P47" i="4"/>
  <c r="O47" i="4"/>
  <c r="N47" i="4"/>
  <c r="M47" i="4"/>
  <c r="L47" i="4"/>
  <c r="S46" i="4"/>
  <c r="R46" i="4"/>
  <c r="Q46" i="4"/>
  <c r="P46" i="4"/>
  <c r="O46" i="4"/>
  <c r="N46" i="4"/>
  <c r="M46" i="4"/>
  <c r="L46" i="4"/>
  <c r="S45" i="4"/>
  <c r="R45" i="4"/>
  <c r="Q45" i="4"/>
  <c r="P45" i="4"/>
  <c r="O45" i="4"/>
  <c r="N45" i="4"/>
  <c r="M45" i="4"/>
  <c r="L45" i="4"/>
  <c r="S44" i="4"/>
  <c r="R44" i="4"/>
  <c r="Q44" i="4"/>
  <c r="P44" i="4"/>
  <c r="O44" i="4"/>
  <c r="N44" i="4"/>
  <c r="M44" i="4"/>
  <c r="L44" i="4"/>
  <c r="S43" i="4"/>
  <c r="R43" i="4"/>
  <c r="Q43" i="4"/>
  <c r="P43" i="4"/>
  <c r="O43" i="4"/>
  <c r="N43" i="4"/>
  <c r="M43" i="4"/>
  <c r="L43" i="4"/>
  <c r="S42" i="4"/>
  <c r="R42" i="4"/>
  <c r="Q42" i="4"/>
  <c r="P42" i="4"/>
  <c r="O42" i="4"/>
  <c r="N42" i="4"/>
  <c r="M42" i="4"/>
  <c r="L42" i="4"/>
  <c r="S41" i="4"/>
  <c r="R41" i="4"/>
  <c r="Q41" i="4"/>
  <c r="P41" i="4"/>
  <c r="O41" i="4"/>
  <c r="N41" i="4"/>
  <c r="M41" i="4"/>
  <c r="L41" i="4"/>
  <c r="S40" i="4"/>
  <c r="R40" i="4"/>
  <c r="Q40" i="4"/>
  <c r="P40" i="4"/>
  <c r="O40" i="4"/>
  <c r="N40" i="4"/>
  <c r="M40" i="4"/>
  <c r="L40" i="4"/>
  <c r="S39" i="4"/>
  <c r="R39" i="4"/>
  <c r="Q39" i="4"/>
  <c r="P39" i="4"/>
  <c r="O39" i="4"/>
  <c r="N39" i="4"/>
  <c r="M39" i="4"/>
  <c r="L39" i="4"/>
  <c r="S38" i="4"/>
  <c r="R38" i="4"/>
  <c r="Q38" i="4"/>
  <c r="P38" i="4"/>
  <c r="O38" i="4"/>
  <c r="N38" i="4"/>
  <c r="M38" i="4"/>
  <c r="L38" i="4"/>
  <c r="S37" i="4"/>
  <c r="R37" i="4"/>
  <c r="Q37" i="4"/>
  <c r="P37" i="4"/>
  <c r="O37" i="4"/>
  <c r="N37" i="4"/>
  <c r="M37" i="4"/>
  <c r="L37" i="4"/>
  <c r="S36" i="4"/>
  <c r="R36" i="4"/>
  <c r="Q36" i="4"/>
  <c r="P36" i="4"/>
  <c r="O36" i="4"/>
  <c r="N36" i="4"/>
  <c r="M36" i="4"/>
  <c r="L36" i="4"/>
  <c r="S35" i="4"/>
  <c r="R35" i="4"/>
  <c r="Q35" i="4"/>
  <c r="P35" i="4"/>
  <c r="O35" i="4"/>
  <c r="N35" i="4"/>
  <c r="M35" i="4"/>
  <c r="L35" i="4"/>
  <c r="S34" i="4"/>
  <c r="R34" i="4"/>
  <c r="Q34" i="4"/>
  <c r="P34" i="4"/>
  <c r="O34" i="4"/>
  <c r="N34" i="4"/>
  <c r="M34" i="4"/>
  <c r="L34" i="4"/>
  <c r="S33" i="4"/>
  <c r="R33" i="4"/>
  <c r="Q33" i="4"/>
  <c r="P33" i="4"/>
  <c r="O33" i="4"/>
  <c r="N33" i="4"/>
  <c r="M33" i="4"/>
  <c r="L33" i="4"/>
  <c r="S32" i="4"/>
  <c r="R32" i="4"/>
  <c r="Q32" i="4"/>
  <c r="P32" i="4"/>
  <c r="O32" i="4"/>
  <c r="N32" i="4"/>
  <c r="M32" i="4"/>
  <c r="L32" i="4"/>
  <c r="S31" i="4"/>
  <c r="R31" i="4"/>
  <c r="Q31" i="4"/>
  <c r="P31" i="4"/>
  <c r="O31" i="4"/>
  <c r="N31" i="4"/>
  <c r="M31" i="4"/>
  <c r="L31" i="4"/>
  <c r="S30" i="4"/>
  <c r="R30" i="4"/>
  <c r="Q30" i="4"/>
  <c r="P30" i="4"/>
  <c r="O30" i="4"/>
  <c r="N30" i="4"/>
  <c r="M30" i="4"/>
  <c r="L30" i="4"/>
  <c r="S29" i="4"/>
  <c r="R29" i="4"/>
  <c r="Q29" i="4"/>
  <c r="P29" i="4"/>
  <c r="O29" i="4"/>
  <c r="N29" i="4"/>
  <c r="M29" i="4"/>
  <c r="L29" i="4"/>
  <c r="S28" i="4"/>
  <c r="R28" i="4"/>
  <c r="Q28" i="4"/>
  <c r="P28" i="4"/>
  <c r="O28" i="4"/>
  <c r="N28" i="4"/>
  <c r="M28" i="4"/>
  <c r="L28" i="4"/>
  <c r="S27" i="4"/>
  <c r="R27" i="4"/>
  <c r="Q27" i="4"/>
  <c r="P27" i="4"/>
  <c r="O27" i="4"/>
  <c r="N27" i="4"/>
  <c r="M27" i="4"/>
  <c r="L27" i="4"/>
  <c r="S26" i="4"/>
  <c r="R26" i="4"/>
  <c r="Q26" i="4"/>
  <c r="P26" i="4"/>
  <c r="O26" i="4"/>
  <c r="N26" i="4"/>
  <c r="M26" i="4"/>
  <c r="L26" i="4"/>
  <c r="S25" i="4"/>
  <c r="R25" i="4"/>
  <c r="Q25" i="4"/>
  <c r="P25" i="4"/>
  <c r="O25" i="4"/>
  <c r="N25" i="4"/>
  <c r="M25" i="4"/>
  <c r="L25" i="4"/>
  <c r="S24" i="4"/>
  <c r="R24" i="4"/>
  <c r="Q24" i="4"/>
  <c r="P24" i="4"/>
  <c r="O24" i="4"/>
  <c r="N24" i="4"/>
  <c r="M24" i="4"/>
  <c r="L24" i="4"/>
  <c r="S23" i="4"/>
  <c r="R23" i="4"/>
  <c r="Q23" i="4"/>
  <c r="P23" i="4"/>
  <c r="O23" i="4"/>
  <c r="N23" i="4"/>
  <c r="M23" i="4"/>
  <c r="L23" i="4"/>
  <c r="S22" i="4"/>
  <c r="R22" i="4"/>
  <c r="Q22" i="4"/>
  <c r="P22" i="4"/>
  <c r="O22" i="4"/>
  <c r="N22" i="4"/>
  <c r="M22" i="4"/>
  <c r="L22" i="4"/>
  <c r="S21" i="4"/>
  <c r="R21" i="4"/>
  <c r="Q21" i="4"/>
  <c r="P21" i="4"/>
  <c r="O21" i="4"/>
  <c r="N21" i="4"/>
  <c r="M21" i="4"/>
  <c r="L21" i="4"/>
  <c r="S20" i="4"/>
  <c r="R20" i="4"/>
  <c r="Q20" i="4"/>
  <c r="P20" i="4"/>
  <c r="O20" i="4"/>
  <c r="N20" i="4"/>
  <c r="M20" i="4"/>
  <c r="L20" i="4"/>
  <c r="S19" i="4"/>
  <c r="R19" i="4"/>
  <c r="Q19" i="4"/>
  <c r="P19" i="4"/>
  <c r="O19" i="4"/>
  <c r="N19" i="4"/>
  <c r="M19" i="4"/>
  <c r="L19" i="4"/>
  <c r="S18" i="4"/>
  <c r="R18" i="4"/>
  <c r="Q18" i="4"/>
  <c r="P18" i="4"/>
  <c r="O18" i="4"/>
  <c r="N18" i="4"/>
  <c r="M18" i="4"/>
  <c r="L18" i="4"/>
  <c r="S17" i="4"/>
  <c r="R17" i="4"/>
  <c r="Q17" i="4"/>
  <c r="P17" i="4"/>
  <c r="O17" i="4"/>
  <c r="N17" i="4"/>
  <c r="M17" i="4"/>
  <c r="L17" i="4"/>
  <c r="S16" i="4"/>
  <c r="R16" i="4"/>
  <c r="Q16" i="4"/>
  <c r="P16" i="4"/>
  <c r="O16" i="4"/>
  <c r="N16" i="4"/>
  <c r="M16" i="4"/>
  <c r="L16" i="4"/>
  <c r="S15" i="4"/>
  <c r="R15" i="4"/>
  <c r="Q15" i="4"/>
  <c r="P15" i="4"/>
  <c r="O15" i="4"/>
  <c r="N15" i="4"/>
  <c r="M15" i="4"/>
  <c r="L15" i="4"/>
  <c r="S14" i="4"/>
  <c r="R14" i="4"/>
  <c r="Q14" i="4"/>
  <c r="P14" i="4"/>
  <c r="O14" i="4"/>
  <c r="N14" i="4"/>
  <c r="M14" i="4"/>
  <c r="L14" i="4"/>
  <c r="S13" i="4"/>
  <c r="R13" i="4"/>
  <c r="Q13" i="4"/>
  <c r="P13" i="4"/>
  <c r="O13" i="4"/>
  <c r="N13" i="4"/>
  <c r="M13" i="4"/>
  <c r="L13" i="4"/>
  <c r="S12" i="4"/>
  <c r="R12" i="4"/>
  <c r="Q12" i="4"/>
  <c r="P12" i="4"/>
  <c r="O12" i="4"/>
  <c r="N12" i="4"/>
  <c r="M12" i="4"/>
  <c r="L12" i="4"/>
  <c r="S11" i="4"/>
  <c r="R11" i="4"/>
  <c r="Q11" i="4"/>
  <c r="P11" i="4"/>
  <c r="O11" i="4"/>
  <c r="N11" i="4"/>
  <c r="M11" i="4"/>
  <c r="L11" i="4"/>
  <c r="S10" i="4"/>
  <c r="R10" i="4"/>
  <c r="Q10" i="4"/>
  <c r="P10" i="4"/>
  <c r="O10" i="4"/>
  <c r="N10" i="4"/>
  <c r="M10" i="4"/>
  <c r="L10" i="4"/>
  <c r="S9" i="4"/>
  <c r="R9" i="4"/>
  <c r="Q9" i="4"/>
  <c r="P9" i="4"/>
  <c r="O9" i="4"/>
  <c r="N9" i="4"/>
  <c r="M9" i="4"/>
  <c r="L9" i="4"/>
  <c r="S8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S6" i="4"/>
  <c r="R6" i="4"/>
  <c r="Q6" i="4"/>
  <c r="P6" i="4"/>
  <c r="O6" i="4"/>
  <c r="N6" i="4"/>
  <c r="M6" i="4"/>
  <c r="L6" i="4"/>
  <c r="S5" i="4"/>
  <c r="R5" i="4"/>
  <c r="Q5" i="4"/>
  <c r="P5" i="4"/>
  <c r="O5" i="4"/>
  <c r="N5" i="4"/>
  <c r="M5" i="4"/>
  <c r="L5" i="4"/>
  <c r="S4" i="4"/>
  <c r="R4" i="4"/>
  <c r="Q4" i="4"/>
  <c r="P4" i="4"/>
  <c r="O4" i="4"/>
  <c r="N4" i="4"/>
  <c r="M4" i="4"/>
  <c r="L4" i="4"/>
  <c r="S3" i="4"/>
  <c r="R3" i="4"/>
  <c r="Z3" i="4" s="1"/>
  <c r="Q3" i="4"/>
  <c r="P3" i="4"/>
  <c r="O3" i="4"/>
  <c r="N3" i="4"/>
  <c r="M3" i="4"/>
  <c r="U3" i="4" s="1"/>
  <c r="L3" i="4"/>
  <c r="AB2" i="4"/>
  <c r="X2" i="4"/>
  <c r="S2" i="4"/>
  <c r="AA2" i="4" s="1"/>
  <c r="R2" i="4"/>
  <c r="Z2" i="4" s="1"/>
  <c r="Q2" i="4"/>
  <c r="Y2" i="4" s="1"/>
  <c r="Y3" i="4" s="1"/>
  <c r="P2" i="4"/>
  <c r="O2" i="4"/>
  <c r="W2" i="4" s="1"/>
  <c r="N2" i="4"/>
  <c r="V2" i="4" s="1"/>
  <c r="V3" i="4" s="1"/>
  <c r="V4" i="4" s="1"/>
  <c r="M2" i="4"/>
  <c r="U2" i="4" s="1"/>
  <c r="L2" i="4"/>
  <c r="T2" i="4" s="1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B248" i="3" s="1"/>
  <c r="AB249" i="3" s="1"/>
  <c r="AB250" i="3" s="1"/>
  <c r="AB251" i="3" s="1"/>
  <c r="AB252" i="3" s="1"/>
  <c r="AB253" i="3" s="1"/>
  <c r="AB254" i="3" s="1"/>
  <c r="AB255" i="3" s="1"/>
  <c r="AB256" i="3" s="1"/>
  <c r="AB257" i="3" s="1"/>
  <c r="AB258" i="3" s="1"/>
  <c r="AB259" i="3" s="1"/>
  <c r="AB260" i="3" s="1"/>
  <c r="AB261" i="3" s="1"/>
  <c r="AB262" i="3" s="1"/>
  <c r="AB263" i="3" s="1"/>
  <c r="AB264" i="3" s="1"/>
  <c r="AB265" i="3" s="1"/>
  <c r="AB266" i="3" s="1"/>
  <c r="AB267" i="3" s="1"/>
  <c r="AB268" i="3" s="1"/>
  <c r="AB269" i="3" s="1"/>
  <c r="AB270" i="3" s="1"/>
  <c r="AB271" i="3" s="1"/>
  <c r="AB272" i="3" s="1"/>
  <c r="AB273" i="3" s="1"/>
  <c r="AB274" i="3" s="1"/>
  <c r="AB275" i="3" s="1"/>
  <c r="AB276" i="3" s="1"/>
  <c r="AB277" i="3" s="1"/>
  <c r="AB278" i="3" s="1"/>
  <c r="AB3" i="3"/>
  <c r="AB2" i="3"/>
  <c r="X67" i="3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45" i="3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AA23" i="3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AA260" i="3" s="1"/>
  <c r="AA261" i="3" s="1"/>
  <c r="AA262" i="3" s="1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AA273" i="3" s="1"/>
  <c r="AA274" i="3" s="1"/>
  <c r="AA275" i="3" s="1"/>
  <c r="AA276" i="3" s="1"/>
  <c r="AA277" i="3" s="1"/>
  <c r="AA278" i="3" s="1"/>
  <c r="W18" i="3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W268" i="3" s="1"/>
  <c r="W269" i="3" s="1"/>
  <c r="W270" i="3" s="1"/>
  <c r="W271" i="3" s="1"/>
  <c r="W272" i="3" s="1"/>
  <c r="W273" i="3" s="1"/>
  <c r="W274" i="3" s="1"/>
  <c r="W275" i="3" s="1"/>
  <c r="W276" i="3" s="1"/>
  <c r="W277" i="3" s="1"/>
  <c r="W278" i="3" s="1"/>
  <c r="Z17" i="3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Z258" i="3" s="1"/>
  <c r="Z259" i="3" s="1"/>
  <c r="Z260" i="3" s="1"/>
  <c r="Z261" i="3" s="1"/>
  <c r="Z262" i="3" s="1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75" i="3" s="1"/>
  <c r="Z276" i="3" s="1"/>
  <c r="Z277" i="3" s="1"/>
  <c r="Z278" i="3" s="1"/>
  <c r="AA16" i="3"/>
  <c r="AA17" i="3" s="1"/>
  <c r="AA18" i="3" s="1"/>
  <c r="AA19" i="3" s="1"/>
  <c r="AA20" i="3" s="1"/>
  <c r="AA21" i="3" s="1"/>
  <c r="AA22" i="3" s="1"/>
  <c r="Z15" i="3"/>
  <c r="Z16" i="3" s="1"/>
  <c r="W15" i="3"/>
  <c r="W16" i="3" s="1"/>
  <c r="W17" i="3" s="1"/>
  <c r="AA14" i="3"/>
  <c r="AA15" i="3" s="1"/>
  <c r="Z14" i="3"/>
  <c r="Y14" i="3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Y248" i="3" s="1"/>
  <c r="Y249" i="3" s="1"/>
  <c r="Y250" i="3" s="1"/>
  <c r="Y251" i="3" s="1"/>
  <c r="Y252" i="3" s="1"/>
  <c r="Y253" i="3" s="1"/>
  <c r="Y254" i="3" s="1"/>
  <c r="Y255" i="3" s="1"/>
  <c r="Y256" i="3" s="1"/>
  <c r="Y257" i="3" s="1"/>
  <c r="Y258" i="3" s="1"/>
  <c r="Y259" i="3" s="1"/>
  <c r="Y260" i="3" s="1"/>
  <c r="Y261" i="3" s="1"/>
  <c r="Y262" i="3" s="1"/>
  <c r="Y263" i="3" s="1"/>
  <c r="Y264" i="3" s="1"/>
  <c r="Y265" i="3" s="1"/>
  <c r="Y266" i="3" s="1"/>
  <c r="Y267" i="3" s="1"/>
  <c r="Y268" i="3" s="1"/>
  <c r="Y269" i="3" s="1"/>
  <c r="Y270" i="3" s="1"/>
  <c r="Y271" i="3" s="1"/>
  <c r="Y272" i="3" s="1"/>
  <c r="Y273" i="3" s="1"/>
  <c r="Y274" i="3" s="1"/>
  <c r="Y275" i="3" s="1"/>
  <c r="Y276" i="3" s="1"/>
  <c r="Y277" i="3" s="1"/>
  <c r="Y278" i="3" s="1"/>
  <c r="X14" i="3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W14" i="3"/>
  <c r="V14" i="3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V255" i="3" s="1"/>
  <c r="V256" i="3" s="1"/>
  <c r="V257" i="3" s="1"/>
  <c r="V258" i="3" s="1"/>
  <c r="V259" i="3" s="1"/>
  <c r="V260" i="3" s="1"/>
  <c r="V261" i="3" s="1"/>
  <c r="V262" i="3" s="1"/>
  <c r="V263" i="3" s="1"/>
  <c r="V264" i="3" s="1"/>
  <c r="V265" i="3" s="1"/>
  <c r="V266" i="3" s="1"/>
  <c r="V267" i="3" s="1"/>
  <c r="V268" i="3" s="1"/>
  <c r="V269" i="3" s="1"/>
  <c r="V270" i="3" s="1"/>
  <c r="V271" i="3" s="1"/>
  <c r="V272" i="3" s="1"/>
  <c r="V273" i="3" s="1"/>
  <c r="V274" i="3" s="1"/>
  <c r="V275" i="3" s="1"/>
  <c r="V276" i="3" s="1"/>
  <c r="V277" i="3" s="1"/>
  <c r="V278" i="3" s="1"/>
  <c r="U14" i="3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T14" i="3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AA7" i="3"/>
  <c r="AA8" i="3" s="1"/>
  <c r="AA9" i="3" s="1"/>
  <c r="AA10" i="3" s="1"/>
  <c r="AA11" i="3" s="1"/>
  <c r="AA12" i="3" s="1"/>
  <c r="AA13" i="3" s="1"/>
  <c r="AA6" i="3"/>
  <c r="AA5" i="3"/>
  <c r="Z5" i="3"/>
  <c r="Z6" i="3" s="1"/>
  <c r="Z7" i="3" s="1"/>
  <c r="Z8" i="3" s="1"/>
  <c r="Z9" i="3" s="1"/>
  <c r="Z10" i="3" s="1"/>
  <c r="Z11" i="3" s="1"/>
  <c r="Z12" i="3" s="1"/>
  <c r="Z13" i="3" s="1"/>
  <c r="Y5" i="3"/>
  <c r="Y6" i="3" s="1"/>
  <c r="Y7" i="3" s="1"/>
  <c r="Y8" i="3" s="1"/>
  <c r="Y9" i="3" s="1"/>
  <c r="Y10" i="3" s="1"/>
  <c r="Y11" i="3" s="1"/>
  <c r="Y12" i="3" s="1"/>
  <c r="Y13" i="3" s="1"/>
  <c r="X5" i="3"/>
  <c r="X6" i="3" s="1"/>
  <c r="X7" i="3" s="1"/>
  <c r="X8" i="3" s="1"/>
  <c r="X9" i="3" s="1"/>
  <c r="X10" i="3" s="1"/>
  <c r="X11" i="3" s="1"/>
  <c r="X12" i="3" s="1"/>
  <c r="X13" i="3" s="1"/>
  <c r="W5" i="3"/>
  <c r="W6" i="3" s="1"/>
  <c r="W7" i="3" s="1"/>
  <c r="W8" i="3" s="1"/>
  <c r="W9" i="3" s="1"/>
  <c r="W10" i="3" s="1"/>
  <c r="W11" i="3" s="1"/>
  <c r="W12" i="3" s="1"/>
  <c r="W13" i="3" s="1"/>
  <c r="V5" i="3"/>
  <c r="V6" i="3" s="1"/>
  <c r="V7" i="3" s="1"/>
  <c r="V8" i="3" s="1"/>
  <c r="V9" i="3" s="1"/>
  <c r="V10" i="3" s="1"/>
  <c r="V11" i="3" s="1"/>
  <c r="V12" i="3" s="1"/>
  <c r="V13" i="3" s="1"/>
  <c r="AA3" i="3"/>
  <c r="AA4" i="3" s="1"/>
  <c r="Z3" i="3"/>
  <c r="Z4" i="3" s="1"/>
  <c r="Y3" i="3"/>
  <c r="Y4" i="3" s="1"/>
  <c r="X3" i="3"/>
  <c r="X4" i="3" s="1"/>
  <c r="W3" i="3"/>
  <c r="W4" i="3" s="1"/>
  <c r="V3" i="3"/>
  <c r="V4" i="3" s="1"/>
  <c r="U4" i="3"/>
  <c r="U5" i="3" s="1"/>
  <c r="U6" i="3" s="1"/>
  <c r="U7" i="3" s="1"/>
  <c r="U8" i="3" s="1"/>
  <c r="U9" i="3" s="1"/>
  <c r="U10" i="3" s="1"/>
  <c r="U11" i="3" s="1"/>
  <c r="U12" i="3" s="1"/>
  <c r="U13" i="3" s="1"/>
  <c r="U3" i="3"/>
  <c r="AA2" i="3"/>
  <c r="Z2" i="3"/>
  <c r="Y2" i="3"/>
  <c r="X2" i="3"/>
  <c r="W2" i="3"/>
  <c r="V2" i="3"/>
  <c r="U2" i="3"/>
  <c r="T6" i="3"/>
  <c r="T7" i="3" s="1"/>
  <c r="T8" i="3" s="1"/>
  <c r="T9" i="3" s="1"/>
  <c r="T10" i="3" s="1"/>
  <c r="T11" i="3" s="1"/>
  <c r="T12" i="3" s="1"/>
  <c r="T13" i="3" s="1"/>
  <c r="T5" i="3"/>
  <c r="T4" i="3"/>
  <c r="T3" i="3"/>
  <c r="T2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2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U2" i="5" l="1"/>
  <c r="T3" i="5"/>
  <c r="X6" i="5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AA7" i="5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AA96" i="5" s="1"/>
  <c r="AA97" i="5" s="1"/>
  <c r="AA98" i="5" s="1"/>
  <c r="AA99" i="5" s="1"/>
  <c r="AA100" i="5" s="1"/>
  <c r="AA101" i="5" s="1"/>
  <c r="AA102" i="5" s="1"/>
  <c r="AA103" i="5" s="1"/>
  <c r="AA104" i="5" s="1"/>
  <c r="AA105" i="5" s="1"/>
  <c r="AA106" i="5" s="1"/>
  <c r="AA107" i="5" s="1"/>
  <c r="AA108" i="5" s="1"/>
  <c r="AA109" i="5" s="1"/>
  <c r="AA110" i="5" s="1"/>
  <c r="AA111" i="5" s="1"/>
  <c r="AA112" i="5" s="1"/>
  <c r="AA113" i="5" s="1"/>
  <c r="AA114" i="5" s="1"/>
  <c r="AA115" i="5" s="1"/>
  <c r="AA116" i="5" s="1"/>
  <c r="AA117" i="5" s="1"/>
  <c r="AA118" i="5" s="1"/>
  <c r="AA119" i="5" s="1"/>
  <c r="AA120" i="5" s="1"/>
  <c r="AA121" i="5" s="1"/>
  <c r="AA122" i="5" s="1"/>
  <c r="AA123" i="5" s="1"/>
  <c r="AA124" i="5" s="1"/>
  <c r="AA125" i="5" s="1"/>
  <c r="AA126" i="5" s="1"/>
  <c r="AA127" i="5" s="1"/>
  <c r="AA128" i="5" s="1"/>
  <c r="AA129" i="5" s="1"/>
  <c r="AA130" i="5" s="1"/>
  <c r="AA131" i="5" s="1"/>
  <c r="AA132" i="5" s="1"/>
  <c r="AA133" i="5" s="1"/>
  <c r="AA134" i="5" s="1"/>
  <c r="AA135" i="5" s="1"/>
  <c r="AA136" i="5" s="1"/>
  <c r="AA137" i="5" s="1"/>
  <c r="AA138" i="5" s="1"/>
  <c r="AA139" i="5" s="1"/>
  <c r="AA140" i="5" s="1"/>
  <c r="AA141" i="5" s="1"/>
  <c r="AA142" i="5" s="1"/>
  <c r="AA143" i="5" s="1"/>
  <c r="AA144" i="5" s="1"/>
  <c r="AA145" i="5" s="1"/>
  <c r="AA146" i="5" s="1"/>
  <c r="AA147" i="5" s="1"/>
  <c r="AA148" i="5" s="1"/>
  <c r="AA149" i="5" s="1"/>
  <c r="AA150" i="5" s="1"/>
  <c r="AA151" i="5" s="1"/>
  <c r="AA152" i="5" s="1"/>
  <c r="AA153" i="5" s="1"/>
  <c r="AA154" i="5" s="1"/>
  <c r="AA155" i="5" s="1"/>
  <c r="AA156" i="5" s="1"/>
  <c r="AA157" i="5" s="1"/>
  <c r="AA158" i="5" s="1"/>
  <c r="AA159" i="5" s="1"/>
  <c r="AA160" i="5" s="1"/>
  <c r="AA161" i="5" s="1"/>
  <c r="AA162" i="5" s="1"/>
  <c r="AA163" i="5" s="1"/>
  <c r="AA164" i="5" s="1"/>
  <c r="AA165" i="5" s="1"/>
  <c r="AA166" i="5" s="1"/>
  <c r="AA167" i="5" s="1"/>
  <c r="AA168" i="5" s="1"/>
  <c r="AA169" i="5" s="1"/>
  <c r="AA170" i="5" s="1"/>
  <c r="AA171" i="5" s="1"/>
  <c r="AA172" i="5" s="1"/>
  <c r="AA173" i="5" s="1"/>
  <c r="AA174" i="5" s="1"/>
  <c r="AA175" i="5" s="1"/>
  <c r="AA176" i="5" s="1"/>
  <c r="AA177" i="5" s="1"/>
  <c r="AA178" i="5" s="1"/>
  <c r="AA179" i="5" s="1"/>
  <c r="AA180" i="5" s="1"/>
  <c r="AA181" i="5" s="1"/>
  <c r="AA182" i="5" s="1"/>
  <c r="AA183" i="5" s="1"/>
  <c r="AA184" i="5" s="1"/>
  <c r="AA185" i="5" s="1"/>
  <c r="AA186" i="5" s="1"/>
  <c r="AA187" i="5" s="1"/>
  <c r="AA188" i="5" s="1"/>
  <c r="AA189" i="5" s="1"/>
  <c r="AA190" i="5" s="1"/>
  <c r="AA191" i="5" s="1"/>
  <c r="AA192" i="5" s="1"/>
  <c r="AA193" i="5" s="1"/>
  <c r="AA194" i="5" s="1"/>
  <c r="AA195" i="5" s="1"/>
  <c r="AA196" i="5" s="1"/>
  <c r="AA197" i="5" s="1"/>
  <c r="AA198" i="5" s="1"/>
  <c r="AA199" i="5" s="1"/>
  <c r="AA200" i="5" s="1"/>
  <c r="AA201" i="5" s="1"/>
  <c r="AA202" i="5" s="1"/>
  <c r="AA203" i="5" s="1"/>
  <c r="AA204" i="5" s="1"/>
  <c r="AA205" i="5" s="1"/>
  <c r="AA206" i="5" s="1"/>
  <c r="AA207" i="5" s="1"/>
  <c r="AA208" i="5" s="1"/>
  <c r="AA209" i="5" s="1"/>
  <c r="AA210" i="5" s="1"/>
  <c r="AA211" i="5" s="1"/>
  <c r="AA212" i="5" s="1"/>
  <c r="AA213" i="5" s="1"/>
  <c r="AA214" i="5" s="1"/>
  <c r="AA215" i="5" s="1"/>
  <c r="AA216" i="5" s="1"/>
  <c r="AA217" i="5" s="1"/>
  <c r="AA218" i="5" s="1"/>
  <c r="AA219" i="5" s="1"/>
  <c r="AA220" i="5" s="1"/>
  <c r="AA221" i="5" s="1"/>
  <c r="AA222" i="5" s="1"/>
  <c r="AA223" i="5" s="1"/>
  <c r="AA224" i="5" s="1"/>
  <c r="AA225" i="5" s="1"/>
  <c r="AA226" i="5" s="1"/>
  <c r="AA227" i="5" s="1"/>
  <c r="AA228" i="5" s="1"/>
  <c r="AA229" i="5" s="1"/>
  <c r="AA230" i="5" s="1"/>
  <c r="AA231" i="5" s="1"/>
  <c r="AA232" i="5" s="1"/>
  <c r="AA233" i="5" s="1"/>
  <c r="AA234" i="5" s="1"/>
  <c r="AA235" i="5" s="1"/>
  <c r="AA236" i="5" s="1"/>
  <c r="AA237" i="5" s="1"/>
  <c r="AA238" i="5" s="1"/>
  <c r="AA239" i="5" s="1"/>
  <c r="AA240" i="5" s="1"/>
  <c r="AA241" i="5" s="1"/>
  <c r="AA242" i="5" s="1"/>
  <c r="AA243" i="5" s="1"/>
  <c r="AA244" i="5" s="1"/>
  <c r="AA245" i="5" s="1"/>
  <c r="AA246" i="5" s="1"/>
  <c r="AA247" i="5" s="1"/>
  <c r="AA248" i="5" s="1"/>
  <c r="AA249" i="5" s="1"/>
  <c r="AA250" i="5" s="1"/>
  <c r="AA251" i="5" s="1"/>
  <c r="AA252" i="5" s="1"/>
  <c r="AA253" i="5" s="1"/>
  <c r="AA254" i="5" s="1"/>
  <c r="AA255" i="5" s="1"/>
  <c r="AA256" i="5" s="1"/>
  <c r="AA257" i="5" s="1"/>
  <c r="AA258" i="5" s="1"/>
  <c r="AA259" i="5" s="1"/>
  <c r="AA260" i="5" s="1"/>
  <c r="AA261" i="5" s="1"/>
  <c r="AA262" i="5" s="1"/>
  <c r="AA263" i="5" s="1"/>
  <c r="AA264" i="5" s="1"/>
  <c r="AA265" i="5" s="1"/>
  <c r="AA266" i="5" s="1"/>
  <c r="AA267" i="5" s="1"/>
  <c r="AA268" i="5" s="1"/>
  <c r="AA269" i="5" s="1"/>
  <c r="AA270" i="5" s="1"/>
  <c r="AA271" i="5" s="1"/>
  <c r="AA272" i="5" s="1"/>
  <c r="AA273" i="5" s="1"/>
  <c r="AA274" i="5" s="1"/>
  <c r="AA275" i="5" s="1"/>
  <c r="AA276" i="5" s="1"/>
  <c r="AA277" i="5" s="1"/>
  <c r="AA278" i="5" s="1"/>
  <c r="Z3" i="5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AA6" i="5"/>
  <c r="T4" i="5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W3" i="5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X7" i="5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V3" i="5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Z4" i="4"/>
  <c r="Z5" i="4" s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AA3" i="4"/>
  <c r="AA4" i="4" s="1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AA36" i="4" s="1"/>
  <c r="AA37" i="4" s="1"/>
  <c r="AA38" i="4" s="1"/>
  <c r="AA39" i="4" s="1"/>
  <c r="AA40" i="4" s="1"/>
  <c r="AA41" i="4" s="1"/>
  <c r="AA42" i="4" s="1"/>
  <c r="AA43" i="4" s="1"/>
  <c r="AA44" i="4" s="1"/>
  <c r="AA45" i="4" s="1"/>
  <c r="AA46" i="4" s="1"/>
  <c r="AA47" i="4" s="1"/>
  <c r="AA48" i="4" s="1"/>
  <c r="AA49" i="4" s="1"/>
  <c r="AA50" i="4" s="1"/>
  <c r="AA51" i="4" s="1"/>
  <c r="AA52" i="4" s="1"/>
  <c r="AA53" i="4" s="1"/>
  <c r="AA54" i="4" s="1"/>
  <c r="AA55" i="4" s="1"/>
  <c r="AA56" i="4" s="1"/>
  <c r="AA57" i="4" s="1"/>
  <c r="AA58" i="4" s="1"/>
  <c r="AA59" i="4" s="1"/>
  <c r="AA60" i="4" s="1"/>
  <c r="AA61" i="4" s="1"/>
  <c r="AA62" i="4" s="1"/>
  <c r="AA63" i="4" s="1"/>
  <c r="AA64" i="4" s="1"/>
  <c r="AA65" i="4" s="1"/>
  <c r="AA66" i="4" s="1"/>
  <c r="AA67" i="4" s="1"/>
  <c r="AA68" i="4" s="1"/>
  <c r="AA69" i="4" s="1"/>
  <c r="AA70" i="4" s="1"/>
  <c r="AA71" i="4" s="1"/>
  <c r="AA72" i="4" s="1"/>
  <c r="AA73" i="4" s="1"/>
  <c r="AA74" i="4" s="1"/>
  <c r="AA75" i="4" s="1"/>
  <c r="AA76" i="4" s="1"/>
  <c r="AA77" i="4" s="1"/>
  <c r="AA78" i="4" s="1"/>
  <c r="AA79" i="4" s="1"/>
  <c r="AA80" i="4" s="1"/>
  <c r="AA81" i="4" s="1"/>
  <c r="AA82" i="4" s="1"/>
  <c r="AA83" i="4" s="1"/>
  <c r="AA84" i="4" s="1"/>
  <c r="AA85" i="4" s="1"/>
  <c r="AA86" i="4" s="1"/>
  <c r="AA87" i="4" s="1"/>
  <c r="AA88" i="4" s="1"/>
  <c r="AA89" i="4" s="1"/>
  <c r="AA90" i="4" s="1"/>
  <c r="AA91" i="4" s="1"/>
  <c r="AA92" i="4" s="1"/>
  <c r="AA93" i="4" s="1"/>
  <c r="AA94" i="4" s="1"/>
  <c r="AA95" i="4" s="1"/>
  <c r="AA96" i="4" s="1"/>
  <c r="AA97" i="4" s="1"/>
  <c r="AA98" i="4" s="1"/>
  <c r="AA99" i="4" s="1"/>
  <c r="AA100" i="4" s="1"/>
  <c r="AA101" i="4" s="1"/>
  <c r="AA102" i="4" s="1"/>
  <c r="AA103" i="4" s="1"/>
  <c r="AA104" i="4" s="1"/>
  <c r="AA105" i="4" s="1"/>
  <c r="AA106" i="4" s="1"/>
  <c r="AA107" i="4" s="1"/>
  <c r="AA108" i="4" s="1"/>
  <c r="AA109" i="4" s="1"/>
  <c r="AA110" i="4" s="1"/>
  <c r="AA111" i="4" s="1"/>
  <c r="AA112" i="4" s="1"/>
  <c r="AA113" i="4" s="1"/>
  <c r="AA114" i="4" s="1"/>
  <c r="AA115" i="4" s="1"/>
  <c r="AA116" i="4" s="1"/>
  <c r="AA117" i="4" s="1"/>
  <c r="AA118" i="4" s="1"/>
  <c r="AA119" i="4" s="1"/>
  <c r="AA120" i="4" s="1"/>
  <c r="AA121" i="4" s="1"/>
  <c r="AA122" i="4" s="1"/>
  <c r="AA123" i="4" s="1"/>
  <c r="AA124" i="4" s="1"/>
  <c r="AA125" i="4" s="1"/>
  <c r="AA126" i="4" s="1"/>
  <c r="AA127" i="4" s="1"/>
  <c r="AA128" i="4" s="1"/>
  <c r="AA129" i="4" s="1"/>
  <c r="AA130" i="4" s="1"/>
  <c r="AA131" i="4" s="1"/>
  <c r="AA132" i="4" s="1"/>
  <c r="AA133" i="4" s="1"/>
  <c r="AA134" i="4" s="1"/>
  <c r="AA135" i="4" s="1"/>
  <c r="AA136" i="4" s="1"/>
  <c r="AA137" i="4" s="1"/>
  <c r="AA138" i="4" s="1"/>
  <c r="AA139" i="4" s="1"/>
  <c r="AA140" i="4" s="1"/>
  <c r="AA141" i="4" s="1"/>
  <c r="AA142" i="4" s="1"/>
  <c r="AA143" i="4" s="1"/>
  <c r="AA144" i="4" s="1"/>
  <c r="AA145" i="4" s="1"/>
  <c r="AA146" i="4" s="1"/>
  <c r="AA147" i="4" s="1"/>
  <c r="AA148" i="4" s="1"/>
  <c r="AA149" i="4" s="1"/>
  <c r="AA150" i="4" s="1"/>
  <c r="AA151" i="4" s="1"/>
  <c r="AA152" i="4" s="1"/>
  <c r="AA153" i="4" s="1"/>
  <c r="AA154" i="4" s="1"/>
  <c r="AA155" i="4" s="1"/>
  <c r="AA156" i="4" s="1"/>
  <c r="AA157" i="4" s="1"/>
  <c r="AA158" i="4" s="1"/>
  <c r="AA159" i="4" s="1"/>
  <c r="AA160" i="4" s="1"/>
  <c r="AA161" i="4" s="1"/>
  <c r="AA162" i="4" s="1"/>
  <c r="AA163" i="4" s="1"/>
  <c r="AA164" i="4" s="1"/>
  <c r="AA165" i="4" s="1"/>
  <c r="AA166" i="4" s="1"/>
  <c r="AA167" i="4" s="1"/>
  <c r="AA168" i="4" s="1"/>
  <c r="AA169" i="4" s="1"/>
  <c r="AA170" i="4" s="1"/>
  <c r="AA171" i="4" s="1"/>
  <c r="AA172" i="4" s="1"/>
  <c r="AA173" i="4" s="1"/>
  <c r="AA174" i="4" s="1"/>
  <c r="AA175" i="4" s="1"/>
  <c r="AA176" i="4" s="1"/>
  <c r="AA177" i="4" s="1"/>
  <c r="AA178" i="4" s="1"/>
  <c r="AA179" i="4" s="1"/>
  <c r="AA180" i="4" s="1"/>
  <c r="AA181" i="4" s="1"/>
  <c r="AA182" i="4" s="1"/>
  <c r="AA183" i="4" s="1"/>
  <c r="AA184" i="4" s="1"/>
  <c r="AA185" i="4" s="1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AA196" i="4" s="1"/>
  <c r="AA197" i="4" s="1"/>
  <c r="AA198" i="4" s="1"/>
  <c r="AA199" i="4" s="1"/>
  <c r="AA200" i="4" s="1"/>
  <c r="AA201" i="4" s="1"/>
  <c r="AA202" i="4" s="1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AA236" i="4" s="1"/>
  <c r="AA237" i="4" s="1"/>
  <c r="AA238" i="4" s="1"/>
  <c r="AA239" i="4" s="1"/>
  <c r="AA240" i="4" s="1"/>
  <c r="AA241" i="4" s="1"/>
  <c r="AA242" i="4" s="1"/>
  <c r="AA243" i="4" s="1"/>
  <c r="AA244" i="4" s="1"/>
  <c r="AA245" i="4" s="1"/>
  <c r="AA246" i="4" s="1"/>
  <c r="AA247" i="4" s="1"/>
  <c r="AA248" i="4" s="1"/>
  <c r="AA249" i="4" s="1"/>
  <c r="AA250" i="4" s="1"/>
  <c r="AA251" i="4" s="1"/>
  <c r="AA252" i="4" s="1"/>
  <c r="AA253" i="4" s="1"/>
  <c r="AA254" i="4" s="1"/>
  <c r="AA255" i="4" s="1"/>
  <c r="AA256" i="4" s="1"/>
  <c r="AA257" i="4" s="1"/>
  <c r="AA258" i="4" s="1"/>
  <c r="AA259" i="4" s="1"/>
  <c r="AA260" i="4" s="1"/>
  <c r="AA261" i="4" s="1"/>
  <c r="AA262" i="4" s="1"/>
  <c r="AA263" i="4" s="1"/>
  <c r="AA264" i="4" s="1"/>
  <c r="AA265" i="4" s="1"/>
  <c r="AA266" i="4" s="1"/>
  <c r="AA267" i="4" s="1"/>
  <c r="AA268" i="4" s="1"/>
  <c r="AA269" i="4" s="1"/>
  <c r="AA270" i="4" s="1"/>
  <c r="AA271" i="4" s="1"/>
  <c r="AA272" i="4" s="1"/>
  <c r="AA273" i="4" s="1"/>
  <c r="AA274" i="4" s="1"/>
  <c r="AA275" i="4" s="1"/>
  <c r="AA276" i="4" s="1"/>
  <c r="AA277" i="4" s="1"/>
  <c r="AA278" i="4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U10" i="4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Z6" i="4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T256" i="4" s="1"/>
  <c r="T257" i="4" s="1"/>
  <c r="T258" i="4" s="1"/>
  <c r="T259" i="4" s="1"/>
  <c r="T260" i="4" s="1"/>
  <c r="T261" i="4" s="1"/>
  <c r="T262" i="4" s="1"/>
  <c r="T263" i="4" s="1"/>
  <c r="T264" i="4" s="1"/>
  <c r="T265" i="4" s="1"/>
  <c r="T266" i="4" s="1"/>
  <c r="T267" i="4" s="1"/>
  <c r="T268" i="4" s="1"/>
  <c r="T269" i="4" s="1"/>
  <c r="T270" i="4" s="1"/>
  <c r="T271" i="4" s="1"/>
  <c r="T272" i="4" s="1"/>
  <c r="T273" i="4" s="1"/>
  <c r="T274" i="4" s="1"/>
  <c r="T275" i="4" s="1"/>
  <c r="T276" i="4" s="1"/>
  <c r="T277" i="4" s="1"/>
  <c r="T278" i="4" s="1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V245" i="4" s="1"/>
  <c r="V246" i="4" s="1"/>
  <c r="V247" i="4" s="1"/>
  <c r="V248" i="4" s="1"/>
  <c r="V249" i="4" s="1"/>
  <c r="V250" i="4" s="1"/>
  <c r="V251" i="4" s="1"/>
  <c r="V252" i="4" s="1"/>
  <c r="V253" i="4" s="1"/>
  <c r="V254" i="4" s="1"/>
  <c r="V255" i="4" s="1"/>
  <c r="V256" i="4" s="1"/>
  <c r="V257" i="4" s="1"/>
  <c r="V258" i="4" s="1"/>
  <c r="V259" i="4" s="1"/>
  <c r="V260" i="4" s="1"/>
  <c r="V261" i="4" s="1"/>
  <c r="V262" i="4" s="1"/>
  <c r="V263" i="4" s="1"/>
  <c r="V264" i="4" s="1"/>
  <c r="V265" i="4" s="1"/>
  <c r="V266" i="4" s="1"/>
  <c r="V267" i="4" s="1"/>
  <c r="V268" i="4" s="1"/>
  <c r="V269" i="4" s="1"/>
  <c r="V270" i="4" s="1"/>
  <c r="V271" i="4" s="1"/>
  <c r="V272" i="4" s="1"/>
  <c r="V273" i="4" s="1"/>
  <c r="V274" i="4" s="1"/>
  <c r="V275" i="4" s="1"/>
  <c r="V276" i="4" s="1"/>
  <c r="V277" i="4" s="1"/>
  <c r="V278" i="4" s="1"/>
  <c r="W17" i="4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W256" i="4" s="1"/>
  <c r="W257" i="4" s="1"/>
  <c r="W258" i="4" s="1"/>
  <c r="W259" i="4" s="1"/>
  <c r="W260" i="4" s="1"/>
  <c r="W261" i="4" s="1"/>
  <c r="W262" i="4" s="1"/>
  <c r="W263" i="4" s="1"/>
  <c r="W264" i="4" s="1"/>
  <c r="W265" i="4" s="1"/>
  <c r="W266" i="4" s="1"/>
  <c r="W267" i="4" s="1"/>
  <c r="W268" i="4" s="1"/>
  <c r="W269" i="4" s="1"/>
  <c r="W270" i="4" s="1"/>
  <c r="W271" i="4" s="1"/>
  <c r="W272" i="4" s="1"/>
  <c r="W273" i="4" s="1"/>
  <c r="W274" i="4" s="1"/>
  <c r="W275" i="4" s="1"/>
  <c r="W276" i="4" s="1"/>
  <c r="W277" i="4" s="1"/>
  <c r="W278" i="4" s="1"/>
  <c r="X8" i="4"/>
  <c r="X9" i="4" s="1"/>
  <c r="X10" i="4" s="1"/>
  <c r="X11" i="4" s="1"/>
  <c r="X12" i="4" s="1"/>
  <c r="X13" i="4" s="1"/>
  <c r="X14" i="4" s="1"/>
  <c r="X15" i="4" s="1"/>
  <c r="X16" i="4" s="1"/>
  <c r="U4" i="4"/>
  <c r="U5" i="4" s="1"/>
  <c r="U6" i="4" s="1"/>
  <c r="U7" i="4" s="1"/>
  <c r="U8" i="4" s="1"/>
  <c r="U9" i="4" s="1"/>
  <c r="X3" i="4"/>
  <c r="X4" i="4" s="1"/>
  <c r="X5" i="4" s="1"/>
  <c r="X6" i="4" s="1"/>
  <c r="X7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X17" i="4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</calcChain>
</file>

<file path=xl/sharedStrings.xml><?xml version="1.0" encoding="utf-8"?>
<sst xmlns="http://schemas.openxmlformats.org/spreadsheetml/2006/main" count="154" uniqueCount="40">
  <si>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</si>
  <si>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</si>
  <si>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</si>
  <si>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</si>
  <si>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</si>
  <si>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</si>
  <si>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</si>
  <si>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</si>
  <si>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</si>
  <si>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</si>
  <si>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</si>
  <si>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</si>
  <si>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</si>
  <si>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</si>
  <si>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</si>
  <si>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</si>
  <si>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</si>
  <si>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</si>
  <si>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</si>
  <si>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</si>
  <si>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</si>
  <si>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</si>
  <si>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</si>
  <si>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</si>
  <si>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</si>
  <si>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</si>
  <si>
    <t>SPY_Return</t>
  </si>
  <si>
    <t>signal_som_xl</t>
  </si>
  <si>
    <t>signal_eom_xl</t>
  </si>
  <si>
    <t>signal_eom_py</t>
  </si>
  <si>
    <t>signal_som_py</t>
  </si>
  <si>
    <t>100% equal to PY/XL</t>
  </si>
  <si>
    <t>Equal to PY but not XL</t>
  </si>
  <si>
    <t>Not Equal to XL or PY</t>
  </si>
  <si>
    <t>Almost equal</t>
  </si>
  <si>
    <t>Using signals from Xl instead of py, using xl formulas</t>
  </si>
  <si>
    <t>Ok</t>
  </si>
  <si>
    <t>Acceptable</t>
  </si>
  <si>
    <t>Here used XL signal, but this signal doesnt correspond to py data</t>
  </si>
  <si>
    <t>Total PL (xl)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</si>
</sst>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5" fontId="0" fillId="0" borderId="0" xfId="0" applyNumberFormat="1"/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10" fontId="5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4" fontId="0" fillId="0" borderId="0" xfId="0" applyNumberFormat="1" applyFill="1"/>
    <xf numFmtId="10" fontId="0" fillId="0" borderId="0" xfId="1" applyNumberFormat="1" applyFont="1" applyFill="1"/>
    <xf numFmtId="0" fontId="0" fillId="0" borderId="0" xfId="0" applyFill="1"/>
    <xf numFmtId="10" fontId="0" fillId="2" borderId="0" xfId="1" applyNumberFormat="1" applyFont="1" applyFill="1"/>
    <xf numFmtId="10" fontId="0" fillId="3" borderId="0" xfId="1" applyNumberFormat="1" applyFont="1" applyFill="1"/>
    <xf numFmtId="1" fontId="0" fillId="4" borderId="0" xfId="0" applyNumberFormat="1" applyFill="1"/>
    <xf numFmtId="1" fontId="0" fillId="3" borderId="0" xfId="0" applyNumberFormat="1" applyFill="1"/>
    <xf numFmtId="10" fontId="0" fillId="5" borderId="0" xfId="1" applyNumberFormat="1" applyFont="1" applyFill="1"/>
    <xf numFmtId="10" fontId="2" fillId="5" borderId="0" xfId="1" applyNumberFormat="1" applyFont="1" applyFill="1"/>
    <xf numFmtId="10" fontId="6" fillId="5" borderId="0" xfId="1" applyNumberFormat="1" applyFont="1" applyFill="1"/>
    <xf numFmtId="10" fontId="3" fillId="0" borderId="0" xfId="1" applyNumberFormat="1" applyFont="1" applyFill="1"/>
    <xf numFmtId="10" fontId="3" fillId="5" borderId="0" xfId="1" applyNumberFormat="1" applyFont="1" applyFill="1"/>
    <xf numFmtId="10" fontId="0" fillId="6" borderId="0" xfId="1" applyNumberFormat="1" applyFont="1" applyFill="1"/>
    <xf numFmtId="10" fontId="3" fillId="6" borderId="0" xfId="1" applyNumberFormat="1" applyFont="1" applyFill="1"/>
    <xf numFmtId="10" fontId="6" fillId="7" borderId="0" xfId="1" applyNumberFormat="1" applyFont="1" applyFill="1"/>
    <xf numFmtId="10" fontId="3" fillId="7" borderId="0" xfId="1" applyNumberFormat="1" applyFont="1" applyFill="1"/>
    <xf numFmtId="10" fontId="0" fillId="7" borderId="0" xfId="1" applyNumberFormat="1" applyFont="1" applyFill="1"/>
    <xf numFmtId="1" fontId="0" fillId="8" borderId="0" xfId="0" applyNumberFormat="1" applyFill="1"/>
    <xf numFmtId="10" fontId="6" fillId="6" borderId="0" xfId="1" applyNumberFormat="1" applyFont="1" applyFill="1"/>
    <xf numFmtId="10" fontId="7" fillId="0" borderId="0" xfId="1" applyNumberFormat="1" applyFont="1" applyFill="1"/>
    <xf numFmtId="14" fontId="3" fillId="0" borderId="0" xfId="0" applyNumberFormat="1" applyFont="1" applyFill="1"/>
    <xf numFmtId="0" fontId="3" fillId="0" borderId="0" xfId="0" applyFont="1" applyFill="1"/>
    <xf numFmtId="1" fontId="0" fillId="9" borderId="0" xfId="0" applyNumberFormat="1" applyFill="1"/>
    <xf numFmtId="1" fontId="3" fillId="9" borderId="0" xfId="0" applyNumberFormat="1" applyFont="1" applyFill="1"/>
  </cellXfs>
  <cellStyles count="2">
    <cellStyle name="Normal" xfId="0" builtinId="0"/>
    <cellStyle name="Per cent" xfId="1" builtinId="5"/>
  </cellStyles>
  <dxfs count="2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F5520-8216-4583-918B-B7277CE4EE4F}" name="Table1" displayName="Table1" ref="A1:AA278" totalsRowShown="0" headerRowDxfId="24" headerRowBorderDxfId="25" tableBorderDxfId="26">
  <autoFilter ref="A1:AA278" xr:uid="{AE6F5520-8216-4583-918B-B7277CE4EE4F}"/>
  <tableColumns count="27">
    <tableColumn id="1" xr3:uid="{A109D244-4552-4C11-8617-30B0C5B97E28}" name="ym" dataDxfId="27"/>
    <tableColumn id="2" xr3:uid="{DCED8E48-F064-4A20-9306-C105A9759DE4}" name="SPY_ret" dataDxfId="23" dataCellStyle="Per cent"/>
    <tableColumn id="3" xr3:uid="{9015EC3A-DAD4-4713-85DB-3C8AA6B73414}" name="SPY_TLT_som" dataDxfId="22" dataCellStyle="Per cent"/>
    <tableColumn id="4" xr3:uid="{173B3418-BB37-4DB0-991A-F1A3DF53C127}" name="SPY_ret_eom" dataDxfId="21" dataCellStyle="Per cent"/>
    <tableColumn id="5" xr3:uid="{7F7F6A07-479B-454F-9E2D-B408CF6D97B7}" name="TLT_ret_eom" dataDxfId="20" dataCellStyle="Per cent"/>
    <tableColumn id="6" xr3:uid="{F9E3F225-E0B9-4F96-A277-CAA314C0320A}" name="SPY_ret_nsm" dataDxfId="19" dataCellStyle="Per cent"/>
    <tableColumn id="7" xr3:uid="{B6B894CD-2B3A-4A43-856B-FD35D8F56A87}" name="TLT_ret_nsm" dataDxfId="18" dataCellStyle="Per cent"/>
    <tableColumn id="8" xr3:uid="{A6D43022-D99B-4B66-9470-F68D6382C5B6}" name="signal_eom"/>
    <tableColumn id="9" xr3:uid="{70E6557B-5B28-4242-9065-9A22999CA9F2}" name="signal_som"/>
    <tableColumn id="10" xr3:uid="{CA74E8BA-1A66-4B99-B99B-070D429AE855}" name="End_of_Month_SPY_Long_SPY" dataDxfId="17" dataCellStyle="Per cent"/>
    <tableColumn id="11" xr3:uid="{DD9B6334-F458-4EB2-BAEC-512ED99E0B14}" name="End_of_Month_SPY_Short_SPY" dataDxfId="16" dataCellStyle="Per cent"/>
    <tableColumn id="12" xr3:uid="{107DE4E9-3F8C-4C26-B154-185D282D61E0}" name="End_of_Month_TLT_Short_TLT" dataDxfId="15" dataCellStyle="Per cent"/>
    <tableColumn id="13" xr3:uid="{5EF1B3B8-3240-46EB-9560-D187521D7239}" name="End_of_Month_TLT_Long_TLT" dataDxfId="14" dataCellStyle="Per cent"/>
    <tableColumn id="14" xr3:uid="{6A1305CA-2F9B-4C65-9F27-00DC08611A66}" name="Start_of_Month_SPY_Long_SPY" dataDxfId="13" dataCellStyle="Per cent"/>
    <tableColumn id="15" xr3:uid="{F166DECB-3A72-4CF5-9FA9-65E8FD033A20}" name="Start_of_Month_SPY_Short_SPY" dataDxfId="12" dataCellStyle="Per cent"/>
    <tableColumn id="16" xr3:uid="{F3F1078E-B9C0-455F-A8C5-BE254C5EA4D3}" name="Start_of_Month_TLT_Short_TLT" dataDxfId="11" dataCellStyle="Per cent"/>
    <tableColumn id="17" xr3:uid="{575AF156-BA34-4567-ABAE-10786EEFF5B2}" name="Start_of_Month_TLT_Long_TLT" dataDxfId="10" dataCellStyle="Per cent"/>
    <tableColumn id="18" xr3:uid="{12D0D8F3-4146-4470-8AD5-5A981C87EDEC}" name="cpl_End_of_Month_SPY_Long_SPY" dataDxfId="9" dataCellStyle="Per cent"/>
    <tableColumn id="19" xr3:uid="{A305130C-3D42-4ECC-A415-D0420B140D2A}" name="cpl_End_of_Month_SPY_Short_SPY" dataDxfId="8" dataCellStyle="Per cent"/>
    <tableColumn id="20" xr3:uid="{B4BEB542-4AE2-4501-87B6-1DCCAA9D12B1}" name="cpl_End_of_Month_TLT_Short_TLT" dataDxfId="7" dataCellStyle="Per cent"/>
    <tableColumn id="21" xr3:uid="{BEAD41A6-0C02-48AB-946E-FAF1BCC81300}" name="cpl_End_of_Month_TLT_Long_TLT" dataDxfId="6" dataCellStyle="Per cent"/>
    <tableColumn id="22" xr3:uid="{5C618AA4-1D02-446E-BB45-B97F6A35B0A2}" name="cpl_Start_of_Month_SPY_Long_SPY" dataDxfId="5" dataCellStyle="Per cent"/>
    <tableColumn id="23" xr3:uid="{4D623315-8FA3-48F6-B2B9-FBB9FC160318}" name="cpl_Start_of_Month_SPY_Short_SPY" dataDxfId="4" dataCellStyle="Per cent"/>
    <tableColumn id="24" xr3:uid="{FA213268-145A-406C-ADEC-CE2A5521FC7A}" name="cpl_Start_of_Month_TLT_Short_TLT" dataDxfId="3" dataCellStyle="Per cent"/>
    <tableColumn id="25" xr3:uid="{EC30C9EB-FB10-4D62-B78B-F677FEFA5C58}" name="cpl_Start_of_Month_TLT_Long_TLT" dataDxfId="2" dataCellStyle="Per cent"/>
    <tableColumn id="26" xr3:uid="{C0BD819E-9FF4-45AA-AEC2-4382ECE4B686}" name="Total_PL" dataDxfId="1" dataCellStyle="Per cent"/>
    <tableColumn id="27" xr3:uid="{5AC322E0-A129-4514-B7B9-B1D98B6AC441}" name="SPY_Return" dataDxfId="0" dataCellStyle="Per 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8"/>
  <sheetViews>
    <sheetView topLeftCell="B1" workbookViewId="0">
      <selection activeCell="D30" sqref="A1:AA278"/>
    </sheetView>
  </sheetViews>
  <sheetFormatPr defaultRowHeight="15" x14ac:dyDescent="0.25"/>
  <cols>
    <col min="1" max="1" width="18.28515625" bestFit="1" customWidth="1"/>
    <col min="2" max="2" width="12.7109375" style="5" bestFit="1" customWidth="1"/>
    <col min="3" max="4" width="17.42578125" style="5" bestFit="1" customWidth="1"/>
    <col min="5" max="5" width="17" style="5" bestFit="1" customWidth="1"/>
    <col min="6" max="6" width="17.140625" style="5" bestFit="1" customWidth="1"/>
    <col min="7" max="7" width="16.7109375" style="5" bestFit="1" customWidth="1"/>
    <col min="8" max="8" width="15.7109375" bestFit="1" customWidth="1"/>
    <col min="9" max="9" width="15.42578125" bestFit="1" customWidth="1"/>
    <col min="10" max="10" width="33" style="5" bestFit="1" customWidth="1"/>
    <col min="11" max="11" width="33.5703125" style="5" bestFit="1" customWidth="1"/>
    <col min="12" max="12" width="32.7109375" style="5" bestFit="1" customWidth="1"/>
    <col min="13" max="13" width="32.140625" style="5" bestFit="1" customWidth="1"/>
    <col min="14" max="14" width="33.85546875" style="5" bestFit="1" customWidth="1"/>
    <col min="15" max="15" width="34.5703125" style="5" bestFit="1" customWidth="1"/>
    <col min="16" max="16" width="33.5703125" style="5" bestFit="1" customWidth="1"/>
    <col min="17" max="17" width="33" style="5" bestFit="1" customWidth="1"/>
    <col min="18" max="18" width="36.7109375" style="5" bestFit="1" customWidth="1"/>
    <col min="19" max="19" width="37.28515625" style="5" bestFit="1" customWidth="1"/>
    <col min="20" max="20" width="36.42578125" style="5" bestFit="1" customWidth="1"/>
    <col min="21" max="21" width="35.85546875" style="5" bestFit="1" customWidth="1"/>
    <col min="22" max="22" width="37.5703125" style="5" bestFit="1" customWidth="1"/>
    <col min="23" max="23" width="38.140625" style="5" bestFit="1" customWidth="1"/>
    <col min="24" max="24" width="37.28515625" style="5" bestFit="1" customWidth="1"/>
    <col min="25" max="25" width="36.7109375" style="5" bestFit="1" customWidth="1"/>
    <col min="26" max="26" width="13" style="5" bestFit="1" customWidth="1"/>
    <col min="27" max="27" width="15.85546875" style="5" bestFit="1" customWidth="1"/>
  </cols>
  <sheetData>
    <row r="1" spans="1:27" s="3" customFormat="1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s="1">
        <v>37499</v>
      </c>
      <c r="B2" s="5">
        <v>1.1221760356182281E-2</v>
      </c>
      <c r="C2" s="5">
        <v>1.347179374067076E-2</v>
      </c>
      <c r="D2" s="5">
        <v>-4.1722756203997791E-2</v>
      </c>
      <c r="E2" s="5">
        <v>1.486144974689496E-2</v>
      </c>
      <c r="F2" s="5">
        <v>-3.221788856893304E-2</v>
      </c>
      <c r="G2" s="5">
        <v>1.4194845033410289E-2</v>
      </c>
      <c r="H2">
        <v>-1</v>
      </c>
      <c r="I2">
        <v>0</v>
      </c>
      <c r="J2" s="5">
        <v>0</v>
      </c>
      <c r="K2" s="5">
        <v>4.1722756203997791E-2</v>
      </c>
      <c r="L2" s="5">
        <v>0</v>
      </c>
      <c r="M2" s="5">
        <v>1.486144974689496E-2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4.1722756203997791E-2</v>
      </c>
      <c r="T2" s="5">
        <v>0</v>
      </c>
      <c r="U2" s="5">
        <v>1.486144974689496E-2</v>
      </c>
      <c r="V2" s="5">
        <v>0</v>
      </c>
      <c r="W2" s="5">
        <v>0</v>
      </c>
      <c r="X2" s="5">
        <v>0</v>
      </c>
      <c r="Y2" s="5">
        <v>0</v>
      </c>
      <c r="Z2" s="5">
        <v>5.6584205950892752E-2</v>
      </c>
      <c r="AA2" s="5">
        <v>1.1221760356182281E-2</v>
      </c>
    </row>
    <row r="3" spans="1:27" x14ac:dyDescent="0.25">
      <c r="A3" s="1">
        <v>37529</v>
      </c>
      <c r="B3" s="5">
        <v>-0.1075557116381806</v>
      </c>
      <c r="C3" s="5">
        <v>-0.12496408679022759</v>
      </c>
      <c r="D3" s="5">
        <v>-2.1353700696120751E-2</v>
      </c>
      <c r="E3" s="5">
        <v>3.458280026252925E-3</v>
      </c>
      <c r="F3" s="5">
        <v>-1.127441942065821E-2</v>
      </c>
      <c r="G3" s="5">
        <v>7.3620584063089911E-3</v>
      </c>
      <c r="H3">
        <v>1</v>
      </c>
      <c r="I3">
        <v>-1</v>
      </c>
      <c r="J3" s="5">
        <v>-2.1353700696120751E-2</v>
      </c>
      <c r="K3" s="5">
        <v>0</v>
      </c>
      <c r="L3" s="5">
        <v>-3.458280026252925E-3</v>
      </c>
      <c r="M3" s="5">
        <v>0</v>
      </c>
      <c r="N3" s="5">
        <v>0</v>
      </c>
      <c r="O3" s="5">
        <v>1.127441942065821E-2</v>
      </c>
      <c r="P3" s="5">
        <v>0</v>
      </c>
      <c r="Q3" s="5">
        <v>7.3620584063089911E-3</v>
      </c>
      <c r="R3" s="5">
        <v>-2.1353700696120751E-2</v>
      </c>
      <c r="S3" s="5">
        <v>4.1722756203997791E-2</v>
      </c>
      <c r="T3" s="5">
        <v>-3.458280026252925E-3</v>
      </c>
      <c r="U3" s="5">
        <v>1.486144974689496E-2</v>
      </c>
      <c r="V3" s="5">
        <v>0</v>
      </c>
      <c r="W3" s="5">
        <v>1.127441942065821E-2</v>
      </c>
      <c r="X3" s="5">
        <v>0</v>
      </c>
      <c r="Y3" s="5">
        <v>7.3620584063089911E-3</v>
      </c>
      <c r="Z3" s="5">
        <v>5.0408703055486281E-2</v>
      </c>
      <c r="AA3" s="5">
        <v>-9.6333951281998287E-2</v>
      </c>
    </row>
    <row r="4" spans="1:27" x14ac:dyDescent="0.25">
      <c r="A4" s="1">
        <v>37560</v>
      </c>
      <c r="B4" s="5">
        <v>8.5515627533933936E-2</v>
      </c>
      <c r="C4" s="5">
        <v>0.16590441066597331</v>
      </c>
      <c r="D4" s="5">
        <v>-1.78007468992375E-2</v>
      </c>
      <c r="E4" s="5">
        <v>2.5719946974226079E-2</v>
      </c>
      <c r="F4" s="5">
        <v>-3.1047380250574189E-2</v>
      </c>
      <c r="G4" s="5">
        <v>-4.3149334234490189E-3</v>
      </c>
      <c r="H4">
        <v>-1</v>
      </c>
      <c r="I4">
        <v>1</v>
      </c>
      <c r="J4" s="5">
        <v>0</v>
      </c>
      <c r="K4" s="5">
        <v>1.78007468992375E-2</v>
      </c>
      <c r="L4" s="5">
        <v>0</v>
      </c>
      <c r="M4" s="5">
        <v>2.5719946974226079E-2</v>
      </c>
      <c r="N4" s="5">
        <v>-3.1047380250574189E-2</v>
      </c>
      <c r="O4" s="5">
        <v>0</v>
      </c>
      <c r="P4" s="5">
        <v>4.3149334234490189E-3</v>
      </c>
      <c r="Q4" s="5">
        <v>0</v>
      </c>
      <c r="R4" s="5">
        <v>-2.1353700696120751E-2</v>
      </c>
      <c r="S4" s="5">
        <v>5.9523503103235287E-2</v>
      </c>
      <c r="T4" s="5">
        <v>-3.458280026252925E-3</v>
      </c>
      <c r="U4" s="5">
        <v>4.0581396721121037E-2</v>
      </c>
      <c r="V4" s="5">
        <v>-3.1047380250574189E-2</v>
      </c>
      <c r="W4" s="5">
        <v>1.127441942065821E-2</v>
      </c>
      <c r="X4" s="5">
        <v>4.3149334234490189E-3</v>
      </c>
      <c r="Y4" s="5">
        <v>7.3620584063089911E-3</v>
      </c>
      <c r="Z4" s="5">
        <v>6.7196950101824693E-2</v>
      </c>
      <c r="AA4" s="5">
        <v>-1.081832374806435E-2</v>
      </c>
    </row>
    <row r="5" spans="1:27" x14ac:dyDescent="0.25">
      <c r="A5" s="1">
        <v>37590</v>
      </c>
      <c r="B5" s="5">
        <v>6.2011673873436417E-2</v>
      </c>
      <c r="C5" s="5">
        <v>6.4402822851159169E-2</v>
      </c>
      <c r="D5" s="5">
        <v>-5.6751736528826147E-4</v>
      </c>
      <c r="E5" s="5">
        <v>-6.2806661223496763E-3</v>
      </c>
      <c r="F5" s="5">
        <v>2.5647469094507321E-2</v>
      </c>
      <c r="G5" s="5">
        <v>1.6294176783444581E-2</v>
      </c>
      <c r="H5">
        <v>-1</v>
      </c>
      <c r="I5">
        <v>1</v>
      </c>
      <c r="J5" s="5">
        <v>0</v>
      </c>
      <c r="K5" s="5">
        <v>5.6751736528826147E-4</v>
      </c>
      <c r="L5" s="5">
        <v>0</v>
      </c>
      <c r="M5" s="5">
        <v>-6.2806661223496763E-3</v>
      </c>
      <c r="N5" s="5">
        <v>2.5647469094507321E-2</v>
      </c>
      <c r="O5" s="5">
        <v>0</v>
      </c>
      <c r="P5" s="5">
        <v>-1.6294176783444581E-2</v>
      </c>
      <c r="Q5" s="5">
        <v>0</v>
      </c>
      <c r="R5" s="5">
        <v>-2.1353700696120751E-2</v>
      </c>
      <c r="S5" s="5">
        <v>6.0091020468523548E-2</v>
      </c>
      <c r="T5" s="5">
        <v>-3.458280026252925E-3</v>
      </c>
      <c r="U5" s="5">
        <v>3.4300730598771367E-2</v>
      </c>
      <c r="V5" s="5">
        <v>-5.3999111560668611E-3</v>
      </c>
      <c r="W5" s="5">
        <v>1.127441942065821E-2</v>
      </c>
      <c r="X5" s="5">
        <v>-1.197924335999556E-2</v>
      </c>
      <c r="Y5" s="5">
        <v>7.3620584063089911E-3</v>
      </c>
      <c r="Z5" s="5">
        <v>7.0837093655826022E-2</v>
      </c>
      <c r="AA5" s="5">
        <v>5.1193350125372072E-2</v>
      </c>
    </row>
    <row r="6" spans="1:27" x14ac:dyDescent="0.25">
      <c r="A6" s="1">
        <v>37621</v>
      </c>
      <c r="B6" s="5">
        <v>-5.6567219009779568E-2</v>
      </c>
      <c r="C6" s="5">
        <v>-6.3065561676995174E-2</v>
      </c>
      <c r="D6" s="5">
        <v>-1.943166553330344E-2</v>
      </c>
      <c r="E6" s="5">
        <v>1.862020068494186E-2</v>
      </c>
      <c r="F6" s="5">
        <v>-2.0782399830664881E-2</v>
      </c>
      <c r="G6" s="5">
        <v>1.1798680667630901E-2</v>
      </c>
      <c r="H6">
        <v>1</v>
      </c>
      <c r="I6">
        <v>-1</v>
      </c>
      <c r="J6" s="5">
        <v>-1.943166553330344E-2</v>
      </c>
      <c r="K6" s="5">
        <v>0</v>
      </c>
      <c r="L6" s="5">
        <v>-1.862020068494186E-2</v>
      </c>
      <c r="M6" s="5">
        <v>0</v>
      </c>
      <c r="N6" s="5">
        <v>0</v>
      </c>
      <c r="O6" s="5">
        <v>2.0782399830664881E-2</v>
      </c>
      <c r="P6" s="5">
        <v>0</v>
      </c>
      <c r="Q6" s="5">
        <v>1.1798680667630901E-2</v>
      </c>
      <c r="R6" s="5">
        <v>-4.0785366229424191E-2</v>
      </c>
      <c r="S6" s="5">
        <v>6.0091020468523548E-2</v>
      </c>
      <c r="T6" s="5">
        <v>-2.2078480711194781E-2</v>
      </c>
      <c r="U6" s="5">
        <v>3.4300730598771367E-2</v>
      </c>
      <c r="V6" s="5">
        <v>-5.3999111560668611E-3</v>
      </c>
      <c r="W6" s="5">
        <v>3.2056819251323088E-2</v>
      </c>
      <c r="X6" s="5">
        <v>-1.197924335999556E-2</v>
      </c>
      <c r="Y6" s="5">
        <v>1.9160739073939888E-2</v>
      </c>
      <c r="Z6" s="5">
        <v>6.53663079358765E-2</v>
      </c>
      <c r="AA6" s="5">
        <v>-5.3738688844074964E-3</v>
      </c>
    </row>
    <row r="7" spans="1:27" x14ac:dyDescent="0.25">
      <c r="A7" s="1">
        <v>37652</v>
      </c>
      <c r="B7" s="5">
        <v>-2.2646204577021382E-2</v>
      </c>
      <c r="C7" s="5">
        <v>1.8810071742955681E-2</v>
      </c>
      <c r="D7" s="5">
        <v>-2.935793416884824E-2</v>
      </c>
      <c r="E7" s="5">
        <v>7.0222996522653069E-3</v>
      </c>
      <c r="F7" s="5">
        <v>3.59635319274767E-2</v>
      </c>
      <c r="G7" s="5">
        <v>-1.7635039263573678E-2</v>
      </c>
      <c r="H7">
        <v>-1</v>
      </c>
      <c r="I7">
        <v>1</v>
      </c>
      <c r="J7" s="5">
        <v>0</v>
      </c>
      <c r="K7" s="5">
        <v>2.935793416884824E-2</v>
      </c>
      <c r="L7" s="5">
        <v>0</v>
      </c>
      <c r="M7" s="5">
        <v>7.0222996522653069E-3</v>
      </c>
      <c r="N7" s="5">
        <v>3.59635319274767E-2</v>
      </c>
      <c r="O7" s="5">
        <v>0</v>
      </c>
      <c r="P7" s="5">
        <v>1.7635039263573678E-2</v>
      </c>
      <c r="Q7" s="5">
        <v>0</v>
      </c>
      <c r="R7" s="5">
        <v>-4.0785366229424191E-2</v>
      </c>
      <c r="S7" s="5">
        <v>8.9448954637371791E-2</v>
      </c>
      <c r="T7" s="5">
        <v>-2.2078480711194781E-2</v>
      </c>
      <c r="U7" s="5">
        <v>4.1323030251036667E-2</v>
      </c>
      <c r="V7" s="5">
        <v>3.0563620771409838E-2</v>
      </c>
      <c r="W7" s="5">
        <v>3.2056819251323088E-2</v>
      </c>
      <c r="X7" s="5">
        <v>5.6557959035781202E-3</v>
      </c>
      <c r="Y7" s="5">
        <v>1.9160739073939888E-2</v>
      </c>
      <c r="Z7" s="5">
        <v>0.1553451129480404</v>
      </c>
      <c r="AA7" s="5">
        <v>-2.802007346142887E-2</v>
      </c>
    </row>
    <row r="8" spans="1:27" x14ac:dyDescent="0.25">
      <c r="A8" s="1">
        <v>37680</v>
      </c>
      <c r="B8" s="5">
        <v>-1.2349162542292571E-2</v>
      </c>
      <c r="C8" s="5">
        <v>-3.6832321614488683E-2</v>
      </c>
      <c r="D8" s="5">
        <v>1.3288164484369199E-2</v>
      </c>
      <c r="E8" s="5">
        <v>1.958944926716466E-2</v>
      </c>
      <c r="F8" s="5">
        <v>-3.0999563916162539E-2</v>
      </c>
      <c r="G8" s="5">
        <v>7.6672773688242213E-3</v>
      </c>
      <c r="H8">
        <v>1</v>
      </c>
      <c r="I8">
        <v>-1</v>
      </c>
      <c r="J8" s="5">
        <v>1.3288164484369199E-2</v>
      </c>
      <c r="K8" s="5">
        <v>0</v>
      </c>
      <c r="L8" s="5">
        <v>-1.958944926716466E-2</v>
      </c>
      <c r="M8" s="5">
        <v>0</v>
      </c>
      <c r="N8" s="5">
        <v>0</v>
      </c>
      <c r="O8" s="5">
        <v>3.0999563916162539E-2</v>
      </c>
      <c r="P8" s="5">
        <v>0</v>
      </c>
      <c r="Q8" s="5">
        <v>7.6672773688242213E-3</v>
      </c>
      <c r="R8" s="5">
        <v>-2.7497201745054989E-2</v>
      </c>
      <c r="S8" s="5">
        <v>8.9448954637371791E-2</v>
      </c>
      <c r="T8" s="5">
        <v>-4.1667929978359441E-2</v>
      </c>
      <c r="U8" s="5">
        <v>4.1323030251036667E-2</v>
      </c>
      <c r="V8" s="5">
        <v>3.0563620771409838E-2</v>
      </c>
      <c r="W8" s="5">
        <v>6.305638316748563E-2</v>
      </c>
      <c r="X8" s="5">
        <v>5.6557959035781202E-3</v>
      </c>
      <c r="Y8" s="5">
        <v>2.682801644276411E-2</v>
      </c>
      <c r="Z8" s="5">
        <v>0.18771066945023171</v>
      </c>
      <c r="AA8" s="5">
        <v>-4.0369236003721443E-2</v>
      </c>
    </row>
    <row r="9" spans="1:27" x14ac:dyDescent="0.25">
      <c r="A9" s="1">
        <v>37711</v>
      </c>
      <c r="B9" s="5">
        <v>5.0162725787515896E-3</v>
      </c>
      <c r="C9" s="5">
        <v>0.1065242701669924</v>
      </c>
      <c r="D9" s="5">
        <v>-5.5650671691803599E-2</v>
      </c>
      <c r="E9" s="5">
        <v>3.2797872118050853E-2</v>
      </c>
      <c r="F9" s="5">
        <v>-1.851686913615436E-2</v>
      </c>
      <c r="G9" s="5">
        <v>4.7794699992778078E-3</v>
      </c>
      <c r="H9">
        <v>-1</v>
      </c>
      <c r="I9">
        <v>1</v>
      </c>
      <c r="J9" s="5">
        <v>0</v>
      </c>
      <c r="K9" s="5">
        <v>5.5650671691803599E-2</v>
      </c>
      <c r="L9" s="5">
        <v>0</v>
      </c>
      <c r="M9" s="5">
        <v>3.2797872118050853E-2</v>
      </c>
      <c r="N9" s="5">
        <v>-1.851686913615436E-2</v>
      </c>
      <c r="O9" s="5">
        <v>0</v>
      </c>
      <c r="P9" s="5">
        <v>-4.7794699992778078E-3</v>
      </c>
      <c r="Q9" s="5">
        <v>0</v>
      </c>
      <c r="R9" s="5">
        <v>-2.7497201745054989E-2</v>
      </c>
      <c r="S9" s="5">
        <v>0.14509962632917539</v>
      </c>
      <c r="T9" s="5">
        <v>-4.1667929978359441E-2</v>
      </c>
      <c r="U9" s="5">
        <v>7.4120902369087527E-2</v>
      </c>
      <c r="V9" s="5">
        <v>1.204675163525548E-2</v>
      </c>
      <c r="W9" s="5">
        <v>6.305638316748563E-2</v>
      </c>
      <c r="X9" s="5">
        <v>8.7632590430031243E-4</v>
      </c>
      <c r="Y9" s="5">
        <v>2.682801644276411E-2</v>
      </c>
      <c r="Z9" s="5">
        <v>0.25286287412465402</v>
      </c>
      <c r="AA9" s="5">
        <v>-3.5352963424969852E-2</v>
      </c>
    </row>
    <row r="10" spans="1:27" x14ac:dyDescent="0.25">
      <c r="A10" s="1">
        <v>37741</v>
      </c>
      <c r="B10" s="5">
        <v>8.2769854950020538E-2</v>
      </c>
      <c r="C10" s="5">
        <v>8.4847847118983966E-2</v>
      </c>
      <c r="D10" s="5">
        <v>6.5363248575294186E-3</v>
      </c>
      <c r="E10" s="5">
        <v>1.927873048507411E-2</v>
      </c>
      <c r="F10" s="5">
        <v>3.8751710430242607E-2</v>
      </c>
      <c r="G10" s="5">
        <v>-1.9002863705216529E-2</v>
      </c>
      <c r="H10">
        <v>-1</v>
      </c>
      <c r="I10">
        <v>1</v>
      </c>
      <c r="J10" s="5">
        <v>0</v>
      </c>
      <c r="K10" s="5">
        <v>-6.5363248575294186E-3</v>
      </c>
      <c r="L10" s="5">
        <v>0</v>
      </c>
      <c r="M10" s="5">
        <v>1.927873048507411E-2</v>
      </c>
      <c r="N10" s="5">
        <v>3.8751710430242607E-2</v>
      </c>
      <c r="O10" s="5">
        <v>0</v>
      </c>
      <c r="P10" s="5">
        <v>1.9002863705216529E-2</v>
      </c>
      <c r="Q10" s="5">
        <v>0</v>
      </c>
      <c r="R10" s="5">
        <v>-2.7497201745054989E-2</v>
      </c>
      <c r="S10" s="5">
        <v>0.138563301471646</v>
      </c>
      <c r="T10" s="5">
        <v>-4.1667929978359441E-2</v>
      </c>
      <c r="U10" s="5">
        <v>9.3399632854161641E-2</v>
      </c>
      <c r="V10" s="5">
        <v>5.0798462065498103E-2</v>
      </c>
      <c r="W10" s="5">
        <v>6.305638316748563E-2</v>
      </c>
      <c r="X10" s="5">
        <v>1.9879189609516849E-2</v>
      </c>
      <c r="Y10" s="5">
        <v>2.682801644276411E-2</v>
      </c>
      <c r="Z10" s="5">
        <v>0.32335985388765792</v>
      </c>
      <c r="AA10" s="5">
        <v>4.7416891525050693E-2</v>
      </c>
    </row>
    <row r="11" spans="1:27" x14ac:dyDescent="0.25">
      <c r="A11" s="1">
        <v>37772</v>
      </c>
      <c r="B11" s="5">
        <v>5.4414319385055372E-2</v>
      </c>
      <c r="C11" s="5">
        <v>-5.4774855179448363E-2</v>
      </c>
      <c r="D11" s="5">
        <v>4.57029779187067E-2</v>
      </c>
      <c r="E11" s="5">
        <v>-1.5470853433114939E-3</v>
      </c>
      <c r="F11" s="5">
        <v>1.61363743238957E-2</v>
      </c>
      <c r="G11" s="5">
        <v>1.455157428169207E-2</v>
      </c>
      <c r="H11">
        <v>1</v>
      </c>
      <c r="I11">
        <v>-1</v>
      </c>
      <c r="J11" s="5">
        <v>4.57029779187067E-2</v>
      </c>
      <c r="K11" s="5">
        <v>0</v>
      </c>
      <c r="L11" s="5">
        <v>1.5470853433114939E-3</v>
      </c>
      <c r="M11" s="5">
        <v>0</v>
      </c>
      <c r="N11" s="5">
        <v>0</v>
      </c>
      <c r="O11" s="5">
        <v>-1.61363743238957E-2</v>
      </c>
      <c r="P11" s="5">
        <v>0</v>
      </c>
      <c r="Q11" s="5">
        <v>1.455157428169207E-2</v>
      </c>
      <c r="R11" s="5">
        <v>1.8205776173651711E-2</v>
      </c>
      <c r="S11" s="5">
        <v>0.138563301471646</v>
      </c>
      <c r="T11" s="5">
        <v>-4.0120844635047948E-2</v>
      </c>
      <c r="U11" s="5">
        <v>9.3399632854161641E-2</v>
      </c>
      <c r="V11" s="5">
        <v>5.0798462065498103E-2</v>
      </c>
      <c r="W11" s="5">
        <v>4.6920008843589933E-2</v>
      </c>
      <c r="X11" s="5">
        <v>1.9879189609516849E-2</v>
      </c>
      <c r="Y11" s="5">
        <v>4.1379590724456183E-2</v>
      </c>
      <c r="Z11" s="5">
        <v>0.36902511710747238</v>
      </c>
      <c r="AA11" s="5">
        <v>0.10183121091010611</v>
      </c>
    </row>
    <row r="12" spans="1:27" x14ac:dyDescent="0.25">
      <c r="A12" s="1">
        <v>37802</v>
      </c>
      <c r="B12" s="5">
        <v>1.1549838977134351E-2</v>
      </c>
      <c r="C12" s="5">
        <v>3.4057089056826813E-2</v>
      </c>
      <c r="D12" s="5">
        <v>-1.8113439969254849E-2</v>
      </c>
      <c r="E12" s="5">
        <v>-1.3126019970565389E-2</v>
      </c>
      <c r="F12" s="5">
        <v>2.3687673858548419E-2</v>
      </c>
      <c r="G12" s="5">
        <v>-5.575843385111634E-4</v>
      </c>
      <c r="H12">
        <v>-1</v>
      </c>
      <c r="I12">
        <v>1</v>
      </c>
      <c r="J12" s="5">
        <v>0</v>
      </c>
      <c r="K12" s="5">
        <v>1.8113439969254849E-2</v>
      </c>
      <c r="L12" s="5">
        <v>0</v>
      </c>
      <c r="M12" s="5">
        <v>-1.3126019970565389E-2</v>
      </c>
      <c r="N12" s="5">
        <v>2.3687673858548419E-2</v>
      </c>
      <c r="O12" s="5">
        <v>0</v>
      </c>
      <c r="P12" s="5">
        <v>5.575843385111634E-4</v>
      </c>
      <c r="Q12" s="5">
        <v>0</v>
      </c>
      <c r="R12" s="5">
        <v>1.8205776173651711E-2</v>
      </c>
      <c r="S12" s="5">
        <v>0.1566767414409008</v>
      </c>
      <c r="T12" s="5">
        <v>-4.0120844635047948E-2</v>
      </c>
      <c r="U12" s="5">
        <v>8.0273612883596246E-2</v>
      </c>
      <c r="V12" s="5">
        <v>7.4486135924046515E-2</v>
      </c>
      <c r="W12" s="5">
        <v>4.6920008843589933E-2</v>
      </c>
      <c r="X12" s="5">
        <v>2.0436773948028009E-2</v>
      </c>
      <c r="Y12" s="5">
        <v>4.1379590724456183E-2</v>
      </c>
      <c r="Z12" s="5">
        <v>0.39825779530322147</v>
      </c>
      <c r="AA12" s="5">
        <v>0.1133810498872404</v>
      </c>
    </row>
    <row r="13" spans="1:27" x14ac:dyDescent="0.25">
      <c r="A13" s="1">
        <v>37833</v>
      </c>
      <c r="B13" s="5">
        <v>1.8897063548664269E-2</v>
      </c>
      <c r="C13" s="5">
        <v>8.1730418065011468E-2</v>
      </c>
      <c r="D13" s="5">
        <v>2.4216137979320429E-3</v>
      </c>
      <c r="E13" s="5">
        <v>-3.8721073276863138E-2</v>
      </c>
      <c r="F13" s="5">
        <v>3.5798401806402043E-2</v>
      </c>
      <c r="G13" s="5">
        <v>-2.232533265445602E-2</v>
      </c>
      <c r="H13">
        <v>-1</v>
      </c>
      <c r="I13">
        <v>1</v>
      </c>
      <c r="J13" s="5">
        <v>0</v>
      </c>
      <c r="K13" s="5">
        <v>-2.4216137979320429E-3</v>
      </c>
      <c r="L13" s="5">
        <v>0</v>
      </c>
      <c r="M13" s="5">
        <v>-3.8721073276863138E-2</v>
      </c>
      <c r="N13" s="5">
        <v>3.5798401806402043E-2</v>
      </c>
      <c r="O13" s="5">
        <v>0</v>
      </c>
      <c r="P13" s="5">
        <v>2.232533265445602E-2</v>
      </c>
      <c r="Q13" s="5">
        <v>0</v>
      </c>
      <c r="R13" s="5">
        <v>1.8205776173651711E-2</v>
      </c>
      <c r="S13" s="5">
        <v>0.15425512764296881</v>
      </c>
      <c r="T13" s="5">
        <v>-4.0120844635047948E-2</v>
      </c>
      <c r="U13" s="5">
        <v>4.1552539606733108E-2</v>
      </c>
      <c r="V13" s="5">
        <v>0.11028453773044861</v>
      </c>
      <c r="W13" s="5">
        <v>4.6920008843589933E-2</v>
      </c>
      <c r="X13" s="5">
        <v>4.2762106602484029E-2</v>
      </c>
      <c r="Y13" s="5">
        <v>4.1379590724456183E-2</v>
      </c>
      <c r="Z13" s="5">
        <v>0.41523884268928429</v>
      </c>
      <c r="AA13" s="5">
        <v>0.1322781134359047</v>
      </c>
    </row>
    <row r="14" spans="1:27" x14ac:dyDescent="0.25">
      <c r="A14" s="1">
        <v>37864</v>
      </c>
      <c r="B14" s="5">
        <v>2.0981569324989291E-2</v>
      </c>
      <c r="C14" s="5">
        <v>8.333053080010866E-3</v>
      </c>
      <c r="D14" s="5">
        <v>6.7214851149153274E-3</v>
      </c>
      <c r="E14" s="5">
        <v>7.9375803346507512E-3</v>
      </c>
      <c r="F14" s="5">
        <v>-1.374462595288106E-2</v>
      </c>
      <c r="G14" s="5">
        <v>1.7488370986190379E-2</v>
      </c>
      <c r="H14">
        <v>-1</v>
      </c>
      <c r="I14">
        <v>1</v>
      </c>
      <c r="J14" s="5">
        <v>0</v>
      </c>
      <c r="K14" s="5">
        <v>-6.7214851149153274E-3</v>
      </c>
      <c r="L14" s="5">
        <v>0</v>
      </c>
      <c r="M14" s="5">
        <v>7.9375803346507512E-3</v>
      </c>
      <c r="N14" s="5">
        <v>-1.374462595288106E-2</v>
      </c>
      <c r="O14" s="5">
        <v>0</v>
      </c>
      <c r="P14" s="5">
        <v>-1.7488370986190379E-2</v>
      </c>
      <c r="Q14" s="5">
        <v>0</v>
      </c>
      <c r="R14" s="5">
        <v>1.8205776173651711E-2</v>
      </c>
      <c r="S14" s="5">
        <v>0.14753364252805351</v>
      </c>
      <c r="T14" s="5">
        <v>-4.0120844635047948E-2</v>
      </c>
      <c r="U14" s="5">
        <v>4.9490119941383859E-2</v>
      </c>
      <c r="V14" s="5">
        <v>9.6539911777567489E-2</v>
      </c>
      <c r="W14" s="5">
        <v>4.6920008843589933E-2</v>
      </c>
      <c r="X14" s="5">
        <v>2.527373561629365E-2</v>
      </c>
      <c r="Y14" s="5">
        <v>4.1379590724456183E-2</v>
      </c>
      <c r="Z14" s="5">
        <v>0.38522194096994827</v>
      </c>
      <c r="AA14" s="5">
        <v>0.15325968276089399</v>
      </c>
    </row>
    <row r="15" spans="1:27" x14ac:dyDescent="0.25">
      <c r="A15" s="1">
        <v>37894</v>
      </c>
      <c r="B15" s="5">
        <v>-1.017748552558928E-2</v>
      </c>
      <c r="C15" s="5">
        <v>-5.2355125383988232E-3</v>
      </c>
      <c r="D15" s="5">
        <v>-2.537947808176888E-2</v>
      </c>
      <c r="E15" s="5">
        <v>3.8051791672164548E-2</v>
      </c>
      <c r="F15" s="5">
        <v>2.199538650546207E-2</v>
      </c>
      <c r="G15" s="5">
        <v>-6.1196030360965992E-4</v>
      </c>
      <c r="H15">
        <v>1</v>
      </c>
      <c r="I15">
        <v>-1</v>
      </c>
      <c r="J15" s="5">
        <v>-2.537947808176888E-2</v>
      </c>
      <c r="K15" s="5">
        <v>0</v>
      </c>
      <c r="L15" s="5">
        <v>-3.8051791672164548E-2</v>
      </c>
      <c r="M15" s="5">
        <v>0</v>
      </c>
      <c r="N15" s="5">
        <v>0</v>
      </c>
      <c r="O15" s="5">
        <v>-2.199538650546207E-2</v>
      </c>
      <c r="P15" s="5">
        <v>0</v>
      </c>
      <c r="Q15" s="5">
        <v>-6.1196030360965992E-4</v>
      </c>
      <c r="R15" s="5">
        <v>-7.1737019081171693E-3</v>
      </c>
      <c r="S15" s="5">
        <v>0.14753364252805351</v>
      </c>
      <c r="T15" s="5">
        <v>-7.8172636307212495E-2</v>
      </c>
      <c r="U15" s="5">
        <v>4.9490119941383859E-2</v>
      </c>
      <c r="V15" s="5">
        <v>9.6539911777567489E-2</v>
      </c>
      <c r="W15" s="5">
        <v>2.492462233812787E-2</v>
      </c>
      <c r="X15" s="5">
        <v>2.527373561629365E-2</v>
      </c>
      <c r="Y15" s="5">
        <v>4.0767630420846523E-2</v>
      </c>
      <c r="Z15" s="5">
        <v>0.29918332440694317</v>
      </c>
      <c r="AA15" s="5">
        <v>0.14308219723530469</v>
      </c>
    </row>
    <row r="16" spans="1:27" x14ac:dyDescent="0.25">
      <c r="A16" s="1">
        <v>37925</v>
      </c>
      <c r="B16" s="5">
        <v>5.2735886460528958E-2</v>
      </c>
      <c r="C16" s="5">
        <v>9.1216022899634264E-2</v>
      </c>
      <c r="D16" s="5">
        <v>4.3670511769591247E-3</v>
      </c>
      <c r="E16" s="5">
        <v>1.276731806987808E-2</v>
      </c>
      <c r="F16" s="5">
        <v>4.2507846677938721E-2</v>
      </c>
      <c r="G16" s="5">
        <v>-3.6585468737529103E-2</v>
      </c>
      <c r="H16">
        <v>-1</v>
      </c>
      <c r="I16">
        <v>1</v>
      </c>
      <c r="J16" s="5">
        <v>0</v>
      </c>
      <c r="K16" s="5">
        <v>-4.3670511769591247E-3</v>
      </c>
      <c r="L16" s="5">
        <v>0</v>
      </c>
      <c r="M16" s="5">
        <v>1.276731806987808E-2</v>
      </c>
      <c r="N16" s="5">
        <v>4.2507846677938721E-2</v>
      </c>
      <c r="O16" s="5">
        <v>0</v>
      </c>
      <c r="P16" s="5">
        <v>3.6585468737529103E-2</v>
      </c>
      <c r="Q16" s="5">
        <v>0</v>
      </c>
      <c r="R16" s="5">
        <v>-7.1737019081171693E-3</v>
      </c>
      <c r="S16" s="5">
        <v>0.1431665913510943</v>
      </c>
      <c r="T16" s="5">
        <v>-7.8172636307212495E-2</v>
      </c>
      <c r="U16" s="5">
        <v>6.2257438011261927E-2</v>
      </c>
      <c r="V16" s="5">
        <v>0.13904775845550621</v>
      </c>
      <c r="W16" s="5">
        <v>2.492462233812787E-2</v>
      </c>
      <c r="X16" s="5">
        <v>6.185920435382275E-2</v>
      </c>
      <c r="Y16" s="5">
        <v>4.0767630420846523E-2</v>
      </c>
      <c r="Z16" s="5">
        <v>0.38667690671532989</v>
      </c>
      <c r="AA16" s="5">
        <v>0.19581808369583359</v>
      </c>
    </row>
    <row r="17" spans="1:27" x14ac:dyDescent="0.25">
      <c r="A17" s="1">
        <v>37955</v>
      </c>
      <c r="B17" s="5">
        <v>1.128624344320117E-2</v>
      </c>
      <c r="C17" s="5">
        <v>-2.9825817103862558E-2</v>
      </c>
      <c r="D17" s="5">
        <v>2.1367308150597179E-2</v>
      </c>
      <c r="E17" s="5">
        <v>-1.5866273036471031E-2</v>
      </c>
      <c r="F17" s="5">
        <v>3.0044991389092108E-3</v>
      </c>
      <c r="G17" s="5">
        <v>-1.5848778571532329E-2</v>
      </c>
      <c r="H17">
        <v>1</v>
      </c>
      <c r="I17">
        <v>-1</v>
      </c>
      <c r="J17" s="5">
        <v>2.1367308150597179E-2</v>
      </c>
      <c r="K17" s="5">
        <v>0</v>
      </c>
      <c r="L17" s="5">
        <v>1.5866273036471031E-2</v>
      </c>
      <c r="M17" s="5">
        <v>0</v>
      </c>
      <c r="N17" s="5">
        <v>0</v>
      </c>
      <c r="O17" s="5">
        <v>-3.0044991389092108E-3</v>
      </c>
      <c r="P17" s="5">
        <v>0</v>
      </c>
      <c r="Q17" s="5">
        <v>-1.5848778571532329E-2</v>
      </c>
      <c r="R17" s="5">
        <v>1.4193606242480009E-2</v>
      </c>
      <c r="S17" s="5">
        <v>0.1431665913510943</v>
      </c>
      <c r="T17" s="5">
        <v>-6.2306363270741461E-2</v>
      </c>
      <c r="U17" s="5">
        <v>6.2257438011261927E-2</v>
      </c>
      <c r="V17" s="5">
        <v>0.13904775845550621</v>
      </c>
      <c r="W17" s="5">
        <v>2.1920123199218659E-2</v>
      </c>
      <c r="X17" s="5">
        <v>6.185920435382275E-2</v>
      </c>
      <c r="Y17" s="5">
        <v>2.4918851849314191E-2</v>
      </c>
      <c r="Z17" s="5">
        <v>0.40505721019195662</v>
      </c>
      <c r="AA17" s="5">
        <v>0.20710432713903479</v>
      </c>
    </row>
    <row r="18" spans="1:27" x14ac:dyDescent="0.25">
      <c r="A18" s="1">
        <v>37986</v>
      </c>
      <c r="B18" s="5">
        <v>4.9512295203065437E-2</v>
      </c>
      <c r="C18" s="5">
        <v>1.444928934357659E-5</v>
      </c>
      <c r="D18" s="5">
        <v>2.1733808493392459E-2</v>
      </c>
      <c r="E18" s="5">
        <v>-1.3943475659631501E-2</v>
      </c>
      <c r="F18" s="5">
        <v>3.8459154044356851E-3</v>
      </c>
      <c r="G18" s="5">
        <v>1.292428694274006E-2</v>
      </c>
      <c r="H18">
        <v>-1</v>
      </c>
      <c r="I18">
        <v>1</v>
      </c>
      <c r="J18" s="5">
        <v>0</v>
      </c>
      <c r="K18" s="5">
        <v>-2.1733808493392459E-2</v>
      </c>
      <c r="L18" s="5">
        <v>0</v>
      </c>
      <c r="M18" s="5">
        <v>-1.3943475659631501E-2</v>
      </c>
      <c r="N18" s="5">
        <v>3.8459154044356851E-3</v>
      </c>
      <c r="O18" s="5">
        <v>0</v>
      </c>
      <c r="P18" s="5">
        <v>-1.292428694274006E-2</v>
      </c>
      <c r="Q18" s="5">
        <v>0</v>
      </c>
      <c r="R18" s="5">
        <v>1.4193606242480009E-2</v>
      </c>
      <c r="S18" s="5">
        <v>0.1214327828577019</v>
      </c>
      <c r="T18" s="5">
        <v>-6.2306363270741461E-2</v>
      </c>
      <c r="U18" s="5">
        <v>4.8313962351630442E-2</v>
      </c>
      <c r="V18" s="5">
        <v>0.14289367385994189</v>
      </c>
      <c r="W18" s="5">
        <v>2.1920123199218659E-2</v>
      </c>
      <c r="X18" s="5">
        <v>4.893491741108269E-2</v>
      </c>
      <c r="Y18" s="5">
        <v>2.4918851849314191E-2</v>
      </c>
      <c r="Z18" s="5">
        <v>0.36030155450062828</v>
      </c>
      <c r="AA18" s="5">
        <v>0.25661662234210031</v>
      </c>
    </row>
    <row r="19" spans="1:27" x14ac:dyDescent="0.25">
      <c r="A19" s="1">
        <v>38017</v>
      </c>
      <c r="B19" s="5">
        <v>2.0015544771847301E-2</v>
      </c>
      <c r="C19" s="5">
        <v>5.3572720808049423E-3</v>
      </c>
      <c r="D19" s="5">
        <v>-8.1388937318258581E-3</v>
      </c>
      <c r="E19" s="5">
        <v>-3.795916915062536E-3</v>
      </c>
      <c r="F19" s="5">
        <v>1.876801723312238E-2</v>
      </c>
      <c r="G19" s="5">
        <v>2.6012720783541438E-4</v>
      </c>
      <c r="H19">
        <v>-1</v>
      </c>
      <c r="I19">
        <v>1</v>
      </c>
      <c r="J19" s="5">
        <v>0</v>
      </c>
      <c r="K19" s="5">
        <v>8.1388937318258581E-3</v>
      </c>
      <c r="L19" s="5">
        <v>0</v>
      </c>
      <c r="M19" s="5">
        <v>-3.795916915062536E-3</v>
      </c>
      <c r="N19" s="5">
        <v>1.876801723312238E-2</v>
      </c>
      <c r="O19" s="5">
        <v>0</v>
      </c>
      <c r="P19" s="5">
        <v>-2.6012720783541438E-4</v>
      </c>
      <c r="Q19" s="5">
        <v>0</v>
      </c>
      <c r="R19" s="5">
        <v>1.4193606242480009E-2</v>
      </c>
      <c r="S19" s="5">
        <v>0.1295716765895277</v>
      </c>
      <c r="T19" s="5">
        <v>-6.2306363270741461E-2</v>
      </c>
      <c r="U19" s="5">
        <v>4.4518045436567899E-2</v>
      </c>
      <c r="V19" s="5">
        <v>0.1616616910930643</v>
      </c>
      <c r="W19" s="5">
        <v>2.1920123199218659E-2</v>
      </c>
      <c r="X19" s="5">
        <v>4.8674790203247283E-2</v>
      </c>
      <c r="Y19" s="5">
        <v>2.4918851849314191E-2</v>
      </c>
      <c r="Z19" s="5">
        <v>0.38315242134267857</v>
      </c>
      <c r="AA19" s="5">
        <v>0.27663216711394761</v>
      </c>
    </row>
    <row r="20" spans="1:27" x14ac:dyDescent="0.25">
      <c r="A20" s="1">
        <v>38046</v>
      </c>
      <c r="B20" s="5">
        <v>1.374346445489771E-2</v>
      </c>
      <c r="C20" s="5">
        <v>-3.9337967131545248E-3</v>
      </c>
      <c r="D20" s="5">
        <v>3.7560016768719562E-3</v>
      </c>
      <c r="E20" s="5">
        <v>8.8822473437140115E-3</v>
      </c>
      <c r="F20" s="5">
        <v>8.6220386005328997E-3</v>
      </c>
      <c r="G20" s="5">
        <v>8.1046927743074759E-3</v>
      </c>
      <c r="H20">
        <v>1</v>
      </c>
      <c r="I20">
        <v>-1</v>
      </c>
      <c r="J20" s="5">
        <v>3.7560016768719562E-3</v>
      </c>
      <c r="K20" s="5">
        <v>0</v>
      </c>
      <c r="L20" s="5">
        <v>-8.8822473437140115E-3</v>
      </c>
      <c r="M20" s="5">
        <v>0</v>
      </c>
      <c r="N20" s="5">
        <v>0</v>
      </c>
      <c r="O20" s="5">
        <v>-8.6220386005328997E-3</v>
      </c>
      <c r="P20" s="5">
        <v>0</v>
      </c>
      <c r="Q20" s="5">
        <v>8.1046927743074759E-3</v>
      </c>
      <c r="R20" s="5">
        <v>1.7949607919351959E-2</v>
      </c>
      <c r="S20" s="5">
        <v>0.1295716765895277</v>
      </c>
      <c r="T20" s="5">
        <v>-7.1188610614455472E-2</v>
      </c>
      <c r="U20" s="5">
        <v>4.4518045436567899E-2</v>
      </c>
      <c r="V20" s="5">
        <v>0.1616616910930643</v>
      </c>
      <c r="W20" s="5">
        <v>1.3298084598685761E-2</v>
      </c>
      <c r="X20" s="5">
        <v>4.8674790203247283E-2</v>
      </c>
      <c r="Y20" s="5">
        <v>3.302354462362167E-2</v>
      </c>
      <c r="Z20" s="5">
        <v>0.37750882984961109</v>
      </c>
      <c r="AA20" s="5">
        <v>0.29037563156884533</v>
      </c>
    </row>
    <row r="21" spans="1:27" x14ac:dyDescent="0.25">
      <c r="A21" s="1">
        <v>38077</v>
      </c>
      <c r="B21" s="5">
        <v>-1.2331637928202801E-2</v>
      </c>
      <c r="C21" s="5">
        <v>-5.4926288404543937E-2</v>
      </c>
      <c r="D21" s="5">
        <v>1.8476374260886549E-2</v>
      </c>
      <c r="E21" s="5">
        <v>-9.6614090114085505E-3</v>
      </c>
      <c r="F21" s="5">
        <v>1.1831285546346271E-2</v>
      </c>
      <c r="G21" s="5">
        <v>1.523174497679369E-2</v>
      </c>
      <c r="H21">
        <v>1</v>
      </c>
      <c r="I21">
        <v>-1</v>
      </c>
      <c r="J21" s="5">
        <v>1.8476374260886549E-2</v>
      </c>
      <c r="K21" s="5">
        <v>0</v>
      </c>
      <c r="L21" s="5">
        <v>9.6614090114085505E-3</v>
      </c>
      <c r="M21" s="5">
        <v>0</v>
      </c>
      <c r="N21" s="5">
        <v>0</v>
      </c>
      <c r="O21" s="5">
        <v>-1.1831285546346271E-2</v>
      </c>
      <c r="P21" s="5">
        <v>0</v>
      </c>
      <c r="Q21" s="5">
        <v>1.523174497679369E-2</v>
      </c>
      <c r="R21" s="5">
        <v>3.6425982180238507E-2</v>
      </c>
      <c r="S21" s="5">
        <v>0.1295716765895277</v>
      </c>
      <c r="T21" s="5">
        <v>-6.1527201603046922E-2</v>
      </c>
      <c r="U21" s="5">
        <v>4.4518045436567899E-2</v>
      </c>
      <c r="V21" s="5">
        <v>0.1616616910930643</v>
      </c>
      <c r="W21" s="5">
        <v>1.4667990523394849E-3</v>
      </c>
      <c r="X21" s="5">
        <v>4.8674790203247283E-2</v>
      </c>
      <c r="Y21" s="5">
        <v>4.8255289600415363E-2</v>
      </c>
      <c r="Z21" s="5">
        <v>0.40904707255235362</v>
      </c>
      <c r="AA21" s="5">
        <v>0.27804399364064247</v>
      </c>
    </row>
    <row r="22" spans="1:27" x14ac:dyDescent="0.25">
      <c r="A22" s="1">
        <v>38107</v>
      </c>
      <c r="B22" s="5">
        <v>-1.8467910404082469E-2</v>
      </c>
      <c r="C22" s="5">
        <v>6.3977235368850249E-2</v>
      </c>
      <c r="D22" s="5">
        <v>-2.9063585368370389E-2</v>
      </c>
      <c r="E22" s="5">
        <v>-1.0376442161348139E-2</v>
      </c>
      <c r="F22" s="5">
        <v>1.350588220593207E-2</v>
      </c>
      <c r="G22" s="5">
        <v>-3.2708513198035249E-2</v>
      </c>
      <c r="H22">
        <v>-1</v>
      </c>
      <c r="I22">
        <v>1</v>
      </c>
      <c r="J22" s="5">
        <v>0</v>
      </c>
      <c r="K22" s="5">
        <v>2.9063585368370389E-2</v>
      </c>
      <c r="L22" s="5">
        <v>0</v>
      </c>
      <c r="M22" s="5">
        <v>-1.0376442161348139E-2</v>
      </c>
      <c r="N22" s="5">
        <v>1.350588220593207E-2</v>
      </c>
      <c r="O22" s="5">
        <v>0</v>
      </c>
      <c r="P22" s="5">
        <v>3.2708513198035249E-2</v>
      </c>
      <c r="Q22" s="5">
        <v>0</v>
      </c>
      <c r="R22" s="5">
        <v>3.6425982180238507E-2</v>
      </c>
      <c r="S22" s="5">
        <v>0.15863526195789809</v>
      </c>
      <c r="T22" s="5">
        <v>-6.1527201603046922E-2</v>
      </c>
      <c r="U22" s="5">
        <v>3.4141603275219763E-2</v>
      </c>
      <c r="V22" s="5">
        <v>0.17516757329899629</v>
      </c>
      <c r="W22" s="5">
        <v>1.4667990523394849E-3</v>
      </c>
      <c r="X22" s="5">
        <v>8.1383303401282525E-2</v>
      </c>
      <c r="Y22" s="5">
        <v>4.8255289600415363E-2</v>
      </c>
      <c r="Z22" s="5">
        <v>0.47394861116334319</v>
      </c>
      <c r="AA22" s="5">
        <v>0.25957608323656001</v>
      </c>
    </row>
    <row r="23" spans="1:27" x14ac:dyDescent="0.25">
      <c r="A23" s="1">
        <v>38138</v>
      </c>
      <c r="B23" s="5">
        <v>1.7543407312829769E-2</v>
      </c>
      <c r="C23" s="5">
        <v>8.8165479502061439E-3</v>
      </c>
      <c r="D23" s="5">
        <v>2.7528552981758488E-2</v>
      </c>
      <c r="E23" s="5">
        <v>1.6560145460553181E-2</v>
      </c>
      <c r="F23" s="5">
        <v>-8.8000344321050861E-3</v>
      </c>
      <c r="G23" s="5">
        <v>-2.4118692838533181E-2</v>
      </c>
      <c r="H23">
        <v>-1</v>
      </c>
      <c r="I23">
        <v>1</v>
      </c>
      <c r="J23" s="5">
        <v>0</v>
      </c>
      <c r="K23" s="5">
        <v>-2.7528552981758488E-2</v>
      </c>
      <c r="L23" s="5">
        <v>0</v>
      </c>
      <c r="M23" s="5">
        <v>1.6560145460553181E-2</v>
      </c>
      <c r="N23" s="5">
        <v>-8.8000344321050861E-3</v>
      </c>
      <c r="O23" s="5">
        <v>0</v>
      </c>
      <c r="P23" s="5">
        <v>2.4118692838533181E-2</v>
      </c>
      <c r="Q23" s="5">
        <v>0</v>
      </c>
      <c r="R23" s="5">
        <v>3.6425982180238507E-2</v>
      </c>
      <c r="S23" s="5">
        <v>0.1311067089761396</v>
      </c>
      <c r="T23" s="5">
        <v>-6.1527201603046922E-2</v>
      </c>
      <c r="U23" s="5">
        <v>5.0701748735772927E-2</v>
      </c>
      <c r="V23" s="5">
        <v>0.16636753886689129</v>
      </c>
      <c r="W23" s="5">
        <v>1.4667990523394849E-3</v>
      </c>
      <c r="X23" s="5">
        <v>0.1055019962398157</v>
      </c>
      <c r="Y23" s="5">
        <v>4.8255289600415363E-2</v>
      </c>
      <c r="Z23" s="5">
        <v>0.47829886204856598</v>
      </c>
      <c r="AA23" s="5">
        <v>0.27711949054938978</v>
      </c>
    </row>
    <row r="24" spans="1:27" x14ac:dyDescent="0.25">
      <c r="A24" s="1">
        <v>38168</v>
      </c>
      <c r="B24" s="5">
        <v>1.8764387061113611E-2</v>
      </c>
      <c r="C24" s="5">
        <v>1.6356195615944698E-2</v>
      </c>
      <c r="D24" s="5">
        <v>6.7399691569599574E-3</v>
      </c>
      <c r="E24" s="5">
        <v>1.532124259657874E-2</v>
      </c>
      <c r="F24" s="5">
        <v>1.636861555413072E-2</v>
      </c>
      <c r="G24" s="5">
        <v>-1.5249318933016179E-2</v>
      </c>
      <c r="H24">
        <v>-1</v>
      </c>
      <c r="I24">
        <v>1</v>
      </c>
      <c r="J24" s="5">
        <v>0</v>
      </c>
      <c r="K24" s="5">
        <v>-6.7399691569599574E-3</v>
      </c>
      <c r="L24" s="5">
        <v>0</v>
      </c>
      <c r="M24" s="5">
        <v>1.532124259657874E-2</v>
      </c>
      <c r="N24" s="5">
        <v>1.636861555413072E-2</v>
      </c>
      <c r="O24" s="5">
        <v>0</v>
      </c>
      <c r="P24" s="5">
        <v>1.5249318933016179E-2</v>
      </c>
      <c r="Q24" s="5">
        <v>0</v>
      </c>
      <c r="R24" s="5">
        <v>3.6425982180238507E-2</v>
      </c>
      <c r="S24" s="5">
        <v>0.1243667398191797</v>
      </c>
      <c r="T24" s="5">
        <v>-6.1527201603046922E-2</v>
      </c>
      <c r="U24" s="5">
        <v>6.6022991332351677E-2</v>
      </c>
      <c r="V24" s="5">
        <v>0.18273615442102201</v>
      </c>
      <c r="W24" s="5">
        <v>1.4667990523394849E-3</v>
      </c>
      <c r="X24" s="5">
        <v>0.1207513151728319</v>
      </c>
      <c r="Y24" s="5">
        <v>4.8255289600415363E-2</v>
      </c>
      <c r="Z24" s="5">
        <v>0.51849806997533165</v>
      </c>
      <c r="AA24" s="5">
        <v>0.29588387761050339</v>
      </c>
    </row>
    <row r="25" spans="1:27" x14ac:dyDescent="0.25">
      <c r="A25" s="1">
        <v>38199</v>
      </c>
      <c r="B25" s="5">
        <v>-3.2192353272286978E-2</v>
      </c>
      <c r="C25" s="5">
        <v>-5.7332030637669902E-2</v>
      </c>
      <c r="D25" s="5">
        <v>8.7956890346071459E-3</v>
      </c>
      <c r="E25" s="5">
        <v>-7.6560428455463292E-4</v>
      </c>
      <c r="F25" s="5">
        <v>-2.7185738024280259E-2</v>
      </c>
      <c r="G25" s="5">
        <v>1.1706318383611251E-2</v>
      </c>
      <c r="H25">
        <v>1</v>
      </c>
      <c r="I25">
        <v>-1</v>
      </c>
      <c r="J25" s="5">
        <v>8.7956890346071459E-3</v>
      </c>
      <c r="K25" s="5">
        <v>0</v>
      </c>
      <c r="L25" s="5">
        <v>7.6560428455463292E-4</v>
      </c>
      <c r="M25" s="5">
        <v>0</v>
      </c>
      <c r="N25" s="5">
        <v>0</v>
      </c>
      <c r="O25" s="5">
        <v>2.7185738024280259E-2</v>
      </c>
      <c r="P25" s="5">
        <v>0</v>
      </c>
      <c r="Q25" s="5">
        <v>1.1706318383611251E-2</v>
      </c>
      <c r="R25" s="5">
        <v>4.522167121484566E-2</v>
      </c>
      <c r="S25" s="5">
        <v>0.1243667398191797</v>
      </c>
      <c r="T25" s="5">
        <v>-6.0761597318492289E-2</v>
      </c>
      <c r="U25" s="5">
        <v>6.6022991332351677E-2</v>
      </c>
      <c r="V25" s="5">
        <v>0.18273615442102201</v>
      </c>
      <c r="W25" s="5">
        <v>2.8652537076619741E-2</v>
      </c>
      <c r="X25" s="5">
        <v>0.1207513151728319</v>
      </c>
      <c r="Y25" s="5">
        <v>5.996160798402661E-2</v>
      </c>
      <c r="Z25" s="5">
        <v>0.56695141970238494</v>
      </c>
      <c r="AA25" s="5">
        <v>0.26369152433821641</v>
      </c>
    </row>
    <row r="26" spans="1:27" x14ac:dyDescent="0.25">
      <c r="A26" s="1">
        <v>38230</v>
      </c>
      <c r="B26" s="5">
        <v>3.0812804295732299E-3</v>
      </c>
      <c r="C26" s="5">
        <v>-2.960326095132915E-2</v>
      </c>
      <c r="D26" s="5">
        <v>5.7664263219470158E-3</v>
      </c>
      <c r="E26" s="5">
        <v>1.4183360699532851E-2</v>
      </c>
      <c r="F26" s="5">
        <v>-3.6391475953699071E-2</v>
      </c>
      <c r="G26" s="5">
        <v>2.5465014527947138E-2</v>
      </c>
      <c r="H26">
        <v>1</v>
      </c>
      <c r="I26">
        <v>-1</v>
      </c>
      <c r="J26" s="5">
        <v>5.7664263219470158E-3</v>
      </c>
      <c r="K26" s="5">
        <v>0</v>
      </c>
      <c r="L26" s="5">
        <v>-1.4183360699532851E-2</v>
      </c>
      <c r="M26" s="5">
        <v>0</v>
      </c>
      <c r="N26" s="5">
        <v>0</v>
      </c>
      <c r="O26" s="5">
        <v>3.6391475953699071E-2</v>
      </c>
      <c r="P26" s="5">
        <v>0</v>
      </c>
      <c r="Q26" s="5">
        <v>2.5465014527947138E-2</v>
      </c>
      <c r="R26" s="5">
        <v>5.0988097536792683E-2</v>
      </c>
      <c r="S26" s="5">
        <v>0.1243667398191797</v>
      </c>
      <c r="T26" s="5">
        <v>-7.4944958018025143E-2</v>
      </c>
      <c r="U26" s="5">
        <v>6.6022991332351677E-2</v>
      </c>
      <c r="V26" s="5">
        <v>0.18273615442102201</v>
      </c>
      <c r="W26" s="5">
        <v>6.5044013030318815E-2</v>
      </c>
      <c r="X26" s="5">
        <v>0.1207513151728319</v>
      </c>
      <c r="Y26" s="5">
        <v>8.5426622511973749E-2</v>
      </c>
      <c r="Z26" s="5">
        <v>0.62039097580644531</v>
      </c>
      <c r="AA26" s="5">
        <v>0.26677280476778958</v>
      </c>
    </row>
    <row r="27" spans="1:27" x14ac:dyDescent="0.25">
      <c r="A27" s="1">
        <v>38260</v>
      </c>
      <c r="B27" s="5">
        <v>1.032469825703985E-2</v>
      </c>
      <c r="C27" s="5">
        <v>-1.7410446657140529E-2</v>
      </c>
      <c r="D27" s="5">
        <v>1.950631359998956E-3</v>
      </c>
      <c r="E27" s="5">
        <v>-1.5992616299567719E-2</v>
      </c>
      <c r="F27" s="5">
        <v>1.324192018605397E-2</v>
      </c>
      <c r="G27" s="5">
        <v>-1.2889929356397769E-3</v>
      </c>
      <c r="H27">
        <v>1</v>
      </c>
      <c r="I27">
        <v>-1</v>
      </c>
      <c r="J27" s="5">
        <v>1.950631359998956E-3</v>
      </c>
      <c r="K27" s="5">
        <v>0</v>
      </c>
      <c r="L27" s="5">
        <v>1.5992616299567719E-2</v>
      </c>
      <c r="M27" s="5">
        <v>0</v>
      </c>
      <c r="N27" s="5">
        <v>0</v>
      </c>
      <c r="O27" s="5">
        <v>-1.324192018605397E-2</v>
      </c>
      <c r="P27" s="5">
        <v>0</v>
      </c>
      <c r="Q27" s="5">
        <v>-1.2889929356397769E-3</v>
      </c>
      <c r="R27" s="5">
        <v>5.2938728896791631E-2</v>
      </c>
      <c r="S27" s="5">
        <v>0.1243667398191797</v>
      </c>
      <c r="T27" s="5">
        <v>-5.8952341718457417E-2</v>
      </c>
      <c r="U27" s="5">
        <v>6.6022991332351677E-2</v>
      </c>
      <c r="V27" s="5">
        <v>0.18273615442102201</v>
      </c>
      <c r="W27" s="5">
        <v>5.1802092844264853E-2</v>
      </c>
      <c r="X27" s="5">
        <v>0.1207513151728319</v>
      </c>
      <c r="Y27" s="5">
        <v>8.4137629576333972E-2</v>
      </c>
      <c r="Z27" s="5">
        <v>0.62380331034431824</v>
      </c>
      <c r="AA27" s="5">
        <v>0.27709750302482949</v>
      </c>
    </row>
    <row r="28" spans="1:27" x14ac:dyDescent="0.25">
      <c r="A28" s="1">
        <v>38291</v>
      </c>
      <c r="B28" s="5">
        <v>1.348634909179469E-2</v>
      </c>
      <c r="C28" s="5">
        <v>-2.3802346699480781E-2</v>
      </c>
      <c r="D28" s="5">
        <v>1.7722429227709498E-2</v>
      </c>
      <c r="E28" s="5">
        <v>-1.8256870750822381E-3</v>
      </c>
      <c r="F28" s="5">
        <v>1.523284351360177E-2</v>
      </c>
      <c r="G28" s="5">
        <v>-1.2434964034883981E-2</v>
      </c>
      <c r="H28">
        <v>1</v>
      </c>
      <c r="I28">
        <v>-1</v>
      </c>
      <c r="J28" s="5">
        <v>1.7722429227709498E-2</v>
      </c>
      <c r="K28" s="5">
        <v>0</v>
      </c>
      <c r="L28" s="5">
        <v>1.8256870750822381E-3</v>
      </c>
      <c r="M28" s="5">
        <v>0</v>
      </c>
      <c r="N28" s="5">
        <v>0</v>
      </c>
      <c r="O28" s="5">
        <v>-1.523284351360177E-2</v>
      </c>
      <c r="P28" s="5">
        <v>0</v>
      </c>
      <c r="Q28" s="5">
        <v>-1.2434964034883981E-2</v>
      </c>
      <c r="R28" s="5">
        <v>7.0661158124501133E-2</v>
      </c>
      <c r="S28" s="5">
        <v>0.1243667398191797</v>
      </c>
      <c r="T28" s="5">
        <v>-5.7126654643375192E-2</v>
      </c>
      <c r="U28" s="5">
        <v>6.6022991332351677E-2</v>
      </c>
      <c r="V28" s="5">
        <v>0.18273615442102201</v>
      </c>
      <c r="W28" s="5">
        <v>3.6569249330663078E-2</v>
      </c>
      <c r="X28" s="5">
        <v>0.1207513151728319</v>
      </c>
      <c r="Y28" s="5">
        <v>7.1702665541449995E-2</v>
      </c>
      <c r="Z28" s="5">
        <v>0.61568361909862424</v>
      </c>
      <c r="AA28" s="5">
        <v>0.29058385211662419</v>
      </c>
    </row>
    <row r="29" spans="1:27" x14ac:dyDescent="0.25">
      <c r="A29" s="1">
        <v>38321</v>
      </c>
      <c r="B29" s="5">
        <v>4.3948024264093277E-2</v>
      </c>
      <c r="C29" s="5">
        <v>4.888041660528597E-2</v>
      </c>
      <c r="D29" s="5">
        <v>4.0206493505484664E-3</v>
      </c>
      <c r="E29" s="5">
        <v>-1.496609826230633E-2</v>
      </c>
      <c r="F29" s="5">
        <v>3.56028068054699E-2</v>
      </c>
      <c r="G29" s="5">
        <v>-1.421144310080791E-2</v>
      </c>
      <c r="H29">
        <v>-1</v>
      </c>
      <c r="I29">
        <v>1</v>
      </c>
      <c r="J29" s="5">
        <v>0</v>
      </c>
      <c r="K29" s="5">
        <v>-4.0206493505484664E-3</v>
      </c>
      <c r="L29" s="5">
        <v>0</v>
      </c>
      <c r="M29" s="5">
        <v>-1.496609826230633E-2</v>
      </c>
      <c r="N29" s="5">
        <v>3.56028068054699E-2</v>
      </c>
      <c r="O29" s="5">
        <v>0</v>
      </c>
      <c r="P29" s="5">
        <v>1.421144310080791E-2</v>
      </c>
      <c r="Q29" s="5">
        <v>0</v>
      </c>
      <c r="R29" s="5">
        <v>7.0661158124501133E-2</v>
      </c>
      <c r="S29" s="5">
        <v>0.12034609046863121</v>
      </c>
      <c r="T29" s="5">
        <v>-5.7126654643375192E-2</v>
      </c>
      <c r="U29" s="5">
        <v>5.105689307004535E-2</v>
      </c>
      <c r="V29" s="5">
        <v>0.21833896122649191</v>
      </c>
      <c r="W29" s="5">
        <v>3.6569249330663078E-2</v>
      </c>
      <c r="X29" s="5">
        <v>0.13496275827363979</v>
      </c>
      <c r="Y29" s="5">
        <v>7.1702665541449995E-2</v>
      </c>
      <c r="Z29" s="5">
        <v>0.64651112139204725</v>
      </c>
      <c r="AA29" s="5">
        <v>0.33453187638071752</v>
      </c>
    </row>
    <row r="30" spans="1:27" x14ac:dyDescent="0.25">
      <c r="A30" s="1">
        <v>38352</v>
      </c>
      <c r="B30" s="5">
        <v>2.9930305943853149E-2</v>
      </c>
      <c r="C30" s="5">
        <v>-4.0530206869837659E-3</v>
      </c>
      <c r="D30" s="5">
        <v>4.0047232207830463E-3</v>
      </c>
      <c r="E30" s="5">
        <v>-3.2044002069699928E-3</v>
      </c>
      <c r="F30" s="5">
        <v>1.8883103659042E-3</v>
      </c>
      <c r="G30" s="5">
        <v>1.463999511306324E-2</v>
      </c>
      <c r="H30">
        <v>1</v>
      </c>
      <c r="I30">
        <v>-1</v>
      </c>
      <c r="J30" s="5">
        <v>4.0047232207830463E-3</v>
      </c>
      <c r="K30" s="5">
        <v>0</v>
      </c>
      <c r="L30" s="5">
        <v>3.2044002069699928E-3</v>
      </c>
      <c r="M30" s="5">
        <v>0</v>
      </c>
      <c r="N30" s="5">
        <v>0</v>
      </c>
      <c r="O30" s="5">
        <v>-1.8883103659042E-3</v>
      </c>
      <c r="P30" s="5">
        <v>0</v>
      </c>
      <c r="Q30" s="5">
        <v>1.463999511306324E-2</v>
      </c>
      <c r="R30" s="5">
        <v>7.466588134528418E-2</v>
      </c>
      <c r="S30" s="5">
        <v>0.12034609046863121</v>
      </c>
      <c r="T30" s="5">
        <v>-5.3922254436405193E-2</v>
      </c>
      <c r="U30" s="5">
        <v>5.105689307004535E-2</v>
      </c>
      <c r="V30" s="5">
        <v>0.21833896122649191</v>
      </c>
      <c r="W30" s="5">
        <v>3.4680938964758878E-2</v>
      </c>
      <c r="X30" s="5">
        <v>0.13496275827363979</v>
      </c>
      <c r="Y30" s="5">
        <v>8.6342660654513237E-2</v>
      </c>
      <c r="Z30" s="5">
        <v>0.66647192956695933</v>
      </c>
      <c r="AA30" s="5">
        <v>0.36446218232457062</v>
      </c>
    </row>
    <row r="31" spans="1:27" x14ac:dyDescent="0.25">
      <c r="A31" s="1">
        <v>38383</v>
      </c>
      <c r="B31" s="5">
        <v>-2.228783173890414E-2</v>
      </c>
      <c r="C31" s="5">
        <v>-6.7875258082824019E-2</v>
      </c>
      <c r="D31" s="5">
        <v>1.3748420119299221E-2</v>
      </c>
      <c r="E31" s="5">
        <v>3.4884840607457561E-3</v>
      </c>
      <c r="F31" s="5">
        <v>-2.018477097283122E-2</v>
      </c>
      <c r="G31" s="5">
        <v>-3.8951171372092468E-5</v>
      </c>
      <c r="H31">
        <v>1</v>
      </c>
      <c r="I31">
        <v>-1</v>
      </c>
      <c r="J31" s="5">
        <v>1.3748420119299221E-2</v>
      </c>
      <c r="K31" s="5">
        <v>0</v>
      </c>
      <c r="L31" s="5">
        <v>-3.4884840607457561E-3</v>
      </c>
      <c r="M31" s="5">
        <v>0</v>
      </c>
      <c r="N31" s="5">
        <v>0</v>
      </c>
      <c r="O31" s="5">
        <v>2.018477097283122E-2</v>
      </c>
      <c r="P31" s="5">
        <v>0</v>
      </c>
      <c r="Q31" s="5">
        <v>-3.8951171372092468E-5</v>
      </c>
      <c r="R31" s="5">
        <v>8.84143014645834E-2</v>
      </c>
      <c r="S31" s="5">
        <v>0.12034609046863121</v>
      </c>
      <c r="T31" s="5">
        <v>-5.7410738497150948E-2</v>
      </c>
      <c r="U31" s="5">
        <v>5.105689307004535E-2</v>
      </c>
      <c r="V31" s="5">
        <v>0.21833896122649191</v>
      </c>
      <c r="W31" s="5">
        <v>5.4865709937590101E-2</v>
      </c>
      <c r="X31" s="5">
        <v>0.13496275827363979</v>
      </c>
      <c r="Y31" s="5">
        <v>8.6303709483141144E-2</v>
      </c>
      <c r="Z31" s="5">
        <v>0.69687768542697193</v>
      </c>
      <c r="AA31" s="5">
        <v>0.34217435058566648</v>
      </c>
    </row>
    <row r="32" spans="1:27" x14ac:dyDescent="0.25">
      <c r="A32" s="1">
        <v>38411</v>
      </c>
      <c r="B32" s="5">
        <v>2.111651670207626E-2</v>
      </c>
      <c r="C32" s="5">
        <v>1.364787466030482E-2</v>
      </c>
      <c r="D32" s="5">
        <v>1.708929655990055E-2</v>
      </c>
      <c r="E32" s="5">
        <v>-4.7983080293456659E-3</v>
      </c>
      <c r="F32" s="5">
        <v>1.6120656861561829E-2</v>
      </c>
      <c r="G32" s="5">
        <v>2.1513588712022021E-2</v>
      </c>
      <c r="H32">
        <v>-1</v>
      </c>
      <c r="I32">
        <v>1</v>
      </c>
      <c r="J32" s="5">
        <v>0</v>
      </c>
      <c r="K32" s="5">
        <v>-1.708929655990055E-2</v>
      </c>
      <c r="L32" s="5">
        <v>0</v>
      </c>
      <c r="M32" s="5">
        <v>-4.7983080293456659E-3</v>
      </c>
      <c r="N32" s="5">
        <v>1.6120656861561829E-2</v>
      </c>
      <c r="O32" s="5">
        <v>0</v>
      </c>
      <c r="P32" s="5">
        <v>-2.1513588712022021E-2</v>
      </c>
      <c r="Q32" s="5">
        <v>0</v>
      </c>
      <c r="R32" s="5">
        <v>8.84143014645834E-2</v>
      </c>
      <c r="S32" s="5">
        <v>0.1032567939087307</v>
      </c>
      <c r="T32" s="5">
        <v>-5.7410738497150948E-2</v>
      </c>
      <c r="U32" s="5">
        <v>4.6258585040699678E-2</v>
      </c>
      <c r="V32" s="5">
        <v>0.23445961808805371</v>
      </c>
      <c r="W32" s="5">
        <v>5.4865709937590101E-2</v>
      </c>
      <c r="X32" s="5">
        <v>0.1134491695616178</v>
      </c>
      <c r="Y32" s="5">
        <v>8.6303709483141144E-2</v>
      </c>
      <c r="Z32" s="5">
        <v>0.66959714898726552</v>
      </c>
      <c r="AA32" s="5">
        <v>0.36329086728774268</v>
      </c>
    </row>
    <row r="33" spans="1:27" x14ac:dyDescent="0.25">
      <c r="A33" s="1">
        <v>38442</v>
      </c>
      <c r="B33" s="5">
        <v>-1.7995661892629911E-2</v>
      </c>
      <c r="C33" s="5">
        <v>-2.5685115812461579E-3</v>
      </c>
      <c r="D33" s="5">
        <v>-1.009193205521175E-3</v>
      </c>
      <c r="E33" s="5">
        <v>1.0362394448728111E-2</v>
      </c>
      <c r="F33" s="5">
        <v>1.7837170024897708E-2</v>
      </c>
      <c r="G33" s="5">
        <v>1.260261428169551E-2</v>
      </c>
      <c r="H33">
        <v>1</v>
      </c>
      <c r="I33">
        <v>-1</v>
      </c>
      <c r="J33" s="5">
        <v>-1.009193205521175E-3</v>
      </c>
      <c r="K33" s="5">
        <v>0</v>
      </c>
      <c r="L33" s="5">
        <v>-1.0362394448728111E-2</v>
      </c>
      <c r="M33" s="5">
        <v>0</v>
      </c>
      <c r="N33" s="5">
        <v>0</v>
      </c>
      <c r="O33" s="5">
        <v>-1.7837170024897708E-2</v>
      </c>
      <c r="P33" s="5">
        <v>0</v>
      </c>
      <c r="Q33" s="5">
        <v>1.260261428169551E-2</v>
      </c>
      <c r="R33" s="5">
        <v>8.7405108259062225E-2</v>
      </c>
      <c r="S33" s="5">
        <v>0.1032567939087307</v>
      </c>
      <c r="T33" s="5">
        <v>-6.7773132945879055E-2</v>
      </c>
      <c r="U33" s="5">
        <v>4.6258585040699678E-2</v>
      </c>
      <c r="V33" s="5">
        <v>0.23445961808805371</v>
      </c>
      <c r="W33" s="5">
        <v>3.7028539912692393E-2</v>
      </c>
      <c r="X33" s="5">
        <v>0.1134491695616178</v>
      </c>
      <c r="Y33" s="5">
        <v>9.8906323764836657E-2</v>
      </c>
      <c r="Z33" s="5">
        <v>0.65299100558981404</v>
      </c>
      <c r="AA33" s="5">
        <v>0.34529520539511283</v>
      </c>
    </row>
    <row r="34" spans="1:27" x14ac:dyDescent="0.25">
      <c r="A34" s="1">
        <v>38472</v>
      </c>
      <c r="B34" s="5">
        <v>-1.7971764306151439E-2</v>
      </c>
      <c r="C34" s="5">
        <v>-3.5322014346222293E-2</v>
      </c>
      <c r="D34" s="5">
        <v>-1.989333887360889E-3</v>
      </c>
      <c r="E34" s="5">
        <v>1.896700529611273E-2</v>
      </c>
      <c r="F34" s="5">
        <v>1.083611030251797E-2</v>
      </c>
      <c r="G34" s="5">
        <v>-4.0048044339862088E-3</v>
      </c>
      <c r="H34">
        <v>1</v>
      </c>
      <c r="I34">
        <v>-1</v>
      </c>
      <c r="J34" s="5">
        <v>-1.989333887360889E-3</v>
      </c>
      <c r="K34" s="5">
        <v>0</v>
      </c>
      <c r="L34" s="5">
        <v>-1.896700529611273E-2</v>
      </c>
      <c r="M34" s="5">
        <v>0</v>
      </c>
      <c r="N34" s="5">
        <v>0</v>
      </c>
      <c r="O34" s="5">
        <v>-1.083611030251797E-2</v>
      </c>
      <c r="P34" s="5">
        <v>0</v>
      </c>
      <c r="Q34" s="5">
        <v>-4.0048044339862088E-3</v>
      </c>
      <c r="R34" s="5">
        <v>8.5415774371701336E-2</v>
      </c>
      <c r="S34" s="5">
        <v>0.1032567939087307</v>
      </c>
      <c r="T34" s="5">
        <v>-8.6740138241991782E-2</v>
      </c>
      <c r="U34" s="5">
        <v>4.6258585040699678E-2</v>
      </c>
      <c r="V34" s="5">
        <v>0.23445961808805371</v>
      </c>
      <c r="W34" s="5">
        <v>2.6192429610174432E-2</v>
      </c>
      <c r="X34" s="5">
        <v>0.1134491695616178</v>
      </c>
      <c r="Y34" s="5">
        <v>9.4901519330850448E-2</v>
      </c>
      <c r="Z34" s="5">
        <v>0.61719375166983625</v>
      </c>
      <c r="AA34" s="5">
        <v>0.32732344108896139</v>
      </c>
    </row>
    <row r="35" spans="1:27" x14ac:dyDescent="0.25">
      <c r="A35" s="1">
        <v>38503</v>
      </c>
      <c r="B35" s="5">
        <v>3.2101996705876663E-2</v>
      </c>
      <c r="C35" s="5">
        <v>1.4545359866855231E-2</v>
      </c>
      <c r="D35" s="5">
        <v>3.0719770505799331E-3</v>
      </c>
      <c r="E35" s="5">
        <v>1.669294460527437E-2</v>
      </c>
      <c r="F35" s="5">
        <v>1.156173082509959E-2</v>
      </c>
      <c r="G35" s="5">
        <v>-1.139296632524012E-2</v>
      </c>
      <c r="H35">
        <v>-1</v>
      </c>
      <c r="I35">
        <v>1</v>
      </c>
      <c r="J35" s="5">
        <v>0</v>
      </c>
      <c r="K35" s="5">
        <v>-3.0719770505799331E-3</v>
      </c>
      <c r="L35" s="5">
        <v>0</v>
      </c>
      <c r="M35" s="5">
        <v>1.669294460527437E-2</v>
      </c>
      <c r="N35" s="5">
        <v>1.156173082509959E-2</v>
      </c>
      <c r="O35" s="5">
        <v>0</v>
      </c>
      <c r="P35" s="5">
        <v>1.139296632524012E-2</v>
      </c>
      <c r="Q35" s="5">
        <v>0</v>
      </c>
      <c r="R35" s="5">
        <v>8.5415774371701336E-2</v>
      </c>
      <c r="S35" s="5">
        <v>0.1001848168581507</v>
      </c>
      <c r="T35" s="5">
        <v>-8.6740138241991782E-2</v>
      </c>
      <c r="U35" s="5">
        <v>6.2951529645974058E-2</v>
      </c>
      <c r="V35" s="5">
        <v>0.2460213489131533</v>
      </c>
      <c r="W35" s="5">
        <v>2.6192429610174432E-2</v>
      </c>
      <c r="X35" s="5">
        <v>0.1248421358868579</v>
      </c>
      <c r="Y35" s="5">
        <v>9.4901519330850448E-2</v>
      </c>
      <c r="Z35" s="5">
        <v>0.6537694163748704</v>
      </c>
      <c r="AA35" s="5">
        <v>0.35942543779483799</v>
      </c>
    </row>
    <row r="36" spans="1:27" x14ac:dyDescent="0.25">
      <c r="A36" s="1">
        <v>38533</v>
      </c>
      <c r="B36" s="5">
        <v>1.783097602585437E-3</v>
      </c>
      <c r="C36" s="5">
        <v>1.8113899149036269E-2</v>
      </c>
      <c r="D36" s="5">
        <v>-1.8850487705647009E-2</v>
      </c>
      <c r="E36" s="5">
        <v>1.9365892432761211E-2</v>
      </c>
      <c r="F36" s="5">
        <v>5.4774618271681286E-3</v>
      </c>
      <c r="G36" s="5">
        <v>1.9606748856538351E-2</v>
      </c>
      <c r="H36">
        <v>-1</v>
      </c>
      <c r="I36">
        <v>1</v>
      </c>
      <c r="J36" s="5">
        <v>0</v>
      </c>
      <c r="K36" s="5">
        <v>1.8850487705647009E-2</v>
      </c>
      <c r="L36" s="5">
        <v>0</v>
      </c>
      <c r="M36" s="5">
        <v>1.9365892432761211E-2</v>
      </c>
      <c r="N36" s="5">
        <v>5.4774618271681286E-3</v>
      </c>
      <c r="O36" s="5">
        <v>0</v>
      </c>
      <c r="P36" s="5">
        <v>-1.9606748856538351E-2</v>
      </c>
      <c r="Q36" s="5">
        <v>0</v>
      </c>
      <c r="R36" s="5">
        <v>8.5415774371701336E-2</v>
      </c>
      <c r="S36" s="5">
        <v>0.1190353045637977</v>
      </c>
      <c r="T36" s="5">
        <v>-8.6740138241991782E-2</v>
      </c>
      <c r="U36" s="5">
        <v>8.231742207873527E-2</v>
      </c>
      <c r="V36" s="5">
        <v>0.25149881074032138</v>
      </c>
      <c r="W36" s="5">
        <v>2.6192429610174432E-2</v>
      </c>
      <c r="X36" s="5">
        <v>0.1052353870303195</v>
      </c>
      <c r="Y36" s="5">
        <v>9.4901519330850448E-2</v>
      </c>
      <c r="Z36" s="5">
        <v>0.67785650948390841</v>
      </c>
      <c r="AA36" s="5">
        <v>0.36120853539742348</v>
      </c>
    </row>
    <row r="37" spans="1:27" x14ac:dyDescent="0.25">
      <c r="A37" s="1">
        <v>38564</v>
      </c>
      <c r="B37" s="5">
        <v>3.7837978722107153E-2</v>
      </c>
      <c r="C37" s="5">
        <v>6.5505746607322779E-2</v>
      </c>
      <c r="D37" s="5">
        <v>1.6705690651236389E-3</v>
      </c>
      <c r="E37" s="5">
        <v>-4.6160898041524012E-3</v>
      </c>
      <c r="F37" s="5">
        <v>1.7940667277864138E-2</v>
      </c>
      <c r="G37" s="5">
        <v>-1.8055553005563611E-2</v>
      </c>
      <c r="H37">
        <v>-1</v>
      </c>
      <c r="I37">
        <v>1</v>
      </c>
      <c r="J37" s="5">
        <v>0</v>
      </c>
      <c r="K37" s="5">
        <v>-1.6705690651236389E-3</v>
      </c>
      <c r="L37" s="5">
        <v>0</v>
      </c>
      <c r="M37" s="5">
        <v>-4.6160898041524012E-3</v>
      </c>
      <c r="N37" s="5">
        <v>1.7940667277864138E-2</v>
      </c>
      <c r="O37" s="5">
        <v>0</v>
      </c>
      <c r="P37" s="5">
        <v>1.8055553005563611E-2</v>
      </c>
      <c r="Q37" s="5">
        <v>0</v>
      </c>
      <c r="R37" s="5">
        <v>8.5415774371701336E-2</v>
      </c>
      <c r="S37" s="5">
        <v>0.1173647354986741</v>
      </c>
      <c r="T37" s="5">
        <v>-8.6740138241991782E-2</v>
      </c>
      <c r="U37" s="5">
        <v>7.7701332274582868E-2</v>
      </c>
      <c r="V37" s="5">
        <v>0.26943947801818557</v>
      </c>
      <c r="W37" s="5">
        <v>2.6192429610174432E-2</v>
      </c>
      <c r="X37" s="5">
        <v>0.1232909400358831</v>
      </c>
      <c r="Y37" s="5">
        <v>9.4901519330850448E-2</v>
      </c>
      <c r="Z37" s="5">
        <v>0.70756607089806012</v>
      </c>
      <c r="AA37" s="5">
        <v>0.39904651411953063</v>
      </c>
    </row>
    <row r="38" spans="1:27" x14ac:dyDescent="0.25">
      <c r="A38" s="1">
        <v>38595</v>
      </c>
      <c r="B38" s="5">
        <v>-8.9929492413670653E-3</v>
      </c>
      <c r="C38" s="5">
        <v>-2.1186282559731099E-2</v>
      </c>
      <c r="D38" s="5">
        <v>1.0922253866132441E-3</v>
      </c>
      <c r="E38" s="5">
        <v>2.33642713146065E-2</v>
      </c>
      <c r="F38" s="5">
        <v>-6.897210664049136E-3</v>
      </c>
      <c r="G38" s="5">
        <v>-1.1925966545124461E-2</v>
      </c>
      <c r="H38">
        <v>1</v>
      </c>
      <c r="I38">
        <v>-1</v>
      </c>
      <c r="J38" s="5">
        <v>1.0922253866132441E-3</v>
      </c>
      <c r="K38" s="5">
        <v>0</v>
      </c>
      <c r="L38" s="5">
        <v>-2.33642713146065E-2</v>
      </c>
      <c r="M38" s="5">
        <v>0</v>
      </c>
      <c r="N38" s="5">
        <v>0</v>
      </c>
      <c r="O38" s="5">
        <v>6.897210664049136E-3</v>
      </c>
      <c r="P38" s="5">
        <v>0</v>
      </c>
      <c r="Q38" s="5">
        <v>-1.1925966545124461E-2</v>
      </c>
      <c r="R38" s="5">
        <v>8.650799975831458E-2</v>
      </c>
      <c r="S38" s="5">
        <v>0.1173647354986741</v>
      </c>
      <c r="T38" s="5">
        <v>-0.1101044095565983</v>
      </c>
      <c r="U38" s="5">
        <v>7.7701332274582868E-2</v>
      </c>
      <c r="V38" s="5">
        <v>0.26943947801818557</v>
      </c>
      <c r="W38" s="5">
        <v>3.3089640274223557E-2</v>
      </c>
      <c r="X38" s="5">
        <v>0.1232909400358831</v>
      </c>
      <c r="Y38" s="5">
        <v>8.2975552785725992E-2</v>
      </c>
      <c r="Z38" s="5">
        <v>0.68026526908899154</v>
      </c>
      <c r="AA38" s="5">
        <v>0.39005356487816362</v>
      </c>
    </row>
    <row r="39" spans="1:27" x14ac:dyDescent="0.25">
      <c r="A39" s="1">
        <v>38625</v>
      </c>
      <c r="B39" s="5">
        <v>8.2898792753788308E-3</v>
      </c>
      <c r="C39" s="5">
        <v>1.8923756364505721E-2</v>
      </c>
      <c r="D39" s="5">
        <v>1.3952550693553171E-2</v>
      </c>
      <c r="E39" s="5">
        <v>-1.1890033877296259E-2</v>
      </c>
      <c r="F39" s="5">
        <v>7.5538140546146382E-3</v>
      </c>
      <c r="G39" s="5">
        <v>-2.0571194037496739E-2</v>
      </c>
      <c r="H39">
        <v>-1</v>
      </c>
      <c r="I39">
        <v>1</v>
      </c>
      <c r="J39" s="5">
        <v>0</v>
      </c>
      <c r="K39" s="5">
        <v>-1.3952550693553171E-2</v>
      </c>
      <c r="L39" s="5">
        <v>0</v>
      </c>
      <c r="M39" s="5">
        <v>-1.1890033877296259E-2</v>
      </c>
      <c r="N39" s="5">
        <v>7.5538140546146382E-3</v>
      </c>
      <c r="O39" s="5">
        <v>0</v>
      </c>
      <c r="P39" s="5">
        <v>2.0571194037496739E-2</v>
      </c>
      <c r="Q39" s="5">
        <v>0</v>
      </c>
      <c r="R39" s="5">
        <v>8.650799975831458E-2</v>
      </c>
      <c r="S39" s="5">
        <v>0.1034121848051209</v>
      </c>
      <c r="T39" s="5">
        <v>-0.1101044095565983</v>
      </c>
      <c r="U39" s="5">
        <v>6.5811298397286611E-2</v>
      </c>
      <c r="V39" s="5">
        <v>0.27699329207280021</v>
      </c>
      <c r="W39" s="5">
        <v>3.3089640274223557E-2</v>
      </c>
      <c r="X39" s="5">
        <v>0.14386213407337989</v>
      </c>
      <c r="Y39" s="5">
        <v>8.2975552785725992E-2</v>
      </c>
      <c r="Z39" s="5">
        <v>0.6825476926102535</v>
      </c>
      <c r="AA39" s="5">
        <v>0.39834344415354239</v>
      </c>
    </row>
    <row r="40" spans="1:27" x14ac:dyDescent="0.25">
      <c r="A40" s="1">
        <v>38656</v>
      </c>
      <c r="B40" s="5">
        <v>-2.2986769128264362E-2</v>
      </c>
      <c r="C40" s="5">
        <v>-3.5777764406992978E-2</v>
      </c>
      <c r="D40" s="5">
        <v>1.707709698465909E-2</v>
      </c>
      <c r="E40" s="5">
        <v>-1.8108628355203989E-2</v>
      </c>
      <c r="F40" s="5">
        <v>-2.8103858588412689E-2</v>
      </c>
      <c r="G40" s="5">
        <v>8.3833318383685906E-5</v>
      </c>
      <c r="H40">
        <v>1</v>
      </c>
      <c r="I40">
        <v>-1</v>
      </c>
      <c r="J40" s="5">
        <v>1.707709698465909E-2</v>
      </c>
      <c r="K40" s="5">
        <v>0</v>
      </c>
      <c r="L40" s="5">
        <v>1.8108628355203989E-2</v>
      </c>
      <c r="M40" s="5">
        <v>0</v>
      </c>
      <c r="N40" s="5">
        <v>0</v>
      </c>
      <c r="O40" s="5">
        <v>2.8103858588412689E-2</v>
      </c>
      <c r="P40" s="5">
        <v>0</v>
      </c>
      <c r="Q40" s="5">
        <v>8.3833318383685906E-5</v>
      </c>
      <c r="R40" s="5">
        <v>0.1035850967429737</v>
      </c>
      <c r="S40" s="5">
        <v>0.1034121848051209</v>
      </c>
      <c r="T40" s="5">
        <v>-9.1995781201394289E-2</v>
      </c>
      <c r="U40" s="5">
        <v>6.5811298397286611E-2</v>
      </c>
      <c r="V40" s="5">
        <v>0.27699329207280021</v>
      </c>
      <c r="W40" s="5">
        <v>6.1193498862636253E-2</v>
      </c>
      <c r="X40" s="5">
        <v>0.14386213407337989</v>
      </c>
      <c r="Y40" s="5">
        <v>8.3059386104109678E-2</v>
      </c>
      <c r="Z40" s="5">
        <v>0.74592110985691296</v>
      </c>
      <c r="AA40" s="5">
        <v>0.37535667502527797</v>
      </c>
    </row>
    <row r="41" spans="1:27" x14ac:dyDescent="0.25">
      <c r="A41" s="1">
        <v>38686</v>
      </c>
      <c r="B41" s="5">
        <v>4.3258384947300277E-2</v>
      </c>
      <c r="C41" s="5">
        <v>3.4215884048001348E-2</v>
      </c>
      <c r="D41" s="5">
        <v>-2.7204645949528978E-3</v>
      </c>
      <c r="E41" s="5">
        <v>-4.4717668762676022E-3</v>
      </c>
      <c r="F41" s="5">
        <v>1.739920876654721E-2</v>
      </c>
      <c r="G41" s="5">
        <v>-1.079066100134563E-2</v>
      </c>
      <c r="H41">
        <v>-1</v>
      </c>
      <c r="I41">
        <v>1</v>
      </c>
      <c r="J41" s="5">
        <v>0</v>
      </c>
      <c r="K41" s="5">
        <v>2.7204645949528978E-3</v>
      </c>
      <c r="L41" s="5">
        <v>0</v>
      </c>
      <c r="M41" s="5">
        <v>-4.4717668762676022E-3</v>
      </c>
      <c r="N41" s="5">
        <v>1.739920876654721E-2</v>
      </c>
      <c r="O41" s="5">
        <v>0</v>
      </c>
      <c r="P41" s="5">
        <v>1.079066100134563E-2</v>
      </c>
      <c r="Q41" s="5">
        <v>0</v>
      </c>
      <c r="R41" s="5">
        <v>0.1035850967429737</v>
      </c>
      <c r="S41" s="5">
        <v>0.1061326494000738</v>
      </c>
      <c r="T41" s="5">
        <v>-9.1995781201394289E-2</v>
      </c>
      <c r="U41" s="5">
        <v>6.1339531521019008E-2</v>
      </c>
      <c r="V41" s="5">
        <v>0.29439250083934743</v>
      </c>
      <c r="W41" s="5">
        <v>6.1193498862636253E-2</v>
      </c>
      <c r="X41" s="5">
        <v>0.15465279507472551</v>
      </c>
      <c r="Y41" s="5">
        <v>8.3059386104109678E-2</v>
      </c>
      <c r="Z41" s="5">
        <v>0.77235967734349109</v>
      </c>
      <c r="AA41" s="5">
        <v>0.41861505997257831</v>
      </c>
    </row>
    <row r="42" spans="1:27" x14ac:dyDescent="0.25">
      <c r="A42" s="1">
        <v>38717</v>
      </c>
      <c r="B42" s="5">
        <v>-1.6890708219106101E-3</v>
      </c>
      <c r="C42" s="5">
        <v>5.3745759010959133E-5</v>
      </c>
      <c r="D42" s="5">
        <v>-1.204074378787434E-2</v>
      </c>
      <c r="E42" s="5">
        <v>1.9369391412684681E-2</v>
      </c>
      <c r="F42" s="5">
        <v>5.4019445998462201E-3</v>
      </c>
      <c r="G42" s="5">
        <v>7.3898703274344335E-4</v>
      </c>
      <c r="H42">
        <v>-1</v>
      </c>
      <c r="I42">
        <v>1</v>
      </c>
      <c r="J42" s="5">
        <v>0</v>
      </c>
      <c r="K42" s="5">
        <v>1.204074378787434E-2</v>
      </c>
      <c r="L42" s="5">
        <v>0</v>
      </c>
      <c r="M42" s="5">
        <v>1.9369391412684681E-2</v>
      </c>
      <c r="N42" s="5">
        <v>5.4019445998462201E-3</v>
      </c>
      <c r="O42" s="5">
        <v>0</v>
      </c>
      <c r="P42" s="5">
        <v>-7.3898703274344335E-4</v>
      </c>
      <c r="Q42" s="5">
        <v>0</v>
      </c>
      <c r="R42" s="5">
        <v>0.1035850967429737</v>
      </c>
      <c r="S42" s="5">
        <v>0.1181733931879482</v>
      </c>
      <c r="T42" s="5">
        <v>-9.1995781201394289E-2</v>
      </c>
      <c r="U42" s="5">
        <v>8.0708922933703686E-2</v>
      </c>
      <c r="V42" s="5">
        <v>0.29979444543919359</v>
      </c>
      <c r="W42" s="5">
        <v>6.1193498862636253E-2</v>
      </c>
      <c r="X42" s="5">
        <v>0.1539138080419821</v>
      </c>
      <c r="Y42" s="5">
        <v>8.3059386104109678E-2</v>
      </c>
      <c r="Z42" s="5">
        <v>0.80843277011115289</v>
      </c>
      <c r="AA42" s="5">
        <v>0.4169259891506677</v>
      </c>
    </row>
    <row r="43" spans="1:27" x14ac:dyDescent="0.25">
      <c r="A43" s="1">
        <v>38748</v>
      </c>
      <c r="B43" s="5">
        <v>2.422554560838797E-2</v>
      </c>
      <c r="C43" s="5">
        <v>1.6552283482905269E-2</v>
      </c>
      <c r="D43" s="5">
        <v>7.5641466990244988E-3</v>
      </c>
      <c r="E43" s="5">
        <v>-1.340158722774942E-2</v>
      </c>
      <c r="F43" s="5">
        <v>3.3844050679922473E-2</v>
      </c>
      <c r="G43" s="5">
        <v>-1.2994816717236679E-3</v>
      </c>
      <c r="H43">
        <v>-1</v>
      </c>
      <c r="I43">
        <v>1</v>
      </c>
      <c r="J43" s="5">
        <v>0</v>
      </c>
      <c r="K43" s="5">
        <v>-7.5641466990244988E-3</v>
      </c>
      <c r="L43" s="5">
        <v>0</v>
      </c>
      <c r="M43" s="5">
        <v>-1.340158722774942E-2</v>
      </c>
      <c r="N43" s="5">
        <v>3.3844050679922473E-2</v>
      </c>
      <c r="O43" s="5">
        <v>0</v>
      </c>
      <c r="P43" s="5">
        <v>1.2994816717236679E-3</v>
      </c>
      <c r="Q43" s="5">
        <v>0</v>
      </c>
      <c r="R43" s="5">
        <v>0.1035850967429737</v>
      </c>
      <c r="S43" s="5">
        <v>0.1106092464889237</v>
      </c>
      <c r="T43" s="5">
        <v>-9.1995781201394289E-2</v>
      </c>
      <c r="U43" s="5">
        <v>6.7307335705954263E-2</v>
      </c>
      <c r="V43" s="5">
        <v>0.33363849611911611</v>
      </c>
      <c r="W43" s="5">
        <v>6.1193498862636253E-2</v>
      </c>
      <c r="X43" s="5">
        <v>0.15521328971370571</v>
      </c>
      <c r="Y43" s="5">
        <v>8.3059386104109678E-2</v>
      </c>
      <c r="Z43" s="5">
        <v>0.8226105685360251</v>
      </c>
      <c r="AA43" s="5">
        <v>0.44115153475905572</v>
      </c>
    </row>
    <row r="44" spans="1:27" x14ac:dyDescent="0.25">
      <c r="A44" s="1">
        <v>38776</v>
      </c>
      <c r="B44" s="5">
        <v>6.0672493790234761E-3</v>
      </c>
      <c r="C44" s="5">
        <v>2.170908855746001E-3</v>
      </c>
      <c r="D44" s="5">
        <v>-8.0281595170902387E-3</v>
      </c>
      <c r="E44" s="5">
        <v>-7.4864482983161285E-4</v>
      </c>
      <c r="F44" s="5">
        <v>-1.5822348533060748E-2</v>
      </c>
      <c r="G44" s="5">
        <v>2.8204382467733602E-3</v>
      </c>
      <c r="H44">
        <v>-1</v>
      </c>
      <c r="I44">
        <v>1</v>
      </c>
      <c r="J44" s="5">
        <v>0</v>
      </c>
      <c r="K44" s="5">
        <v>8.0281595170902387E-3</v>
      </c>
      <c r="L44" s="5">
        <v>0</v>
      </c>
      <c r="M44" s="5">
        <v>-7.4864482983161285E-4</v>
      </c>
      <c r="N44" s="5">
        <v>-1.5822348533060748E-2</v>
      </c>
      <c r="O44" s="5">
        <v>0</v>
      </c>
      <c r="P44" s="5">
        <v>-2.8204382467733602E-3</v>
      </c>
      <c r="Q44" s="5">
        <v>0</v>
      </c>
      <c r="R44" s="5">
        <v>0.1035850967429737</v>
      </c>
      <c r="S44" s="5">
        <v>0.1186374060060139</v>
      </c>
      <c r="T44" s="5">
        <v>-9.1995781201394289E-2</v>
      </c>
      <c r="U44" s="5">
        <v>6.655869087612265E-2</v>
      </c>
      <c r="V44" s="5">
        <v>0.31781614758605542</v>
      </c>
      <c r="W44" s="5">
        <v>6.1193498862636253E-2</v>
      </c>
      <c r="X44" s="5">
        <v>0.15239285146693241</v>
      </c>
      <c r="Y44" s="5">
        <v>8.3059386104109678E-2</v>
      </c>
      <c r="Z44" s="5">
        <v>0.81124729644344962</v>
      </c>
      <c r="AA44" s="5">
        <v>0.44721878413807908</v>
      </c>
    </row>
    <row r="45" spans="1:27" x14ac:dyDescent="0.25">
      <c r="A45" s="1">
        <v>38807</v>
      </c>
      <c r="B45" s="5">
        <v>1.665237156480015E-2</v>
      </c>
      <c r="C45" s="5">
        <v>4.2384472444998662E-2</v>
      </c>
      <c r="D45" s="5">
        <v>1.912521600976214E-3</v>
      </c>
      <c r="E45" s="5">
        <v>-1.880796693564846E-2</v>
      </c>
      <c r="F45" s="5">
        <v>-1.9679550459246191E-3</v>
      </c>
      <c r="G45" s="5">
        <v>-2.6845983427686741E-2</v>
      </c>
      <c r="H45">
        <v>-1</v>
      </c>
      <c r="I45">
        <v>1</v>
      </c>
      <c r="J45" s="5">
        <v>0</v>
      </c>
      <c r="K45" s="5">
        <v>-1.912521600976214E-3</v>
      </c>
      <c r="L45" s="5">
        <v>0</v>
      </c>
      <c r="M45" s="5">
        <v>-1.880796693564846E-2</v>
      </c>
      <c r="N45" s="5">
        <v>-1.9679550459246191E-3</v>
      </c>
      <c r="O45" s="5">
        <v>0</v>
      </c>
      <c r="P45" s="5">
        <v>2.6845983427686741E-2</v>
      </c>
      <c r="Q45" s="5">
        <v>0</v>
      </c>
      <c r="R45" s="5">
        <v>0.1035850967429737</v>
      </c>
      <c r="S45" s="5">
        <v>0.1167248844050377</v>
      </c>
      <c r="T45" s="5">
        <v>-9.1995781201394289E-2</v>
      </c>
      <c r="U45" s="5">
        <v>4.7750723940474193E-2</v>
      </c>
      <c r="V45" s="5">
        <v>0.31584819254013069</v>
      </c>
      <c r="W45" s="5">
        <v>6.1193498862636253E-2</v>
      </c>
      <c r="X45" s="5">
        <v>0.17923883489461909</v>
      </c>
      <c r="Y45" s="5">
        <v>8.3059386104109678E-2</v>
      </c>
      <c r="Z45" s="5">
        <v>0.81540483628858706</v>
      </c>
      <c r="AA45" s="5">
        <v>0.46387115570287929</v>
      </c>
    </row>
    <row r="46" spans="1:27" x14ac:dyDescent="0.25">
      <c r="A46" s="1">
        <v>38837</v>
      </c>
      <c r="B46" s="5">
        <v>1.2826842050591151E-2</v>
      </c>
      <c r="C46" s="5">
        <v>2.4682158462591249E-2</v>
      </c>
      <c r="D46" s="5">
        <v>4.294409491087281E-3</v>
      </c>
      <c r="E46" s="5">
        <v>-1.150469816720723E-2</v>
      </c>
      <c r="F46" s="5">
        <v>-2.1570385020627252E-3</v>
      </c>
      <c r="G46" s="5">
        <v>-1.6724020333853451E-2</v>
      </c>
      <c r="H46">
        <v>-1</v>
      </c>
      <c r="I46">
        <v>1</v>
      </c>
      <c r="J46" s="5">
        <v>0</v>
      </c>
      <c r="K46" s="5">
        <v>-4.294409491087281E-3</v>
      </c>
      <c r="L46" s="5">
        <v>0</v>
      </c>
      <c r="M46" s="5">
        <v>-1.150469816720723E-2</v>
      </c>
      <c r="N46" s="5">
        <v>-2.1570385020627252E-3</v>
      </c>
      <c r="O46" s="5">
        <v>0</v>
      </c>
      <c r="P46" s="5">
        <v>1.6724020333853451E-2</v>
      </c>
      <c r="Q46" s="5">
        <v>0</v>
      </c>
      <c r="R46" s="5">
        <v>0.1035850967429737</v>
      </c>
      <c r="S46" s="5">
        <v>0.1124304749139504</v>
      </c>
      <c r="T46" s="5">
        <v>-9.1995781201394289E-2</v>
      </c>
      <c r="U46" s="5">
        <v>3.6246025773266972E-2</v>
      </c>
      <c r="V46" s="5">
        <v>0.31369115403806802</v>
      </c>
      <c r="W46" s="5">
        <v>6.1193498862636253E-2</v>
      </c>
      <c r="X46" s="5">
        <v>0.19596285522847259</v>
      </c>
      <c r="Y46" s="5">
        <v>8.3059386104109678E-2</v>
      </c>
      <c r="Z46" s="5">
        <v>0.81417271046208328</v>
      </c>
      <c r="AA46" s="5">
        <v>0.47669799775347038</v>
      </c>
    </row>
    <row r="47" spans="1:27" x14ac:dyDescent="0.25">
      <c r="A47" s="1">
        <v>38868</v>
      </c>
      <c r="B47" s="5">
        <v>-2.9683780433370721E-2</v>
      </c>
      <c r="C47" s="5">
        <v>-4.0689941032033487E-2</v>
      </c>
      <c r="D47" s="5">
        <v>3.6213730805622069E-3</v>
      </c>
      <c r="E47" s="5">
        <v>-9.0144167273940035E-3</v>
      </c>
      <c r="F47" s="5">
        <v>8.0688660622649788E-3</v>
      </c>
      <c r="G47" s="5">
        <v>-2.6930278955847879E-3</v>
      </c>
      <c r="H47">
        <v>1</v>
      </c>
      <c r="I47">
        <v>-1</v>
      </c>
      <c r="J47" s="5">
        <v>3.6213730805622069E-3</v>
      </c>
      <c r="K47" s="5">
        <v>0</v>
      </c>
      <c r="L47" s="5">
        <v>9.0144167273940035E-3</v>
      </c>
      <c r="M47" s="5">
        <v>0</v>
      </c>
      <c r="N47" s="5">
        <v>0</v>
      </c>
      <c r="O47" s="5">
        <v>-8.0688660622649788E-3</v>
      </c>
      <c r="P47" s="5">
        <v>0</v>
      </c>
      <c r="Q47" s="5">
        <v>-2.6930278955847879E-3</v>
      </c>
      <c r="R47" s="5">
        <v>0.1072064698235359</v>
      </c>
      <c r="S47" s="5">
        <v>0.1124304749139504</v>
      </c>
      <c r="T47" s="5">
        <v>-8.2981364474000285E-2</v>
      </c>
      <c r="U47" s="5">
        <v>3.6246025773266972E-2</v>
      </c>
      <c r="V47" s="5">
        <v>0.31369115403806802</v>
      </c>
      <c r="W47" s="5">
        <v>5.3124632800371267E-2</v>
      </c>
      <c r="X47" s="5">
        <v>0.19596285522847259</v>
      </c>
      <c r="Y47" s="5">
        <v>8.0366358208524891E-2</v>
      </c>
      <c r="Z47" s="5">
        <v>0.81604660631218973</v>
      </c>
      <c r="AA47" s="5">
        <v>0.44701421732009972</v>
      </c>
    </row>
    <row r="48" spans="1:27" x14ac:dyDescent="0.25">
      <c r="A48" s="1">
        <v>38898</v>
      </c>
      <c r="B48" s="5">
        <v>3.5475936728944779E-3</v>
      </c>
      <c r="C48" s="5">
        <v>-2.3666772643716191E-2</v>
      </c>
      <c r="D48" s="5">
        <v>1.8276688387726892E-2</v>
      </c>
      <c r="E48" s="5">
        <v>3.067910039963317E-3</v>
      </c>
      <c r="F48" s="5">
        <v>-1.283862143800729E-2</v>
      </c>
      <c r="G48" s="5">
        <v>2.1026645001704258E-2</v>
      </c>
      <c r="H48">
        <v>1</v>
      </c>
      <c r="I48">
        <v>-1</v>
      </c>
      <c r="J48" s="5">
        <v>1.8276688387726892E-2</v>
      </c>
      <c r="K48" s="5">
        <v>0</v>
      </c>
      <c r="L48" s="5">
        <v>-3.067910039963317E-3</v>
      </c>
      <c r="M48" s="5">
        <v>0</v>
      </c>
      <c r="N48" s="5">
        <v>0</v>
      </c>
      <c r="O48" s="5">
        <v>1.283862143800729E-2</v>
      </c>
      <c r="P48" s="5">
        <v>0</v>
      </c>
      <c r="Q48" s="5">
        <v>2.1026645001704258E-2</v>
      </c>
      <c r="R48" s="5">
        <v>0.1254831582112628</v>
      </c>
      <c r="S48" s="5">
        <v>0.1124304749139504</v>
      </c>
      <c r="T48" s="5">
        <v>-8.6049274513963603E-2</v>
      </c>
      <c r="U48" s="5">
        <v>3.6246025773266972E-2</v>
      </c>
      <c r="V48" s="5">
        <v>0.31369115403806802</v>
      </c>
      <c r="W48" s="5">
        <v>6.5963254238378566E-2</v>
      </c>
      <c r="X48" s="5">
        <v>0.19596285522847259</v>
      </c>
      <c r="Y48" s="5">
        <v>0.10139300321022909</v>
      </c>
      <c r="Z48" s="5">
        <v>0.86512065109966485</v>
      </c>
      <c r="AA48" s="5">
        <v>0.45056181099299419</v>
      </c>
    </row>
    <row r="49" spans="1:27" x14ac:dyDescent="0.25">
      <c r="A49" s="1">
        <v>38929</v>
      </c>
      <c r="B49" s="5">
        <v>5.1088924737719976E-3</v>
      </c>
      <c r="C49" s="5">
        <v>-2.3241112562285341E-2</v>
      </c>
      <c r="D49" s="5">
        <v>1.2968428901967701E-2</v>
      </c>
      <c r="E49" s="5">
        <v>6.2251171959197826E-3</v>
      </c>
      <c r="F49" s="5">
        <v>-3.3320454252384608E-3</v>
      </c>
      <c r="G49" s="5">
        <v>4.5516968893543064E-3</v>
      </c>
      <c r="H49">
        <v>1</v>
      </c>
      <c r="I49">
        <v>-1</v>
      </c>
      <c r="J49" s="5">
        <v>1.2968428901967701E-2</v>
      </c>
      <c r="K49" s="5">
        <v>0</v>
      </c>
      <c r="L49" s="5">
        <v>-6.2251171959197826E-3</v>
      </c>
      <c r="M49" s="5">
        <v>0</v>
      </c>
      <c r="N49" s="5">
        <v>0</v>
      </c>
      <c r="O49" s="5">
        <v>3.3320454252384608E-3</v>
      </c>
      <c r="P49" s="5">
        <v>0</v>
      </c>
      <c r="Q49" s="5">
        <v>4.5516968893543064E-3</v>
      </c>
      <c r="R49" s="5">
        <v>0.1384515871132305</v>
      </c>
      <c r="S49" s="5">
        <v>0.1124304749139504</v>
      </c>
      <c r="T49" s="5">
        <v>-9.2274391709883385E-2</v>
      </c>
      <c r="U49" s="5">
        <v>3.6246025773266972E-2</v>
      </c>
      <c r="V49" s="5">
        <v>0.31369115403806802</v>
      </c>
      <c r="W49" s="5">
        <v>6.9295299663617027E-2</v>
      </c>
      <c r="X49" s="5">
        <v>0.19596285522847259</v>
      </c>
      <c r="Y49" s="5">
        <v>0.1059447000995835</v>
      </c>
      <c r="Z49" s="5">
        <v>0.87974770512030553</v>
      </c>
      <c r="AA49" s="5">
        <v>0.45567070346676619</v>
      </c>
    </row>
    <row r="50" spans="1:27" x14ac:dyDescent="0.25">
      <c r="A50" s="1">
        <v>38960</v>
      </c>
      <c r="B50" s="5">
        <v>2.180027260753414E-2</v>
      </c>
      <c r="C50" s="5">
        <v>-9.2656856627748585E-4</v>
      </c>
      <c r="D50" s="5">
        <v>3.928410193723475E-3</v>
      </c>
      <c r="E50" s="5">
        <v>1.1429033000811771E-2</v>
      </c>
      <c r="F50" s="5">
        <v>4.3378440335328777E-4</v>
      </c>
      <c r="G50" s="5">
        <v>1.0523595103124511E-2</v>
      </c>
      <c r="H50">
        <v>1</v>
      </c>
      <c r="I50">
        <v>-1</v>
      </c>
      <c r="J50" s="5">
        <v>3.928410193723475E-3</v>
      </c>
      <c r="K50" s="5">
        <v>0</v>
      </c>
      <c r="L50" s="5">
        <v>-1.1429033000811771E-2</v>
      </c>
      <c r="M50" s="5">
        <v>0</v>
      </c>
      <c r="N50" s="5">
        <v>0</v>
      </c>
      <c r="O50" s="5">
        <v>-4.3378440335328777E-4</v>
      </c>
      <c r="P50" s="5">
        <v>0</v>
      </c>
      <c r="Q50" s="5">
        <v>1.0523595103124511E-2</v>
      </c>
      <c r="R50" s="5">
        <v>0.14237999730695389</v>
      </c>
      <c r="S50" s="5">
        <v>0.1124304749139504</v>
      </c>
      <c r="T50" s="5">
        <v>-0.1037034247106952</v>
      </c>
      <c r="U50" s="5">
        <v>3.6246025773266972E-2</v>
      </c>
      <c r="V50" s="5">
        <v>0.31369115403806802</v>
      </c>
      <c r="W50" s="5">
        <v>6.8861515260263739E-2</v>
      </c>
      <c r="X50" s="5">
        <v>0.19596285522847259</v>
      </c>
      <c r="Y50" s="5">
        <v>0.116468295202708</v>
      </c>
      <c r="Z50" s="5">
        <v>0.88233689301298845</v>
      </c>
      <c r="AA50" s="5">
        <v>0.47747097607430028</v>
      </c>
    </row>
    <row r="51" spans="1:27" x14ac:dyDescent="0.25">
      <c r="A51" s="1">
        <v>38990</v>
      </c>
      <c r="B51" s="5">
        <v>2.687488742545829E-2</v>
      </c>
      <c r="C51" s="5">
        <v>-1.1253093332008191E-2</v>
      </c>
      <c r="D51" s="5">
        <v>1.5986451176445701E-2</v>
      </c>
      <c r="E51" s="5">
        <v>-2.975525022354653E-3</v>
      </c>
      <c r="F51" s="5">
        <v>-2.6861866207525949E-3</v>
      </c>
      <c r="G51" s="5">
        <v>-4.5472148747006669E-3</v>
      </c>
      <c r="H51">
        <v>1</v>
      </c>
      <c r="I51">
        <v>-1</v>
      </c>
      <c r="J51" s="5">
        <v>1.5986451176445701E-2</v>
      </c>
      <c r="K51" s="5">
        <v>0</v>
      </c>
      <c r="L51" s="5">
        <v>2.975525022354653E-3</v>
      </c>
      <c r="M51" s="5">
        <v>0</v>
      </c>
      <c r="N51" s="5">
        <v>0</v>
      </c>
      <c r="O51" s="5">
        <v>2.6861866207525949E-3</v>
      </c>
      <c r="P51" s="5">
        <v>0</v>
      </c>
      <c r="Q51" s="5">
        <v>-4.5472148747006669E-3</v>
      </c>
      <c r="R51" s="5">
        <v>0.15836644848339959</v>
      </c>
      <c r="S51" s="5">
        <v>0.1124304749139504</v>
      </c>
      <c r="T51" s="5">
        <v>-0.10072789968834051</v>
      </c>
      <c r="U51" s="5">
        <v>3.6246025773266972E-2</v>
      </c>
      <c r="V51" s="5">
        <v>0.31369115403806802</v>
      </c>
      <c r="W51" s="5">
        <v>7.1547701881016335E-2</v>
      </c>
      <c r="X51" s="5">
        <v>0.19596285522847259</v>
      </c>
      <c r="Y51" s="5">
        <v>0.11192108032800729</v>
      </c>
      <c r="Z51" s="5">
        <v>0.89943784095784074</v>
      </c>
      <c r="AA51" s="5">
        <v>0.50434586349975863</v>
      </c>
    </row>
    <row r="52" spans="1:27" x14ac:dyDescent="0.25">
      <c r="A52" s="1">
        <v>39021</v>
      </c>
      <c r="B52" s="5">
        <v>3.12065185714413E-2</v>
      </c>
      <c r="C52" s="5">
        <v>4.1119850394214841E-2</v>
      </c>
      <c r="D52" s="5">
        <v>6.9645335188366353E-3</v>
      </c>
      <c r="E52" s="5">
        <v>2.559095742070927E-2</v>
      </c>
      <c r="F52" s="5">
        <v>1.072814323251625E-2</v>
      </c>
      <c r="G52" s="5">
        <v>-8.7543981066479093E-3</v>
      </c>
      <c r="H52">
        <v>-1</v>
      </c>
      <c r="I52">
        <v>1</v>
      </c>
      <c r="J52" s="5">
        <v>0</v>
      </c>
      <c r="K52" s="5">
        <v>-6.9645335188366353E-3</v>
      </c>
      <c r="L52" s="5">
        <v>0</v>
      </c>
      <c r="M52" s="5">
        <v>2.559095742070927E-2</v>
      </c>
      <c r="N52" s="5">
        <v>1.072814323251625E-2</v>
      </c>
      <c r="O52" s="5">
        <v>0</v>
      </c>
      <c r="P52" s="5">
        <v>8.7543981066479093E-3</v>
      </c>
      <c r="Q52" s="5">
        <v>0</v>
      </c>
      <c r="R52" s="5">
        <v>0.15836644848339959</v>
      </c>
      <c r="S52" s="5">
        <v>0.1054659413951138</v>
      </c>
      <c r="T52" s="5">
        <v>-0.10072789968834051</v>
      </c>
      <c r="U52" s="5">
        <v>6.1836983193976243E-2</v>
      </c>
      <c r="V52" s="5">
        <v>0.32441929727058427</v>
      </c>
      <c r="W52" s="5">
        <v>7.1547701881016335E-2</v>
      </c>
      <c r="X52" s="5">
        <v>0.2047172533351205</v>
      </c>
      <c r="Y52" s="5">
        <v>0.11192108032800729</v>
      </c>
      <c r="Z52" s="5">
        <v>0.93754680619887754</v>
      </c>
      <c r="AA52" s="5">
        <v>0.53555238207119993</v>
      </c>
    </row>
    <row r="53" spans="1:27" x14ac:dyDescent="0.25">
      <c r="A53" s="1">
        <v>39051</v>
      </c>
      <c r="B53" s="5">
        <v>2.0009663022355632E-2</v>
      </c>
      <c r="C53" s="5">
        <v>1.105235490103007E-2</v>
      </c>
      <c r="D53" s="5">
        <v>-6.1377970568798901E-4</v>
      </c>
      <c r="E53" s="5">
        <v>1.3454984350713789E-2</v>
      </c>
      <c r="F53" s="5">
        <v>6.0279551769139017E-3</v>
      </c>
      <c r="G53" s="5">
        <v>-2.8571816324607369E-3</v>
      </c>
      <c r="H53">
        <v>-1</v>
      </c>
      <c r="I53">
        <v>1</v>
      </c>
      <c r="J53" s="5">
        <v>0</v>
      </c>
      <c r="K53" s="5">
        <v>6.1377970568798901E-4</v>
      </c>
      <c r="L53" s="5">
        <v>0</v>
      </c>
      <c r="M53" s="5">
        <v>1.3454984350713789E-2</v>
      </c>
      <c r="N53" s="5">
        <v>6.0279551769139017E-3</v>
      </c>
      <c r="O53" s="5">
        <v>0</v>
      </c>
      <c r="P53" s="5">
        <v>2.8571816324607369E-3</v>
      </c>
      <c r="Q53" s="5">
        <v>0</v>
      </c>
      <c r="R53" s="5">
        <v>0.15836644848339959</v>
      </c>
      <c r="S53" s="5">
        <v>0.1060797211008018</v>
      </c>
      <c r="T53" s="5">
        <v>-0.10072789968834051</v>
      </c>
      <c r="U53" s="5">
        <v>7.5291967544690031E-2</v>
      </c>
      <c r="V53" s="5">
        <v>0.33044725244749817</v>
      </c>
      <c r="W53" s="5">
        <v>7.1547701881016335E-2</v>
      </c>
      <c r="X53" s="5">
        <v>0.20757443496758121</v>
      </c>
      <c r="Y53" s="5">
        <v>0.11192108032800729</v>
      </c>
      <c r="Z53" s="5">
        <v>0.96050070706465396</v>
      </c>
      <c r="AA53" s="5">
        <v>0.55556204509355556</v>
      </c>
    </row>
    <row r="54" spans="1:27" x14ac:dyDescent="0.25">
      <c r="A54" s="1">
        <v>39082</v>
      </c>
      <c r="B54" s="5">
        <v>1.3459629636000449E-2</v>
      </c>
      <c r="C54" s="5">
        <v>2.5499402431469202E-2</v>
      </c>
      <c r="D54" s="5">
        <v>6.8599264193114351E-5</v>
      </c>
      <c r="E54" s="5">
        <v>-1.503746284739216E-2</v>
      </c>
      <c r="F54" s="5">
        <v>4.5236298135979958E-3</v>
      </c>
      <c r="G54" s="5">
        <v>-3.1450182151202539E-3</v>
      </c>
      <c r="H54">
        <v>-1</v>
      </c>
      <c r="I54">
        <v>1</v>
      </c>
      <c r="J54" s="5">
        <v>0</v>
      </c>
      <c r="K54" s="5">
        <v>-6.8599264193114351E-5</v>
      </c>
      <c r="L54" s="5">
        <v>0</v>
      </c>
      <c r="M54" s="5">
        <v>-1.503746284739216E-2</v>
      </c>
      <c r="N54" s="5">
        <v>4.5236298135979958E-3</v>
      </c>
      <c r="O54" s="5">
        <v>0</v>
      </c>
      <c r="P54" s="5">
        <v>3.1450182151202539E-3</v>
      </c>
      <c r="Q54" s="5">
        <v>0</v>
      </c>
      <c r="R54" s="5">
        <v>0.15836644848339959</v>
      </c>
      <c r="S54" s="5">
        <v>0.1060111218366087</v>
      </c>
      <c r="T54" s="5">
        <v>-0.10072789968834051</v>
      </c>
      <c r="U54" s="5">
        <v>6.0254504697297873E-2</v>
      </c>
      <c r="V54" s="5">
        <v>0.33497088226109623</v>
      </c>
      <c r="W54" s="5">
        <v>7.1547701881016335E-2</v>
      </c>
      <c r="X54" s="5">
        <v>0.21071945318270149</v>
      </c>
      <c r="Y54" s="5">
        <v>0.11192108032800729</v>
      </c>
      <c r="Z54" s="5">
        <v>0.95306329298178694</v>
      </c>
      <c r="AA54" s="5">
        <v>0.569021674729556</v>
      </c>
    </row>
    <row r="55" spans="1:27" x14ac:dyDescent="0.25">
      <c r="A55" s="1">
        <v>39113</v>
      </c>
      <c r="B55" s="5">
        <v>1.5175466771180091E-2</v>
      </c>
      <c r="C55" s="5">
        <v>2.5643162447033682E-2</v>
      </c>
      <c r="D55" s="5">
        <v>-1.284332244556152E-3</v>
      </c>
      <c r="E55" s="5">
        <v>-6.21051548451379E-4</v>
      </c>
      <c r="F55" s="5">
        <v>-3.8441757076947969E-3</v>
      </c>
      <c r="G55" s="5">
        <v>1.062802967530729E-2</v>
      </c>
      <c r="H55">
        <v>-1</v>
      </c>
      <c r="I55">
        <v>1</v>
      </c>
      <c r="J55" s="5">
        <v>0</v>
      </c>
      <c r="K55" s="5">
        <v>1.284332244556152E-3</v>
      </c>
      <c r="L55" s="5">
        <v>0</v>
      </c>
      <c r="M55" s="5">
        <v>-6.21051548451379E-4</v>
      </c>
      <c r="N55" s="5">
        <v>-3.8441757076947969E-3</v>
      </c>
      <c r="O55" s="5">
        <v>0</v>
      </c>
      <c r="P55" s="5">
        <v>-1.062802967530729E-2</v>
      </c>
      <c r="Q55" s="5">
        <v>0</v>
      </c>
      <c r="R55" s="5">
        <v>0.15836644848339959</v>
      </c>
      <c r="S55" s="5">
        <v>0.1072954540811648</v>
      </c>
      <c r="T55" s="5">
        <v>-0.10072789968834051</v>
      </c>
      <c r="U55" s="5">
        <v>5.9633453148846487E-2</v>
      </c>
      <c r="V55" s="5">
        <v>0.33112670655340137</v>
      </c>
      <c r="W55" s="5">
        <v>7.1547701881016335E-2</v>
      </c>
      <c r="X55" s="5">
        <v>0.2000914235073942</v>
      </c>
      <c r="Y55" s="5">
        <v>0.11192108032800729</v>
      </c>
      <c r="Z55" s="5">
        <v>0.93925436829488962</v>
      </c>
      <c r="AA55" s="5">
        <v>0.58419714150073609</v>
      </c>
    </row>
    <row r="56" spans="1:27" x14ac:dyDescent="0.25">
      <c r="A56" s="1">
        <v>39141</v>
      </c>
      <c r="B56" s="5">
        <v>-1.885253276485643E-2</v>
      </c>
      <c r="C56" s="5">
        <v>3.0664046511974519E-3</v>
      </c>
      <c r="D56" s="5">
        <v>-3.3609754446328077E-2</v>
      </c>
      <c r="E56" s="5">
        <v>2.1890740124195229E-2</v>
      </c>
      <c r="F56" s="5">
        <v>1.012701941498295E-2</v>
      </c>
      <c r="G56" s="5">
        <v>9.8932463255863023E-3</v>
      </c>
      <c r="H56">
        <v>-1</v>
      </c>
      <c r="I56">
        <v>1</v>
      </c>
      <c r="J56" s="5">
        <v>0</v>
      </c>
      <c r="K56" s="5">
        <v>3.3609754446328077E-2</v>
      </c>
      <c r="L56" s="5">
        <v>0</v>
      </c>
      <c r="M56" s="5">
        <v>2.1890740124195229E-2</v>
      </c>
      <c r="N56" s="5">
        <v>1.012701941498295E-2</v>
      </c>
      <c r="O56" s="5">
        <v>0</v>
      </c>
      <c r="P56" s="5">
        <v>-9.8932463255863023E-3</v>
      </c>
      <c r="Q56" s="5">
        <v>0</v>
      </c>
      <c r="R56" s="5">
        <v>0.15836644848339959</v>
      </c>
      <c r="S56" s="5">
        <v>0.14090520852749289</v>
      </c>
      <c r="T56" s="5">
        <v>-0.10072789968834051</v>
      </c>
      <c r="U56" s="5">
        <v>8.1524193273041723E-2</v>
      </c>
      <c r="V56" s="5">
        <v>0.34125372596838432</v>
      </c>
      <c r="W56" s="5">
        <v>7.1547701881016335E-2</v>
      </c>
      <c r="X56" s="5">
        <v>0.1901981771818079</v>
      </c>
      <c r="Y56" s="5">
        <v>0.11192108032800729</v>
      </c>
      <c r="Z56" s="5">
        <v>0.99498863595480957</v>
      </c>
      <c r="AA56" s="5">
        <v>0.56534460873587966</v>
      </c>
    </row>
    <row r="57" spans="1:27" x14ac:dyDescent="0.25">
      <c r="A57" s="1">
        <v>39172</v>
      </c>
      <c r="B57" s="5">
        <v>1.23180421596778E-2</v>
      </c>
      <c r="C57" s="5">
        <v>2.1842916306178409E-2</v>
      </c>
      <c r="D57" s="5">
        <v>-9.011396355272927E-3</v>
      </c>
      <c r="E57" s="5">
        <v>-1.647253380803371E-2</v>
      </c>
      <c r="F57" s="5">
        <v>-9.4865546170606052E-3</v>
      </c>
      <c r="G57" s="5">
        <v>6.9403261677417616E-3</v>
      </c>
      <c r="H57">
        <v>-1</v>
      </c>
      <c r="I57">
        <v>1</v>
      </c>
      <c r="J57" s="5">
        <v>0</v>
      </c>
      <c r="K57" s="5">
        <v>9.011396355272927E-3</v>
      </c>
      <c r="L57" s="5">
        <v>0</v>
      </c>
      <c r="M57" s="5">
        <v>-1.647253380803371E-2</v>
      </c>
      <c r="N57" s="5">
        <v>-9.4865546170606052E-3</v>
      </c>
      <c r="O57" s="5">
        <v>0</v>
      </c>
      <c r="P57" s="5">
        <v>-6.9403261677417616E-3</v>
      </c>
      <c r="Q57" s="5">
        <v>0</v>
      </c>
      <c r="R57" s="5">
        <v>0.15836644848339959</v>
      </c>
      <c r="S57" s="5">
        <v>0.14991660488276581</v>
      </c>
      <c r="T57" s="5">
        <v>-0.10072789968834051</v>
      </c>
      <c r="U57" s="5">
        <v>6.5051659465008016E-2</v>
      </c>
      <c r="V57" s="5">
        <v>0.33176717135132372</v>
      </c>
      <c r="W57" s="5">
        <v>7.1547701881016335E-2</v>
      </c>
      <c r="X57" s="5">
        <v>0.18325785101406611</v>
      </c>
      <c r="Y57" s="5">
        <v>0.11192108032800729</v>
      </c>
      <c r="Z57" s="5">
        <v>0.97110061771724643</v>
      </c>
      <c r="AA57" s="5">
        <v>0.57766265089555746</v>
      </c>
    </row>
    <row r="58" spans="1:27" x14ac:dyDescent="0.25">
      <c r="A58" s="1">
        <v>39202</v>
      </c>
      <c r="B58" s="5">
        <v>4.3613888615739338E-2</v>
      </c>
      <c r="C58" s="5">
        <v>3.6037905328140003E-2</v>
      </c>
      <c r="D58" s="5">
        <v>1.6302069550870879E-3</v>
      </c>
      <c r="E58" s="5">
        <v>3.2532336885998658E-3</v>
      </c>
      <c r="F58" s="5">
        <v>1.7100449573474119E-2</v>
      </c>
      <c r="G58" s="5">
        <v>-8.9216703105197137E-3</v>
      </c>
      <c r="H58">
        <v>-1</v>
      </c>
      <c r="I58">
        <v>1</v>
      </c>
      <c r="J58" s="5">
        <v>0</v>
      </c>
      <c r="K58" s="5">
        <v>-1.6302069550870879E-3</v>
      </c>
      <c r="L58" s="5">
        <v>0</v>
      </c>
      <c r="M58" s="5">
        <v>3.2532336885998658E-3</v>
      </c>
      <c r="N58" s="5">
        <v>1.7100449573474119E-2</v>
      </c>
      <c r="O58" s="5">
        <v>0</v>
      </c>
      <c r="P58" s="5">
        <v>8.9216703105197137E-3</v>
      </c>
      <c r="Q58" s="5">
        <v>0</v>
      </c>
      <c r="R58" s="5">
        <v>0.15836644848339959</v>
      </c>
      <c r="S58" s="5">
        <v>0.1482863979276787</v>
      </c>
      <c r="T58" s="5">
        <v>-0.10072789968834051</v>
      </c>
      <c r="U58" s="5">
        <v>6.8304893153607882E-2</v>
      </c>
      <c r="V58" s="5">
        <v>0.34886762092479778</v>
      </c>
      <c r="W58" s="5">
        <v>7.1547701881016335E-2</v>
      </c>
      <c r="X58" s="5">
        <v>0.19217952132458579</v>
      </c>
      <c r="Y58" s="5">
        <v>0.11192108032800729</v>
      </c>
      <c r="Z58" s="5">
        <v>0.99874576433475304</v>
      </c>
      <c r="AA58" s="5">
        <v>0.6212765395112968</v>
      </c>
    </row>
    <row r="59" spans="1:27" x14ac:dyDescent="0.25">
      <c r="A59" s="1">
        <v>39233</v>
      </c>
      <c r="B59" s="5">
        <v>3.3651281877032591E-2</v>
      </c>
      <c r="C59" s="5">
        <v>4.2463329133841772E-2</v>
      </c>
      <c r="D59" s="5">
        <v>5.1911934823870576E-3</v>
      </c>
      <c r="E59" s="5">
        <v>-9.3088948040344066E-3</v>
      </c>
      <c r="F59" s="5">
        <v>1.7820497241849639E-2</v>
      </c>
      <c r="G59" s="5">
        <v>4.6862011004042969E-3</v>
      </c>
      <c r="H59">
        <v>-1</v>
      </c>
      <c r="I59">
        <v>1</v>
      </c>
      <c r="J59" s="5">
        <v>0</v>
      </c>
      <c r="K59" s="5">
        <v>-5.1911934823870576E-3</v>
      </c>
      <c r="L59" s="5">
        <v>0</v>
      </c>
      <c r="M59" s="5">
        <v>-9.3088948040344066E-3</v>
      </c>
      <c r="N59" s="5">
        <v>1.7820497241849639E-2</v>
      </c>
      <c r="O59" s="5">
        <v>0</v>
      </c>
      <c r="P59" s="5">
        <v>-4.6862011004042969E-3</v>
      </c>
      <c r="Q59" s="5">
        <v>0</v>
      </c>
      <c r="R59" s="5">
        <v>0.15836644848339959</v>
      </c>
      <c r="S59" s="5">
        <v>0.1430952044452917</v>
      </c>
      <c r="T59" s="5">
        <v>-0.10072789968834051</v>
      </c>
      <c r="U59" s="5">
        <v>5.8995998349573482E-2</v>
      </c>
      <c r="V59" s="5">
        <v>0.36668811816664748</v>
      </c>
      <c r="W59" s="5">
        <v>7.1547701881016335E-2</v>
      </c>
      <c r="X59" s="5">
        <v>0.1874933202241815</v>
      </c>
      <c r="Y59" s="5">
        <v>0.11192108032800729</v>
      </c>
      <c r="Z59" s="5">
        <v>0.99737997218977692</v>
      </c>
      <c r="AA59" s="5">
        <v>0.65492782138832939</v>
      </c>
    </row>
    <row r="60" spans="1:27" x14ac:dyDescent="0.25">
      <c r="A60" s="1">
        <v>39263</v>
      </c>
      <c r="B60" s="5">
        <v>-1.3866761303553909E-2</v>
      </c>
      <c r="C60" s="5">
        <v>2.9019328785285681E-2</v>
      </c>
      <c r="D60" s="5">
        <v>-1.0041474830769779E-2</v>
      </c>
      <c r="E60" s="5">
        <v>2.3251804754761411E-2</v>
      </c>
      <c r="F60" s="5">
        <v>-2.766709161470382E-2</v>
      </c>
      <c r="G60" s="5">
        <v>-2.5360973008513591E-2</v>
      </c>
      <c r="H60">
        <v>-1</v>
      </c>
      <c r="I60">
        <v>1</v>
      </c>
      <c r="J60" s="5">
        <v>0</v>
      </c>
      <c r="K60" s="5">
        <v>1.0041474830769779E-2</v>
      </c>
      <c r="L60" s="5">
        <v>0</v>
      </c>
      <c r="M60" s="5">
        <v>2.3251804754761411E-2</v>
      </c>
      <c r="N60" s="5">
        <v>-2.766709161470382E-2</v>
      </c>
      <c r="O60" s="5">
        <v>0</v>
      </c>
      <c r="P60" s="5">
        <v>2.5360973008513591E-2</v>
      </c>
      <c r="Q60" s="5">
        <v>0</v>
      </c>
      <c r="R60" s="5">
        <v>0.15836644848339959</v>
      </c>
      <c r="S60" s="5">
        <v>0.15313667927606139</v>
      </c>
      <c r="T60" s="5">
        <v>-0.10072789968834051</v>
      </c>
      <c r="U60" s="5">
        <v>8.2247803104334882E-2</v>
      </c>
      <c r="V60" s="5">
        <v>0.33902102655194372</v>
      </c>
      <c r="W60" s="5">
        <v>7.1547701881016335E-2</v>
      </c>
      <c r="X60" s="5">
        <v>0.21285429323269511</v>
      </c>
      <c r="Y60" s="5">
        <v>0.11192108032800729</v>
      </c>
      <c r="Z60" s="5">
        <v>1.028367133169118</v>
      </c>
      <c r="AA60" s="5">
        <v>0.64106106008477548</v>
      </c>
    </row>
    <row r="61" spans="1:27" x14ac:dyDescent="0.25">
      <c r="A61" s="1">
        <v>39294</v>
      </c>
      <c r="B61" s="5">
        <v>-3.0608447010043949E-2</v>
      </c>
      <c r="C61" s="5">
        <v>1.179232641368122E-2</v>
      </c>
      <c r="D61" s="5">
        <v>-5.425121853899173E-2</v>
      </c>
      <c r="E61" s="5">
        <v>2.1290770437722761E-2</v>
      </c>
      <c r="F61" s="5">
        <v>1.765465344645167E-2</v>
      </c>
      <c r="G61" s="5">
        <v>-1.251041096378847E-2</v>
      </c>
      <c r="H61">
        <v>-1</v>
      </c>
      <c r="I61">
        <v>1</v>
      </c>
      <c r="J61" s="5">
        <v>0</v>
      </c>
      <c r="K61" s="5">
        <v>5.425121853899173E-2</v>
      </c>
      <c r="L61" s="5">
        <v>0</v>
      </c>
      <c r="M61" s="5">
        <v>2.1290770437722761E-2</v>
      </c>
      <c r="N61" s="5">
        <v>1.765465344645167E-2</v>
      </c>
      <c r="O61" s="5">
        <v>0</v>
      </c>
      <c r="P61" s="5">
        <v>1.251041096378847E-2</v>
      </c>
      <c r="Q61" s="5">
        <v>0</v>
      </c>
      <c r="R61" s="5">
        <v>0.15836644848339959</v>
      </c>
      <c r="S61" s="5">
        <v>0.20738789781505321</v>
      </c>
      <c r="T61" s="5">
        <v>-0.10072789968834051</v>
      </c>
      <c r="U61" s="5">
        <v>0.1035385735420576</v>
      </c>
      <c r="V61" s="5">
        <v>0.35667567999839528</v>
      </c>
      <c r="W61" s="5">
        <v>7.1547701881016335E-2</v>
      </c>
      <c r="X61" s="5">
        <v>0.22536470419648361</v>
      </c>
      <c r="Y61" s="5">
        <v>0.11192108032800729</v>
      </c>
      <c r="Z61" s="5">
        <v>1.134074186556072</v>
      </c>
      <c r="AA61" s="5">
        <v>0.61045261307473153</v>
      </c>
    </row>
    <row r="62" spans="1:27" x14ac:dyDescent="0.25">
      <c r="A62" s="1">
        <v>39325</v>
      </c>
      <c r="B62" s="5">
        <v>1.4975649911292299E-2</v>
      </c>
      <c r="C62" s="5">
        <v>-3.4321263270443709E-3</v>
      </c>
      <c r="D62" s="5">
        <v>1.886349029587242E-2</v>
      </c>
      <c r="E62" s="5">
        <v>1.8455264577928791E-2</v>
      </c>
      <c r="F62" s="5">
        <v>1.454629168941224E-2</v>
      </c>
      <c r="G62" s="5">
        <v>-1.0792632245183449E-3</v>
      </c>
      <c r="H62">
        <v>1</v>
      </c>
      <c r="I62">
        <v>-1</v>
      </c>
      <c r="J62" s="5">
        <v>1.886349029587242E-2</v>
      </c>
      <c r="K62" s="5">
        <v>0</v>
      </c>
      <c r="L62" s="5">
        <v>-1.8455264577928791E-2</v>
      </c>
      <c r="M62" s="5">
        <v>0</v>
      </c>
      <c r="N62" s="5">
        <v>0</v>
      </c>
      <c r="O62" s="5">
        <v>-1.454629168941224E-2</v>
      </c>
      <c r="P62" s="5">
        <v>0</v>
      </c>
      <c r="Q62" s="5">
        <v>-1.0792632245183449E-3</v>
      </c>
      <c r="R62" s="5">
        <v>0.17722993877927209</v>
      </c>
      <c r="S62" s="5">
        <v>0.20738789781505321</v>
      </c>
      <c r="T62" s="5">
        <v>-0.11918316426626931</v>
      </c>
      <c r="U62" s="5">
        <v>0.1035385735420576</v>
      </c>
      <c r="V62" s="5">
        <v>0.35667567999839528</v>
      </c>
      <c r="W62" s="5">
        <v>5.7001410191604103E-2</v>
      </c>
      <c r="X62" s="5">
        <v>0.22536470419648361</v>
      </c>
      <c r="Y62" s="5">
        <v>0.11084181710348889</v>
      </c>
      <c r="Z62" s="5">
        <v>1.118856857360085</v>
      </c>
      <c r="AA62" s="5">
        <v>0.62542826298602383</v>
      </c>
    </row>
    <row r="63" spans="1:27" x14ac:dyDescent="0.25">
      <c r="A63" s="1">
        <v>39355</v>
      </c>
      <c r="B63" s="5">
        <v>3.8795966737037557E-2</v>
      </c>
      <c r="C63" s="5">
        <v>3.6668865120992211E-2</v>
      </c>
      <c r="D63" s="5">
        <v>5.8891676542460747E-3</v>
      </c>
      <c r="E63" s="5">
        <v>6.5922870617832752E-3</v>
      </c>
      <c r="F63" s="5">
        <v>-1.208025752725317E-2</v>
      </c>
      <c r="G63" s="5">
        <v>2.7817590772610031E-2</v>
      </c>
      <c r="H63">
        <v>-1</v>
      </c>
      <c r="I63">
        <v>1</v>
      </c>
      <c r="J63" s="5">
        <v>0</v>
      </c>
      <c r="K63" s="5">
        <v>-5.8891676542460747E-3</v>
      </c>
      <c r="L63" s="5">
        <v>0</v>
      </c>
      <c r="M63" s="5">
        <v>6.5922870617832752E-3</v>
      </c>
      <c r="N63" s="5">
        <v>-1.208025752725317E-2</v>
      </c>
      <c r="O63" s="5">
        <v>0</v>
      </c>
      <c r="P63" s="5">
        <v>-2.7817590772610031E-2</v>
      </c>
      <c r="Q63" s="5">
        <v>0</v>
      </c>
      <c r="R63" s="5">
        <v>0.17722993877927209</v>
      </c>
      <c r="S63" s="5">
        <v>0.2014987301608071</v>
      </c>
      <c r="T63" s="5">
        <v>-0.11918316426626931</v>
      </c>
      <c r="U63" s="5">
        <v>0.1101308606038409</v>
      </c>
      <c r="V63" s="5">
        <v>0.34459542247114222</v>
      </c>
      <c r="W63" s="5">
        <v>5.7001410191604103E-2</v>
      </c>
      <c r="X63" s="5">
        <v>0.19754711342387349</v>
      </c>
      <c r="Y63" s="5">
        <v>0.11084181710348889</v>
      </c>
      <c r="Z63" s="5">
        <v>1.079662128467759</v>
      </c>
      <c r="AA63" s="5">
        <v>0.66422422972306139</v>
      </c>
    </row>
    <row r="64" spans="1:27" x14ac:dyDescent="0.25">
      <c r="A64" s="1">
        <v>39386</v>
      </c>
      <c r="B64" s="5">
        <v>1.433181359670321E-2</v>
      </c>
      <c r="C64" s="5">
        <v>-4.221336721851221E-2</v>
      </c>
      <c r="D64" s="5">
        <v>3.293690866686183E-2</v>
      </c>
      <c r="E64" s="5">
        <v>-5.2356919299942914E-3</v>
      </c>
      <c r="F64" s="5">
        <v>2.134214033313464E-2</v>
      </c>
      <c r="G64" s="5">
        <v>-9.8457132955098725E-4</v>
      </c>
      <c r="H64">
        <v>1</v>
      </c>
      <c r="I64">
        <v>-1</v>
      </c>
      <c r="J64" s="5">
        <v>3.293690866686183E-2</v>
      </c>
      <c r="K64" s="5">
        <v>0</v>
      </c>
      <c r="L64" s="5">
        <v>5.2356919299942914E-3</v>
      </c>
      <c r="M64" s="5">
        <v>0</v>
      </c>
      <c r="N64" s="5">
        <v>0</v>
      </c>
      <c r="O64" s="5">
        <v>-2.134214033313464E-2</v>
      </c>
      <c r="P64" s="5">
        <v>0</v>
      </c>
      <c r="Q64" s="5">
        <v>-9.8457132955098725E-4</v>
      </c>
      <c r="R64" s="5">
        <v>0.2101668474461339</v>
      </c>
      <c r="S64" s="5">
        <v>0.2014987301608071</v>
      </c>
      <c r="T64" s="5">
        <v>-0.113947472336275</v>
      </c>
      <c r="U64" s="5">
        <v>0.1101308606038409</v>
      </c>
      <c r="V64" s="5">
        <v>0.34459542247114222</v>
      </c>
      <c r="W64" s="5">
        <v>3.5659269858469463E-2</v>
      </c>
      <c r="X64" s="5">
        <v>0.19754711342387349</v>
      </c>
      <c r="Y64" s="5">
        <v>0.109857245773938</v>
      </c>
      <c r="Z64" s="5">
        <v>1.09550801740193</v>
      </c>
      <c r="AA64" s="5">
        <v>0.6785560433197646</v>
      </c>
    </row>
    <row r="65" spans="1:27" x14ac:dyDescent="0.25">
      <c r="A65" s="1">
        <v>39416</v>
      </c>
      <c r="B65" s="5">
        <v>-3.6660328646565432E-2</v>
      </c>
      <c r="C65" s="5">
        <v>-0.12822766185309509</v>
      </c>
      <c r="D65" s="5">
        <v>4.9102356439569173E-2</v>
      </c>
      <c r="E65" s="5">
        <v>1.0217238085820091E-2</v>
      </c>
      <c r="F65" s="5">
        <v>-4.3781927750352723E-2</v>
      </c>
      <c r="G65" s="5">
        <v>1.268138576408673E-2</v>
      </c>
      <c r="H65">
        <v>1</v>
      </c>
      <c r="I65">
        <v>-1</v>
      </c>
      <c r="J65" s="5">
        <v>4.9102356439569173E-2</v>
      </c>
      <c r="K65" s="5">
        <v>0</v>
      </c>
      <c r="L65" s="5">
        <v>-1.0217238085820091E-2</v>
      </c>
      <c r="M65" s="5">
        <v>0</v>
      </c>
      <c r="N65" s="5">
        <v>0</v>
      </c>
      <c r="O65" s="5">
        <v>4.3781927750352723E-2</v>
      </c>
      <c r="P65" s="5">
        <v>0</v>
      </c>
      <c r="Q65" s="5">
        <v>1.268138576408673E-2</v>
      </c>
      <c r="R65" s="5">
        <v>0.25926920388570313</v>
      </c>
      <c r="S65" s="5">
        <v>0.2014987301608071</v>
      </c>
      <c r="T65" s="5">
        <v>-0.12416471042209511</v>
      </c>
      <c r="U65" s="5">
        <v>0.1101308606038409</v>
      </c>
      <c r="V65" s="5">
        <v>0.34459542247114222</v>
      </c>
      <c r="W65" s="5">
        <v>7.9441197608822178E-2</v>
      </c>
      <c r="X65" s="5">
        <v>0.19754711342387349</v>
      </c>
      <c r="Y65" s="5">
        <v>0.1225386315380247</v>
      </c>
      <c r="Z65" s="5">
        <v>1.1908564492701179</v>
      </c>
      <c r="AA65" s="5">
        <v>0.64189571467319917</v>
      </c>
    </row>
    <row r="66" spans="1:27" x14ac:dyDescent="0.25">
      <c r="A66" s="1">
        <v>39447</v>
      </c>
      <c r="B66" s="5">
        <v>-1.0096840811186E-2</v>
      </c>
      <c r="C66" s="5">
        <v>2.7158416372960459E-2</v>
      </c>
      <c r="D66" s="5">
        <v>-1.290665167643801E-2</v>
      </c>
      <c r="E66" s="5">
        <v>1.909186852489653E-2</v>
      </c>
      <c r="F66" s="5">
        <v>1.53237439125119E-2</v>
      </c>
      <c r="G66" s="5">
        <v>-2.4066562922770651E-2</v>
      </c>
      <c r="H66">
        <v>-1</v>
      </c>
      <c r="I66">
        <v>1</v>
      </c>
      <c r="J66" s="5">
        <v>0</v>
      </c>
      <c r="K66" s="5">
        <v>1.290665167643801E-2</v>
      </c>
      <c r="L66" s="5">
        <v>0</v>
      </c>
      <c r="M66" s="5">
        <v>1.909186852489653E-2</v>
      </c>
      <c r="N66" s="5">
        <v>1.53237439125119E-2</v>
      </c>
      <c r="O66" s="5">
        <v>0</v>
      </c>
      <c r="P66" s="5">
        <v>2.4066562922770651E-2</v>
      </c>
      <c r="Q66" s="5">
        <v>0</v>
      </c>
      <c r="R66" s="5">
        <v>0.25926920388570313</v>
      </c>
      <c r="S66" s="5">
        <v>0.21440538183724511</v>
      </c>
      <c r="T66" s="5">
        <v>-0.12416471042209511</v>
      </c>
      <c r="U66" s="5">
        <v>0.12922272912873739</v>
      </c>
      <c r="V66" s="5">
        <v>0.35991916638365412</v>
      </c>
      <c r="W66" s="5">
        <v>7.9441197608822178E-2</v>
      </c>
      <c r="X66" s="5">
        <v>0.2216136763466442</v>
      </c>
      <c r="Y66" s="5">
        <v>0.1225386315380247</v>
      </c>
      <c r="Z66" s="5">
        <v>1.2622452763067351</v>
      </c>
      <c r="AA66" s="5">
        <v>0.63179887386201317</v>
      </c>
    </row>
    <row r="67" spans="1:27" x14ac:dyDescent="0.25">
      <c r="A67" s="1">
        <v>39478</v>
      </c>
      <c r="B67" s="5">
        <v>-6.0255067864336542E-2</v>
      </c>
      <c r="C67" s="5">
        <v>-0.12145399419571309</v>
      </c>
      <c r="D67" s="5">
        <v>2.6363391013461971E-2</v>
      </c>
      <c r="E67" s="5">
        <v>-1.317107702125675E-2</v>
      </c>
      <c r="F67" s="5">
        <v>-5.0741651228619067E-2</v>
      </c>
      <c r="G67" s="5">
        <v>1.6425582349984699E-2</v>
      </c>
      <c r="H67">
        <v>1</v>
      </c>
      <c r="I67">
        <v>-1</v>
      </c>
      <c r="J67" s="5">
        <v>2.6363391013461971E-2</v>
      </c>
      <c r="K67" s="5">
        <v>0</v>
      </c>
      <c r="L67" s="5">
        <v>1.317107702125675E-2</v>
      </c>
      <c r="M67" s="5">
        <v>0</v>
      </c>
      <c r="N67" s="5">
        <v>0</v>
      </c>
      <c r="O67" s="5">
        <v>5.0741651228619067E-2</v>
      </c>
      <c r="P67" s="5">
        <v>0</v>
      </c>
      <c r="Q67" s="5">
        <v>1.6425582349984699E-2</v>
      </c>
      <c r="R67" s="5">
        <v>0.28563259489916498</v>
      </c>
      <c r="S67" s="5">
        <v>0.21440538183724511</v>
      </c>
      <c r="T67" s="5">
        <v>-0.1109936334008383</v>
      </c>
      <c r="U67" s="5">
        <v>0.12922272912873739</v>
      </c>
      <c r="V67" s="5">
        <v>0.35991916638365412</v>
      </c>
      <c r="W67" s="5">
        <v>0.13018284883744119</v>
      </c>
      <c r="X67" s="5">
        <v>0.2216136763466442</v>
      </c>
      <c r="Y67" s="5">
        <v>0.13896421388800939</v>
      </c>
      <c r="Z67" s="5">
        <v>1.368946977920058</v>
      </c>
      <c r="AA67" s="5">
        <v>0.57154380599767662</v>
      </c>
    </row>
    <row r="68" spans="1:27" x14ac:dyDescent="0.25">
      <c r="A68" s="1">
        <v>39507</v>
      </c>
      <c r="B68" s="5">
        <v>-2.4918486673002001E-2</v>
      </c>
      <c r="C68" s="5">
        <v>1.5558017398144219E-2</v>
      </c>
      <c r="D68" s="5">
        <v>-1.295359154683318E-2</v>
      </c>
      <c r="E68" s="5">
        <v>2.4058146654731379E-2</v>
      </c>
      <c r="F68" s="5">
        <v>-2.4733629724777662E-2</v>
      </c>
      <c r="G68" s="5">
        <v>-2.1242657861257341E-2</v>
      </c>
      <c r="H68">
        <v>-1</v>
      </c>
      <c r="I68">
        <v>1</v>
      </c>
      <c r="J68" s="5">
        <v>0</v>
      </c>
      <c r="K68" s="5">
        <v>1.295359154683318E-2</v>
      </c>
      <c r="L68" s="5">
        <v>0</v>
      </c>
      <c r="M68" s="5">
        <v>2.4058146654731379E-2</v>
      </c>
      <c r="N68" s="5">
        <v>-2.4733629724777662E-2</v>
      </c>
      <c r="O68" s="5">
        <v>0</v>
      </c>
      <c r="P68" s="5">
        <v>2.1242657861257341E-2</v>
      </c>
      <c r="Q68" s="5">
        <v>0</v>
      </c>
      <c r="R68" s="5">
        <v>0.28563259489916498</v>
      </c>
      <c r="S68" s="5">
        <v>0.22735897338407829</v>
      </c>
      <c r="T68" s="5">
        <v>-0.1109936334008383</v>
      </c>
      <c r="U68" s="5">
        <v>0.1532808757834688</v>
      </c>
      <c r="V68" s="5">
        <v>0.3351855366588764</v>
      </c>
      <c r="W68" s="5">
        <v>0.13018284883744119</v>
      </c>
      <c r="X68" s="5">
        <v>0.24285633420790151</v>
      </c>
      <c r="Y68" s="5">
        <v>0.13896421388800939</v>
      </c>
      <c r="Z68" s="5">
        <v>1.4024677442581019</v>
      </c>
      <c r="AA68" s="5">
        <v>0.54662531932467462</v>
      </c>
    </row>
    <row r="69" spans="1:27" x14ac:dyDescent="0.25">
      <c r="A69" s="1">
        <v>39538</v>
      </c>
      <c r="B69" s="5">
        <v>-6.0927884589870862E-3</v>
      </c>
      <c r="C69" s="5">
        <v>-1.5307616961633961E-3</v>
      </c>
      <c r="D69" s="5">
        <v>-2.049086896211905E-2</v>
      </c>
      <c r="E69" s="5">
        <v>6.267309853198233E-3</v>
      </c>
      <c r="F69" s="5">
        <v>-3.089347531705644E-2</v>
      </c>
      <c r="G69" s="5">
        <v>-1.761573334376065E-2</v>
      </c>
      <c r="H69">
        <v>1</v>
      </c>
      <c r="I69">
        <v>-1</v>
      </c>
      <c r="J69" s="5">
        <v>-2.049086896211905E-2</v>
      </c>
      <c r="K69" s="5">
        <v>0</v>
      </c>
      <c r="L69" s="5">
        <v>-6.267309853198233E-3</v>
      </c>
      <c r="M69" s="5">
        <v>0</v>
      </c>
      <c r="N69" s="5">
        <v>0</v>
      </c>
      <c r="O69" s="5">
        <v>3.089347531705644E-2</v>
      </c>
      <c r="P69" s="5">
        <v>0</v>
      </c>
      <c r="Q69" s="5">
        <v>-1.761573334376065E-2</v>
      </c>
      <c r="R69" s="5">
        <v>0.26514172593704599</v>
      </c>
      <c r="S69" s="5">
        <v>0.22735897338407829</v>
      </c>
      <c r="T69" s="5">
        <v>-0.1172609432540366</v>
      </c>
      <c r="U69" s="5">
        <v>0.1532808757834688</v>
      </c>
      <c r="V69" s="5">
        <v>0.3351855366588764</v>
      </c>
      <c r="W69" s="5">
        <v>0.16107632415449771</v>
      </c>
      <c r="X69" s="5">
        <v>0.24285633420790151</v>
      </c>
      <c r="Y69" s="5">
        <v>0.1213484805442487</v>
      </c>
      <c r="Z69" s="5">
        <v>1.3889873074160799</v>
      </c>
      <c r="AA69" s="5">
        <v>0.54053253086568753</v>
      </c>
    </row>
    <row r="70" spans="1:27" x14ac:dyDescent="0.25">
      <c r="A70" s="1">
        <v>39568</v>
      </c>
      <c r="B70" s="5">
        <v>4.7900022460781289E-2</v>
      </c>
      <c r="C70" s="5">
        <v>7.432785914564366E-2</v>
      </c>
      <c r="D70" s="5">
        <v>-2.0072994852474708E-3</v>
      </c>
      <c r="E70" s="5">
        <v>-2.2026535917929471E-4</v>
      </c>
      <c r="F70" s="5">
        <v>3.7722013373681418E-2</v>
      </c>
      <c r="G70" s="5">
        <v>-8.050873079287868E-3</v>
      </c>
      <c r="H70">
        <v>-1</v>
      </c>
      <c r="I70">
        <v>1</v>
      </c>
      <c r="J70" s="5">
        <v>0</v>
      </c>
      <c r="K70" s="5">
        <v>2.0072994852474708E-3</v>
      </c>
      <c r="L70" s="5">
        <v>0</v>
      </c>
      <c r="M70" s="5">
        <v>-2.2026535917929471E-4</v>
      </c>
      <c r="N70" s="5">
        <v>3.7722013373681418E-2</v>
      </c>
      <c r="O70" s="5">
        <v>0</v>
      </c>
      <c r="P70" s="5">
        <v>8.050873079287868E-3</v>
      </c>
      <c r="Q70" s="5">
        <v>0</v>
      </c>
      <c r="R70" s="5">
        <v>0.26514172593704599</v>
      </c>
      <c r="S70" s="5">
        <v>0.22936627286932579</v>
      </c>
      <c r="T70" s="5">
        <v>-0.1172609432540366</v>
      </c>
      <c r="U70" s="5">
        <v>0.15306061042428951</v>
      </c>
      <c r="V70" s="5">
        <v>0.37290755003255782</v>
      </c>
      <c r="W70" s="5">
        <v>0.16107632415449771</v>
      </c>
      <c r="X70" s="5">
        <v>0.2509072072871894</v>
      </c>
      <c r="Y70" s="5">
        <v>0.1213484805442487</v>
      </c>
      <c r="Z70" s="5">
        <v>1.4365472279951179</v>
      </c>
      <c r="AA70" s="5">
        <v>0.58843255332646882</v>
      </c>
    </row>
    <row r="71" spans="1:27" x14ac:dyDescent="0.25">
      <c r="A71" s="1">
        <v>39599</v>
      </c>
      <c r="B71" s="5">
        <v>1.5901291276402722E-2</v>
      </c>
      <c r="C71" s="5">
        <v>1.2712924737850909E-2</v>
      </c>
      <c r="D71" s="5">
        <v>6.2905598640223834E-3</v>
      </c>
      <c r="E71" s="5">
        <v>-2.3671050236772181E-2</v>
      </c>
      <c r="F71" s="5">
        <v>9.4964849146609298E-3</v>
      </c>
      <c r="G71" s="5">
        <v>-1.5462046360015471E-2</v>
      </c>
      <c r="H71">
        <v>-1</v>
      </c>
      <c r="I71">
        <v>1</v>
      </c>
      <c r="J71" s="5">
        <v>0</v>
      </c>
      <c r="K71" s="5">
        <v>-6.2905598640223834E-3</v>
      </c>
      <c r="L71" s="5">
        <v>0</v>
      </c>
      <c r="M71" s="5">
        <v>-2.3671050236772181E-2</v>
      </c>
      <c r="N71" s="5">
        <v>9.4964849146609298E-3</v>
      </c>
      <c r="O71" s="5">
        <v>0</v>
      </c>
      <c r="P71" s="5">
        <v>1.5462046360015471E-2</v>
      </c>
      <c r="Q71" s="5">
        <v>0</v>
      </c>
      <c r="R71" s="5">
        <v>0.26514172593704599</v>
      </c>
      <c r="S71" s="5">
        <v>0.22307571300530341</v>
      </c>
      <c r="T71" s="5">
        <v>-0.1172609432540366</v>
      </c>
      <c r="U71" s="5">
        <v>0.12938956018751729</v>
      </c>
      <c r="V71" s="5">
        <v>0.38240403494721881</v>
      </c>
      <c r="W71" s="5">
        <v>0.16107632415449771</v>
      </c>
      <c r="X71" s="5">
        <v>0.26636925364720487</v>
      </c>
      <c r="Y71" s="5">
        <v>0.1213484805442487</v>
      </c>
      <c r="Z71" s="5">
        <v>1.431544149169</v>
      </c>
      <c r="AA71" s="5">
        <v>0.60433384460287154</v>
      </c>
    </row>
    <row r="72" spans="1:27" x14ac:dyDescent="0.25">
      <c r="A72" s="1">
        <v>39629</v>
      </c>
      <c r="B72" s="5">
        <v>-8.5672225766325827E-2</v>
      </c>
      <c r="C72" s="5">
        <v>-5.7073974814267348E-2</v>
      </c>
      <c r="D72" s="5">
        <v>-2.733020299140199E-2</v>
      </c>
      <c r="E72" s="5">
        <v>2.789601485088045E-2</v>
      </c>
      <c r="F72" s="5">
        <v>-2.856638548452772E-2</v>
      </c>
      <c r="G72" s="5">
        <v>9.1063023756273731E-3</v>
      </c>
      <c r="H72">
        <v>1</v>
      </c>
      <c r="I72">
        <v>-1</v>
      </c>
      <c r="J72" s="5">
        <v>-2.733020299140199E-2</v>
      </c>
      <c r="K72" s="5">
        <v>0</v>
      </c>
      <c r="L72" s="5">
        <v>-2.789601485088045E-2</v>
      </c>
      <c r="M72" s="5">
        <v>0</v>
      </c>
      <c r="N72" s="5">
        <v>0</v>
      </c>
      <c r="O72" s="5">
        <v>2.856638548452772E-2</v>
      </c>
      <c r="P72" s="5">
        <v>0</v>
      </c>
      <c r="Q72" s="5">
        <v>9.1063023756273731E-3</v>
      </c>
      <c r="R72" s="5">
        <v>0.237811522945644</v>
      </c>
      <c r="S72" s="5">
        <v>0.22307571300530341</v>
      </c>
      <c r="T72" s="5">
        <v>-0.14515695810491699</v>
      </c>
      <c r="U72" s="5">
        <v>0.12938956018751729</v>
      </c>
      <c r="V72" s="5">
        <v>0.38240403494721881</v>
      </c>
      <c r="W72" s="5">
        <v>0.18964270963902541</v>
      </c>
      <c r="X72" s="5">
        <v>0.26636925364720487</v>
      </c>
      <c r="Y72" s="5">
        <v>0.13045478291987611</v>
      </c>
      <c r="Z72" s="5">
        <v>1.413990619186873</v>
      </c>
      <c r="AA72" s="5">
        <v>0.51866161883654571</v>
      </c>
    </row>
    <row r="73" spans="1:27" x14ac:dyDescent="0.25">
      <c r="A73" s="1">
        <v>39660</v>
      </c>
      <c r="B73" s="5">
        <v>-7.0176418421620257E-3</v>
      </c>
      <c r="C73" s="5">
        <v>1.5061580818106929E-2</v>
      </c>
      <c r="D73" s="5">
        <v>-4.3006930684579281E-3</v>
      </c>
      <c r="E73" s="5">
        <v>1.4712372207237871E-2</v>
      </c>
      <c r="F73" s="5">
        <v>-5.4371724093247309E-3</v>
      </c>
      <c r="G73" s="5">
        <v>1.1741278938509739E-2</v>
      </c>
      <c r="H73">
        <v>-1</v>
      </c>
      <c r="I73">
        <v>1</v>
      </c>
      <c r="J73" s="5">
        <v>0</v>
      </c>
      <c r="K73" s="5">
        <v>4.3006930684579281E-3</v>
      </c>
      <c r="L73" s="5">
        <v>0</v>
      </c>
      <c r="M73" s="5">
        <v>1.4712372207237871E-2</v>
      </c>
      <c r="N73" s="5">
        <v>-5.4371724093247309E-3</v>
      </c>
      <c r="O73" s="5">
        <v>0</v>
      </c>
      <c r="P73" s="5">
        <v>-1.1741278938509739E-2</v>
      </c>
      <c r="Q73" s="5">
        <v>0</v>
      </c>
      <c r="R73" s="5">
        <v>0.237811522945644</v>
      </c>
      <c r="S73" s="5">
        <v>0.22737640607376131</v>
      </c>
      <c r="T73" s="5">
        <v>-0.14515695810491699</v>
      </c>
      <c r="U73" s="5">
        <v>0.14410193239475519</v>
      </c>
      <c r="V73" s="5">
        <v>0.37696686253789402</v>
      </c>
      <c r="W73" s="5">
        <v>0.18964270963902541</v>
      </c>
      <c r="X73" s="5">
        <v>0.25462797470869508</v>
      </c>
      <c r="Y73" s="5">
        <v>0.13045478291987611</v>
      </c>
      <c r="Z73" s="5">
        <v>1.4158252331147341</v>
      </c>
      <c r="AA73" s="5">
        <v>0.51164397699438369</v>
      </c>
    </row>
    <row r="74" spans="1:27" x14ac:dyDescent="0.25">
      <c r="A74" s="1">
        <v>39691</v>
      </c>
      <c r="B74" s="5">
        <v>1.6869590733561309E-2</v>
      </c>
      <c r="C74" s="5">
        <v>-1.1228693949565721E-2</v>
      </c>
      <c r="D74" s="5">
        <v>8.2112144585057001E-3</v>
      </c>
      <c r="E74" s="5">
        <v>7.5486851000283739E-3</v>
      </c>
      <c r="F74" s="5">
        <v>1.954646840344521E-3</v>
      </c>
      <c r="G74" s="5">
        <v>4.6726904210331321E-3</v>
      </c>
      <c r="H74">
        <v>1</v>
      </c>
      <c r="I74">
        <v>-1</v>
      </c>
      <c r="J74" s="5">
        <v>8.2112144585057001E-3</v>
      </c>
      <c r="K74" s="5">
        <v>0</v>
      </c>
      <c r="L74" s="5">
        <v>-7.5486851000283739E-3</v>
      </c>
      <c r="M74" s="5">
        <v>0</v>
      </c>
      <c r="N74" s="5">
        <v>0</v>
      </c>
      <c r="O74" s="5">
        <v>-1.954646840344521E-3</v>
      </c>
      <c r="P74" s="5">
        <v>0</v>
      </c>
      <c r="Q74" s="5">
        <v>4.6726904210331321E-3</v>
      </c>
      <c r="R74" s="5">
        <v>0.24602273740414971</v>
      </c>
      <c r="S74" s="5">
        <v>0.22737640607376131</v>
      </c>
      <c r="T74" s="5">
        <v>-0.1527056432049454</v>
      </c>
      <c r="U74" s="5">
        <v>0.14410193239475519</v>
      </c>
      <c r="V74" s="5">
        <v>0.37696686253789402</v>
      </c>
      <c r="W74" s="5">
        <v>0.18768806279868089</v>
      </c>
      <c r="X74" s="5">
        <v>0.25462797470869508</v>
      </c>
      <c r="Y74" s="5">
        <v>0.13512747334090919</v>
      </c>
      <c r="Z74" s="5">
        <v>1.4192058060538999</v>
      </c>
      <c r="AA74" s="5">
        <v>0.528513567727945</v>
      </c>
    </row>
    <row r="75" spans="1:27" x14ac:dyDescent="0.25">
      <c r="A75" s="1">
        <v>39721</v>
      </c>
      <c r="B75" s="5">
        <v>-8.9363765077561497E-2</v>
      </c>
      <c r="C75" s="5">
        <v>-5.528504200500628E-2</v>
      </c>
      <c r="D75" s="5">
        <v>-4.0381679180580887E-2</v>
      </c>
      <c r="E75" s="5">
        <v>1.05061330802646E-2</v>
      </c>
      <c r="F75" s="5">
        <v>-1.33766415721801E-2</v>
      </c>
      <c r="G75" s="5">
        <v>2.5228590374348211E-2</v>
      </c>
      <c r="H75">
        <v>1</v>
      </c>
      <c r="I75">
        <v>-1</v>
      </c>
      <c r="J75" s="5">
        <v>-4.0381679180580887E-2</v>
      </c>
      <c r="K75" s="5">
        <v>0</v>
      </c>
      <c r="L75" s="5">
        <v>-1.05061330802646E-2</v>
      </c>
      <c r="M75" s="5">
        <v>0</v>
      </c>
      <c r="N75" s="5">
        <v>0</v>
      </c>
      <c r="O75" s="5">
        <v>1.33766415721801E-2</v>
      </c>
      <c r="P75" s="5">
        <v>0</v>
      </c>
      <c r="Q75" s="5">
        <v>2.5228590374348211E-2</v>
      </c>
      <c r="R75" s="5">
        <v>0.20564105822356879</v>
      </c>
      <c r="S75" s="5">
        <v>0.22737640607376131</v>
      </c>
      <c r="T75" s="5">
        <v>-0.16321177628521</v>
      </c>
      <c r="U75" s="5">
        <v>0.14410193239475519</v>
      </c>
      <c r="V75" s="5">
        <v>0.37696686253789402</v>
      </c>
      <c r="W75" s="5">
        <v>0.20106470437086099</v>
      </c>
      <c r="X75" s="5">
        <v>0.25462797470869508</v>
      </c>
      <c r="Y75" s="5">
        <v>0.16035606371525751</v>
      </c>
      <c r="Z75" s="5">
        <v>1.4069232257395829</v>
      </c>
      <c r="AA75" s="5">
        <v>0.4391498026503835</v>
      </c>
    </row>
    <row r="76" spans="1:27" x14ac:dyDescent="0.25">
      <c r="A76" s="1">
        <v>39752</v>
      </c>
      <c r="B76" s="5">
        <v>-0.14570413207503899</v>
      </c>
      <c r="C76" s="5">
        <v>-0.1726195141001671</v>
      </c>
      <c r="D76" s="5">
        <v>2.0614681242287491E-2</v>
      </c>
      <c r="E76" s="5">
        <v>-2.3835432990195419E-2</v>
      </c>
      <c r="F76" s="5">
        <v>-0.1448908688971601</v>
      </c>
      <c r="G76" s="5">
        <v>4.4570129663613622E-2</v>
      </c>
      <c r="H76">
        <v>1</v>
      </c>
      <c r="I76">
        <v>-1</v>
      </c>
      <c r="J76" s="5">
        <v>2.0614681242287491E-2</v>
      </c>
      <c r="K76" s="5">
        <v>0</v>
      </c>
      <c r="L76" s="5">
        <v>2.3835432990195419E-2</v>
      </c>
      <c r="M76" s="5">
        <v>0</v>
      </c>
      <c r="N76" s="5">
        <v>0</v>
      </c>
      <c r="O76" s="5">
        <v>0.1448908688971601</v>
      </c>
      <c r="P76" s="5">
        <v>0</v>
      </c>
      <c r="Q76" s="5">
        <v>4.4570129663613622E-2</v>
      </c>
      <c r="R76" s="5">
        <v>0.22625573946585631</v>
      </c>
      <c r="S76" s="5">
        <v>0.22737640607376131</v>
      </c>
      <c r="T76" s="5">
        <v>-0.13937634329501461</v>
      </c>
      <c r="U76" s="5">
        <v>0.14410193239475519</v>
      </c>
      <c r="V76" s="5">
        <v>0.37696686253789402</v>
      </c>
      <c r="W76" s="5">
        <v>0.34595557326802112</v>
      </c>
      <c r="X76" s="5">
        <v>0.25462797470869508</v>
      </c>
      <c r="Y76" s="5">
        <v>0.20492619337887111</v>
      </c>
      <c r="Z76" s="5">
        <v>1.640834338532839</v>
      </c>
      <c r="AA76" s="5">
        <v>0.29344567057534449</v>
      </c>
    </row>
    <row r="77" spans="1:27" x14ac:dyDescent="0.25">
      <c r="A77" s="1">
        <v>39782</v>
      </c>
      <c r="B77" s="5">
        <v>-5.3974658469957193E-2</v>
      </c>
      <c r="C77" s="5">
        <v>-0.29170651625944077</v>
      </c>
      <c r="D77" s="5">
        <v>0.12792914896507249</v>
      </c>
      <c r="E77" s="5">
        <v>2.7467418618786651E-2</v>
      </c>
      <c r="F77" s="5">
        <v>-2.7547214869506401E-2</v>
      </c>
      <c r="G77" s="5">
        <v>1.957608314798542E-2</v>
      </c>
      <c r="H77">
        <v>1</v>
      </c>
      <c r="I77">
        <v>-1</v>
      </c>
      <c r="J77" s="5">
        <v>0.12792914896507249</v>
      </c>
      <c r="K77" s="5">
        <v>0</v>
      </c>
      <c r="L77" s="5">
        <v>-2.7467418618786651E-2</v>
      </c>
      <c r="M77" s="5">
        <v>0</v>
      </c>
      <c r="N77" s="5">
        <v>0</v>
      </c>
      <c r="O77" s="5">
        <v>2.7547214869506401E-2</v>
      </c>
      <c r="P77" s="5">
        <v>0</v>
      </c>
      <c r="Q77" s="5">
        <v>1.957608314798542E-2</v>
      </c>
      <c r="R77" s="5">
        <v>0.35418488843092882</v>
      </c>
      <c r="S77" s="5">
        <v>0.22737640607376131</v>
      </c>
      <c r="T77" s="5">
        <v>-0.16684376191380121</v>
      </c>
      <c r="U77" s="5">
        <v>0.14410193239475519</v>
      </c>
      <c r="V77" s="5">
        <v>0.37696686253789402</v>
      </c>
      <c r="W77" s="5">
        <v>0.37350278813752752</v>
      </c>
      <c r="X77" s="5">
        <v>0.25462797470869508</v>
      </c>
      <c r="Y77" s="5">
        <v>0.2245022765268565</v>
      </c>
      <c r="Z77" s="5">
        <v>1.7884193668966171</v>
      </c>
      <c r="AA77" s="5">
        <v>0.23947101210538729</v>
      </c>
    </row>
    <row r="78" spans="1:27" x14ac:dyDescent="0.25">
      <c r="A78" s="1">
        <v>39813</v>
      </c>
      <c r="B78" s="5">
        <v>1.8742031906207601E-2</v>
      </c>
      <c r="C78" s="5">
        <v>-0.15570283857611961</v>
      </c>
      <c r="D78" s="5">
        <v>2.3530380839905659E-2</v>
      </c>
      <c r="E78" s="5">
        <v>-2.0439188547375031E-2</v>
      </c>
      <c r="F78" s="5">
        <v>-1.835274626979877E-2</v>
      </c>
      <c r="G78" s="5">
        <v>4.845540224551248E-2</v>
      </c>
      <c r="H78">
        <v>1</v>
      </c>
      <c r="I78">
        <v>-1</v>
      </c>
      <c r="J78" s="5">
        <v>2.3530380839905659E-2</v>
      </c>
      <c r="K78" s="5">
        <v>0</v>
      </c>
      <c r="L78" s="5">
        <v>2.0439188547375031E-2</v>
      </c>
      <c r="M78" s="5">
        <v>0</v>
      </c>
      <c r="N78" s="5">
        <v>0</v>
      </c>
      <c r="O78" s="5">
        <v>1.835274626979877E-2</v>
      </c>
      <c r="P78" s="5">
        <v>0</v>
      </c>
      <c r="Q78" s="5">
        <v>4.845540224551248E-2</v>
      </c>
      <c r="R78" s="5">
        <v>0.37771526927083438</v>
      </c>
      <c r="S78" s="5">
        <v>0.22737640607376131</v>
      </c>
      <c r="T78" s="5">
        <v>-0.14640457336642621</v>
      </c>
      <c r="U78" s="5">
        <v>0.14410193239475519</v>
      </c>
      <c r="V78" s="5">
        <v>0.37696686253789402</v>
      </c>
      <c r="W78" s="5">
        <v>0.39185553440732618</v>
      </c>
      <c r="X78" s="5">
        <v>0.25462797470869508</v>
      </c>
      <c r="Y78" s="5">
        <v>0.27295767877236898</v>
      </c>
      <c r="Z78" s="5">
        <v>1.899197084799209</v>
      </c>
      <c r="AA78" s="5">
        <v>0.25821304401159489</v>
      </c>
    </row>
    <row r="79" spans="1:27" x14ac:dyDescent="0.25">
      <c r="A79" s="1">
        <v>39844</v>
      </c>
      <c r="B79" s="5">
        <v>-7.9818776400030544E-2</v>
      </c>
      <c r="C79" s="5">
        <v>2.3217479267532589E-2</v>
      </c>
      <c r="D79" s="5">
        <v>-1.9905661305834599E-3</v>
      </c>
      <c r="E79" s="5">
        <v>-3.6371146237892497E-2</v>
      </c>
      <c r="F79" s="5">
        <v>9.7613569844824388E-3</v>
      </c>
      <c r="G79" s="5">
        <v>-5.7855746218261388E-2</v>
      </c>
      <c r="H79">
        <v>-1</v>
      </c>
      <c r="I79">
        <v>1</v>
      </c>
      <c r="J79" s="5">
        <v>0</v>
      </c>
      <c r="K79" s="5">
        <v>1.9905661305834599E-3</v>
      </c>
      <c r="L79" s="5">
        <v>0</v>
      </c>
      <c r="M79" s="5">
        <v>-3.6371146237892497E-2</v>
      </c>
      <c r="N79" s="5">
        <v>9.7613569844824388E-3</v>
      </c>
      <c r="O79" s="5">
        <v>0</v>
      </c>
      <c r="P79" s="5">
        <v>5.7855746218261388E-2</v>
      </c>
      <c r="Q79" s="5">
        <v>0</v>
      </c>
      <c r="R79" s="5">
        <v>0.37771526927083438</v>
      </c>
      <c r="S79" s="5">
        <v>0.22936697220434479</v>
      </c>
      <c r="T79" s="5">
        <v>-0.14640457336642621</v>
      </c>
      <c r="U79" s="5">
        <v>0.1077307861568627</v>
      </c>
      <c r="V79" s="5">
        <v>0.38672821952237652</v>
      </c>
      <c r="W79" s="5">
        <v>0.39185553440732618</v>
      </c>
      <c r="X79" s="5">
        <v>0.31248372092695648</v>
      </c>
      <c r="Y79" s="5">
        <v>0.27295767877236898</v>
      </c>
      <c r="Z79" s="5">
        <v>1.932433607894644</v>
      </c>
      <c r="AA79" s="5">
        <v>0.17839426761156441</v>
      </c>
    </row>
    <row r="80" spans="1:27" x14ac:dyDescent="0.25">
      <c r="A80" s="1">
        <v>39872</v>
      </c>
      <c r="B80" s="5">
        <v>-0.10906429237221341</v>
      </c>
      <c r="C80" s="5">
        <v>-0.11601941611235821</v>
      </c>
      <c r="D80" s="5">
        <v>-8.5724016159275385E-3</v>
      </c>
      <c r="E80" s="5">
        <v>-2.8880358899958439E-2</v>
      </c>
      <c r="F80" s="5">
        <v>4.9510470024054509E-2</v>
      </c>
      <c r="G80" s="5">
        <v>-1.095184187889175E-2</v>
      </c>
      <c r="H80">
        <v>1</v>
      </c>
      <c r="I80">
        <v>-1</v>
      </c>
      <c r="J80" s="5">
        <v>-8.5724016159275385E-3</v>
      </c>
      <c r="K80" s="5">
        <v>0</v>
      </c>
      <c r="L80" s="5">
        <v>2.8880358899958439E-2</v>
      </c>
      <c r="M80" s="5">
        <v>0</v>
      </c>
      <c r="N80" s="5">
        <v>0</v>
      </c>
      <c r="O80" s="5">
        <v>-4.9510470024054509E-2</v>
      </c>
      <c r="P80" s="5">
        <v>0</v>
      </c>
      <c r="Q80" s="5">
        <v>-1.095184187889175E-2</v>
      </c>
      <c r="R80" s="5">
        <v>0.36914286765490689</v>
      </c>
      <c r="S80" s="5">
        <v>0.22936697220434479</v>
      </c>
      <c r="T80" s="5">
        <v>-0.1175242144664678</v>
      </c>
      <c r="U80" s="5">
        <v>0.1077307861568627</v>
      </c>
      <c r="V80" s="5">
        <v>0.38672821952237652</v>
      </c>
      <c r="W80" s="5">
        <v>0.34234506438327172</v>
      </c>
      <c r="X80" s="5">
        <v>0.31248372092695648</v>
      </c>
      <c r="Y80" s="5">
        <v>0.26200583689347717</v>
      </c>
      <c r="Z80" s="5">
        <v>1.892279253275728</v>
      </c>
      <c r="AA80" s="5">
        <v>6.9329975239351027E-2</v>
      </c>
    </row>
    <row r="81" spans="1:27" x14ac:dyDescent="0.25">
      <c r="A81" s="1">
        <v>39903</v>
      </c>
      <c r="B81" s="5">
        <v>8.9572123992082364E-2</v>
      </c>
      <c r="C81" s="5">
        <v>2.5547126218563251E-2</v>
      </c>
      <c r="D81" s="5">
        <v>3.9714469920009272E-2</v>
      </c>
      <c r="E81" s="5">
        <v>1.7379348294892741E-2</v>
      </c>
      <c r="F81" s="5">
        <v>-6.7962672189040507E-2</v>
      </c>
      <c r="G81" s="5">
        <v>2.6434018511824361E-2</v>
      </c>
      <c r="H81">
        <v>-1</v>
      </c>
      <c r="I81">
        <v>1</v>
      </c>
      <c r="J81" s="5">
        <v>0</v>
      </c>
      <c r="K81" s="5">
        <v>-3.9714469920009272E-2</v>
      </c>
      <c r="L81" s="5">
        <v>0</v>
      </c>
      <c r="M81" s="5">
        <v>1.7379348294892741E-2</v>
      </c>
      <c r="N81" s="5">
        <v>-6.7962672189040507E-2</v>
      </c>
      <c r="O81" s="5">
        <v>0</v>
      </c>
      <c r="P81" s="5">
        <v>-2.6434018511824361E-2</v>
      </c>
      <c r="Q81" s="5">
        <v>0</v>
      </c>
      <c r="R81" s="5">
        <v>0.36914286765490689</v>
      </c>
      <c r="S81" s="5">
        <v>0.1896525022843355</v>
      </c>
      <c r="T81" s="5">
        <v>-0.1175242144664678</v>
      </c>
      <c r="U81" s="5">
        <v>0.12511013445175551</v>
      </c>
      <c r="V81" s="5">
        <v>0.31876554733333601</v>
      </c>
      <c r="W81" s="5">
        <v>0.34234506438327172</v>
      </c>
      <c r="X81" s="5">
        <v>0.28604970241513222</v>
      </c>
      <c r="Y81" s="5">
        <v>0.26200583689347717</v>
      </c>
      <c r="Z81" s="5">
        <v>1.7755474409497469</v>
      </c>
      <c r="AA81" s="5">
        <v>0.15890209923143339</v>
      </c>
    </row>
    <row r="82" spans="1:27" x14ac:dyDescent="0.25">
      <c r="A82" s="1">
        <v>39933</v>
      </c>
      <c r="B82" s="5">
        <v>9.8384063872044569E-2</v>
      </c>
      <c r="C82" s="5">
        <v>0.10045707147427339</v>
      </c>
      <c r="D82" s="5">
        <v>3.3933429598343327E-2</v>
      </c>
      <c r="E82" s="5">
        <v>-3.5016451376242097E-2</v>
      </c>
      <c r="F82" s="5">
        <v>2.739369441695072E-2</v>
      </c>
      <c r="G82" s="5">
        <v>-2.5295945271269219E-2</v>
      </c>
      <c r="H82">
        <v>-1</v>
      </c>
      <c r="I82">
        <v>1</v>
      </c>
      <c r="J82" s="5">
        <v>0</v>
      </c>
      <c r="K82" s="5">
        <v>-3.3933429598343327E-2</v>
      </c>
      <c r="L82" s="5">
        <v>0</v>
      </c>
      <c r="M82" s="5">
        <v>-3.5016451376242097E-2</v>
      </c>
      <c r="N82" s="5">
        <v>2.739369441695072E-2</v>
      </c>
      <c r="O82" s="5">
        <v>0</v>
      </c>
      <c r="P82" s="5">
        <v>2.5295945271269219E-2</v>
      </c>
      <c r="Q82" s="5">
        <v>0</v>
      </c>
      <c r="R82" s="5">
        <v>0.36914286765490689</v>
      </c>
      <c r="S82" s="5">
        <v>0.15571907268599219</v>
      </c>
      <c r="T82" s="5">
        <v>-0.1175242144664678</v>
      </c>
      <c r="U82" s="5">
        <v>9.0093683075513353E-2</v>
      </c>
      <c r="V82" s="5">
        <v>0.34615924175028667</v>
      </c>
      <c r="W82" s="5">
        <v>0.34234506438327172</v>
      </c>
      <c r="X82" s="5">
        <v>0.31134564768640138</v>
      </c>
      <c r="Y82" s="5">
        <v>0.26200583689347717</v>
      </c>
      <c r="Z82" s="5">
        <v>1.759287199663381</v>
      </c>
      <c r="AA82" s="5">
        <v>0.25728616310347802</v>
      </c>
    </row>
    <row r="83" spans="1:27" x14ac:dyDescent="0.25">
      <c r="A83" s="1">
        <v>39964</v>
      </c>
      <c r="B83" s="5">
        <v>5.9743514617585647E-2</v>
      </c>
      <c r="C83" s="5">
        <v>5.4748563068798377E-2</v>
      </c>
      <c r="D83" s="5">
        <v>3.7276745372446192E-2</v>
      </c>
      <c r="E83" s="5">
        <v>-3.5771461720889301E-3</v>
      </c>
      <c r="F83" s="5">
        <v>3.9427661095328033E-2</v>
      </c>
      <c r="G83" s="5">
        <v>-3.1596843501349607E-2</v>
      </c>
      <c r="H83">
        <v>-1</v>
      </c>
      <c r="I83">
        <v>1</v>
      </c>
      <c r="J83" s="5">
        <v>0</v>
      </c>
      <c r="K83" s="5">
        <v>-3.7276745372446192E-2</v>
      </c>
      <c r="L83" s="5">
        <v>0</v>
      </c>
      <c r="M83" s="5">
        <v>-3.5771461720889301E-3</v>
      </c>
      <c r="N83" s="5">
        <v>3.9427661095328033E-2</v>
      </c>
      <c r="O83" s="5">
        <v>0</v>
      </c>
      <c r="P83" s="5">
        <v>3.1596843501349607E-2</v>
      </c>
      <c r="Q83" s="5">
        <v>0</v>
      </c>
      <c r="R83" s="5">
        <v>0.36914286765490689</v>
      </c>
      <c r="S83" s="5">
        <v>0.11844232731354599</v>
      </c>
      <c r="T83" s="5">
        <v>-0.1175242144664678</v>
      </c>
      <c r="U83" s="5">
        <v>8.6516536903424424E-2</v>
      </c>
      <c r="V83" s="5">
        <v>0.3855869028456147</v>
      </c>
      <c r="W83" s="5">
        <v>0.34234506438327172</v>
      </c>
      <c r="X83" s="5">
        <v>0.342942491187751</v>
      </c>
      <c r="Y83" s="5">
        <v>0.26200583689347717</v>
      </c>
      <c r="Z83" s="5">
        <v>1.7894578127155241</v>
      </c>
      <c r="AA83" s="5">
        <v>0.31702967772106361</v>
      </c>
    </row>
    <row r="84" spans="1:27" x14ac:dyDescent="0.25">
      <c r="A84" s="1">
        <v>39994</v>
      </c>
      <c r="B84" s="5">
        <v>9.9916569630920105E-4</v>
      </c>
      <c r="C84" s="5">
        <v>2.321898564655234E-2</v>
      </c>
      <c r="D84" s="5">
        <v>-1.6904021416241921E-4</v>
      </c>
      <c r="E84" s="5">
        <v>3.1264166454139541E-2</v>
      </c>
      <c r="F84" s="5">
        <v>2.200910553779856E-2</v>
      </c>
      <c r="G84" s="5">
        <v>-4.3077912124769302E-2</v>
      </c>
      <c r="H84">
        <v>-1</v>
      </c>
      <c r="I84">
        <v>1</v>
      </c>
      <c r="J84" s="5">
        <v>0</v>
      </c>
      <c r="K84" s="5">
        <v>1.6904021416241921E-4</v>
      </c>
      <c r="L84" s="5">
        <v>0</v>
      </c>
      <c r="M84" s="5">
        <v>3.1264166454139541E-2</v>
      </c>
      <c r="N84" s="5">
        <v>2.200910553779856E-2</v>
      </c>
      <c r="O84" s="5">
        <v>0</v>
      </c>
      <c r="P84" s="5">
        <v>4.3077912124769302E-2</v>
      </c>
      <c r="Q84" s="5">
        <v>0</v>
      </c>
      <c r="R84" s="5">
        <v>0.36914286765490689</v>
      </c>
      <c r="S84" s="5">
        <v>0.1186113675277084</v>
      </c>
      <c r="T84" s="5">
        <v>-0.1175242144664678</v>
      </c>
      <c r="U84" s="5">
        <v>0.11778070335756401</v>
      </c>
      <c r="V84" s="5">
        <v>0.40759600838341331</v>
      </c>
      <c r="W84" s="5">
        <v>0.34234506438327172</v>
      </c>
      <c r="X84" s="5">
        <v>0.3860204033125203</v>
      </c>
      <c r="Y84" s="5">
        <v>0.26200583689347717</v>
      </c>
      <c r="Z84" s="5">
        <v>1.8859780370463941</v>
      </c>
      <c r="AA84" s="5">
        <v>0.31802884341737281</v>
      </c>
    </row>
    <row r="85" spans="1:27" x14ac:dyDescent="0.25">
      <c r="A85" s="1">
        <v>40025</v>
      </c>
      <c r="B85" s="5">
        <v>7.3713295786588029E-2</v>
      </c>
      <c r="C85" s="5">
        <v>5.5265352372350751E-2</v>
      </c>
      <c r="D85" s="5">
        <v>3.3870868820203848E-2</v>
      </c>
      <c r="E85" s="5">
        <v>2.298695640891513E-2</v>
      </c>
      <c r="F85" s="5">
        <v>-4.3330083383508973E-2</v>
      </c>
      <c r="G85" s="5">
        <v>2.3607621759027309E-2</v>
      </c>
      <c r="H85">
        <v>-1</v>
      </c>
      <c r="I85">
        <v>1</v>
      </c>
      <c r="J85" s="5">
        <v>0</v>
      </c>
      <c r="K85" s="5">
        <v>-3.3870868820203848E-2</v>
      </c>
      <c r="L85" s="5">
        <v>0</v>
      </c>
      <c r="M85" s="5">
        <v>2.298695640891513E-2</v>
      </c>
      <c r="N85" s="5">
        <v>-4.3330083383508973E-2</v>
      </c>
      <c r="O85" s="5">
        <v>0</v>
      </c>
      <c r="P85" s="5">
        <v>-2.3607621759027309E-2</v>
      </c>
      <c r="Q85" s="5">
        <v>0</v>
      </c>
      <c r="R85" s="5">
        <v>0.36914286765490689</v>
      </c>
      <c r="S85" s="5">
        <v>8.4740498707504552E-2</v>
      </c>
      <c r="T85" s="5">
        <v>-0.1175242144664678</v>
      </c>
      <c r="U85" s="5">
        <v>0.14076765976647909</v>
      </c>
      <c r="V85" s="5">
        <v>0.36426592499990429</v>
      </c>
      <c r="W85" s="5">
        <v>0.34234506438327172</v>
      </c>
      <c r="X85" s="5">
        <v>0.36241278155349299</v>
      </c>
      <c r="Y85" s="5">
        <v>0.26200583689347717</v>
      </c>
      <c r="Z85" s="5">
        <v>1.808156419492569</v>
      </c>
      <c r="AA85" s="5">
        <v>0.39174213920396078</v>
      </c>
    </row>
    <row r="86" spans="1:27" x14ac:dyDescent="0.25">
      <c r="A86" s="1">
        <v>40056</v>
      </c>
      <c r="B86" s="5">
        <v>3.7375235742710511E-2</v>
      </c>
      <c r="C86" s="5">
        <v>4.8948785801078643E-2</v>
      </c>
      <c r="D86" s="5">
        <v>-4.9206132855534879E-3</v>
      </c>
      <c r="E86" s="5">
        <v>2.9940695062022019E-2</v>
      </c>
      <c r="F86" s="5">
        <v>2.4140895162283679E-2</v>
      </c>
      <c r="G86" s="5">
        <v>-4.2974910925534397E-2</v>
      </c>
      <c r="H86">
        <v>-1</v>
      </c>
      <c r="I86">
        <v>1</v>
      </c>
      <c r="J86" s="5">
        <v>0</v>
      </c>
      <c r="K86" s="5">
        <v>4.9206132855534879E-3</v>
      </c>
      <c r="L86" s="5">
        <v>0</v>
      </c>
      <c r="M86" s="5">
        <v>2.9940695062022019E-2</v>
      </c>
      <c r="N86" s="5">
        <v>2.4140895162283679E-2</v>
      </c>
      <c r="O86" s="5">
        <v>0</v>
      </c>
      <c r="P86" s="5">
        <v>4.2974910925534397E-2</v>
      </c>
      <c r="Q86" s="5">
        <v>0</v>
      </c>
      <c r="R86" s="5">
        <v>0.36914286765490689</v>
      </c>
      <c r="S86" s="5">
        <v>8.966111199305804E-2</v>
      </c>
      <c r="T86" s="5">
        <v>-0.1175242144664678</v>
      </c>
      <c r="U86" s="5">
        <v>0.17070835482850111</v>
      </c>
      <c r="V86" s="5">
        <v>0.38840682016218803</v>
      </c>
      <c r="W86" s="5">
        <v>0.34234506438327172</v>
      </c>
      <c r="X86" s="5">
        <v>0.4053876924790274</v>
      </c>
      <c r="Y86" s="5">
        <v>0.26200583689347717</v>
      </c>
      <c r="Z86" s="5">
        <v>1.9101335339279619</v>
      </c>
      <c r="AA86" s="5">
        <v>0.42911737494667129</v>
      </c>
    </row>
    <row r="87" spans="1:27" x14ac:dyDescent="0.25">
      <c r="A87" s="1">
        <v>40086</v>
      </c>
      <c r="B87" s="5">
        <v>3.5782470363698422E-2</v>
      </c>
      <c r="C87" s="5">
        <v>4.9925751779568928E-2</v>
      </c>
      <c r="D87" s="5">
        <v>-1.3638821985546329E-2</v>
      </c>
      <c r="E87" s="5">
        <v>2.5586219501963159E-2</v>
      </c>
      <c r="F87" s="5">
        <v>5.0966240374167304E-3</v>
      </c>
      <c r="G87" s="5">
        <v>-1.8073954955455721E-2</v>
      </c>
      <c r="H87">
        <v>-1</v>
      </c>
      <c r="I87">
        <v>1</v>
      </c>
      <c r="J87" s="5">
        <v>0</v>
      </c>
      <c r="K87" s="5">
        <v>1.3638821985546329E-2</v>
      </c>
      <c r="L87" s="5">
        <v>0</v>
      </c>
      <c r="M87" s="5">
        <v>2.5586219501963159E-2</v>
      </c>
      <c r="N87" s="5">
        <v>5.0966240374167304E-3</v>
      </c>
      <c r="O87" s="5">
        <v>0</v>
      </c>
      <c r="P87" s="5">
        <v>1.8073954955455721E-2</v>
      </c>
      <c r="Q87" s="5">
        <v>0</v>
      </c>
      <c r="R87" s="5">
        <v>0.36914286765490689</v>
      </c>
      <c r="S87" s="5">
        <v>0.1032999339786044</v>
      </c>
      <c r="T87" s="5">
        <v>-0.1175242144664678</v>
      </c>
      <c r="U87" s="5">
        <v>0.19629457433046429</v>
      </c>
      <c r="V87" s="5">
        <v>0.3935034441996047</v>
      </c>
      <c r="W87" s="5">
        <v>0.34234506438327172</v>
      </c>
      <c r="X87" s="5">
        <v>0.42346164743448311</v>
      </c>
      <c r="Y87" s="5">
        <v>0.26200583689347717</v>
      </c>
      <c r="Z87" s="5">
        <v>1.9725291544083441</v>
      </c>
      <c r="AA87" s="5">
        <v>0.46489984531036982</v>
      </c>
    </row>
    <row r="88" spans="1:27" x14ac:dyDescent="0.25">
      <c r="A88" s="1">
        <v>40117</v>
      </c>
      <c r="B88" s="5">
        <v>-1.7523200126186019E-2</v>
      </c>
      <c r="C88" s="5">
        <v>4.7530551360965512E-2</v>
      </c>
      <c r="D88" s="5">
        <v>-4.308525226800175E-2</v>
      </c>
      <c r="E88" s="5">
        <v>-3.358903625060528E-3</v>
      </c>
      <c r="F88" s="5">
        <v>2.5266409483466479E-3</v>
      </c>
      <c r="G88" s="5">
        <v>8.7092855603934094E-3</v>
      </c>
      <c r="H88">
        <v>-1</v>
      </c>
      <c r="I88">
        <v>1</v>
      </c>
      <c r="J88" s="5">
        <v>0</v>
      </c>
      <c r="K88" s="5">
        <v>4.308525226800175E-2</v>
      </c>
      <c r="L88" s="5">
        <v>0</v>
      </c>
      <c r="M88" s="5">
        <v>-3.358903625060528E-3</v>
      </c>
      <c r="N88" s="5">
        <v>2.5266409483466479E-3</v>
      </c>
      <c r="O88" s="5">
        <v>0</v>
      </c>
      <c r="P88" s="5">
        <v>-8.7092855603934094E-3</v>
      </c>
      <c r="Q88" s="5">
        <v>0</v>
      </c>
      <c r="R88" s="5">
        <v>0.36914286765490689</v>
      </c>
      <c r="S88" s="5">
        <v>0.1463851862466061</v>
      </c>
      <c r="T88" s="5">
        <v>-0.1175242144664678</v>
      </c>
      <c r="U88" s="5">
        <v>0.19293567070540371</v>
      </c>
      <c r="V88" s="5">
        <v>0.39603008514795129</v>
      </c>
      <c r="W88" s="5">
        <v>0.34234506438327172</v>
      </c>
      <c r="X88" s="5">
        <v>0.4147523618740897</v>
      </c>
      <c r="Y88" s="5">
        <v>0.26200583689347717</v>
      </c>
      <c r="Z88" s="5">
        <v>2.006072858439238</v>
      </c>
      <c r="AA88" s="5">
        <v>0.44737664518418369</v>
      </c>
    </row>
    <row r="89" spans="1:27" x14ac:dyDescent="0.25">
      <c r="A89" s="1">
        <v>40147</v>
      </c>
      <c r="B89" s="5">
        <v>6.0748409590612777E-2</v>
      </c>
      <c r="C89" s="5">
        <v>5.9337620825675293E-2</v>
      </c>
      <c r="D89" s="5">
        <v>4.8764891546986266E-3</v>
      </c>
      <c r="E89" s="5">
        <v>1.5790483099045179E-2</v>
      </c>
      <c r="F89" s="5">
        <v>3.4097587039318533E-2</v>
      </c>
      <c r="G89" s="5">
        <v>-2.2589069124618E-2</v>
      </c>
      <c r="H89">
        <v>-1</v>
      </c>
      <c r="I89">
        <v>1</v>
      </c>
      <c r="J89" s="5">
        <v>0</v>
      </c>
      <c r="K89" s="5">
        <v>-4.8764891546986266E-3</v>
      </c>
      <c r="L89" s="5">
        <v>0</v>
      </c>
      <c r="M89" s="5">
        <v>1.5790483099045179E-2</v>
      </c>
      <c r="N89" s="5">
        <v>3.4097587039318533E-2</v>
      </c>
      <c r="O89" s="5">
        <v>0</v>
      </c>
      <c r="P89" s="5">
        <v>2.2589069124618E-2</v>
      </c>
      <c r="Q89" s="5">
        <v>0</v>
      </c>
      <c r="R89" s="5">
        <v>0.36914286765490689</v>
      </c>
      <c r="S89" s="5">
        <v>0.1415086970919075</v>
      </c>
      <c r="T89" s="5">
        <v>-0.1175242144664678</v>
      </c>
      <c r="U89" s="5">
        <v>0.20872615380444889</v>
      </c>
      <c r="V89" s="5">
        <v>0.43012767218726988</v>
      </c>
      <c r="W89" s="5">
        <v>0.34234506438327172</v>
      </c>
      <c r="X89" s="5">
        <v>0.4373414309987077</v>
      </c>
      <c r="Y89" s="5">
        <v>0.26200583689347717</v>
      </c>
      <c r="Z89" s="5">
        <v>2.0736735085475222</v>
      </c>
      <c r="AA89" s="5">
        <v>0.50812505477479653</v>
      </c>
    </row>
    <row r="90" spans="1:27" x14ac:dyDescent="0.25">
      <c r="A90" s="1">
        <v>40178</v>
      </c>
      <c r="B90" s="5">
        <v>1.9383087973229299E-2</v>
      </c>
      <c r="C90" s="5">
        <v>7.3068356132427459E-2</v>
      </c>
      <c r="D90" s="5">
        <v>1.0572474053984759E-3</v>
      </c>
      <c r="E90" s="5">
        <v>-1.0121531200303459E-2</v>
      </c>
      <c r="F90" s="5">
        <v>8.2766618055040153E-3</v>
      </c>
      <c r="G90" s="5">
        <v>-2.9998343475997721E-2</v>
      </c>
      <c r="H90">
        <v>-1</v>
      </c>
      <c r="I90">
        <v>1</v>
      </c>
      <c r="J90" s="5">
        <v>0</v>
      </c>
      <c r="K90" s="5">
        <v>-1.0572474053984759E-3</v>
      </c>
      <c r="L90" s="5">
        <v>0</v>
      </c>
      <c r="M90" s="5">
        <v>-1.0121531200303459E-2</v>
      </c>
      <c r="N90" s="5">
        <v>8.2766618055040153E-3</v>
      </c>
      <c r="O90" s="5">
        <v>0</v>
      </c>
      <c r="P90" s="5">
        <v>2.9998343475997721E-2</v>
      </c>
      <c r="Q90" s="5">
        <v>0</v>
      </c>
      <c r="R90" s="5">
        <v>0.36914286765490689</v>
      </c>
      <c r="S90" s="5">
        <v>0.14045144968650899</v>
      </c>
      <c r="T90" s="5">
        <v>-0.1175242144664678</v>
      </c>
      <c r="U90" s="5">
        <v>0.19860462260414549</v>
      </c>
      <c r="V90" s="5">
        <v>0.4384043339927739</v>
      </c>
      <c r="W90" s="5">
        <v>0.34234506438327172</v>
      </c>
      <c r="X90" s="5">
        <v>0.46733977447470543</v>
      </c>
      <c r="Y90" s="5">
        <v>0.26200583689347717</v>
      </c>
      <c r="Z90" s="5">
        <v>2.100769735223321</v>
      </c>
      <c r="AA90" s="5">
        <v>0.52750814274802582</v>
      </c>
    </row>
    <row r="91" spans="1:27" x14ac:dyDescent="0.25">
      <c r="A91" s="1">
        <v>40209</v>
      </c>
      <c r="B91" s="5">
        <v>-3.5983708897734501E-2</v>
      </c>
      <c r="C91" s="5">
        <v>-3.3370676371943908E-2</v>
      </c>
      <c r="D91" s="5">
        <v>-2.1774215815850258E-2</v>
      </c>
      <c r="E91" s="5">
        <v>7.97830739722305E-3</v>
      </c>
      <c r="F91" s="5">
        <v>2.785981521645442E-2</v>
      </c>
      <c r="G91" s="5">
        <v>-6.5839058472845213E-3</v>
      </c>
      <c r="H91">
        <v>1</v>
      </c>
      <c r="I91">
        <v>-1</v>
      </c>
      <c r="J91" s="5">
        <v>-2.1774215815850258E-2</v>
      </c>
      <c r="K91" s="5">
        <v>0</v>
      </c>
      <c r="L91" s="5">
        <v>-7.97830739722305E-3</v>
      </c>
      <c r="M91" s="5">
        <v>0</v>
      </c>
      <c r="N91" s="5">
        <v>0</v>
      </c>
      <c r="O91" s="5">
        <v>-2.785981521645442E-2</v>
      </c>
      <c r="P91" s="5">
        <v>0</v>
      </c>
      <c r="Q91" s="5">
        <v>-6.5839058472845213E-3</v>
      </c>
      <c r="R91" s="5">
        <v>0.34736865183905657</v>
      </c>
      <c r="S91" s="5">
        <v>0.14045144968650899</v>
      </c>
      <c r="T91" s="5">
        <v>-0.12550252186369079</v>
      </c>
      <c r="U91" s="5">
        <v>0.19860462260414549</v>
      </c>
      <c r="V91" s="5">
        <v>0.4384043339927739</v>
      </c>
      <c r="W91" s="5">
        <v>0.3144852491668173</v>
      </c>
      <c r="X91" s="5">
        <v>0.46733977447470543</v>
      </c>
      <c r="Y91" s="5">
        <v>0.25542193104619271</v>
      </c>
      <c r="Z91" s="5">
        <v>2.036573490946509</v>
      </c>
      <c r="AA91" s="5">
        <v>0.49152443385029132</v>
      </c>
    </row>
    <row r="92" spans="1:27" x14ac:dyDescent="0.25">
      <c r="A92" s="1">
        <v>40237</v>
      </c>
      <c r="B92" s="5">
        <v>3.1843013520947427E-2</v>
      </c>
      <c r="C92" s="5">
        <v>6.7144087009044062E-2</v>
      </c>
      <c r="D92" s="5">
        <v>-3.6679436318350911E-3</v>
      </c>
      <c r="E92" s="5">
        <v>2.8813313910169391E-2</v>
      </c>
      <c r="F92" s="5">
        <v>-6.1278702151450481E-3</v>
      </c>
      <c r="G92" s="5">
        <v>1.8509374894981609E-4</v>
      </c>
      <c r="H92">
        <v>-1</v>
      </c>
      <c r="I92">
        <v>1</v>
      </c>
      <c r="J92" s="5">
        <v>0</v>
      </c>
      <c r="K92" s="5">
        <v>3.6679436318350911E-3</v>
      </c>
      <c r="L92" s="5">
        <v>0</v>
      </c>
      <c r="M92" s="5">
        <v>2.8813313910169391E-2</v>
      </c>
      <c r="N92" s="5">
        <v>-6.1278702151450481E-3</v>
      </c>
      <c r="O92" s="5">
        <v>0</v>
      </c>
      <c r="P92" s="5">
        <v>-1.8509374894981609E-4</v>
      </c>
      <c r="Q92" s="5">
        <v>0</v>
      </c>
      <c r="R92" s="5">
        <v>0.34736865183905657</v>
      </c>
      <c r="S92" s="5">
        <v>0.14411939331834411</v>
      </c>
      <c r="T92" s="5">
        <v>-0.12550252186369079</v>
      </c>
      <c r="U92" s="5">
        <v>0.22741793651431491</v>
      </c>
      <c r="V92" s="5">
        <v>0.43227646377762879</v>
      </c>
      <c r="W92" s="5">
        <v>0.3144852491668173</v>
      </c>
      <c r="X92" s="5">
        <v>0.46715468072575561</v>
      </c>
      <c r="Y92" s="5">
        <v>0.25542193104619271</v>
      </c>
      <c r="Z92" s="5">
        <v>2.0627417845244191</v>
      </c>
      <c r="AA92" s="5">
        <v>0.52336744737123875</v>
      </c>
    </row>
    <row r="93" spans="1:27" x14ac:dyDescent="0.25">
      <c r="A93" s="1">
        <v>40268</v>
      </c>
      <c r="B93" s="5">
        <v>5.9422440048096381E-2</v>
      </c>
      <c r="C93" s="5">
        <v>5.1619521758743847E-2</v>
      </c>
      <c r="D93" s="5">
        <v>8.92086015876703E-3</v>
      </c>
      <c r="E93" s="5">
        <v>-1.92345637026109E-2</v>
      </c>
      <c r="F93" s="5">
        <v>3.1367671260531298E-2</v>
      </c>
      <c r="G93" s="5">
        <v>-1.211743193415005E-2</v>
      </c>
      <c r="H93">
        <v>-1</v>
      </c>
      <c r="I93">
        <v>1</v>
      </c>
      <c r="J93" s="5">
        <v>0</v>
      </c>
      <c r="K93" s="5">
        <v>-8.92086015876703E-3</v>
      </c>
      <c r="L93" s="5">
        <v>0</v>
      </c>
      <c r="M93" s="5">
        <v>-1.92345637026109E-2</v>
      </c>
      <c r="N93" s="5">
        <v>3.1367671260531298E-2</v>
      </c>
      <c r="O93" s="5">
        <v>0</v>
      </c>
      <c r="P93" s="5">
        <v>1.211743193415005E-2</v>
      </c>
      <c r="Q93" s="5">
        <v>0</v>
      </c>
      <c r="R93" s="5">
        <v>0.34736865183905657</v>
      </c>
      <c r="S93" s="5">
        <v>0.13519853315957711</v>
      </c>
      <c r="T93" s="5">
        <v>-0.12550252186369079</v>
      </c>
      <c r="U93" s="5">
        <v>0.20818337281170399</v>
      </c>
      <c r="V93" s="5">
        <v>0.46364413503816021</v>
      </c>
      <c r="W93" s="5">
        <v>0.3144852491668173</v>
      </c>
      <c r="X93" s="5">
        <v>0.47927211265990571</v>
      </c>
      <c r="Y93" s="5">
        <v>0.25542193104619271</v>
      </c>
      <c r="Z93" s="5">
        <v>2.078071463857722</v>
      </c>
      <c r="AA93" s="5">
        <v>0.58278988741933513</v>
      </c>
    </row>
    <row r="94" spans="1:27" x14ac:dyDescent="0.25">
      <c r="A94" s="1">
        <v>40298</v>
      </c>
      <c r="B94" s="5">
        <v>1.6263925565278451E-2</v>
      </c>
      <c r="C94" s="5">
        <v>1.9730295172692421E-2</v>
      </c>
      <c r="D94" s="5">
        <v>-1.7867176265855319E-2</v>
      </c>
      <c r="E94" s="5">
        <v>1.8840573236939769E-2</v>
      </c>
      <c r="F94" s="5">
        <v>1.509637913450435E-2</v>
      </c>
      <c r="G94" s="5">
        <v>-4.2479074500810787E-3</v>
      </c>
      <c r="H94">
        <v>-1</v>
      </c>
      <c r="I94">
        <v>1</v>
      </c>
      <c r="J94" s="5">
        <v>0</v>
      </c>
      <c r="K94" s="5">
        <v>1.7867176265855319E-2</v>
      </c>
      <c r="L94" s="5">
        <v>0</v>
      </c>
      <c r="M94" s="5">
        <v>1.8840573236939769E-2</v>
      </c>
      <c r="N94" s="5">
        <v>1.509637913450435E-2</v>
      </c>
      <c r="O94" s="5">
        <v>0</v>
      </c>
      <c r="P94" s="5">
        <v>4.2479074500810787E-3</v>
      </c>
      <c r="Q94" s="5">
        <v>0</v>
      </c>
      <c r="R94" s="5">
        <v>0.34736865183905657</v>
      </c>
      <c r="S94" s="5">
        <v>0.15306570942543241</v>
      </c>
      <c r="T94" s="5">
        <v>-0.12550252186369079</v>
      </c>
      <c r="U94" s="5">
        <v>0.2270239460486437</v>
      </c>
      <c r="V94" s="5">
        <v>0.4787405141726645</v>
      </c>
      <c r="W94" s="5">
        <v>0.3144852491668173</v>
      </c>
      <c r="X94" s="5">
        <v>0.48352002010998668</v>
      </c>
      <c r="Y94" s="5">
        <v>0.25542193104619271</v>
      </c>
      <c r="Z94" s="5">
        <v>2.134123499945102</v>
      </c>
      <c r="AA94" s="5">
        <v>0.59905381298461358</v>
      </c>
    </row>
    <row r="95" spans="1:27" x14ac:dyDescent="0.25">
      <c r="A95" s="1">
        <v>40329</v>
      </c>
      <c r="B95" s="5">
        <v>-7.8767627534767071E-2</v>
      </c>
      <c r="C95" s="5">
        <v>-0.15299576181155211</v>
      </c>
      <c r="D95" s="5">
        <v>3.1097438791128922E-3</v>
      </c>
      <c r="E95" s="5">
        <v>-1.9509097371035788E-2</v>
      </c>
      <c r="F95" s="5">
        <v>-6.4597808714520366E-2</v>
      </c>
      <c r="G95" s="5">
        <v>4.0966885421971688E-2</v>
      </c>
      <c r="H95">
        <v>1</v>
      </c>
      <c r="I95">
        <v>-1</v>
      </c>
      <c r="J95" s="5">
        <v>3.1097438791128922E-3</v>
      </c>
      <c r="K95" s="5">
        <v>0</v>
      </c>
      <c r="L95" s="5">
        <v>1.9509097371035788E-2</v>
      </c>
      <c r="M95" s="5">
        <v>0</v>
      </c>
      <c r="N95" s="5">
        <v>0</v>
      </c>
      <c r="O95" s="5">
        <v>6.4597808714520366E-2</v>
      </c>
      <c r="P95" s="5">
        <v>0</v>
      </c>
      <c r="Q95" s="5">
        <v>4.0966885421971688E-2</v>
      </c>
      <c r="R95" s="5">
        <v>0.35047839571816952</v>
      </c>
      <c r="S95" s="5">
        <v>0.15306570942543241</v>
      </c>
      <c r="T95" s="5">
        <v>-0.105993424492655</v>
      </c>
      <c r="U95" s="5">
        <v>0.2270239460486437</v>
      </c>
      <c r="V95" s="5">
        <v>0.4787405141726645</v>
      </c>
      <c r="W95" s="5">
        <v>0.37908305788133773</v>
      </c>
      <c r="X95" s="5">
        <v>0.48352002010998668</v>
      </c>
      <c r="Y95" s="5">
        <v>0.2963888164681644</v>
      </c>
      <c r="Z95" s="5">
        <v>2.2623070353317432</v>
      </c>
      <c r="AA95" s="5">
        <v>0.52028618544984651</v>
      </c>
    </row>
    <row r="96" spans="1:27" x14ac:dyDescent="0.25">
      <c r="A96" s="1">
        <v>40359</v>
      </c>
      <c r="B96" s="5">
        <v>-5.0343131225358939E-2</v>
      </c>
      <c r="C96" s="5">
        <v>1.160251193571904E-2</v>
      </c>
      <c r="D96" s="5">
        <v>-7.5527018574801486E-2</v>
      </c>
      <c r="E96" s="5">
        <v>4.383463837468371E-2</v>
      </c>
      <c r="F96" s="5">
        <v>-3.4927264468736841E-2</v>
      </c>
      <c r="G96" s="5">
        <v>2.478433907354893E-2</v>
      </c>
      <c r="H96">
        <v>-1</v>
      </c>
      <c r="I96">
        <v>1</v>
      </c>
      <c r="J96" s="5">
        <v>0</v>
      </c>
      <c r="K96" s="5">
        <v>7.5527018574801486E-2</v>
      </c>
      <c r="L96" s="5">
        <v>0</v>
      </c>
      <c r="M96" s="5">
        <v>4.383463837468371E-2</v>
      </c>
      <c r="N96" s="5">
        <v>-3.4927264468736841E-2</v>
      </c>
      <c r="O96" s="5">
        <v>0</v>
      </c>
      <c r="P96" s="5">
        <v>-2.478433907354893E-2</v>
      </c>
      <c r="Q96" s="5">
        <v>0</v>
      </c>
      <c r="R96" s="5">
        <v>0.35047839571816952</v>
      </c>
      <c r="S96" s="5">
        <v>0.22859272800023389</v>
      </c>
      <c r="T96" s="5">
        <v>-0.105993424492655</v>
      </c>
      <c r="U96" s="5">
        <v>0.27085858442332739</v>
      </c>
      <c r="V96" s="5">
        <v>0.44381324970392771</v>
      </c>
      <c r="W96" s="5">
        <v>0.37908305788133773</v>
      </c>
      <c r="X96" s="5">
        <v>0.4587356810364378</v>
      </c>
      <c r="Y96" s="5">
        <v>0.2963888164681644</v>
      </c>
      <c r="Z96" s="5">
        <v>2.3219570887389431</v>
      </c>
      <c r="AA96" s="5">
        <v>0.46994305422448762</v>
      </c>
    </row>
    <row r="97" spans="1:27" x14ac:dyDescent="0.25">
      <c r="A97" s="1">
        <v>40390</v>
      </c>
      <c r="B97" s="5">
        <v>6.7709915500034024E-2</v>
      </c>
      <c r="C97" s="5">
        <v>6.5495057050932615E-2</v>
      </c>
      <c r="D97" s="5">
        <v>7.4968061133581232E-3</v>
      </c>
      <c r="E97" s="5">
        <v>-3.4454944330239989E-3</v>
      </c>
      <c r="F97" s="5">
        <v>3.8041024159712E-2</v>
      </c>
      <c r="G97" s="5">
        <v>-1.624303950197303E-2</v>
      </c>
      <c r="H97">
        <v>-1</v>
      </c>
      <c r="I97">
        <v>1</v>
      </c>
      <c r="J97" s="5">
        <v>0</v>
      </c>
      <c r="K97" s="5">
        <v>-7.4968061133581232E-3</v>
      </c>
      <c r="L97" s="5">
        <v>0</v>
      </c>
      <c r="M97" s="5">
        <v>-3.4454944330239989E-3</v>
      </c>
      <c r="N97" s="5">
        <v>3.8041024159712E-2</v>
      </c>
      <c r="O97" s="5">
        <v>0</v>
      </c>
      <c r="P97" s="5">
        <v>1.624303950197303E-2</v>
      </c>
      <c r="Q97" s="5">
        <v>0</v>
      </c>
      <c r="R97" s="5">
        <v>0.35047839571816952</v>
      </c>
      <c r="S97" s="5">
        <v>0.2210959218868758</v>
      </c>
      <c r="T97" s="5">
        <v>-0.105993424492655</v>
      </c>
      <c r="U97" s="5">
        <v>0.26741308999030339</v>
      </c>
      <c r="V97" s="5">
        <v>0.48185427386363971</v>
      </c>
      <c r="W97" s="5">
        <v>0.37908305788133773</v>
      </c>
      <c r="X97" s="5">
        <v>0.47497872053841078</v>
      </c>
      <c r="Y97" s="5">
        <v>0.2963888164681644</v>
      </c>
      <c r="Z97" s="5">
        <v>2.365298851854245</v>
      </c>
      <c r="AA97" s="5">
        <v>0.53765296972452159</v>
      </c>
    </row>
    <row r="98" spans="1:27" x14ac:dyDescent="0.25">
      <c r="A98" s="1">
        <v>40421</v>
      </c>
      <c r="B98" s="5">
        <v>-4.4686540750115127E-2</v>
      </c>
      <c r="C98" s="5">
        <v>-8.2128014478175415E-2</v>
      </c>
      <c r="D98" s="5">
        <v>-2.0488181131885889E-2</v>
      </c>
      <c r="E98" s="5">
        <v>2.4313808508036661E-2</v>
      </c>
      <c r="F98" s="5">
        <v>1.9336855217963019E-2</v>
      </c>
      <c r="G98" s="5">
        <v>-3.4490747662363491E-4</v>
      </c>
      <c r="H98">
        <v>1</v>
      </c>
      <c r="I98">
        <v>-1</v>
      </c>
      <c r="J98" s="5">
        <v>-2.0488181131885889E-2</v>
      </c>
      <c r="K98" s="5">
        <v>0</v>
      </c>
      <c r="L98" s="5">
        <v>-2.4313808508036661E-2</v>
      </c>
      <c r="M98" s="5">
        <v>0</v>
      </c>
      <c r="N98" s="5">
        <v>0</v>
      </c>
      <c r="O98" s="5">
        <v>-1.9336855217963019E-2</v>
      </c>
      <c r="P98" s="5">
        <v>0</v>
      </c>
      <c r="Q98" s="5">
        <v>-3.4490747662363491E-4</v>
      </c>
      <c r="R98" s="5">
        <v>0.32999021458628358</v>
      </c>
      <c r="S98" s="5">
        <v>0.2210959218868758</v>
      </c>
      <c r="T98" s="5">
        <v>-0.13030723300069169</v>
      </c>
      <c r="U98" s="5">
        <v>0.26741308999030339</v>
      </c>
      <c r="V98" s="5">
        <v>0.48185427386363971</v>
      </c>
      <c r="W98" s="5">
        <v>0.35974620266337459</v>
      </c>
      <c r="X98" s="5">
        <v>0.47497872053841078</v>
      </c>
      <c r="Y98" s="5">
        <v>0.29604390899154082</v>
      </c>
      <c r="Z98" s="5">
        <v>2.300815099519737</v>
      </c>
      <c r="AA98" s="5">
        <v>0.49296642897440651</v>
      </c>
    </row>
    <row r="99" spans="1:27" x14ac:dyDescent="0.25">
      <c r="A99" s="1">
        <v>40451</v>
      </c>
      <c r="B99" s="5">
        <v>8.6911306891550022E-2</v>
      </c>
      <c r="C99" s="5">
        <v>0.1133221671080529</v>
      </c>
      <c r="D99" s="5">
        <v>6.506948185740602E-3</v>
      </c>
      <c r="E99" s="5">
        <v>8.8439347519244649E-3</v>
      </c>
      <c r="F99" s="5">
        <v>4.7946265329462452E-2</v>
      </c>
      <c r="G99" s="5">
        <v>-3.1116992128874092E-2</v>
      </c>
      <c r="H99">
        <v>-1</v>
      </c>
      <c r="I99">
        <v>1</v>
      </c>
      <c r="J99" s="5">
        <v>0</v>
      </c>
      <c r="K99" s="5">
        <v>-6.506948185740602E-3</v>
      </c>
      <c r="L99" s="5">
        <v>0</v>
      </c>
      <c r="M99" s="5">
        <v>8.8439347519244649E-3</v>
      </c>
      <c r="N99" s="5">
        <v>4.7946265329462452E-2</v>
      </c>
      <c r="O99" s="5">
        <v>0</v>
      </c>
      <c r="P99" s="5">
        <v>3.1116992128874092E-2</v>
      </c>
      <c r="Q99" s="5">
        <v>0</v>
      </c>
      <c r="R99" s="5">
        <v>0.32999021458628358</v>
      </c>
      <c r="S99" s="5">
        <v>0.21458897370113519</v>
      </c>
      <c r="T99" s="5">
        <v>-0.13030723300069169</v>
      </c>
      <c r="U99" s="5">
        <v>0.27625702474222791</v>
      </c>
      <c r="V99" s="5">
        <v>0.5298005391931021</v>
      </c>
      <c r="W99" s="5">
        <v>0.35974620266337459</v>
      </c>
      <c r="X99" s="5">
        <v>0.50609571266728492</v>
      </c>
      <c r="Y99" s="5">
        <v>0.29604390899154082</v>
      </c>
      <c r="Z99" s="5">
        <v>2.382215343544257</v>
      </c>
      <c r="AA99" s="5">
        <v>0.57987773586595648</v>
      </c>
    </row>
    <row r="100" spans="1:27" x14ac:dyDescent="0.25">
      <c r="A100" s="1">
        <v>40482</v>
      </c>
      <c r="B100" s="5">
        <v>3.7947882188874897E-2</v>
      </c>
      <c r="C100" s="5">
        <v>7.7313984174276595E-2</v>
      </c>
      <c r="D100" s="5">
        <v>3.053093443202259E-3</v>
      </c>
      <c r="E100" s="5">
        <v>-2.5521022222826368E-3</v>
      </c>
      <c r="F100" s="5">
        <v>1.5541453141797E-2</v>
      </c>
      <c r="G100" s="5">
        <v>-4.0292878528163101E-3</v>
      </c>
      <c r="H100">
        <v>-1</v>
      </c>
      <c r="I100">
        <v>1</v>
      </c>
      <c r="J100" s="5">
        <v>0</v>
      </c>
      <c r="K100" s="5">
        <v>-3.053093443202259E-3</v>
      </c>
      <c r="L100" s="5">
        <v>0</v>
      </c>
      <c r="M100" s="5">
        <v>-2.5521022222826368E-3</v>
      </c>
      <c r="N100" s="5">
        <v>1.5541453141797E-2</v>
      </c>
      <c r="O100" s="5">
        <v>0</v>
      </c>
      <c r="P100" s="5">
        <v>4.0292878528163101E-3</v>
      </c>
      <c r="Q100" s="5">
        <v>0</v>
      </c>
      <c r="R100" s="5">
        <v>0.32999021458628358</v>
      </c>
      <c r="S100" s="5">
        <v>0.21153588025793291</v>
      </c>
      <c r="T100" s="5">
        <v>-0.13030723300069169</v>
      </c>
      <c r="U100" s="5">
        <v>0.27370492251994533</v>
      </c>
      <c r="V100" s="5">
        <v>0.54534199233489911</v>
      </c>
      <c r="W100" s="5">
        <v>0.35974620266337459</v>
      </c>
      <c r="X100" s="5">
        <v>0.51012500052010123</v>
      </c>
      <c r="Y100" s="5">
        <v>0.29604390899154082</v>
      </c>
      <c r="Z100" s="5">
        <v>2.3961808888733849</v>
      </c>
      <c r="AA100" s="5">
        <v>0.61782561805483138</v>
      </c>
    </row>
    <row r="101" spans="1:27" x14ac:dyDescent="0.25">
      <c r="A101" s="1">
        <v>40512</v>
      </c>
      <c r="B101" s="5">
        <v>8.8091748710694695E-4</v>
      </c>
      <c r="C101" s="5">
        <v>5.0035034786606543E-2</v>
      </c>
      <c r="D101" s="5">
        <v>-1.4774148729976511E-2</v>
      </c>
      <c r="E101" s="5">
        <v>1.899562522835507E-2</v>
      </c>
      <c r="F101" s="5">
        <v>3.5306751267559562E-2</v>
      </c>
      <c r="G101" s="5">
        <v>-2.0931563253640761E-2</v>
      </c>
      <c r="H101">
        <v>-1</v>
      </c>
      <c r="I101">
        <v>1</v>
      </c>
      <c r="J101" s="5">
        <v>0</v>
      </c>
      <c r="K101" s="5">
        <v>1.4774148729976511E-2</v>
      </c>
      <c r="L101" s="5">
        <v>0</v>
      </c>
      <c r="M101" s="5">
        <v>1.899562522835507E-2</v>
      </c>
      <c r="N101" s="5">
        <v>3.5306751267559562E-2</v>
      </c>
      <c r="O101" s="5">
        <v>0</v>
      </c>
      <c r="P101" s="5">
        <v>2.0931563253640761E-2</v>
      </c>
      <c r="Q101" s="5">
        <v>0</v>
      </c>
      <c r="R101" s="5">
        <v>0.32999021458628358</v>
      </c>
      <c r="S101" s="5">
        <v>0.22631002898790939</v>
      </c>
      <c r="T101" s="5">
        <v>-0.13030723300069169</v>
      </c>
      <c r="U101" s="5">
        <v>0.29270054774830029</v>
      </c>
      <c r="V101" s="5">
        <v>0.58064874360245866</v>
      </c>
      <c r="W101" s="5">
        <v>0.35974620266337459</v>
      </c>
      <c r="X101" s="5">
        <v>0.531056563773742</v>
      </c>
      <c r="Y101" s="5">
        <v>0.29604390899154082</v>
      </c>
      <c r="Z101" s="5">
        <v>2.4861889773529171</v>
      </c>
      <c r="AA101" s="5">
        <v>0.61870653554193833</v>
      </c>
    </row>
    <row r="102" spans="1:27" x14ac:dyDescent="0.25">
      <c r="A102" s="1">
        <v>40543</v>
      </c>
      <c r="B102" s="5">
        <v>6.5112374953504637E-2</v>
      </c>
      <c r="C102" s="5">
        <v>0.105754246849003</v>
      </c>
      <c r="D102" s="5">
        <v>2.875213803400944E-3</v>
      </c>
      <c r="E102" s="5">
        <v>7.3950875545023553E-3</v>
      </c>
      <c r="F102" s="5">
        <v>3.628181362629368E-2</v>
      </c>
      <c r="G102" s="5">
        <v>-3.9963850340755107E-2</v>
      </c>
      <c r="H102">
        <v>-1</v>
      </c>
      <c r="I102">
        <v>1</v>
      </c>
      <c r="J102" s="5">
        <v>0</v>
      </c>
      <c r="K102" s="5">
        <v>-2.875213803400944E-3</v>
      </c>
      <c r="L102" s="5">
        <v>0</v>
      </c>
      <c r="M102" s="5">
        <v>7.3950875545023553E-3</v>
      </c>
      <c r="N102" s="5">
        <v>3.628181362629368E-2</v>
      </c>
      <c r="O102" s="5">
        <v>0</v>
      </c>
      <c r="P102" s="5">
        <v>3.9963850340755107E-2</v>
      </c>
      <c r="Q102" s="5">
        <v>0</v>
      </c>
      <c r="R102" s="5">
        <v>0.32999021458628358</v>
      </c>
      <c r="S102" s="5">
        <v>0.2234348151845085</v>
      </c>
      <c r="T102" s="5">
        <v>-0.13030723300069169</v>
      </c>
      <c r="U102" s="5">
        <v>0.3000956353028027</v>
      </c>
      <c r="V102" s="5">
        <v>0.61693055722875234</v>
      </c>
      <c r="W102" s="5">
        <v>0.35974620266337459</v>
      </c>
      <c r="X102" s="5">
        <v>0.57102041411449711</v>
      </c>
      <c r="Y102" s="5">
        <v>0.29604390899154082</v>
      </c>
      <c r="Z102" s="5">
        <v>2.566954515071068</v>
      </c>
      <c r="AA102" s="5">
        <v>0.68381891049544297</v>
      </c>
    </row>
    <row r="103" spans="1:27" x14ac:dyDescent="0.25">
      <c r="A103" s="1">
        <v>40574</v>
      </c>
      <c r="B103" s="5">
        <v>2.3440655589960221E-2</v>
      </c>
      <c r="C103" s="5">
        <v>5.3497981123165388E-2</v>
      </c>
      <c r="D103" s="5">
        <v>-3.0658043550980669E-3</v>
      </c>
      <c r="E103" s="5">
        <v>-3.5063178132811461E-3</v>
      </c>
      <c r="F103" s="5">
        <v>1.106374106729446E-2</v>
      </c>
      <c r="G103" s="5">
        <v>-1.8685616543382411E-2</v>
      </c>
      <c r="H103">
        <v>-1</v>
      </c>
      <c r="I103">
        <v>1</v>
      </c>
      <c r="J103" s="5">
        <v>0</v>
      </c>
      <c r="K103" s="5">
        <v>3.0658043550980669E-3</v>
      </c>
      <c r="L103" s="5">
        <v>0</v>
      </c>
      <c r="M103" s="5">
        <v>-3.5063178132811461E-3</v>
      </c>
      <c r="N103" s="5">
        <v>1.106374106729446E-2</v>
      </c>
      <c r="O103" s="5">
        <v>0</v>
      </c>
      <c r="P103" s="5">
        <v>1.8685616543382411E-2</v>
      </c>
      <c r="Q103" s="5">
        <v>0</v>
      </c>
      <c r="R103" s="5">
        <v>0.32999021458628358</v>
      </c>
      <c r="S103" s="5">
        <v>0.22650061953960651</v>
      </c>
      <c r="T103" s="5">
        <v>-0.13030723300069169</v>
      </c>
      <c r="U103" s="5">
        <v>0.29658931748952161</v>
      </c>
      <c r="V103" s="5">
        <v>0.6279942982960468</v>
      </c>
      <c r="W103" s="5">
        <v>0.35974620266337459</v>
      </c>
      <c r="X103" s="5">
        <v>0.58970603065787952</v>
      </c>
      <c r="Y103" s="5">
        <v>0.29604390899154082</v>
      </c>
      <c r="Z103" s="5">
        <v>2.596263359223562</v>
      </c>
      <c r="AA103" s="5">
        <v>0.70725956608540319</v>
      </c>
    </row>
    <row r="104" spans="1:27" x14ac:dyDescent="0.25">
      <c r="A104" s="1">
        <v>40602</v>
      </c>
      <c r="B104" s="5">
        <v>3.466662565420342E-2</v>
      </c>
      <c r="C104" s="5">
        <v>2.488481795096309E-2</v>
      </c>
      <c r="D104" s="5">
        <v>1.005808878577874E-2</v>
      </c>
      <c r="E104" s="5">
        <v>1.7183129655892859E-2</v>
      </c>
      <c r="F104" s="5">
        <v>2.540084508438201E-2</v>
      </c>
      <c r="G104" s="5">
        <v>-1.7983074266329831E-2</v>
      </c>
      <c r="H104">
        <v>-1</v>
      </c>
      <c r="I104">
        <v>1</v>
      </c>
      <c r="J104" s="5">
        <v>0</v>
      </c>
      <c r="K104" s="5">
        <v>-1.005808878577874E-2</v>
      </c>
      <c r="L104" s="5">
        <v>0</v>
      </c>
      <c r="M104" s="5">
        <v>1.7183129655892859E-2</v>
      </c>
      <c r="N104" s="5">
        <v>2.540084508438201E-2</v>
      </c>
      <c r="O104" s="5">
        <v>0</v>
      </c>
      <c r="P104" s="5">
        <v>1.7983074266329831E-2</v>
      </c>
      <c r="Q104" s="5">
        <v>0</v>
      </c>
      <c r="R104" s="5">
        <v>0.32999021458628358</v>
      </c>
      <c r="S104" s="5">
        <v>0.2164425307538278</v>
      </c>
      <c r="T104" s="5">
        <v>-0.13030723300069169</v>
      </c>
      <c r="U104" s="5">
        <v>0.31377244714541441</v>
      </c>
      <c r="V104" s="5">
        <v>0.65339514338042881</v>
      </c>
      <c r="W104" s="5">
        <v>0.35974620266337459</v>
      </c>
      <c r="X104" s="5">
        <v>0.60768910492420936</v>
      </c>
      <c r="Y104" s="5">
        <v>0.29604390899154082</v>
      </c>
      <c r="Z104" s="5">
        <v>2.6467723194443882</v>
      </c>
      <c r="AA104" s="5">
        <v>0.74192619173960661</v>
      </c>
    </row>
    <row r="105" spans="1:27" x14ac:dyDescent="0.25">
      <c r="A105" s="1">
        <v>40633</v>
      </c>
      <c r="B105" s="5">
        <v>1.2858704539455701E-3</v>
      </c>
      <c r="C105" s="5">
        <v>-2.9949495625599561E-2</v>
      </c>
      <c r="D105" s="5">
        <v>2.1839555187624819E-2</v>
      </c>
      <c r="E105" s="5">
        <v>-8.3279577216403E-3</v>
      </c>
      <c r="F105" s="5">
        <v>-1.265349245007652E-2</v>
      </c>
      <c r="G105" s="5">
        <v>-2.031981196226396E-2</v>
      </c>
      <c r="H105">
        <v>1</v>
      </c>
      <c r="I105">
        <v>-1</v>
      </c>
      <c r="J105" s="5">
        <v>2.1839555187624819E-2</v>
      </c>
      <c r="K105" s="5">
        <v>0</v>
      </c>
      <c r="L105" s="5">
        <v>8.3279577216403E-3</v>
      </c>
      <c r="M105" s="5">
        <v>0</v>
      </c>
      <c r="N105" s="5">
        <v>0</v>
      </c>
      <c r="O105" s="5">
        <v>1.265349245007652E-2</v>
      </c>
      <c r="P105" s="5">
        <v>0</v>
      </c>
      <c r="Q105" s="5">
        <v>-2.031981196226396E-2</v>
      </c>
      <c r="R105" s="5">
        <v>0.35182976977390851</v>
      </c>
      <c r="S105" s="5">
        <v>0.2164425307538278</v>
      </c>
      <c r="T105" s="5">
        <v>-0.12197927527905141</v>
      </c>
      <c r="U105" s="5">
        <v>0.31377244714541441</v>
      </c>
      <c r="V105" s="5">
        <v>0.65339514338042881</v>
      </c>
      <c r="W105" s="5">
        <v>0.37239969511345122</v>
      </c>
      <c r="X105" s="5">
        <v>0.60768910492420936</v>
      </c>
      <c r="Y105" s="5">
        <v>0.2757240970292768</v>
      </c>
      <c r="Z105" s="5">
        <v>2.6692735128414649</v>
      </c>
      <c r="AA105" s="5">
        <v>0.74321206219355218</v>
      </c>
    </row>
    <row r="106" spans="1:27" x14ac:dyDescent="0.25">
      <c r="A106" s="1">
        <v>40663</v>
      </c>
      <c r="B106" s="5">
        <v>2.88642165125822E-2</v>
      </c>
      <c r="C106" s="5">
        <v>-4.5587064214180911E-4</v>
      </c>
      <c r="D106" s="5">
        <v>1.9681546292944829E-2</v>
      </c>
      <c r="E106" s="5">
        <v>1.3976148507365621E-2</v>
      </c>
      <c r="F106" s="5">
        <v>5.5075839404019611E-3</v>
      </c>
      <c r="G106" s="5">
        <v>-1.5064740721673849E-2</v>
      </c>
      <c r="H106">
        <v>1</v>
      </c>
      <c r="I106">
        <v>-1</v>
      </c>
      <c r="J106" s="5">
        <v>1.9681546292944829E-2</v>
      </c>
      <c r="K106" s="5">
        <v>0</v>
      </c>
      <c r="L106" s="5">
        <v>-1.3976148507365621E-2</v>
      </c>
      <c r="M106" s="5">
        <v>0</v>
      </c>
      <c r="N106" s="5">
        <v>0</v>
      </c>
      <c r="O106" s="5">
        <v>-5.5075839404019611E-3</v>
      </c>
      <c r="P106" s="5">
        <v>0</v>
      </c>
      <c r="Q106" s="5">
        <v>-1.5064740721673849E-2</v>
      </c>
      <c r="R106" s="5">
        <v>0.37151131606685328</v>
      </c>
      <c r="S106" s="5">
        <v>0.2164425307538278</v>
      </c>
      <c r="T106" s="5">
        <v>-0.13595542378641701</v>
      </c>
      <c r="U106" s="5">
        <v>0.31377244714541441</v>
      </c>
      <c r="V106" s="5">
        <v>0.65339514338042881</v>
      </c>
      <c r="W106" s="5">
        <v>0.36689211117304921</v>
      </c>
      <c r="X106" s="5">
        <v>0.60768910492420936</v>
      </c>
      <c r="Y106" s="5">
        <v>0.26065935630760301</v>
      </c>
      <c r="Z106" s="5">
        <v>2.6544065859649688</v>
      </c>
      <c r="AA106" s="5">
        <v>0.77207627870613438</v>
      </c>
    </row>
    <row r="107" spans="1:27" x14ac:dyDescent="0.25">
      <c r="A107" s="1">
        <v>40694</v>
      </c>
      <c r="B107" s="5">
        <v>-1.081710592933305E-2</v>
      </c>
      <c r="C107" s="5">
        <v>-4.0297088660829372E-2</v>
      </c>
      <c r="D107" s="5">
        <v>9.7536821874453228E-3</v>
      </c>
      <c r="E107" s="5">
        <v>1.433877544824114E-2</v>
      </c>
      <c r="F107" s="5">
        <v>-1.6399602816304371E-2</v>
      </c>
      <c r="G107" s="5">
        <v>1.68406054595025E-2</v>
      </c>
      <c r="H107">
        <v>1</v>
      </c>
      <c r="I107">
        <v>-1</v>
      </c>
      <c r="J107" s="5">
        <v>9.7536821874453228E-3</v>
      </c>
      <c r="K107" s="5">
        <v>0</v>
      </c>
      <c r="L107" s="5">
        <v>-1.433877544824114E-2</v>
      </c>
      <c r="M107" s="5">
        <v>0</v>
      </c>
      <c r="N107" s="5">
        <v>0</v>
      </c>
      <c r="O107" s="5">
        <v>1.6399602816304371E-2</v>
      </c>
      <c r="P107" s="5">
        <v>0</v>
      </c>
      <c r="Q107" s="5">
        <v>1.68406054595025E-2</v>
      </c>
      <c r="R107" s="5">
        <v>0.3812649982542986</v>
      </c>
      <c r="S107" s="5">
        <v>0.2164425307538278</v>
      </c>
      <c r="T107" s="5">
        <v>-0.15029419923465809</v>
      </c>
      <c r="U107" s="5">
        <v>0.31377244714541441</v>
      </c>
      <c r="V107" s="5">
        <v>0.65339514338042881</v>
      </c>
      <c r="W107" s="5">
        <v>0.38329171398935358</v>
      </c>
      <c r="X107" s="5">
        <v>0.60768910492420936</v>
      </c>
      <c r="Y107" s="5">
        <v>0.27749996176710551</v>
      </c>
      <c r="Z107" s="5">
        <v>2.6830617009799802</v>
      </c>
      <c r="AA107" s="5">
        <v>0.76125917277680133</v>
      </c>
    </row>
    <row r="108" spans="1:27" x14ac:dyDescent="0.25">
      <c r="A108" s="1">
        <v>40724</v>
      </c>
      <c r="B108" s="5">
        <v>-1.586550833502498E-2</v>
      </c>
      <c r="C108" s="5">
        <v>-3.8775784164056248E-2</v>
      </c>
      <c r="D108" s="5">
        <v>1.9576589886227121E-2</v>
      </c>
      <c r="E108" s="5">
        <v>-2.5927329772757472E-2</v>
      </c>
      <c r="F108" s="5">
        <v>-4.4668335779919799E-2</v>
      </c>
      <c r="G108" s="5">
        <v>-2.7679943885867701E-3</v>
      </c>
      <c r="H108">
        <v>1</v>
      </c>
      <c r="I108">
        <v>-1</v>
      </c>
      <c r="J108" s="5">
        <v>1.9576589886227121E-2</v>
      </c>
      <c r="K108" s="5">
        <v>0</v>
      </c>
      <c r="L108" s="5">
        <v>2.5927329772757472E-2</v>
      </c>
      <c r="M108" s="5">
        <v>0</v>
      </c>
      <c r="N108" s="5">
        <v>0</v>
      </c>
      <c r="O108" s="5">
        <v>4.4668335779919799E-2</v>
      </c>
      <c r="P108" s="5">
        <v>0</v>
      </c>
      <c r="Q108" s="5">
        <v>-2.7679943885867701E-3</v>
      </c>
      <c r="R108" s="5">
        <v>0.40084158814052567</v>
      </c>
      <c r="S108" s="5">
        <v>0.2164425307538278</v>
      </c>
      <c r="T108" s="5">
        <v>-0.1243668694619007</v>
      </c>
      <c r="U108" s="5">
        <v>0.31377244714541441</v>
      </c>
      <c r="V108" s="5">
        <v>0.65339514338042881</v>
      </c>
      <c r="W108" s="5">
        <v>0.42796004976927338</v>
      </c>
      <c r="X108" s="5">
        <v>0.60768910492420936</v>
      </c>
      <c r="Y108" s="5">
        <v>0.27473196737851868</v>
      </c>
      <c r="Z108" s="5">
        <v>2.7704659620302969</v>
      </c>
      <c r="AA108" s="5">
        <v>0.74539366444177635</v>
      </c>
    </row>
    <row r="109" spans="1:27" x14ac:dyDescent="0.25">
      <c r="A109" s="1">
        <v>40755</v>
      </c>
      <c r="B109" s="5">
        <v>-1.9275631241937541E-2</v>
      </c>
      <c r="C109" s="5">
        <v>-4.3981976798259659E-3</v>
      </c>
      <c r="D109" s="5">
        <v>-3.9528426274924922E-2</v>
      </c>
      <c r="E109" s="5">
        <v>1.9565489991610559E-2</v>
      </c>
      <c r="F109" s="5">
        <v>1.843369921447147E-2</v>
      </c>
      <c r="G109" s="5">
        <v>1.6932542304664011E-2</v>
      </c>
      <c r="H109">
        <v>1</v>
      </c>
      <c r="I109">
        <v>-1</v>
      </c>
      <c r="J109" s="5">
        <v>-3.9528426274924922E-2</v>
      </c>
      <c r="K109" s="5">
        <v>0</v>
      </c>
      <c r="L109" s="5">
        <v>-1.9565489991610559E-2</v>
      </c>
      <c r="M109" s="5">
        <v>0</v>
      </c>
      <c r="N109" s="5">
        <v>0</v>
      </c>
      <c r="O109" s="5">
        <v>-1.843369921447147E-2</v>
      </c>
      <c r="P109" s="5">
        <v>0</v>
      </c>
      <c r="Q109" s="5">
        <v>1.6932542304664011E-2</v>
      </c>
      <c r="R109" s="5">
        <v>0.36131316186560081</v>
      </c>
      <c r="S109" s="5">
        <v>0.2164425307538278</v>
      </c>
      <c r="T109" s="5">
        <v>-0.14393235945351121</v>
      </c>
      <c r="U109" s="5">
        <v>0.31377244714541441</v>
      </c>
      <c r="V109" s="5">
        <v>0.65339514338042881</v>
      </c>
      <c r="W109" s="5">
        <v>0.40952635055480191</v>
      </c>
      <c r="X109" s="5">
        <v>0.60768910492420936</v>
      </c>
      <c r="Y109" s="5">
        <v>0.29166450968318269</v>
      </c>
      <c r="Z109" s="5">
        <v>2.709870888853954</v>
      </c>
      <c r="AA109" s="5">
        <v>0.72611803319983881</v>
      </c>
    </row>
    <row r="110" spans="1:27" x14ac:dyDescent="0.25">
      <c r="A110" s="1">
        <v>40786</v>
      </c>
      <c r="B110" s="5">
        <v>-4.7164598402693818E-2</v>
      </c>
      <c r="C110" s="5">
        <v>-0.26511695418094428</v>
      </c>
      <c r="D110" s="5">
        <v>8.2894492520989904E-2</v>
      </c>
      <c r="E110" s="5">
        <v>-3.7258111853094363E-2</v>
      </c>
      <c r="F110" s="5">
        <v>-7.2719953971707163E-2</v>
      </c>
      <c r="G110" s="5">
        <v>4.8816885225864359E-2</v>
      </c>
      <c r="H110">
        <v>1</v>
      </c>
      <c r="I110">
        <v>-1</v>
      </c>
      <c r="J110" s="5">
        <v>8.2894492520989904E-2</v>
      </c>
      <c r="K110" s="5">
        <v>0</v>
      </c>
      <c r="L110" s="5">
        <v>3.7258111853094363E-2</v>
      </c>
      <c r="M110" s="5">
        <v>0</v>
      </c>
      <c r="N110" s="5">
        <v>0</v>
      </c>
      <c r="O110" s="5">
        <v>7.2719953971707163E-2</v>
      </c>
      <c r="P110" s="5">
        <v>0</v>
      </c>
      <c r="Q110" s="5">
        <v>4.8816885225864359E-2</v>
      </c>
      <c r="R110" s="5">
        <v>0.44420765438659071</v>
      </c>
      <c r="S110" s="5">
        <v>0.2164425307538278</v>
      </c>
      <c r="T110" s="5">
        <v>-0.1066742476004169</v>
      </c>
      <c r="U110" s="5">
        <v>0.31377244714541441</v>
      </c>
      <c r="V110" s="5">
        <v>0.65339514338042881</v>
      </c>
      <c r="W110" s="5">
        <v>0.48224630452650907</v>
      </c>
      <c r="X110" s="5">
        <v>0.60768910492420936</v>
      </c>
      <c r="Y110" s="5">
        <v>0.34048139490904711</v>
      </c>
      <c r="Z110" s="5">
        <v>2.9515603324256099</v>
      </c>
      <c r="AA110" s="5">
        <v>0.67895343479714498</v>
      </c>
    </row>
    <row r="111" spans="1:27" x14ac:dyDescent="0.25">
      <c r="A111" s="1">
        <v>40816</v>
      </c>
      <c r="B111" s="5">
        <v>-6.8471758233264568E-2</v>
      </c>
      <c r="C111" s="5">
        <v>-0.2177873243687608</v>
      </c>
      <c r="D111" s="5">
        <v>3.4845106398282422E-3</v>
      </c>
      <c r="E111" s="5">
        <v>-1.8264435141549521E-2</v>
      </c>
      <c r="F111" s="5">
        <v>-2.550400529244801E-2</v>
      </c>
      <c r="G111" s="5">
        <v>5.3961352687872943E-2</v>
      </c>
      <c r="H111">
        <v>1</v>
      </c>
      <c r="I111">
        <v>-1</v>
      </c>
      <c r="J111" s="5">
        <v>3.4845106398282422E-3</v>
      </c>
      <c r="K111" s="5">
        <v>0</v>
      </c>
      <c r="L111" s="5">
        <v>1.8264435141549521E-2</v>
      </c>
      <c r="M111" s="5">
        <v>0</v>
      </c>
      <c r="N111" s="5">
        <v>0</v>
      </c>
      <c r="O111" s="5">
        <v>2.550400529244801E-2</v>
      </c>
      <c r="P111" s="5">
        <v>0</v>
      </c>
      <c r="Q111" s="5">
        <v>5.3961352687872943E-2</v>
      </c>
      <c r="R111" s="5">
        <v>0.44769216502641901</v>
      </c>
      <c r="S111" s="5">
        <v>0.2164425307538278</v>
      </c>
      <c r="T111" s="5">
        <v>-8.8409812458867365E-2</v>
      </c>
      <c r="U111" s="5">
        <v>0.31377244714541441</v>
      </c>
      <c r="V111" s="5">
        <v>0.65339514338042881</v>
      </c>
      <c r="W111" s="5">
        <v>0.50775030981895708</v>
      </c>
      <c r="X111" s="5">
        <v>0.60768910492420936</v>
      </c>
      <c r="Y111" s="5">
        <v>0.39444274759692</v>
      </c>
      <c r="Z111" s="5">
        <v>3.0527746361873089</v>
      </c>
      <c r="AA111" s="5">
        <v>0.61048167656388042</v>
      </c>
    </row>
    <row r="112" spans="1:27" x14ac:dyDescent="0.25">
      <c r="A112" s="1">
        <v>40847</v>
      </c>
      <c r="B112" s="5">
        <v>0.10716386824656229</v>
      </c>
      <c r="C112" s="5">
        <v>0.15545789863021539</v>
      </c>
      <c r="D112" s="5">
        <v>1.347157187948911E-2</v>
      </c>
      <c r="E112" s="5">
        <v>2.5899482378262121E-2</v>
      </c>
      <c r="F112" s="5">
        <v>2.3375811161540638E-2</v>
      </c>
      <c r="G112" s="5">
        <v>-1.8205118410135172E-2</v>
      </c>
      <c r="H112">
        <v>-1</v>
      </c>
      <c r="I112">
        <v>1</v>
      </c>
      <c r="J112" s="5">
        <v>0</v>
      </c>
      <c r="K112" s="5">
        <v>-1.347157187948911E-2</v>
      </c>
      <c r="L112" s="5">
        <v>0</v>
      </c>
      <c r="M112" s="5">
        <v>2.5899482378262121E-2</v>
      </c>
      <c r="N112" s="5">
        <v>2.3375811161540638E-2</v>
      </c>
      <c r="O112" s="5">
        <v>0</v>
      </c>
      <c r="P112" s="5">
        <v>1.8205118410135172E-2</v>
      </c>
      <c r="Q112" s="5">
        <v>0</v>
      </c>
      <c r="R112" s="5">
        <v>0.44769216502641901</v>
      </c>
      <c r="S112" s="5">
        <v>0.20297095887433869</v>
      </c>
      <c r="T112" s="5">
        <v>-8.8409812458867365E-2</v>
      </c>
      <c r="U112" s="5">
        <v>0.33967192952367647</v>
      </c>
      <c r="V112" s="5">
        <v>0.67677095454196945</v>
      </c>
      <c r="W112" s="5">
        <v>0.50775030981895708</v>
      </c>
      <c r="X112" s="5">
        <v>0.62589422333434452</v>
      </c>
      <c r="Y112" s="5">
        <v>0.39444274759692</v>
      </c>
      <c r="Z112" s="5">
        <v>3.1067834762577582</v>
      </c>
      <c r="AA112" s="5">
        <v>0.71764554481044274</v>
      </c>
    </row>
    <row r="113" spans="1:27" x14ac:dyDescent="0.25">
      <c r="A113" s="1">
        <v>40877</v>
      </c>
      <c r="B113" s="5">
        <v>-3.5090785895497412E-4</v>
      </c>
      <c r="C113" s="5">
        <v>-8.4750808273917344E-2</v>
      </c>
      <c r="D113" s="5">
        <v>4.5075342684113513E-2</v>
      </c>
      <c r="E113" s="5">
        <v>-1.7867556485685051E-2</v>
      </c>
      <c r="F113" s="5">
        <v>6.7675756013161337E-3</v>
      </c>
      <c r="G113" s="5">
        <v>1.482424860008813E-2</v>
      </c>
      <c r="H113">
        <v>1</v>
      </c>
      <c r="I113">
        <v>-1</v>
      </c>
      <c r="J113" s="5">
        <v>4.5075342684113513E-2</v>
      </c>
      <c r="K113" s="5">
        <v>0</v>
      </c>
      <c r="L113" s="5">
        <v>1.7867556485685051E-2</v>
      </c>
      <c r="M113" s="5">
        <v>0</v>
      </c>
      <c r="N113" s="5">
        <v>0</v>
      </c>
      <c r="O113" s="5">
        <v>-6.7675756013161337E-3</v>
      </c>
      <c r="P113" s="5">
        <v>0</v>
      </c>
      <c r="Q113" s="5">
        <v>1.482424860008813E-2</v>
      </c>
      <c r="R113" s="5">
        <v>0.49276750771053252</v>
      </c>
      <c r="S113" s="5">
        <v>0.20297095887433869</v>
      </c>
      <c r="T113" s="5">
        <v>-7.0542255973182311E-2</v>
      </c>
      <c r="U113" s="5">
        <v>0.33967192952367647</v>
      </c>
      <c r="V113" s="5">
        <v>0.67677095454196945</v>
      </c>
      <c r="W113" s="5">
        <v>0.50098273421764095</v>
      </c>
      <c r="X113" s="5">
        <v>0.62589422333434452</v>
      </c>
      <c r="Y113" s="5">
        <v>0.40926699619700813</v>
      </c>
      <c r="Z113" s="5">
        <v>3.177783048426329</v>
      </c>
      <c r="AA113" s="5">
        <v>0.71729463695148776</v>
      </c>
    </row>
    <row r="114" spans="1:27" x14ac:dyDescent="0.25">
      <c r="A114" s="1">
        <v>40908</v>
      </c>
      <c r="B114" s="5">
        <v>1.180186012684137E-2</v>
      </c>
      <c r="C114" s="5">
        <v>-1.3147890490922911E-2</v>
      </c>
      <c r="D114" s="5">
        <v>1.088518048012033E-2</v>
      </c>
      <c r="E114" s="5">
        <v>2.1366490350528181E-2</v>
      </c>
      <c r="F114" s="5">
        <v>1.38912821579279E-2</v>
      </c>
      <c r="G114" s="5">
        <v>1.0143372532660511E-3</v>
      </c>
      <c r="H114">
        <v>1</v>
      </c>
      <c r="I114">
        <v>-1</v>
      </c>
      <c r="J114" s="5">
        <v>1.088518048012033E-2</v>
      </c>
      <c r="K114" s="5">
        <v>0</v>
      </c>
      <c r="L114" s="5">
        <v>-2.1366490350528181E-2</v>
      </c>
      <c r="M114" s="5">
        <v>0</v>
      </c>
      <c r="N114" s="5">
        <v>0</v>
      </c>
      <c r="O114" s="5">
        <v>-1.38912821579279E-2</v>
      </c>
      <c r="P114" s="5">
        <v>0</v>
      </c>
      <c r="Q114" s="5">
        <v>1.0143372532660511E-3</v>
      </c>
      <c r="R114" s="5">
        <v>0.50365268819065279</v>
      </c>
      <c r="S114" s="5">
        <v>0.20297095887433869</v>
      </c>
      <c r="T114" s="5">
        <v>-9.1908746323710488E-2</v>
      </c>
      <c r="U114" s="5">
        <v>0.33967192952367647</v>
      </c>
      <c r="V114" s="5">
        <v>0.67677095454196945</v>
      </c>
      <c r="W114" s="5">
        <v>0.48709145205971299</v>
      </c>
      <c r="X114" s="5">
        <v>0.62589422333434452</v>
      </c>
      <c r="Y114" s="5">
        <v>0.41028133345027418</v>
      </c>
      <c r="Z114" s="5">
        <v>3.1544247936512591</v>
      </c>
      <c r="AA114" s="5">
        <v>0.72909649707832913</v>
      </c>
    </row>
    <row r="115" spans="1:27" x14ac:dyDescent="0.25">
      <c r="A115" s="1">
        <v>40939</v>
      </c>
      <c r="B115" s="5">
        <v>4.5668964737250239E-2</v>
      </c>
      <c r="C115" s="5">
        <v>8.64518217281951E-2</v>
      </c>
      <c r="D115" s="5">
        <v>-1.0115263608377889E-3</v>
      </c>
      <c r="E115" s="5">
        <v>3.7318147531354318E-2</v>
      </c>
      <c r="F115" s="5">
        <v>2.0017882973261129E-2</v>
      </c>
      <c r="G115" s="5">
        <v>-2.2553778341347971E-2</v>
      </c>
      <c r="H115">
        <v>-1</v>
      </c>
      <c r="I115">
        <v>1</v>
      </c>
      <c r="J115" s="5">
        <v>0</v>
      </c>
      <c r="K115" s="5">
        <v>1.0115263608377889E-3</v>
      </c>
      <c r="L115" s="5">
        <v>0</v>
      </c>
      <c r="M115" s="5">
        <v>3.7318147531354318E-2</v>
      </c>
      <c r="N115" s="5">
        <v>2.0017882973261129E-2</v>
      </c>
      <c r="O115" s="5">
        <v>0</v>
      </c>
      <c r="P115" s="5">
        <v>2.2553778341347971E-2</v>
      </c>
      <c r="Q115" s="5">
        <v>0</v>
      </c>
      <c r="R115" s="5">
        <v>0.50365268819065279</v>
      </c>
      <c r="S115" s="5">
        <v>0.20398248523517651</v>
      </c>
      <c r="T115" s="5">
        <v>-9.1908746323710488E-2</v>
      </c>
      <c r="U115" s="5">
        <v>0.37699007705503079</v>
      </c>
      <c r="V115" s="5">
        <v>0.69678883751523057</v>
      </c>
      <c r="W115" s="5">
        <v>0.48709145205971299</v>
      </c>
      <c r="X115" s="5">
        <v>0.6484480016756925</v>
      </c>
      <c r="Y115" s="5">
        <v>0.41028133345027418</v>
      </c>
      <c r="Z115" s="5">
        <v>3.2353261288580599</v>
      </c>
      <c r="AA115" s="5">
        <v>0.77476546181557937</v>
      </c>
    </row>
    <row r="116" spans="1:27" x14ac:dyDescent="0.25">
      <c r="A116" s="1">
        <v>40968</v>
      </c>
      <c r="B116" s="5">
        <v>4.2796925058055213E-2</v>
      </c>
      <c r="C116" s="5">
        <v>6.6999079192653799E-2</v>
      </c>
      <c r="D116" s="5">
        <v>7.2772189390528652E-3</v>
      </c>
      <c r="E116" s="5">
        <v>5.9779435558354743E-3</v>
      </c>
      <c r="F116" s="5">
        <v>2.6221192813614121E-2</v>
      </c>
      <c r="G116" s="5">
        <v>-3.5813702023577809E-2</v>
      </c>
      <c r="H116">
        <v>-1</v>
      </c>
      <c r="I116">
        <v>1</v>
      </c>
      <c r="J116" s="5">
        <v>0</v>
      </c>
      <c r="K116" s="5">
        <v>-7.2772189390528652E-3</v>
      </c>
      <c r="L116" s="5">
        <v>0</v>
      </c>
      <c r="M116" s="5">
        <v>5.9779435558354743E-3</v>
      </c>
      <c r="N116" s="5">
        <v>2.6221192813614121E-2</v>
      </c>
      <c r="O116" s="5">
        <v>0</v>
      </c>
      <c r="P116" s="5">
        <v>3.5813702023577809E-2</v>
      </c>
      <c r="Q116" s="5">
        <v>0</v>
      </c>
      <c r="R116" s="5">
        <v>0.50365268819065279</v>
      </c>
      <c r="S116" s="5">
        <v>0.19670526629612359</v>
      </c>
      <c r="T116" s="5">
        <v>-9.1908746323710488E-2</v>
      </c>
      <c r="U116" s="5">
        <v>0.38296802061086632</v>
      </c>
      <c r="V116" s="5">
        <v>0.7230100303288447</v>
      </c>
      <c r="W116" s="5">
        <v>0.48709145205971299</v>
      </c>
      <c r="X116" s="5">
        <v>0.68426170369927031</v>
      </c>
      <c r="Y116" s="5">
        <v>0.41028133345027418</v>
      </c>
      <c r="Z116" s="5">
        <v>3.2960617483120349</v>
      </c>
      <c r="AA116" s="5">
        <v>0.81756238687363458</v>
      </c>
    </row>
    <row r="117" spans="1:27" x14ac:dyDescent="0.25">
      <c r="A117" s="1">
        <v>40999</v>
      </c>
      <c r="B117" s="5">
        <v>3.222064838737293E-2</v>
      </c>
      <c r="C117" s="5">
        <v>7.3848648762589675E-2</v>
      </c>
      <c r="D117" s="5">
        <v>4.4259570448217378E-3</v>
      </c>
      <c r="E117" s="5">
        <v>3.9230791147519817E-3</v>
      </c>
      <c r="F117" s="5">
        <v>-9.5954388945616031E-3</v>
      </c>
      <c r="G117" s="5">
        <v>-1.950120039259096E-3</v>
      </c>
      <c r="H117">
        <v>-1</v>
      </c>
      <c r="I117">
        <v>1</v>
      </c>
      <c r="J117" s="5">
        <v>0</v>
      </c>
      <c r="K117" s="5">
        <v>-4.4259570448217378E-3</v>
      </c>
      <c r="L117" s="5">
        <v>0</v>
      </c>
      <c r="M117" s="5">
        <v>3.9230791147519817E-3</v>
      </c>
      <c r="N117" s="5">
        <v>-9.5954388945616031E-3</v>
      </c>
      <c r="O117" s="5">
        <v>0</v>
      </c>
      <c r="P117" s="5">
        <v>1.950120039259096E-3</v>
      </c>
      <c r="Q117" s="5">
        <v>0</v>
      </c>
      <c r="R117" s="5">
        <v>0.50365268819065279</v>
      </c>
      <c r="S117" s="5">
        <v>0.19227930925130191</v>
      </c>
      <c r="T117" s="5">
        <v>-9.1908746323710488E-2</v>
      </c>
      <c r="U117" s="5">
        <v>0.3868910997256183</v>
      </c>
      <c r="V117" s="5">
        <v>0.7134145914342831</v>
      </c>
      <c r="W117" s="5">
        <v>0.48709145205971299</v>
      </c>
      <c r="X117" s="5">
        <v>0.6862118237385294</v>
      </c>
      <c r="Y117" s="5">
        <v>0.41028133345027418</v>
      </c>
      <c r="Z117" s="5">
        <v>3.2879135515266631</v>
      </c>
      <c r="AA117" s="5">
        <v>0.84978303526100751</v>
      </c>
    </row>
    <row r="118" spans="1:27" x14ac:dyDescent="0.25">
      <c r="A118" s="1">
        <v>41029</v>
      </c>
      <c r="B118" s="5">
        <v>-5.9146689187605794E-3</v>
      </c>
      <c r="C118" s="5">
        <v>-8.1487020641479946E-2</v>
      </c>
      <c r="D118" s="5">
        <v>2.2398409440053221E-2</v>
      </c>
      <c r="E118" s="5">
        <v>-5.0446636684776669E-3</v>
      </c>
      <c r="F118" s="5">
        <v>-1.8416806744192771E-2</v>
      </c>
      <c r="G118" s="5">
        <v>3.2564629301492072E-2</v>
      </c>
      <c r="H118">
        <v>1</v>
      </c>
      <c r="I118">
        <v>-1</v>
      </c>
      <c r="J118" s="5">
        <v>2.2398409440053221E-2</v>
      </c>
      <c r="K118" s="5">
        <v>0</v>
      </c>
      <c r="L118" s="5">
        <v>5.0446636684776669E-3</v>
      </c>
      <c r="M118" s="5">
        <v>0</v>
      </c>
      <c r="N118" s="5">
        <v>0</v>
      </c>
      <c r="O118" s="5">
        <v>1.8416806744192771E-2</v>
      </c>
      <c r="P118" s="5">
        <v>0</v>
      </c>
      <c r="Q118" s="5">
        <v>3.2564629301492072E-2</v>
      </c>
      <c r="R118" s="5">
        <v>0.52605109763070601</v>
      </c>
      <c r="S118" s="5">
        <v>0.19227930925130191</v>
      </c>
      <c r="T118" s="5">
        <v>-8.6864082655232822E-2</v>
      </c>
      <c r="U118" s="5">
        <v>0.3868910997256183</v>
      </c>
      <c r="V118" s="5">
        <v>0.7134145914342831</v>
      </c>
      <c r="W118" s="5">
        <v>0.50550825880390582</v>
      </c>
      <c r="X118" s="5">
        <v>0.6862118237385294</v>
      </c>
      <c r="Y118" s="5">
        <v>0.44284596275176619</v>
      </c>
      <c r="Z118" s="5">
        <v>3.3663380606808779</v>
      </c>
      <c r="AA118" s="5">
        <v>0.84386836634224693</v>
      </c>
    </row>
    <row r="119" spans="1:27" x14ac:dyDescent="0.25">
      <c r="A119" s="1">
        <v>41060</v>
      </c>
      <c r="B119" s="5">
        <v>-6.1146999223321341E-2</v>
      </c>
      <c r="C119" s="5">
        <v>-0.11523624344308959</v>
      </c>
      <c r="D119" s="5">
        <v>-3.6056630659992979E-3</v>
      </c>
      <c r="E119" s="5">
        <v>2.959100809988191E-2</v>
      </c>
      <c r="F119" s="5">
        <v>-1.9816924051218709E-2</v>
      </c>
      <c r="G119" s="5">
        <v>9.6175007479728514E-3</v>
      </c>
      <c r="H119">
        <v>1</v>
      </c>
      <c r="I119">
        <v>-1</v>
      </c>
      <c r="J119" s="5">
        <v>-3.6056630659992979E-3</v>
      </c>
      <c r="K119" s="5">
        <v>0</v>
      </c>
      <c r="L119" s="5">
        <v>-2.959100809988191E-2</v>
      </c>
      <c r="M119" s="5">
        <v>0</v>
      </c>
      <c r="N119" s="5">
        <v>0</v>
      </c>
      <c r="O119" s="5">
        <v>1.9816924051218709E-2</v>
      </c>
      <c r="P119" s="5">
        <v>0</v>
      </c>
      <c r="Q119" s="5">
        <v>9.6175007479728514E-3</v>
      </c>
      <c r="R119" s="5">
        <v>0.52244543456470671</v>
      </c>
      <c r="S119" s="5">
        <v>0.19227930925130191</v>
      </c>
      <c r="T119" s="5">
        <v>-0.1164550907551147</v>
      </c>
      <c r="U119" s="5">
        <v>0.3868910997256183</v>
      </c>
      <c r="V119" s="5">
        <v>0.7134145914342831</v>
      </c>
      <c r="W119" s="5">
        <v>0.52532518285512453</v>
      </c>
      <c r="X119" s="5">
        <v>0.6862118237385294</v>
      </c>
      <c r="Y119" s="5">
        <v>0.45246346349973909</v>
      </c>
      <c r="Z119" s="5">
        <v>3.3625758143141891</v>
      </c>
      <c r="AA119" s="5">
        <v>0.78272136711892559</v>
      </c>
    </row>
    <row r="120" spans="1:27" x14ac:dyDescent="0.25">
      <c r="A120" s="1">
        <v>41090</v>
      </c>
      <c r="B120" s="5">
        <v>4.1513205099663941E-2</v>
      </c>
      <c r="C120" s="5">
        <v>1.7820513670704589E-2</v>
      </c>
      <c r="D120" s="5">
        <v>2.778239714532782E-2</v>
      </c>
      <c r="E120" s="5">
        <v>-1.1696513778884031E-2</v>
      </c>
      <c r="F120" s="5">
        <v>5.0017537319737571E-3</v>
      </c>
      <c r="G120" s="5">
        <v>-1.6002579762017691E-2</v>
      </c>
      <c r="H120">
        <v>-1</v>
      </c>
      <c r="I120">
        <v>1</v>
      </c>
      <c r="J120" s="5">
        <v>0</v>
      </c>
      <c r="K120" s="5">
        <v>-2.778239714532782E-2</v>
      </c>
      <c r="L120" s="5">
        <v>0</v>
      </c>
      <c r="M120" s="5">
        <v>-1.1696513778884031E-2</v>
      </c>
      <c r="N120" s="5">
        <v>5.0017537319737571E-3</v>
      </c>
      <c r="O120" s="5">
        <v>0</v>
      </c>
      <c r="P120" s="5">
        <v>1.6002579762017691E-2</v>
      </c>
      <c r="Q120" s="5">
        <v>0</v>
      </c>
      <c r="R120" s="5">
        <v>0.52244543456470671</v>
      </c>
      <c r="S120" s="5">
        <v>0.16449691210597411</v>
      </c>
      <c r="T120" s="5">
        <v>-0.1164550907551147</v>
      </c>
      <c r="U120" s="5">
        <v>0.37519458594673433</v>
      </c>
      <c r="V120" s="5">
        <v>0.71841634516625685</v>
      </c>
      <c r="W120" s="5">
        <v>0.52532518285512453</v>
      </c>
      <c r="X120" s="5">
        <v>0.70221440350054709</v>
      </c>
      <c r="Y120" s="5">
        <v>0.45246346349973909</v>
      </c>
      <c r="Z120" s="5">
        <v>3.3441012368839682</v>
      </c>
      <c r="AA120" s="5">
        <v>0.82423457221858953</v>
      </c>
    </row>
    <row r="121" spans="1:27" x14ac:dyDescent="0.25">
      <c r="A121" s="1">
        <v>41121</v>
      </c>
      <c r="B121" s="5">
        <v>1.2546404554641399E-2</v>
      </c>
      <c r="C121" s="5">
        <v>-5.3200964320220478E-2</v>
      </c>
      <c r="D121" s="5">
        <v>1.9573077326752619E-2</v>
      </c>
      <c r="E121" s="5">
        <v>-8.0819510267572392E-3</v>
      </c>
      <c r="F121" s="5">
        <v>-5.6646054141751279E-3</v>
      </c>
      <c r="G121" s="5">
        <v>2.5851074543071451E-2</v>
      </c>
      <c r="H121">
        <v>1</v>
      </c>
      <c r="I121">
        <v>-1</v>
      </c>
      <c r="J121" s="5">
        <v>1.9573077326752619E-2</v>
      </c>
      <c r="K121" s="5">
        <v>0</v>
      </c>
      <c r="L121" s="5">
        <v>8.0819510267572392E-3</v>
      </c>
      <c r="M121" s="5">
        <v>0</v>
      </c>
      <c r="N121" s="5">
        <v>0</v>
      </c>
      <c r="O121" s="5">
        <v>5.6646054141751279E-3</v>
      </c>
      <c r="P121" s="5">
        <v>0</v>
      </c>
      <c r="Q121" s="5">
        <v>2.5851074543071451E-2</v>
      </c>
      <c r="R121" s="5">
        <v>0.54201851189145933</v>
      </c>
      <c r="S121" s="5">
        <v>0.16449691210597411</v>
      </c>
      <c r="T121" s="5">
        <v>-0.10837313972835751</v>
      </c>
      <c r="U121" s="5">
        <v>0.37519458594673433</v>
      </c>
      <c r="V121" s="5">
        <v>0.71841634516625685</v>
      </c>
      <c r="W121" s="5">
        <v>0.53098978826929966</v>
      </c>
      <c r="X121" s="5">
        <v>0.70221440350054709</v>
      </c>
      <c r="Y121" s="5">
        <v>0.47831453804281049</v>
      </c>
      <c r="Z121" s="5">
        <v>3.403271945194724</v>
      </c>
      <c r="AA121" s="5">
        <v>0.83678097677323093</v>
      </c>
    </row>
    <row r="122" spans="1:27" x14ac:dyDescent="0.25">
      <c r="A122" s="1">
        <v>41152</v>
      </c>
      <c r="B122" s="5">
        <v>2.510314801389479E-2</v>
      </c>
      <c r="C122" s="5">
        <v>8.4634036859149386E-2</v>
      </c>
      <c r="D122" s="5">
        <v>-4.1513148228764507E-3</v>
      </c>
      <c r="E122" s="5">
        <v>4.2913232093258147E-2</v>
      </c>
      <c r="F122" s="5">
        <v>1.9008424479750149E-2</v>
      </c>
      <c r="G122" s="5">
        <v>-2.794189183946327E-2</v>
      </c>
      <c r="H122">
        <v>-1</v>
      </c>
      <c r="I122">
        <v>1</v>
      </c>
      <c r="J122" s="5">
        <v>0</v>
      </c>
      <c r="K122" s="5">
        <v>4.1513148228764507E-3</v>
      </c>
      <c r="L122" s="5">
        <v>0</v>
      </c>
      <c r="M122" s="5">
        <v>4.2913232093258147E-2</v>
      </c>
      <c r="N122" s="5">
        <v>1.9008424479750149E-2</v>
      </c>
      <c r="O122" s="5">
        <v>0</v>
      </c>
      <c r="P122" s="5">
        <v>2.794189183946327E-2</v>
      </c>
      <c r="Q122" s="5">
        <v>0</v>
      </c>
      <c r="R122" s="5">
        <v>0.54201851189145933</v>
      </c>
      <c r="S122" s="5">
        <v>0.16864822692885051</v>
      </c>
      <c r="T122" s="5">
        <v>-0.10837313972835751</v>
      </c>
      <c r="U122" s="5">
        <v>0.41810781803999242</v>
      </c>
      <c r="V122" s="5">
        <v>0.73742476964600701</v>
      </c>
      <c r="W122" s="5">
        <v>0.53098978826929966</v>
      </c>
      <c r="X122" s="5">
        <v>0.73015629534001036</v>
      </c>
      <c r="Y122" s="5">
        <v>0.47831453804281049</v>
      </c>
      <c r="Z122" s="5">
        <v>3.497286808430073</v>
      </c>
      <c r="AA122" s="5">
        <v>0.86188412478712573</v>
      </c>
    </row>
    <row r="123" spans="1:27" x14ac:dyDescent="0.25">
      <c r="A123" s="1">
        <v>41182</v>
      </c>
      <c r="B123" s="5">
        <v>2.5531451813883169E-2</v>
      </c>
      <c r="C123" s="5">
        <v>7.5832155812240343E-2</v>
      </c>
      <c r="D123" s="5">
        <v>-1.1473873402932931E-2</v>
      </c>
      <c r="E123" s="5">
        <v>1.407417004567979E-2</v>
      </c>
      <c r="F123" s="5">
        <v>1.67381533987121E-2</v>
      </c>
      <c r="G123" s="5">
        <v>-2.4604005325445599E-2</v>
      </c>
      <c r="H123">
        <v>-1</v>
      </c>
      <c r="I123">
        <v>1</v>
      </c>
      <c r="J123" s="5">
        <v>0</v>
      </c>
      <c r="K123" s="5">
        <v>1.1473873402932931E-2</v>
      </c>
      <c r="L123" s="5">
        <v>0</v>
      </c>
      <c r="M123" s="5">
        <v>1.407417004567979E-2</v>
      </c>
      <c r="N123" s="5">
        <v>1.67381533987121E-2</v>
      </c>
      <c r="O123" s="5">
        <v>0</v>
      </c>
      <c r="P123" s="5">
        <v>2.4604005325445599E-2</v>
      </c>
      <c r="Q123" s="5">
        <v>0</v>
      </c>
      <c r="R123" s="5">
        <v>0.54201851189145933</v>
      </c>
      <c r="S123" s="5">
        <v>0.18012210033178341</v>
      </c>
      <c r="T123" s="5">
        <v>-0.10837313972835751</v>
      </c>
      <c r="U123" s="5">
        <v>0.43218198808567221</v>
      </c>
      <c r="V123" s="5">
        <v>0.7541629230447191</v>
      </c>
      <c r="W123" s="5">
        <v>0.53098978826929966</v>
      </c>
      <c r="X123" s="5">
        <v>0.75476030066545596</v>
      </c>
      <c r="Y123" s="5">
        <v>0.47831453804281049</v>
      </c>
      <c r="Z123" s="5">
        <v>3.564177010602843</v>
      </c>
      <c r="AA123" s="5">
        <v>0.88741557660100889</v>
      </c>
    </row>
    <row r="124" spans="1:27" x14ac:dyDescent="0.25">
      <c r="A124" s="1">
        <v>41213</v>
      </c>
      <c r="B124" s="5">
        <v>-1.790131920545535E-2</v>
      </c>
      <c r="C124" s="5">
        <v>1.3880901050958631E-2</v>
      </c>
      <c r="D124" s="5">
        <v>-1.422323488915833E-2</v>
      </c>
      <c r="E124" s="5">
        <v>1.3527727202809261E-2</v>
      </c>
      <c r="F124" s="5">
        <v>1.499840539520458E-2</v>
      </c>
      <c r="G124" s="5">
        <v>-2.2758089908562429E-2</v>
      </c>
      <c r="H124">
        <v>-1</v>
      </c>
      <c r="I124">
        <v>1</v>
      </c>
      <c r="J124" s="5">
        <v>0</v>
      </c>
      <c r="K124" s="5">
        <v>1.422323488915833E-2</v>
      </c>
      <c r="L124" s="5">
        <v>0</v>
      </c>
      <c r="M124" s="5">
        <v>1.3527727202809261E-2</v>
      </c>
      <c r="N124" s="5">
        <v>1.499840539520458E-2</v>
      </c>
      <c r="O124" s="5">
        <v>0</v>
      </c>
      <c r="P124" s="5">
        <v>2.2758089908562429E-2</v>
      </c>
      <c r="Q124" s="5">
        <v>0</v>
      </c>
      <c r="R124" s="5">
        <v>0.54201851189145933</v>
      </c>
      <c r="S124" s="5">
        <v>0.1943453352209418</v>
      </c>
      <c r="T124" s="5">
        <v>-0.10837313972835751</v>
      </c>
      <c r="U124" s="5">
        <v>0.44570971528848152</v>
      </c>
      <c r="V124" s="5">
        <v>0.76916132843992369</v>
      </c>
      <c r="W124" s="5">
        <v>0.53098978826929966</v>
      </c>
      <c r="X124" s="5">
        <v>0.77751839057401839</v>
      </c>
      <c r="Y124" s="5">
        <v>0.47831453804281049</v>
      </c>
      <c r="Z124" s="5">
        <v>3.6296844679985778</v>
      </c>
      <c r="AA124" s="5">
        <v>0.86951425739555355</v>
      </c>
    </row>
    <row r="125" spans="1:27" x14ac:dyDescent="0.25">
      <c r="A125" s="1">
        <v>41243</v>
      </c>
      <c r="B125" s="5">
        <v>6.570366293501495E-3</v>
      </c>
      <c r="C125" s="5">
        <v>-2.1032160235318731E-2</v>
      </c>
      <c r="D125" s="5">
        <v>1.9326932096521591E-2</v>
      </c>
      <c r="E125" s="5">
        <v>3.717232166651097E-3</v>
      </c>
      <c r="F125" s="5">
        <v>-1.12112150279865E-2</v>
      </c>
      <c r="G125" s="5">
        <v>5.4320599035690984E-3</v>
      </c>
      <c r="H125">
        <v>1</v>
      </c>
      <c r="I125">
        <v>-1</v>
      </c>
      <c r="J125" s="5">
        <v>1.9326932096521591E-2</v>
      </c>
      <c r="K125" s="5">
        <v>0</v>
      </c>
      <c r="L125" s="5">
        <v>-3.717232166651097E-3</v>
      </c>
      <c r="M125" s="5">
        <v>0</v>
      </c>
      <c r="N125" s="5">
        <v>0</v>
      </c>
      <c r="O125" s="5">
        <v>1.12112150279865E-2</v>
      </c>
      <c r="P125" s="5">
        <v>0</v>
      </c>
      <c r="Q125" s="5">
        <v>5.4320599035690984E-3</v>
      </c>
      <c r="R125" s="5">
        <v>0.56134544398798092</v>
      </c>
      <c r="S125" s="5">
        <v>0.1943453352209418</v>
      </c>
      <c r="T125" s="5">
        <v>-0.1120903718950086</v>
      </c>
      <c r="U125" s="5">
        <v>0.44570971528848152</v>
      </c>
      <c r="V125" s="5">
        <v>0.76916132843992369</v>
      </c>
      <c r="W125" s="5">
        <v>0.54220100329728615</v>
      </c>
      <c r="X125" s="5">
        <v>0.77751839057401839</v>
      </c>
      <c r="Y125" s="5">
        <v>0.48374659794637959</v>
      </c>
      <c r="Z125" s="5">
        <v>3.6619374428600042</v>
      </c>
      <c r="AA125" s="5">
        <v>0.87608462368905504</v>
      </c>
    </row>
    <row r="126" spans="1:27" x14ac:dyDescent="0.25">
      <c r="A126" s="1">
        <v>41274</v>
      </c>
      <c r="B126" s="5">
        <v>9.4010738217289447E-3</v>
      </c>
      <c r="C126" s="5">
        <v>3.0020915636618462E-2</v>
      </c>
      <c r="D126" s="5">
        <v>-2.4482430351016049E-3</v>
      </c>
      <c r="E126" s="5">
        <v>-6.4120347138925124E-3</v>
      </c>
      <c r="F126" s="5">
        <v>1.8527991565052691E-3</v>
      </c>
      <c r="G126" s="5">
        <v>-8.6125446374762937E-4</v>
      </c>
      <c r="H126">
        <v>-1</v>
      </c>
      <c r="I126">
        <v>1</v>
      </c>
      <c r="J126" s="5">
        <v>0</v>
      </c>
      <c r="K126" s="5">
        <v>2.4482430351016049E-3</v>
      </c>
      <c r="L126" s="5">
        <v>0</v>
      </c>
      <c r="M126" s="5">
        <v>-6.4120347138925124E-3</v>
      </c>
      <c r="N126" s="5">
        <v>1.8527991565052691E-3</v>
      </c>
      <c r="O126" s="5">
        <v>0</v>
      </c>
      <c r="P126" s="5">
        <v>8.6125446374762937E-4</v>
      </c>
      <c r="Q126" s="5">
        <v>0</v>
      </c>
      <c r="R126" s="5">
        <v>0.56134544398798092</v>
      </c>
      <c r="S126" s="5">
        <v>0.19679357825604341</v>
      </c>
      <c r="T126" s="5">
        <v>-0.1120903718950086</v>
      </c>
      <c r="U126" s="5">
        <v>0.43929768057458901</v>
      </c>
      <c r="V126" s="5">
        <v>0.77101412759642896</v>
      </c>
      <c r="W126" s="5">
        <v>0.54220100329728615</v>
      </c>
      <c r="X126" s="5">
        <v>0.77837964503776602</v>
      </c>
      <c r="Y126" s="5">
        <v>0.48374659794637959</v>
      </c>
      <c r="Z126" s="5">
        <v>3.6606877048014659</v>
      </c>
      <c r="AA126" s="5">
        <v>0.88548569751078399</v>
      </c>
    </row>
    <row r="127" spans="1:27" x14ac:dyDescent="0.25">
      <c r="A127" s="1">
        <v>41305</v>
      </c>
      <c r="B127" s="5">
        <v>5.0375115687060663E-2</v>
      </c>
      <c r="C127" s="5">
        <v>5.6814127115815238E-2</v>
      </c>
      <c r="D127" s="5">
        <v>2.241633564037282E-3</v>
      </c>
      <c r="E127" s="5">
        <v>-2.319886733437948E-2</v>
      </c>
      <c r="F127" s="5">
        <v>2.215239622234055E-2</v>
      </c>
      <c r="G127" s="5">
        <v>-1.6010043768026949E-2</v>
      </c>
      <c r="H127">
        <v>-1</v>
      </c>
      <c r="I127">
        <v>1</v>
      </c>
      <c r="J127" s="5">
        <v>0</v>
      </c>
      <c r="K127" s="5">
        <v>-2.241633564037282E-3</v>
      </c>
      <c r="L127" s="5">
        <v>0</v>
      </c>
      <c r="M127" s="5">
        <v>-2.319886733437948E-2</v>
      </c>
      <c r="N127" s="5">
        <v>2.215239622234055E-2</v>
      </c>
      <c r="O127" s="5">
        <v>0</v>
      </c>
      <c r="P127" s="5">
        <v>1.6010043768026949E-2</v>
      </c>
      <c r="Q127" s="5">
        <v>0</v>
      </c>
      <c r="R127" s="5">
        <v>0.56134544398798092</v>
      </c>
      <c r="S127" s="5">
        <v>0.1945519446920061</v>
      </c>
      <c r="T127" s="5">
        <v>-0.1120903718950086</v>
      </c>
      <c r="U127" s="5">
        <v>0.41609881324020948</v>
      </c>
      <c r="V127" s="5">
        <v>0.79316652381876951</v>
      </c>
      <c r="W127" s="5">
        <v>0.54220100329728615</v>
      </c>
      <c r="X127" s="5">
        <v>0.79438968880579297</v>
      </c>
      <c r="Y127" s="5">
        <v>0.48374659794637959</v>
      </c>
      <c r="Z127" s="5">
        <v>3.6734096438934172</v>
      </c>
      <c r="AA127" s="5">
        <v>0.93586081319784464</v>
      </c>
    </row>
    <row r="128" spans="1:27" x14ac:dyDescent="0.25">
      <c r="A128" s="1">
        <v>41333</v>
      </c>
      <c r="B128" s="5">
        <v>1.332427086705223E-2</v>
      </c>
      <c r="C128" s="5">
        <v>1.4772934667199981E-2</v>
      </c>
      <c r="D128" s="5">
        <v>-1.5574667500634081E-3</v>
      </c>
      <c r="E128" s="5">
        <v>1.278013025673308E-2</v>
      </c>
      <c r="F128" s="5">
        <v>8.5496423782238651E-3</v>
      </c>
      <c r="G128" s="5">
        <v>-3.0962290518459219E-3</v>
      </c>
      <c r="H128">
        <v>-1</v>
      </c>
      <c r="I128">
        <v>1</v>
      </c>
      <c r="J128" s="5">
        <v>0</v>
      </c>
      <c r="K128" s="5">
        <v>1.5574667500634081E-3</v>
      </c>
      <c r="L128" s="5">
        <v>0</v>
      </c>
      <c r="M128" s="5">
        <v>1.278013025673308E-2</v>
      </c>
      <c r="N128" s="5">
        <v>8.5496423782238651E-3</v>
      </c>
      <c r="O128" s="5">
        <v>0</v>
      </c>
      <c r="P128" s="5">
        <v>3.0962290518459219E-3</v>
      </c>
      <c r="Q128" s="5">
        <v>0</v>
      </c>
      <c r="R128" s="5">
        <v>0.56134544398798092</v>
      </c>
      <c r="S128" s="5">
        <v>0.1961094114420695</v>
      </c>
      <c r="T128" s="5">
        <v>-0.1120903718950086</v>
      </c>
      <c r="U128" s="5">
        <v>0.42887894349694261</v>
      </c>
      <c r="V128" s="5">
        <v>0.80171616619699337</v>
      </c>
      <c r="W128" s="5">
        <v>0.54220100329728615</v>
      </c>
      <c r="X128" s="5">
        <v>0.79748591785763889</v>
      </c>
      <c r="Y128" s="5">
        <v>0.48374659794637959</v>
      </c>
      <c r="Z128" s="5">
        <v>3.699393112330283</v>
      </c>
      <c r="AA128" s="5">
        <v>0.94918508406489688</v>
      </c>
    </row>
    <row r="129" spans="1:27" x14ac:dyDescent="0.25">
      <c r="A129" s="1">
        <v>41364</v>
      </c>
      <c r="B129" s="5">
        <v>3.7521146630073332E-2</v>
      </c>
      <c r="C129" s="5">
        <v>3.0855501818702891E-2</v>
      </c>
      <c r="D129" s="5">
        <v>1.4931685828961091E-2</v>
      </c>
      <c r="E129" s="5">
        <v>4.4757288646212201E-3</v>
      </c>
      <c r="F129" s="5">
        <v>2.0755155750476591E-2</v>
      </c>
      <c r="G129" s="5">
        <v>-1.950225947070228E-2</v>
      </c>
      <c r="H129">
        <v>-1</v>
      </c>
      <c r="I129">
        <v>1</v>
      </c>
      <c r="J129" s="5">
        <v>0</v>
      </c>
      <c r="K129" s="5">
        <v>-1.4931685828961091E-2</v>
      </c>
      <c r="L129" s="5">
        <v>0</v>
      </c>
      <c r="M129" s="5">
        <v>4.4757288646212201E-3</v>
      </c>
      <c r="N129" s="5">
        <v>2.0755155750476591E-2</v>
      </c>
      <c r="O129" s="5">
        <v>0</v>
      </c>
      <c r="P129" s="5">
        <v>1.950225947070228E-2</v>
      </c>
      <c r="Q129" s="5">
        <v>0</v>
      </c>
      <c r="R129" s="5">
        <v>0.56134544398798092</v>
      </c>
      <c r="S129" s="5">
        <v>0.18117772561310841</v>
      </c>
      <c r="T129" s="5">
        <v>-0.1120903718950086</v>
      </c>
      <c r="U129" s="5">
        <v>0.43335467236156378</v>
      </c>
      <c r="V129" s="5">
        <v>0.82247132194746997</v>
      </c>
      <c r="W129" s="5">
        <v>0.54220100329728615</v>
      </c>
      <c r="X129" s="5">
        <v>0.81698817732834117</v>
      </c>
      <c r="Y129" s="5">
        <v>0.48374659794637959</v>
      </c>
      <c r="Z129" s="5">
        <v>3.7291945705871221</v>
      </c>
      <c r="AA129" s="5">
        <v>0.98670623069497021</v>
      </c>
    </row>
    <row r="130" spans="1:27" x14ac:dyDescent="0.25">
      <c r="A130" s="1">
        <v>41394</v>
      </c>
      <c r="B130" s="5">
        <v>1.9874712781930651E-2</v>
      </c>
      <c r="C130" s="5">
        <v>-5.1883877328316452E-2</v>
      </c>
      <c r="D130" s="5">
        <v>2.6752532889311679E-2</v>
      </c>
      <c r="E130" s="5">
        <v>1.5318044248833209E-3</v>
      </c>
      <c r="F130" s="5">
        <v>-9.5949999830765575E-3</v>
      </c>
      <c r="G130" s="5">
        <v>4.4586951583965639E-2</v>
      </c>
      <c r="H130">
        <v>1</v>
      </c>
      <c r="I130">
        <v>-1</v>
      </c>
      <c r="J130" s="5">
        <v>2.6752532889311679E-2</v>
      </c>
      <c r="K130" s="5">
        <v>0</v>
      </c>
      <c r="L130" s="5">
        <v>-1.5318044248833209E-3</v>
      </c>
      <c r="M130" s="5">
        <v>0</v>
      </c>
      <c r="N130" s="5">
        <v>0</v>
      </c>
      <c r="O130" s="5">
        <v>9.5949999830765575E-3</v>
      </c>
      <c r="P130" s="5">
        <v>0</v>
      </c>
      <c r="Q130" s="5">
        <v>4.4586951583965639E-2</v>
      </c>
      <c r="R130" s="5">
        <v>0.58809797687729259</v>
      </c>
      <c r="S130" s="5">
        <v>0.18117772561310841</v>
      </c>
      <c r="T130" s="5">
        <v>-0.1136221763198919</v>
      </c>
      <c r="U130" s="5">
        <v>0.43335467236156378</v>
      </c>
      <c r="V130" s="5">
        <v>0.82247132194746997</v>
      </c>
      <c r="W130" s="5">
        <v>0.55179600328036271</v>
      </c>
      <c r="X130" s="5">
        <v>0.81698817732834117</v>
      </c>
      <c r="Y130" s="5">
        <v>0.52833354953034528</v>
      </c>
      <c r="Z130" s="5">
        <v>3.8085972506185932</v>
      </c>
      <c r="AA130" s="5">
        <v>1.0065809434769011</v>
      </c>
    </row>
    <row r="131" spans="1:27" x14ac:dyDescent="0.25">
      <c r="A131" s="1">
        <v>41425</v>
      </c>
      <c r="B131" s="5">
        <v>2.3811679504628699E-2</v>
      </c>
      <c r="C131" s="5">
        <v>8.6261160810906956E-2</v>
      </c>
      <c r="D131" s="5">
        <v>-2.232266078521716E-2</v>
      </c>
      <c r="E131" s="5">
        <v>-2.8668033920763111E-2</v>
      </c>
      <c r="F131" s="5">
        <v>1.8270437263955389E-2</v>
      </c>
      <c r="G131" s="5">
        <v>-2.097047554788822E-2</v>
      </c>
      <c r="H131">
        <v>-1</v>
      </c>
      <c r="I131">
        <v>1</v>
      </c>
      <c r="J131" s="5">
        <v>0</v>
      </c>
      <c r="K131" s="5">
        <v>2.232266078521716E-2</v>
      </c>
      <c r="L131" s="5">
        <v>0</v>
      </c>
      <c r="M131" s="5">
        <v>-2.8668033920763111E-2</v>
      </c>
      <c r="N131" s="5">
        <v>1.8270437263955389E-2</v>
      </c>
      <c r="O131" s="5">
        <v>0</v>
      </c>
      <c r="P131" s="5">
        <v>2.097047554788822E-2</v>
      </c>
      <c r="Q131" s="5">
        <v>0</v>
      </c>
      <c r="R131" s="5">
        <v>0.58809797687729259</v>
      </c>
      <c r="S131" s="5">
        <v>0.2035003863983256</v>
      </c>
      <c r="T131" s="5">
        <v>-0.1136221763198919</v>
      </c>
      <c r="U131" s="5">
        <v>0.40468663844080072</v>
      </c>
      <c r="V131" s="5">
        <v>0.84074175921142535</v>
      </c>
      <c r="W131" s="5">
        <v>0.55179600328036271</v>
      </c>
      <c r="X131" s="5">
        <v>0.83795865287622939</v>
      </c>
      <c r="Y131" s="5">
        <v>0.52833354953034528</v>
      </c>
      <c r="Z131" s="5">
        <v>3.841492790294891</v>
      </c>
      <c r="AA131" s="5">
        <v>1.030392622981529</v>
      </c>
    </row>
    <row r="132" spans="1:27" x14ac:dyDescent="0.25">
      <c r="A132" s="1">
        <v>41455</v>
      </c>
      <c r="B132" s="5">
        <v>-1.2289885629879319E-2</v>
      </c>
      <c r="C132" s="5">
        <v>2.9991605088308001E-2</v>
      </c>
      <c r="D132" s="5">
        <v>8.6516615786813578E-3</v>
      </c>
      <c r="E132" s="5">
        <v>1.8789339880801E-2</v>
      </c>
      <c r="F132" s="5">
        <v>8.4728810845677849E-3</v>
      </c>
      <c r="G132" s="5">
        <v>-8.6164033288086417E-3</v>
      </c>
      <c r="H132">
        <v>-1</v>
      </c>
      <c r="I132">
        <v>1</v>
      </c>
      <c r="J132" s="5">
        <v>0</v>
      </c>
      <c r="K132" s="5">
        <v>-8.6516615786813578E-3</v>
      </c>
      <c r="L132" s="5">
        <v>0</v>
      </c>
      <c r="M132" s="5">
        <v>1.8789339880801E-2</v>
      </c>
      <c r="N132" s="5">
        <v>8.4728810845677849E-3</v>
      </c>
      <c r="O132" s="5">
        <v>0</v>
      </c>
      <c r="P132" s="5">
        <v>8.6164033288086417E-3</v>
      </c>
      <c r="Q132" s="5">
        <v>0</v>
      </c>
      <c r="R132" s="5">
        <v>0.58809797687729259</v>
      </c>
      <c r="S132" s="5">
        <v>0.19484872481964419</v>
      </c>
      <c r="T132" s="5">
        <v>-0.1136221763198919</v>
      </c>
      <c r="U132" s="5">
        <v>0.42347597832160172</v>
      </c>
      <c r="V132" s="5">
        <v>0.84921464029599314</v>
      </c>
      <c r="W132" s="5">
        <v>0.55179600328036271</v>
      </c>
      <c r="X132" s="5">
        <v>0.84657505620503803</v>
      </c>
      <c r="Y132" s="5">
        <v>0.52833354953034528</v>
      </c>
      <c r="Z132" s="5">
        <v>3.868719753010387</v>
      </c>
      <c r="AA132" s="5">
        <v>1.01810273735165</v>
      </c>
    </row>
    <row r="133" spans="1:27" x14ac:dyDescent="0.25">
      <c r="A133" s="1">
        <v>41486</v>
      </c>
      <c r="B133" s="5">
        <v>5.0649070830011578E-2</v>
      </c>
      <c r="C133" s="5">
        <v>6.1873384619920091E-2</v>
      </c>
      <c r="D133" s="5">
        <v>-4.654155338221444E-3</v>
      </c>
      <c r="E133" s="5">
        <v>-1.5153481683465969E-2</v>
      </c>
      <c r="F133" s="5">
        <v>2.1857772377859019E-2</v>
      </c>
      <c r="G133" s="5">
        <v>-2.6004472158590919E-2</v>
      </c>
      <c r="H133">
        <v>-1</v>
      </c>
      <c r="I133">
        <v>1</v>
      </c>
      <c r="J133" s="5">
        <v>0</v>
      </c>
      <c r="K133" s="5">
        <v>4.654155338221444E-3</v>
      </c>
      <c r="L133" s="5">
        <v>0</v>
      </c>
      <c r="M133" s="5">
        <v>-1.5153481683465969E-2</v>
      </c>
      <c r="N133" s="5">
        <v>2.1857772377859019E-2</v>
      </c>
      <c r="O133" s="5">
        <v>0</v>
      </c>
      <c r="P133" s="5">
        <v>2.6004472158590919E-2</v>
      </c>
      <c r="Q133" s="5">
        <v>0</v>
      </c>
      <c r="R133" s="5">
        <v>0.58809797687729259</v>
      </c>
      <c r="S133" s="5">
        <v>0.19950288015786569</v>
      </c>
      <c r="T133" s="5">
        <v>-0.1136221763198919</v>
      </c>
      <c r="U133" s="5">
        <v>0.40832249663813569</v>
      </c>
      <c r="V133" s="5">
        <v>0.87107241267385216</v>
      </c>
      <c r="W133" s="5">
        <v>0.55179600328036271</v>
      </c>
      <c r="X133" s="5">
        <v>0.87257952836362895</v>
      </c>
      <c r="Y133" s="5">
        <v>0.52833354953034528</v>
      </c>
      <c r="Z133" s="5">
        <v>3.9060826712015921</v>
      </c>
      <c r="AA133" s="5">
        <v>1.068751808181662</v>
      </c>
    </row>
    <row r="134" spans="1:27" x14ac:dyDescent="0.25">
      <c r="A134" s="1">
        <v>41517</v>
      </c>
      <c r="B134" s="5">
        <v>-2.997888352124212E-2</v>
      </c>
      <c r="C134" s="5">
        <v>2.5290325599175881E-2</v>
      </c>
      <c r="D134" s="5">
        <v>-5.3475942096892224E-3</v>
      </c>
      <c r="E134" s="5">
        <v>3.7364376806102717E-2</v>
      </c>
      <c r="F134" s="5">
        <v>2.871942946102712E-3</v>
      </c>
      <c r="G134" s="5">
        <v>-5.5714775492026192E-3</v>
      </c>
      <c r="H134">
        <v>-1</v>
      </c>
      <c r="I134">
        <v>1</v>
      </c>
      <c r="J134" s="5">
        <v>0</v>
      </c>
      <c r="K134" s="5">
        <v>5.3475942096892224E-3</v>
      </c>
      <c r="L134" s="5">
        <v>0</v>
      </c>
      <c r="M134" s="5">
        <v>3.7364376806102717E-2</v>
      </c>
      <c r="N134" s="5">
        <v>2.871942946102712E-3</v>
      </c>
      <c r="O134" s="5">
        <v>0</v>
      </c>
      <c r="P134" s="5">
        <v>5.5714775492026192E-3</v>
      </c>
      <c r="Q134" s="5">
        <v>0</v>
      </c>
      <c r="R134" s="5">
        <v>0.58809797687729259</v>
      </c>
      <c r="S134" s="5">
        <v>0.20485047436755491</v>
      </c>
      <c r="T134" s="5">
        <v>-0.1136221763198919</v>
      </c>
      <c r="U134" s="5">
        <v>0.44568687344423841</v>
      </c>
      <c r="V134" s="5">
        <v>0.87394435561995487</v>
      </c>
      <c r="W134" s="5">
        <v>0.55179600328036271</v>
      </c>
      <c r="X134" s="5">
        <v>0.87815100591283157</v>
      </c>
      <c r="Y134" s="5">
        <v>0.52833354953034528</v>
      </c>
      <c r="Z134" s="5">
        <v>3.9572380627126891</v>
      </c>
      <c r="AA134" s="5">
        <v>1.03877292466042</v>
      </c>
    </row>
    <row r="135" spans="1:27" x14ac:dyDescent="0.25">
      <c r="A135" s="1">
        <v>41547</v>
      </c>
      <c r="B135" s="5">
        <v>3.1453779294732698E-2</v>
      </c>
      <c r="C135" s="5">
        <v>4.2501618266175378E-2</v>
      </c>
      <c r="D135" s="5">
        <v>-1.1324016410558911E-2</v>
      </c>
      <c r="E135" s="5">
        <v>6.7841889411413003E-3</v>
      </c>
      <c r="F135" s="5">
        <v>2.4119681570262012E-2</v>
      </c>
      <c r="G135" s="5">
        <v>-2.4796394983245259E-2</v>
      </c>
      <c r="H135">
        <v>-1</v>
      </c>
      <c r="I135">
        <v>1</v>
      </c>
      <c r="J135" s="5">
        <v>0</v>
      </c>
      <c r="K135" s="5">
        <v>1.1324016410558911E-2</v>
      </c>
      <c r="L135" s="5">
        <v>0</v>
      </c>
      <c r="M135" s="5">
        <v>6.7841889411413003E-3</v>
      </c>
      <c r="N135" s="5">
        <v>2.4119681570262012E-2</v>
      </c>
      <c r="O135" s="5">
        <v>0</v>
      </c>
      <c r="P135" s="5">
        <v>2.4796394983245259E-2</v>
      </c>
      <c r="Q135" s="5">
        <v>0</v>
      </c>
      <c r="R135" s="5">
        <v>0.58809797687729259</v>
      </c>
      <c r="S135" s="5">
        <v>0.21617449077811379</v>
      </c>
      <c r="T135" s="5">
        <v>-0.1136221763198919</v>
      </c>
      <c r="U135" s="5">
        <v>0.45247106238537971</v>
      </c>
      <c r="V135" s="5">
        <v>0.89806403719021688</v>
      </c>
      <c r="W135" s="5">
        <v>0.55179600328036271</v>
      </c>
      <c r="X135" s="5">
        <v>0.90294740089607683</v>
      </c>
      <c r="Y135" s="5">
        <v>0.52833354953034528</v>
      </c>
      <c r="Z135" s="5">
        <v>4.0242623446178962</v>
      </c>
      <c r="AA135" s="5">
        <v>1.0702267039551521</v>
      </c>
    </row>
    <row r="136" spans="1:27" x14ac:dyDescent="0.25">
      <c r="A136" s="1">
        <v>41578</v>
      </c>
      <c r="B136" s="5">
        <v>4.5977242722497043E-2</v>
      </c>
      <c r="C136" s="5">
        <v>3.2322666744712292E-2</v>
      </c>
      <c r="D136" s="5">
        <v>8.0143197384061615E-3</v>
      </c>
      <c r="E136" s="5">
        <v>8.8820288039440642E-3</v>
      </c>
      <c r="F136" s="5">
        <v>-3.3174854106400309E-3</v>
      </c>
      <c r="G136" s="5">
        <v>1.854146153398295E-4</v>
      </c>
      <c r="H136">
        <v>-1</v>
      </c>
      <c r="I136">
        <v>1</v>
      </c>
      <c r="J136" s="5">
        <v>0</v>
      </c>
      <c r="K136" s="5">
        <v>-8.0143197384061615E-3</v>
      </c>
      <c r="L136" s="5">
        <v>0</v>
      </c>
      <c r="M136" s="5">
        <v>8.8820288039440642E-3</v>
      </c>
      <c r="N136" s="5">
        <v>-3.3174854106400309E-3</v>
      </c>
      <c r="O136" s="5">
        <v>0</v>
      </c>
      <c r="P136" s="5">
        <v>-1.854146153398295E-4</v>
      </c>
      <c r="Q136" s="5">
        <v>0</v>
      </c>
      <c r="R136" s="5">
        <v>0.58809797687729259</v>
      </c>
      <c r="S136" s="5">
        <v>0.2081601710397076</v>
      </c>
      <c r="T136" s="5">
        <v>-0.1136221763198919</v>
      </c>
      <c r="U136" s="5">
        <v>0.46135309118932383</v>
      </c>
      <c r="V136" s="5">
        <v>0.89474655177957685</v>
      </c>
      <c r="W136" s="5">
        <v>0.55179600328036271</v>
      </c>
      <c r="X136" s="5">
        <v>0.90276198628073701</v>
      </c>
      <c r="Y136" s="5">
        <v>0.52833354953034528</v>
      </c>
      <c r="Z136" s="5">
        <v>4.0216271536574544</v>
      </c>
      <c r="AA136" s="5">
        <v>1.116203946677649</v>
      </c>
    </row>
    <row r="137" spans="1:27" x14ac:dyDescent="0.25">
      <c r="A137" s="1">
        <v>41608</v>
      </c>
      <c r="B137" s="5">
        <v>2.952306862039222E-2</v>
      </c>
      <c r="C137" s="5">
        <v>6.463433355516246E-2</v>
      </c>
      <c r="D137" s="5">
        <v>6.0568972637203844E-3</v>
      </c>
      <c r="E137" s="5">
        <v>1.452120195619633E-2</v>
      </c>
      <c r="F137" s="5">
        <v>-4.7965258664273147E-3</v>
      </c>
      <c r="G137" s="5">
        <v>-1.288388210594171E-2</v>
      </c>
      <c r="H137">
        <v>-1</v>
      </c>
      <c r="I137">
        <v>1</v>
      </c>
      <c r="J137" s="5">
        <v>0</v>
      </c>
      <c r="K137" s="5">
        <v>-6.0568972637203844E-3</v>
      </c>
      <c r="L137" s="5">
        <v>0</v>
      </c>
      <c r="M137" s="5">
        <v>1.452120195619633E-2</v>
      </c>
      <c r="N137" s="5">
        <v>-4.7965258664273147E-3</v>
      </c>
      <c r="O137" s="5">
        <v>0</v>
      </c>
      <c r="P137" s="5">
        <v>1.288388210594171E-2</v>
      </c>
      <c r="Q137" s="5">
        <v>0</v>
      </c>
      <c r="R137" s="5">
        <v>0.58809797687729259</v>
      </c>
      <c r="S137" s="5">
        <v>0.20210327377598719</v>
      </c>
      <c r="T137" s="5">
        <v>-0.1136221763198919</v>
      </c>
      <c r="U137" s="5">
        <v>0.4758742931455201</v>
      </c>
      <c r="V137" s="5">
        <v>0.88995002591314953</v>
      </c>
      <c r="W137" s="5">
        <v>0.55179600328036271</v>
      </c>
      <c r="X137" s="5">
        <v>0.91564586838667872</v>
      </c>
      <c r="Y137" s="5">
        <v>0.52833354953034528</v>
      </c>
      <c r="Z137" s="5">
        <v>4.0381788145894451</v>
      </c>
      <c r="AA137" s="5">
        <v>1.145727015298041</v>
      </c>
    </row>
    <row r="138" spans="1:27" x14ac:dyDescent="0.25">
      <c r="A138" s="1">
        <v>41639</v>
      </c>
      <c r="B138" s="5">
        <v>2.598564633971534E-2</v>
      </c>
      <c r="C138" s="5">
        <v>7.4736052381286777E-3</v>
      </c>
      <c r="D138" s="5">
        <v>1.7133596207307141E-2</v>
      </c>
      <c r="E138" s="5">
        <v>-1.9825893016152341E-2</v>
      </c>
      <c r="F138" s="5">
        <v>-2.4755557456235261E-4</v>
      </c>
      <c r="G138" s="5">
        <v>-1.168517068156194E-2</v>
      </c>
      <c r="H138">
        <v>-1</v>
      </c>
      <c r="I138">
        <v>1</v>
      </c>
      <c r="J138" s="5">
        <v>0</v>
      </c>
      <c r="K138" s="5">
        <v>-1.7133596207307141E-2</v>
      </c>
      <c r="L138" s="5">
        <v>0</v>
      </c>
      <c r="M138" s="5">
        <v>-1.9825893016152341E-2</v>
      </c>
      <c r="N138" s="5">
        <v>-2.4755557456235261E-4</v>
      </c>
      <c r="O138" s="5">
        <v>0</v>
      </c>
      <c r="P138" s="5">
        <v>1.168517068156194E-2</v>
      </c>
      <c r="Q138" s="5">
        <v>0</v>
      </c>
      <c r="R138" s="5">
        <v>0.58809797687729259</v>
      </c>
      <c r="S138" s="5">
        <v>0.1849696775686801</v>
      </c>
      <c r="T138" s="5">
        <v>-0.1136221763198919</v>
      </c>
      <c r="U138" s="5">
        <v>0.45604840012936781</v>
      </c>
      <c r="V138" s="5">
        <v>0.88970247033858718</v>
      </c>
      <c r="W138" s="5">
        <v>0.55179600328036271</v>
      </c>
      <c r="X138" s="5">
        <v>0.92733103906824066</v>
      </c>
      <c r="Y138" s="5">
        <v>0.52833354953034528</v>
      </c>
      <c r="Z138" s="5">
        <v>4.0126569404729846</v>
      </c>
      <c r="AA138" s="5">
        <v>1.1717126616377569</v>
      </c>
    </row>
    <row r="139" spans="1:27" x14ac:dyDescent="0.25">
      <c r="A139" s="1">
        <v>41670</v>
      </c>
      <c r="B139" s="5">
        <v>-3.522053987675311E-2</v>
      </c>
      <c r="C139" s="5">
        <v>-5.7587291114704182E-2</v>
      </c>
      <c r="D139" s="5">
        <v>-2.5163653603307301E-2</v>
      </c>
      <c r="E139" s="5">
        <v>1.3964375323716079E-2</v>
      </c>
      <c r="F139" s="5">
        <v>-6.2857331855802334E-3</v>
      </c>
      <c r="G139" s="5">
        <v>7.0642386467322238E-3</v>
      </c>
      <c r="H139">
        <v>1</v>
      </c>
      <c r="I139">
        <v>-1</v>
      </c>
      <c r="J139" s="5">
        <v>-2.5163653603307301E-2</v>
      </c>
      <c r="K139" s="5">
        <v>0</v>
      </c>
      <c r="L139" s="5">
        <v>-1.3964375323716079E-2</v>
      </c>
      <c r="M139" s="5">
        <v>0</v>
      </c>
      <c r="N139" s="5">
        <v>0</v>
      </c>
      <c r="O139" s="5">
        <v>6.2857331855802334E-3</v>
      </c>
      <c r="P139" s="5">
        <v>0</v>
      </c>
      <c r="Q139" s="5">
        <v>7.0642386467322238E-3</v>
      </c>
      <c r="R139" s="5">
        <v>0.56293432327398529</v>
      </c>
      <c r="S139" s="5">
        <v>0.1849696775686801</v>
      </c>
      <c r="T139" s="5">
        <v>-0.12758655164360799</v>
      </c>
      <c r="U139" s="5">
        <v>0.45604840012936781</v>
      </c>
      <c r="V139" s="5">
        <v>0.88970247033858718</v>
      </c>
      <c r="W139" s="5">
        <v>0.55808173646594295</v>
      </c>
      <c r="X139" s="5">
        <v>0.92733103906824066</v>
      </c>
      <c r="Y139" s="5">
        <v>0.5353977881770775</v>
      </c>
      <c r="Z139" s="5">
        <v>3.986878883378274</v>
      </c>
      <c r="AA139" s="5">
        <v>1.136492121761004</v>
      </c>
    </row>
    <row r="140" spans="1:27" x14ac:dyDescent="0.25">
      <c r="A140" s="1">
        <v>41698</v>
      </c>
      <c r="B140" s="5">
        <v>4.5118020134096049E-2</v>
      </c>
      <c r="C140" s="5">
        <v>5.2364316980074037E-2</v>
      </c>
      <c r="D140" s="5">
        <v>7.4521989522108312E-3</v>
      </c>
      <c r="E140" s="5">
        <v>2.025869826653692E-2</v>
      </c>
      <c r="F140" s="5">
        <v>8.8278178612829494E-3</v>
      </c>
      <c r="G140" s="5">
        <v>-1.112118711004639E-2</v>
      </c>
      <c r="H140">
        <v>-1</v>
      </c>
      <c r="I140">
        <v>1</v>
      </c>
      <c r="J140" s="5">
        <v>0</v>
      </c>
      <c r="K140" s="5">
        <v>-7.4521989522108312E-3</v>
      </c>
      <c r="L140" s="5">
        <v>0</v>
      </c>
      <c r="M140" s="5">
        <v>2.025869826653692E-2</v>
      </c>
      <c r="N140" s="5">
        <v>8.8278178612829494E-3</v>
      </c>
      <c r="O140" s="5">
        <v>0</v>
      </c>
      <c r="P140" s="5">
        <v>1.112118711004639E-2</v>
      </c>
      <c r="Q140" s="5">
        <v>0</v>
      </c>
      <c r="R140" s="5">
        <v>0.56293432327398529</v>
      </c>
      <c r="S140" s="5">
        <v>0.1775174786164693</v>
      </c>
      <c r="T140" s="5">
        <v>-0.12758655164360799</v>
      </c>
      <c r="U140" s="5">
        <v>0.47630709839590468</v>
      </c>
      <c r="V140" s="5">
        <v>0.89853028819987013</v>
      </c>
      <c r="W140" s="5">
        <v>0.55808173646594295</v>
      </c>
      <c r="X140" s="5">
        <v>0.93845222617828705</v>
      </c>
      <c r="Y140" s="5">
        <v>0.5353977881770775</v>
      </c>
      <c r="Z140" s="5">
        <v>4.0196343876639302</v>
      </c>
      <c r="AA140" s="5">
        <v>1.1816101418950999</v>
      </c>
    </row>
    <row r="141" spans="1:27" x14ac:dyDescent="0.25">
      <c r="A141" s="1">
        <v>41729</v>
      </c>
      <c r="B141" s="5">
        <v>8.664745190458234E-3</v>
      </c>
      <c r="C141" s="5">
        <v>4.4912950781048622E-3</v>
      </c>
      <c r="D141" s="5">
        <v>4.4340930826007874E-3</v>
      </c>
      <c r="E141" s="5">
        <v>8.100513363080708E-3</v>
      </c>
      <c r="F141" s="5">
        <v>1.0644825529634749E-2</v>
      </c>
      <c r="G141" s="5">
        <v>-2.236153091956683E-2</v>
      </c>
      <c r="H141">
        <v>-1</v>
      </c>
      <c r="I141">
        <v>1</v>
      </c>
      <c r="J141" s="5">
        <v>0</v>
      </c>
      <c r="K141" s="5">
        <v>-4.4340930826007874E-3</v>
      </c>
      <c r="L141" s="5">
        <v>0</v>
      </c>
      <c r="M141" s="5">
        <v>8.100513363080708E-3</v>
      </c>
      <c r="N141" s="5">
        <v>1.0644825529634749E-2</v>
      </c>
      <c r="O141" s="5">
        <v>0</v>
      </c>
      <c r="P141" s="5">
        <v>2.236153091956683E-2</v>
      </c>
      <c r="Q141" s="5">
        <v>0</v>
      </c>
      <c r="R141" s="5">
        <v>0.56293432327398529</v>
      </c>
      <c r="S141" s="5">
        <v>0.17308338553386851</v>
      </c>
      <c r="T141" s="5">
        <v>-0.12758655164360799</v>
      </c>
      <c r="U141" s="5">
        <v>0.48440761175898539</v>
      </c>
      <c r="V141" s="5">
        <v>0.90917511372950488</v>
      </c>
      <c r="W141" s="5">
        <v>0.55808173646594295</v>
      </c>
      <c r="X141" s="5">
        <v>0.96081375709785388</v>
      </c>
      <c r="Y141" s="5">
        <v>0.5353977881770775</v>
      </c>
      <c r="Z141" s="5">
        <v>4.0563071643936119</v>
      </c>
      <c r="AA141" s="5">
        <v>1.190274887085558</v>
      </c>
    </row>
    <row r="142" spans="1:27" x14ac:dyDescent="0.25">
      <c r="A142" s="1">
        <v>41759</v>
      </c>
      <c r="B142" s="5">
        <v>7.603575257425943E-3</v>
      </c>
      <c r="C142" s="5">
        <v>-8.7532217462125139E-3</v>
      </c>
      <c r="D142" s="5">
        <v>2.291760836418244E-3</v>
      </c>
      <c r="E142" s="5">
        <v>6.9943052072904974E-3</v>
      </c>
      <c r="F142" s="5">
        <v>-1.4219609822165521E-2</v>
      </c>
      <c r="G142" s="5">
        <v>2.7638850317002191E-3</v>
      </c>
      <c r="H142">
        <v>1</v>
      </c>
      <c r="I142">
        <v>-1</v>
      </c>
      <c r="J142" s="5">
        <v>2.291760836418244E-3</v>
      </c>
      <c r="K142" s="5">
        <v>0</v>
      </c>
      <c r="L142" s="5">
        <v>-6.9943052072904974E-3</v>
      </c>
      <c r="M142" s="5">
        <v>0</v>
      </c>
      <c r="N142" s="5">
        <v>0</v>
      </c>
      <c r="O142" s="5">
        <v>1.4219609822165521E-2</v>
      </c>
      <c r="P142" s="5">
        <v>0</v>
      </c>
      <c r="Q142" s="5">
        <v>2.7638850317002191E-3</v>
      </c>
      <c r="R142" s="5">
        <v>0.56522608411040354</v>
      </c>
      <c r="S142" s="5">
        <v>0.17308338553386851</v>
      </c>
      <c r="T142" s="5">
        <v>-0.13458085685089849</v>
      </c>
      <c r="U142" s="5">
        <v>0.48440761175898539</v>
      </c>
      <c r="V142" s="5">
        <v>0.90917511372950488</v>
      </c>
      <c r="W142" s="5">
        <v>0.57230134628810847</v>
      </c>
      <c r="X142" s="5">
        <v>0.96081375709785388</v>
      </c>
      <c r="Y142" s="5">
        <v>0.53816167320877772</v>
      </c>
      <c r="Z142" s="5">
        <v>4.0685881148766052</v>
      </c>
      <c r="AA142" s="5">
        <v>1.1978784623429839</v>
      </c>
    </row>
    <row r="143" spans="1:27" x14ac:dyDescent="0.25">
      <c r="A143" s="1">
        <v>41790</v>
      </c>
      <c r="B143" s="5">
        <v>2.321145609361475E-2</v>
      </c>
      <c r="C143" s="5">
        <v>-8.5517712667134704E-3</v>
      </c>
      <c r="D143" s="5">
        <v>1.864070301857668E-2</v>
      </c>
      <c r="E143" s="5">
        <v>1.6379483740435411E-2</v>
      </c>
      <c r="F143" s="5">
        <v>-2.227729657524824E-3</v>
      </c>
      <c r="G143" s="5">
        <v>1.131503072260753E-2</v>
      </c>
      <c r="H143">
        <v>1</v>
      </c>
      <c r="I143">
        <v>-1</v>
      </c>
      <c r="J143" s="5">
        <v>1.864070301857668E-2</v>
      </c>
      <c r="K143" s="5">
        <v>0</v>
      </c>
      <c r="L143" s="5">
        <v>-1.6379483740435411E-2</v>
      </c>
      <c r="M143" s="5">
        <v>0</v>
      </c>
      <c r="N143" s="5">
        <v>0</v>
      </c>
      <c r="O143" s="5">
        <v>2.227729657524824E-3</v>
      </c>
      <c r="P143" s="5">
        <v>0</v>
      </c>
      <c r="Q143" s="5">
        <v>1.131503072260753E-2</v>
      </c>
      <c r="R143" s="5">
        <v>0.58386678712898021</v>
      </c>
      <c r="S143" s="5">
        <v>0.17308338553386851</v>
      </c>
      <c r="T143" s="5">
        <v>-0.1509603405913339</v>
      </c>
      <c r="U143" s="5">
        <v>0.48440761175898539</v>
      </c>
      <c r="V143" s="5">
        <v>0.90917511372950488</v>
      </c>
      <c r="W143" s="5">
        <v>0.57452907594563329</v>
      </c>
      <c r="X143" s="5">
        <v>0.96081375709785388</v>
      </c>
      <c r="Y143" s="5">
        <v>0.54947670393138526</v>
      </c>
      <c r="Z143" s="5">
        <v>4.0843920945348788</v>
      </c>
      <c r="AA143" s="5">
        <v>1.2210899184365991</v>
      </c>
    </row>
    <row r="144" spans="1:27" x14ac:dyDescent="0.25">
      <c r="A144" s="1">
        <v>41820</v>
      </c>
      <c r="B144" s="5">
        <v>2.0571141570094879E-2</v>
      </c>
      <c r="C144" s="5">
        <v>3.9118607870729738E-2</v>
      </c>
      <c r="D144" s="5">
        <v>-1.092174037342186E-3</v>
      </c>
      <c r="E144" s="5">
        <v>1.534273973649314E-2</v>
      </c>
      <c r="F144" s="5">
        <v>1.3951284776894E-2</v>
      </c>
      <c r="G144" s="5">
        <v>-1.9559122386950682E-2</v>
      </c>
      <c r="H144">
        <v>-1</v>
      </c>
      <c r="I144">
        <v>1</v>
      </c>
      <c r="J144" s="5">
        <v>0</v>
      </c>
      <c r="K144" s="5">
        <v>1.092174037342186E-3</v>
      </c>
      <c r="L144" s="5">
        <v>0</v>
      </c>
      <c r="M144" s="5">
        <v>1.534273973649314E-2</v>
      </c>
      <c r="N144" s="5">
        <v>1.3951284776894E-2</v>
      </c>
      <c r="O144" s="5">
        <v>0</v>
      </c>
      <c r="P144" s="5">
        <v>1.9559122386950682E-2</v>
      </c>
      <c r="Q144" s="5">
        <v>0</v>
      </c>
      <c r="R144" s="5">
        <v>0.58386678712898021</v>
      </c>
      <c r="S144" s="5">
        <v>0.1741755595712107</v>
      </c>
      <c r="T144" s="5">
        <v>-0.1509603405913339</v>
      </c>
      <c r="U144" s="5">
        <v>0.49975035149547847</v>
      </c>
      <c r="V144" s="5">
        <v>0.92312639850639888</v>
      </c>
      <c r="W144" s="5">
        <v>0.57452907594563329</v>
      </c>
      <c r="X144" s="5">
        <v>0.98037287948480456</v>
      </c>
      <c r="Y144" s="5">
        <v>0.54947670393138526</v>
      </c>
      <c r="Z144" s="5">
        <v>4.134337415472559</v>
      </c>
      <c r="AA144" s="5">
        <v>1.241661060006694</v>
      </c>
    </row>
    <row r="145" spans="1:27" x14ac:dyDescent="0.25">
      <c r="A145" s="1">
        <v>41851</v>
      </c>
      <c r="B145" s="5">
        <v>-1.307855196537955E-2</v>
      </c>
      <c r="C145" s="5">
        <v>-5.9060660494163466E-3</v>
      </c>
      <c r="D145" s="5">
        <v>-2.58996289745963E-2</v>
      </c>
      <c r="E145" s="5">
        <v>-1.1567401108059211E-2</v>
      </c>
      <c r="F145" s="5">
        <v>2.7146073305900349E-3</v>
      </c>
      <c r="G145" s="5">
        <v>-4.1306501846437582E-3</v>
      </c>
      <c r="H145">
        <v>1</v>
      </c>
      <c r="I145">
        <v>-1</v>
      </c>
      <c r="J145" s="5">
        <v>-2.58996289745963E-2</v>
      </c>
      <c r="K145" s="5">
        <v>0</v>
      </c>
      <c r="L145" s="5">
        <v>1.1567401108059211E-2</v>
      </c>
      <c r="M145" s="5">
        <v>0</v>
      </c>
      <c r="N145" s="5">
        <v>0</v>
      </c>
      <c r="O145" s="5">
        <v>-2.7146073305900349E-3</v>
      </c>
      <c r="P145" s="5">
        <v>0</v>
      </c>
      <c r="Q145" s="5">
        <v>-4.1306501846437582E-3</v>
      </c>
      <c r="R145" s="5">
        <v>0.55796715815438391</v>
      </c>
      <c r="S145" s="5">
        <v>0.1741755595712107</v>
      </c>
      <c r="T145" s="5">
        <v>-0.13939293948327469</v>
      </c>
      <c r="U145" s="5">
        <v>0.49975035149547847</v>
      </c>
      <c r="V145" s="5">
        <v>0.92312639850639888</v>
      </c>
      <c r="W145" s="5">
        <v>0.57181446861504326</v>
      </c>
      <c r="X145" s="5">
        <v>0.98037287948480456</v>
      </c>
      <c r="Y145" s="5">
        <v>0.5453460537467415</v>
      </c>
      <c r="Z145" s="5">
        <v>4.113159930090788</v>
      </c>
      <c r="AA145" s="5">
        <v>1.228582508041314</v>
      </c>
    </row>
    <row r="146" spans="1:27" x14ac:dyDescent="0.25">
      <c r="A146" s="1">
        <v>41882</v>
      </c>
      <c r="B146" s="5">
        <v>3.8977490296170918E-2</v>
      </c>
      <c r="C146" s="5">
        <v>6.9179917096856558E-3</v>
      </c>
      <c r="D146" s="5">
        <v>6.0652427983942658E-3</v>
      </c>
      <c r="E146" s="5">
        <v>2.052935467639927E-2</v>
      </c>
      <c r="F146" s="5">
        <v>-1.0633161360758869E-2</v>
      </c>
      <c r="G146" s="5">
        <v>1.8299990599899289E-2</v>
      </c>
      <c r="H146">
        <v>-1</v>
      </c>
      <c r="I146">
        <v>1</v>
      </c>
      <c r="J146" s="5">
        <v>0</v>
      </c>
      <c r="K146" s="5">
        <v>-6.0652427983942658E-3</v>
      </c>
      <c r="L146" s="5">
        <v>0</v>
      </c>
      <c r="M146" s="5">
        <v>2.052935467639927E-2</v>
      </c>
      <c r="N146" s="5">
        <v>-1.0633161360758869E-2</v>
      </c>
      <c r="O146" s="5">
        <v>0</v>
      </c>
      <c r="P146" s="5">
        <v>-1.8299990599899289E-2</v>
      </c>
      <c r="Q146" s="5">
        <v>0</v>
      </c>
      <c r="R146" s="5">
        <v>0.55796715815438391</v>
      </c>
      <c r="S146" s="5">
        <v>0.1681103167728164</v>
      </c>
      <c r="T146" s="5">
        <v>-0.13939293948327469</v>
      </c>
      <c r="U146" s="5">
        <v>0.5202797061718778</v>
      </c>
      <c r="V146" s="5">
        <v>0.91249323714564001</v>
      </c>
      <c r="W146" s="5">
        <v>0.57181446861504326</v>
      </c>
      <c r="X146" s="5">
        <v>0.96207288888490528</v>
      </c>
      <c r="Y146" s="5">
        <v>0.5453460537467415</v>
      </c>
      <c r="Z146" s="5">
        <v>4.0986908900081351</v>
      </c>
      <c r="AA146" s="5">
        <v>1.267559998337485</v>
      </c>
    </row>
    <row r="147" spans="1:27" x14ac:dyDescent="0.25">
      <c r="A147" s="1">
        <v>41912</v>
      </c>
      <c r="B147" s="5">
        <v>-1.354332190076357E-2</v>
      </c>
      <c r="C147" s="5">
        <v>3.116858054265181E-2</v>
      </c>
      <c r="D147" s="5">
        <v>-1.053813416587179E-2</v>
      </c>
      <c r="E147" s="5">
        <v>1.3399801247993779E-2</v>
      </c>
      <c r="F147" s="5">
        <v>-5.8325810528370159E-4</v>
      </c>
      <c r="G147" s="5">
        <v>-2.533031629839444E-2</v>
      </c>
      <c r="H147">
        <v>-1</v>
      </c>
      <c r="I147">
        <v>1</v>
      </c>
      <c r="J147" s="5">
        <v>0</v>
      </c>
      <c r="K147" s="5">
        <v>1.053813416587179E-2</v>
      </c>
      <c r="L147" s="5">
        <v>0</v>
      </c>
      <c r="M147" s="5">
        <v>1.3399801247993779E-2</v>
      </c>
      <c r="N147" s="5">
        <v>-5.8325810528370159E-4</v>
      </c>
      <c r="O147" s="5">
        <v>0</v>
      </c>
      <c r="P147" s="5">
        <v>2.533031629839444E-2</v>
      </c>
      <c r="Q147" s="5">
        <v>0</v>
      </c>
      <c r="R147" s="5">
        <v>0.55796715815438391</v>
      </c>
      <c r="S147" s="5">
        <v>0.1786484509386882</v>
      </c>
      <c r="T147" s="5">
        <v>-0.13939293948327469</v>
      </c>
      <c r="U147" s="5">
        <v>0.53367950741987158</v>
      </c>
      <c r="V147" s="5">
        <v>0.91190997904035631</v>
      </c>
      <c r="W147" s="5">
        <v>0.57181446861504326</v>
      </c>
      <c r="X147" s="5">
        <v>0.98740320518329971</v>
      </c>
      <c r="Y147" s="5">
        <v>0.5453460537467415</v>
      </c>
      <c r="Z147" s="5">
        <v>4.1473758836151111</v>
      </c>
      <c r="AA147" s="5">
        <v>1.2540166764367211</v>
      </c>
    </row>
    <row r="148" spans="1:27" x14ac:dyDescent="0.25">
      <c r="A148" s="1">
        <v>41943</v>
      </c>
      <c r="B148" s="5">
        <v>2.4713432900099971E-2</v>
      </c>
      <c r="C148" s="5">
        <v>-5.3008768393582928E-2</v>
      </c>
      <c r="D148" s="5">
        <v>3.8639470819564758E-2</v>
      </c>
      <c r="E148" s="5">
        <v>-1.069169108731882E-2</v>
      </c>
      <c r="F148" s="5">
        <v>-1.8995085924645268E-2</v>
      </c>
      <c r="G148" s="5">
        <v>2.90405762209901E-2</v>
      </c>
      <c r="H148">
        <v>1</v>
      </c>
      <c r="I148">
        <v>-1</v>
      </c>
      <c r="J148" s="5">
        <v>3.8639470819564758E-2</v>
      </c>
      <c r="K148" s="5">
        <v>0</v>
      </c>
      <c r="L148" s="5">
        <v>1.069169108731882E-2</v>
      </c>
      <c r="M148" s="5">
        <v>0</v>
      </c>
      <c r="N148" s="5">
        <v>0</v>
      </c>
      <c r="O148" s="5">
        <v>1.8995085924645268E-2</v>
      </c>
      <c r="P148" s="5">
        <v>0</v>
      </c>
      <c r="Q148" s="5">
        <v>2.90405762209901E-2</v>
      </c>
      <c r="R148" s="5">
        <v>0.59660662897394867</v>
      </c>
      <c r="S148" s="5">
        <v>0.1786484509386882</v>
      </c>
      <c r="T148" s="5">
        <v>-0.1287012483959559</v>
      </c>
      <c r="U148" s="5">
        <v>0.53367950741987158</v>
      </c>
      <c r="V148" s="5">
        <v>0.91190997904035631</v>
      </c>
      <c r="W148" s="5">
        <v>0.59080955453968853</v>
      </c>
      <c r="X148" s="5">
        <v>0.98740320518329971</v>
      </c>
      <c r="Y148" s="5">
        <v>0.5743866299677316</v>
      </c>
      <c r="Z148" s="5">
        <v>4.2447427076676298</v>
      </c>
      <c r="AA148" s="5">
        <v>1.2787301093368211</v>
      </c>
    </row>
    <row r="149" spans="1:27" x14ac:dyDescent="0.25">
      <c r="A149" s="1">
        <v>41973</v>
      </c>
      <c r="B149" s="5">
        <v>2.7185879315887559E-2</v>
      </c>
      <c r="C149" s="5">
        <v>1.491685207747051E-2</v>
      </c>
      <c r="D149" s="5">
        <v>2.522615843149723E-3</v>
      </c>
      <c r="E149" s="5">
        <v>1.9774460115345342E-2</v>
      </c>
      <c r="F149" s="5">
        <v>8.3304892872689829E-3</v>
      </c>
      <c r="G149" s="5">
        <v>6.7110661294434992E-3</v>
      </c>
      <c r="H149">
        <v>-1</v>
      </c>
      <c r="I149">
        <v>1</v>
      </c>
      <c r="J149" s="5">
        <v>0</v>
      </c>
      <c r="K149" s="5">
        <v>-2.522615843149723E-3</v>
      </c>
      <c r="L149" s="5">
        <v>0</v>
      </c>
      <c r="M149" s="5">
        <v>1.9774460115345342E-2</v>
      </c>
      <c r="N149" s="5">
        <v>8.3304892872689829E-3</v>
      </c>
      <c r="O149" s="5">
        <v>0</v>
      </c>
      <c r="P149" s="5">
        <v>-6.7110661294434992E-3</v>
      </c>
      <c r="Q149" s="5">
        <v>0</v>
      </c>
      <c r="R149" s="5">
        <v>0.59660662897394867</v>
      </c>
      <c r="S149" s="5">
        <v>0.1761258350955385</v>
      </c>
      <c r="T149" s="5">
        <v>-0.1287012483959559</v>
      </c>
      <c r="U149" s="5">
        <v>0.55345396753521692</v>
      </c>
      <c r="V149" s="5">
        <v>0.92024046832762529</v>
      </c>
      <c r="W149" s="5">
        <v>0.59080955453968853</v>
      </c>
      <c r="X149" s="5">
        <v>0.98069213905385622</v>
      </c>
      <c r="Y149" s="5">
        <v>0.5743866299677316</v>
      </c>
      <c r="Z149" s="5">
        <v>4.2636139750976509</v>
      </c>
      <c r="AA149" s="5">
        <v>1.305915988652709</v>
      </c>
    </row>
    <row r="150" spans="1:27" x14ac:dyDescent="0.25">
      <c r="A150" s="1">
        <v>42004</v>
      </c>
      <c r="B150" s="5">
        <v>-1.5510346889991979E-3</v>
      </c>
      <c r="C150" s="5">
        <v>-2.7065345736095311E-2</v>
      </c>
      <c r="D150" s="5">
        <v>-4.6751749219930971E-3</v>
      </c>
      <c r="E150" s="5">
        <v>2.7676063416177681E-3</v>
      </c>
      <c r="F150" s="5">
        <v>3.9076762214195204E-3</v>
      </c>
      <c r="G150" s="5">
        <v>-9.1080389351869684E-3</v>
      </c>
      <c r="H150">
        <v>1</v>
      </c>
      <c r="I150">
        <v>-1</v>
      </c>
      <c r="J150" s="5">
        <v>-4.6751749219930971E-3</v>
      </c>
      <c r="K150" s="5">
        <v>0</v>
      </c>
      <c r="L150" s="5">
        <v>-2.7676063416177681E-3</v>
      </c>
      <c r="M150" s="5">
        <v>0</v>
      </c>
      <c r="N150" s="5">
        <v>0</v>
      </c>
      <c r="O150" s="5">
        <v>-3.9076762214195204E-3</v>
      </c>
      <c r="P150" s="5">
        <v>0</v>
      </c>
      <c r="Q150" s="5">
        <v>-9.1080389351869684E-3</v>
      </c>
      <c r="R150" s="5">
        <v>0.59193145405195557</v>
      </c>
      <c r="S150" s="5">
        <v>0.1761258350955385</v>
      </c>
      <c r="T150" s="5">
        <v>-0.13146885473757361</v>
      </c>
      <c r="U150" s="5">
        <v>0.55345396753521692</v>
      </c>
      <c r="V150" s="5">
        <v>0.92024046832762529</v>
      </c>
      <c r="W150" s="5">
        <v>0.58690187831826901</v>
      </c>
      <c r="X150" s="5">
        <v>0.98069213905385622</v>
      </c>
      <c r="Y150" s="5">
        <v>0.56527859103254463</v>
      </c>
      <c r="Z150" s="5">
        <v>4.2431554786774326</v>
      </c>
      <c r="AA150" s="5">
        <v>1.304364953963709</v>
      </c>
    </row>
    <row r="151" spans="1:27" x14ac:dyDescent="0.25">
      <c r="A151" s="1">
        <v>42035</v>
      </c>
      <c r="B151" s="5">
        <v>-2.8986162261525169E-2</v>
      </c>
      <c r="C151" s="5">
        <v>-7.0905690941359123E-2</v>
      </c>
      <c r="D151" s="5">
        <v>-2.7004044786983931E-2</v>
      </c>
      <c r="E151" s="5">
        <v>2.6025957946319459E-2</v>
      </c>
      <c r="F151" s="5">
        <v>2.1927168014087561E-3</v>
      </c>
      <c r="G151" s="5">
        <v>2.9626147888701659E-2</v>
      </c>
      <c r="H151">
        <v>1</v>
      </c>
      <c r="I151">
        <v>-1</v>
      </c>
      <c r="J151" s="5">
        <v>-2.7004044786983931E-2</v>
      </c>
      <c r="K151" s="5">
        <v>0</v>
      </c>
      <c r="L151" s="5">
        <v>-2.6025957946319459E-2</v>
      </c>
      <c r="M151" s="5">
        <v>0</v>
      </c>
      <c r="N151" s="5">
        <v>0</v>
      </c>
      <c r="O151" s="5">
        <v>-2.1927168014087561E-3</v>
      </c>
      <c r="P151" s="5">
        <v>0</v>
      </c>
      <c r="Q151" s="5">
        <v>2.9626147888701659E-2</v>
      </c>
      <c r="R151" s="5">
        <v>0.56492740926497165</v>
      </c>
      <c r="S151" s="5">
        <v>0.1761258350955385</v>
      </c>
      <c r="T151" s="5">
        <v>-0.15749481268389309</v>
      </c>
      <c r="U151" s="5">
        <v>0.55345396753521692</v>
      </c>
      <c r="V151" s="5">
        <v>0.92024046832762529</v>
      </c>
      <c r="W151" s="5">
        <v>0.58470916151686025</v>
      </c>
      <c r="X151" s="5">
        <v>0.98069213905385622</v>
      </c>
      <c r="Y151" s="5">
        <v>0.59490473892124629</v>
      </c>
      <c r="Z151" s="5">
        <v>4.2175589070314228</v>
      </c>
      <c r="AA151" s="5">
        <v>1.2753787917021839</v>
      </c>
    </row>
    <row r="152" spans="1:27" x14ac:dyDescent="0.25">
      <c r="A152" s="1">
        <v>42063</v>
      </c>
      <c r="B152" s="5">
        <v>5.5074145049694552E-2</v>
      </c>
      <c r="C152" s="5">
        <v>0.13220792442825469</v>
      </c>
      <c r="D152" s="5">
        <v>-2.5968736338612959E-3</v>
      </c>
      <c r="E152" s="5">
        <v>1.2184992418145749E-2</v>
      </c>
      <c r="F152" s="5">
        <v>3.0366822928186599E-2</v>
      </c>
      <c r="G152" s="5">
        <v>-5.1913458692761982E-2</v>
      </c>
      <c r="H152">
        <v>-1</v>
      </c>
      <c r="I152">
        <v>1</v>
      </c>
      <c r="J152" s="5">
        <v>0</v>
      </c>
      <c r="K152" s="5">
        <v>2.5968736338612959E-3</v>
      </c>
      <c r="L152" s="5">
        <v>0</v>
      </c>
      <c r="M152" s="5">
        <v>1.2184992418145749E-2</v>
      </c>
      <c r="N152" s="5">
        <v>3.0366822928186599E-2</v>
      </c>
      <c r="O152" s="5">
        <v>0</v>
      </c>
      <c r="P152" s="5">
        <v>5.1913458692761982E-2</v>
      </c>
      <c r="Q152" s="5">
        <v>0</v>
      </c>
      <c r="R152" s="5">
        <v>0.56492740926497165</v>
      </c>
      <c r="S152" s="5">
        <v>0.1787227087293998</v>
      </c>
      <c r="T152" s="5">
        <v>-0.15749481268389309</v>
      </c>
      <c r="U152" s="5">
        <v>0.56563895995336266</v>
      </c>
      <c r="V152" s="5">
        <v>0.95060729125581189</v>
      </c>
      <c r="W152" s="5">
        <v>0.58470916151686025</v>
      </c>
      <c r="X152" s="5">
        <v>1.032605597746618</v>
      </c>
      <c r="Y152" s="5">
        <v>0.59490473892124629</v>
      </c>
      <c r="Z152" s="5">
        <v>4.3146210547043786</v>
      </c>
      <c r="AA152" s="5">
        <v>1.3304529367518789</v>
      </c>
    </row>
    <row r="153" spans="1:27" x14ac:dyDescent="0.25">
      <c r="A153" s="1">
        <v>42094</v>
      </c>
      <c r="B153" s="5">
        <v>-1.4991468754785849E-2</v>
      </c>
      <c r="C153" s="5">
        <v>-1.41379765623153E-2</v>
      </c>
      <c r="D153" s="5">
        <v>-1.8852567206092741E-2</v>
      </c>
      <c r="E153" s="5">
        <v>-5.9580708239866942E-3</v>
      </c>
      <c r="F153" s="5">
        <v>-1.497653460899684E-2</v>
      </c>
      <c r="G153" s="5">
        <v>-4.5293446848099217E-2</v>
      </c>
      <c r="H153">
        <v>1</v>
      </c>
      <c r="I153">
        <v>-1</v>
      </c>
      <c r="J153" s="5">
        <v>-1.8852567206092741E-2</v>
      </c>
      <c r="K153" s="5">
        <v>0</v>
      </c>
      <c r="L153" s="5">
        <v>5.9580708239866942E-3</v>
      </c>
      <c r="M153" s="5">
        <v>0</v>
      </c>
      <c r="N153" s="5">
        <v>0</v>
      </c>
      <c r="O153" s="5">
        <v>1.497653460899684E-2</v>
      </c>
      <c r="P153" s="5">
        <v>0</v>
      </c>
      <c r="Q153" s="5">
        <v>-4.5293446848099217E-2</v>
      </c>
      <c r="R153" s="5">
        <v>0.54607484205887891</v>
      </c>
      <c r="S153" s="5">
        <v>0.1787227087293998</v>
      </c>
      <c r="T153" s="5">
        <v>-0.1515367418599064</v>
      </c>
      <c r="U153" s="5">
        <v>0.56563895995336266</v>
      </c>
      <c r="V153" s="5">
        <v>0.95060729125581189</v>
      </c>
      <c r="W153" s="5">
        <v>0.59968569612585709</v>
      </c>
      <c r="X153" s="5">
        <v>1.032605597746618</v>
      </c>
      <c r="Y153" s="5">
        <v>0.54961129207314707</v>
      </c>
      <c r="Z153" s="5">
        <v>4.2714096460831703</v>
      </c>
      <c r="AA153" s="5">
        <v>1.3154614679970931</v>
      </c>
    </row>
    <row r="154" spans="1:27" x14ac:dyDescent="0.25">
      <c r="A154" s="1">
        <v>42124</v>
      </c>
      <c r="B154" s="5">
        <v>1.0076439998231049E-2</v>
      </c>
      <c r="C154" s="5">
        <v>4.0700364198502308E-2</v>
      </c>
      <c r="D154" s="5">
        <v>-1.02772913772029E-2</v>
      </c>
      <c r="E154" s="5">
        <v>-1.375434119785468E-2</v>
      </c>
      <c r="F154" s="5">
        <v>7.5247846378144736E-3</v>
      </c>
      <c r="G154" s="5">
        <v>5.6446482600114312E-3</v>
      </c>
      <c r="H154">
        <v>-1</v>
      </c>
      <c r="I154">
        <v>1</v>
      </c>
      <c r="J154" s="5">
        <v>0</v>
      </c>
      <c r="K154" s="5">
        <v>1.02772913772029E-2</v>
      </c>
      <c r="L154" s="5">
        <v>0</v>
      </c>
      <c r="M154" s="5">
        <v>-1.375434119785468E-2</v>
      </c>
      <c r="N154" s="5">
        <v>7.5247846378144736E-3</v>
      </c>
      <c r="O154" s="5">
        <v>0</v>
      </c>
      <c r="P154" s="5">
        <v>-5.6446482600114312E-3</v>
      </c>
      <c r="Q154" s="5">
        <v>0</v>
      </c>
      <c r="R154" s="5">
        <v>0.54607484205887891</v>
      </c>
      <c r="S154" s="5">
        <v>0.1890000001066027</v>
      </c>
      <c r="T154" s="5">
        <v>-0.1515367418599064</v>
      </c>
      <c r="U154" s="5">
        <v>0.55188461875550798</v>
      </c>
      <c r="V154" s="5">
        <v>0.95813207589362637</v>
      </c>
      <c r="W154" s="5">
        <v>0.59968569612585709</v>
      </c>
      <c r="X154" s="5">
        <v>1.026960949486607</v>
      </c>
      <c r="Y154" s="5">
        <v>0.54961129207314707</v>
      </c>
      <c r="Z154" s="5">
        <v>4.2698127326403217</v>
      </c>
      <c r="AA154" s="5">
        <v>1.325537907995324</v>
      </c>
    </row>
    <row r="155" spans="1:27" x14ac:dyDescent="0.25">
      <c r="A155" s="1">
        <v>42155</v>
      </c>
      <c r="B155" s="5">
        <v>1.3210959788658159E-2</v>
      </c>
      <c r="C155" s="5">
        <v>6.6433131479410545E-2</v>
      </c>
      <c r="D155" s="5">
        <v>-1.0989403091400731E-2</v>
      </c>
      <c r="E155" s="5">
        <v>1.9572630201509119E-2</v>
      </c>
      <c r="F155" s="5">
        <v>2.1098173458458098E-3</v>
      </c>
      <c r="G155" s="5">
        <v>-2.7963484076485409E-2</v>
      </c>
      <c r="H155">
        <v>-1</v>
      </c>
      <c r="I155">
        <v>1</v>
      </c>
      <c r="J155" s="5">
        <v>0</v>
      </c>
      <c r="K155" s="5">
        <v>1.0989403091400731E-2</v>
      </c>
      <c r="L155" s="5">
        <v>0</v>
      </c>
      <c r="M155" s="5">
        <v>1.9572630201509119E-2</v>
      </c>
      <c r="N155" s="5">
        <v>2.1098173458458098E-3</v>
      </c>
      <c r="O155" s="5">
        <v>0</v>
      </c>
      <c r="P155" s="5">
        <v>2.7963484076485409E-2</v>
      </c>
      <c r="Q155" s="5">
        <v>0</v>
      </c>
      <c r="R155" s="5">
        <v>0.54607484205887891</v>
      </c>
      <c r="S155" s="5">
        <v>0.1999894031980034</v>
      </c>
      <c r="T155" s="5">
        <v>-0.1515367418599064</v>
      </c>
      <c r="U155" s="5">
        <v>0.57145724895701711</v>
      </c>
      <c r="V155" s="5">
        <v>0.96024189323947218</v>
      </c>
      <c r="W155" s="5">
        <v>0.59968569612585709</v>
      </c>
      <c r="X155" s="5">
        <v>1.0549244335630921</v>
      </c>
      <c r="Y155" s="5">
        <v>0.54961129207314707</v>
      </c>
      <c r="Z155" s="5">
        <v>4.3304480673555634</v>
      </c>
      <c r="AA155" s="5">
        <v>1.3387488677839821</v>
      </c>
    </row>
    <row r="156" spans="1:27" x14ac:dyDescent="0.25">
      <c r="A156" s="1">
        <v>42185</v>
      </c>
      <c r="B156" s="5">
        <v>-1.999443148365199E-2</v>
      </c>
      <c r="C156" s="5">
        <v>3.0529175514108942E-2</v>
      </c>
      <c r="D156" s="5">
        <v>-2.3539797459635969E-2</v>
      </c>
      <c r="E156" s="5">
        <v>-1.299328467325067E-2</v>
      </c>
      <c r="F156" s="5">
        <v>-6.4662059204348976E-3</v>
      </c>
      <c r="G156" s="5">
        <v>-3.9935359516292679E-2</v>
      </c>
      <c r="H156">
        <v>-1</v>
      </c>
      <c r="I156">
        <v>1</v>
      </c>
      <c r="J156" s="5">
        <v>0</v>
      </c>
      <c r="K156" s="5">
        <v>2.3539797459635969E-2</v>
      </c>
      <c r="L156" s="5">
        <v>0</v>
      </c>
      <c r="M156" s="5">
        <v>-1.299328467325067E-2</v>
      </c>
      <c r="N156" s="5">
        <v>-6.4662059204348976E-3</v>
      </c>
      <c r="O156" s="5">
        <v>0</v>
      </c>
      <c r="P156" s="5">
        <v>3.9935359516292679E-2</v>
      </c>
      <c r="Q156" s="5">
        <v>0</v>
      </c>
      <c r="R156" s="5">
        <v>0.54607484205887891</v>
      </c>
      <c r="S156" s="5">
        <v>0.2235292006576394</v>
      </c>
      <c r="T156" s="5">
        <v>-0.1515367418599064</v>
      </c>
      <c r="U156" s="5">
        <v>0.55846396428376643</v>
      </c>
      <c r="V156" s="5">
        <v>0.95377568731903728</v>
      </c>
      <c r="W156" s="5">
        <v>0.59968569612585709</v>
      </c>
      <c r="X156" s="5">
        <v>1.0948597930793851</v>
      </c>
      <c r="Y156" s="5">
        <v>0.54961129207314707</v>
      </c>
      <c r="Z156" s="5">
        <v>4.3744637337378052</v>
      </c>
      <c r="AA156" s="5">
        <v>1.3187544363003301</v>
      </c>
    </row>
    <row r="157" spans="1:27" x14ac:dyDescent="0.25">
      <c r="A157" s="1">
        <v>42216</v>
      </c>
      <c r="B157" s="5">
        <v>2.291519652568275E-2</v>
      </c>
      <c r="C157" s="5">
        <v>5.7816218896151739E-3</v>
      </c>
      <c r="D157" s="5">
        <v>-3.9377647304792429E-3</v>
      </c>
      <c r="E157" s="5">
        <v>2.4387677244413371E-2</v>
      </c>
      <c r="F157" s="5">
        <v>-6.2347198448615693E-3</v>
      </c>
      <c r="G157" s="5">
        <v>2.6354104450608928E-2</v>
      </c>
      <c r="H157">
        <v>-1</v>
      </c>
      <c r="I157">
        <v>1</v>
      </c>
      <c r="J157" s="5">
        <v>0</v>
      </c>
      <c r="K157" s="5">
        <v>3.9377647304792429E-3</v>
      </c>
      <c r="L157" s="5">
        <v>0</v>
      </c>
      <c r="M157" s="5">
        <v>2.4387677244413371E-2</v>
      </c>
      <c r="N157" s="5">
        <v>-6.2347198448615693E-3</v>
      </c>
      <c r="O157" s="5">
        <v>0</v>
      </c>
      <c r="P157" s="5">
        <v>-2.6354104450608928E-2</v>
      </c>
      <c r="Q157" s="5">
        <v>0</v>
      </c>
      <c r="R157" s="5">
        <v>0.54607484205887891</v>
      </c>
      <c r="S157" s="5">
        <v>0.22746696538811861</v>
      </c>
      <c r="T157" s="5">
        <v>-0.1515367418599064</v>
      </c>
      <c r="U157" s="5">
        <v>0.58285164152817981</v>
      </c>
      <c r="V157" s="5">
        <v>0.94754096747417571</v>
      </c>
      <c r="W157" s="5">
        <v>0.59968569612585709</v>
      </c>
      <c r="X157" s="5">
        <v>1.068505688628776</v>
      </c>
      <c r="Y157" s="5">
        <v>0.54961129207314707</v>
      </c>
      <c r="Z157" s="5">
        <v>4.3702003514172274</v>
      </c>
      <c r="AA157" s="5">
        <v>1.3416696328260129</v>
      </c>
    </row>
    <row r="158" spans="1:27" x14ac:dyDescent="0.25">
      <c r="A158" s="1">
        <v>42247</v>
      </c>
      <c r="B158" s="5">
        <v>-5.9941067269673957E-2</v>
      </c>
      <c r="C158" s="5">
        <v>-9.5053234565868228E-2</v>
      </c>
      <c r="D158" s="5">
        <v>1.2256986516175909E-3</v>
      </c>
      <c r="E158" s="5">
        <v>-3.9842418925482903E-2</v>
      </c>
      <c r="F158" s="5">
        <v>-1.2139613932236389E-2</v>
      </c>
      <c r="G158" s="5">
        <v>1.7084596687859999E-2</v>
      </c>
      <c r="H158">
        <v>1</v>
      </c>
      <c r="I158">
        <v>-1</v>
      </c>
      <c r="J158" s="5">
        <v>1.2256986516175909E-3</v>
      </c>
      <c r="K158" s="5">
        <v>0</v>
      </c>
      <c r="L158" s="5">
        <v>3.9842418925482903E-2</v>
      </c>
      <c r="M158" s="5">
        <v>0</v>
      </c>
      <c r="N158" s="5">
        <v>0</v>
      </c>
      <c r="O158" s="5">
        <v>1.2139613932236389E-2</v>
      </c>
      <c r="P158" s="5">
        <v>0</v>
      </c>
      <c r="Q158" s="5">
        <v>1.7084596687859999E-2</v>
      </c>
      <c r="R158" s="5">
        <v>0.5473005407104965</v>
      </c>
      <c r="S158" s="5">
        <v>0.22746696538811861</v>
      </c>
      <c r="T158" s="5">
        <v>-0.1116943229344235</v>
      </c>
      <c r="U158" s="5">
        <v>0.58285164152817981</v>
      </c>
      <c r="V158" s="5">
        <v>0.94754096747417571</v>
      </c>
      <c r="W158" s="5">
        <v>0.61182531005809349</v>
      </c>
      <c r="X158" s="5">
        <v>1.068505688628776</v>
      </c>
      <c r="Y158" s="5">
        <v>0.56669588876100707</v>
      </c>
      <c r="Z158" s="5">
        <v>4.4404926796144242</v>
      </c>
      <c r="AA158" s="5">
        <v>1.2817285655563391</v>
      </c>
    </row>
    <row r="159" spans="1:27" x14ac:dyDescent="0.25">
      <c r="A159" s="1">
        <v>42277</v>
      </c>
      <c r="B159" s="5">
        <v>-2.3815406699211339E-2</v>
      </c>
      <c r="C159" s="5">
        <v>-1.8512720588261589E-2</v>
      </c>
      <c r="D159" s="5">
        <v>-1.132755944735753E-2</v>
      </c>
      <c r="E159" s="5">
        <v>1.456386985989111E-2</v>
      </c>
      <c r="F159" s="5">
        <v>-1.5604871417507221E-4</v>
      </c>
      <c r="G159" s="5">
        <v>-2.1452623970372731E-3</v>
      </c>
      <c r="H159">
        <v>1</v>
      </c>
      <c r="I159">
        <v>-1</v>
      </c>
      <c r="J159" s="5">
        <v>-1.132755944735753E-2</v>
      </c>
      <c r="K159" s="5">
        <v>0</v>
      </c>
      <c r="L159" s="5">
        <v>-1.456386985989111E-2</v>
      </c>
      <c r="M159" s="5">
        <v>0</v>
      </c>
      <c r="N159" s="5">
        <v>0</v>
      </c>
      <c r="O159" s="5">
        <v>1.5604871417507221E-4</v>
      </c>
      <c r="P159" s="5">
        <v>0</v>
      </c>
      <c r="Q159" s="5">
        <v>-2.1452623970372731E-3</v>
      </c>
      <c r="R159" s="5">
        <v>0.53597298126313897</v>
      </c>
      <c r="S159" s="5">
        <v>0.22746696538811861</v>
      </c>
      <c r="T159" s="5">
        <v>-0.12625819279431461</v>
      </c>
      <c r="U159" s="5">
        <v>0.58285164152817981</v>
      </c>
      <c r="V159" s="5">
        <v>0.94754096747417571</v>
      </c>
      <c r="W159" s="5">
        <v>0.61198135877226856</v>
      </c>
      <c r="X159" s="5">
        <v>1.068505688628776</v>
      </c>
      <c r="Y159" s="5">
        <v>0.5645506263639698</v>
      </c>
      <c r="Z159" s="5">
        <v>4.4126120366243136</v>
      </c>
      <c r="AA159" s="5">
        <v>1.257913158857128</v>
      </c>
    </row>
    <row r="160" spans="1:27" x14ac:dyDescent="0.25">
      <c r="A160" s="1">
        <v>42308</v>
      </c>
      <c r="B160" s="5">
        <v>8.244375896495082E-2</v>
      </c>
      <c r="C160" s="5">
        <v>4.5967576081062389E-2</v>
      </c>
      <c r="D160" s="5">
        <v>2.9955780458010062E-2</v>
      </c>
      <c r="E160" s="5">
        <v>-1.0063631861960579E-2</v>
      </c>
      <c r="F160" s="5">
        <v>4.0106236160467823E-2</v>
      </c>
      <c r="G160" s="5">
        <v>-2.252146416927725E-3</v>
      </c>
      <c r="H160">
        <v>-1</v>
      </c>
      <c r="I160">
        <v>1</v>
      </c>
      <c r="J160" s="5">
        <v>0</v>
      </c>
      <c r="K160" s="5">
        <v>-2.9955780458010062E-2</v>
      </c>
      <c r="L160" s="5">
        <v>0</v>
      </c>
      <c r="M160" s="5">
        <v>-1.0063631861960579E-2</v>
      </c>
      <c r="N160" s="5">
        <v>4.0106236160467823E-2</v>
      </c>
      <c r="O160" s="5">
        <v>0</v>
      </c>
      <c r="P160" s="5">
        <v>2.252146416927725E-3</v>
      </c>
      <c r="Q160" s="5">
        <v>0</v>
      </c>
      <c r="R160" s="5">
        <v>0.53597298126313897</v>
      </c>
      <c r="S160" s="5">
        <v>0.19751118493010861</v>
      </c>
      <c r="T160" s="5">
        <v>-0.12625819279431461</v>
      </c>
      <c r="U160" s="5">
        <v>0.57278800966621923</v>
      </c>
      <c r="V160" s="5">
        <v>0.98764720363464353</v>
      </c>
      <c r="W160" s="5">
        <v>0.61198135877226856</v>
      </c>
      <c r="X160" s="5">
        <v>1.0707578350457041</v>
      </c>
      <c r="Y160" s="5">
        <v>0.5645506263639698</v>
      </c>
      <c r="Z160" s="5">
        <v>4.4149510068817381</v>
      </c>
      <c r="AA160" s="5">
        <v>1.340356917822078</v>
      </c>
    </row>
    <row r="161" spans="1:27" x14ac:dyDescent="0.25">
      <c r="A161" s="1">
        <v>42338</v>
      </c>
      <c r="B161" s="5">
        <v>4.2005274279182103E-3</v>
      </c>
      <c r="C161" s="5">
        <v>2.39001084594842E-2</v>
      </c>
      <c r="D161" s="5">
        <v>-2.9554862496583571E-3</v>
      </c>
      <c r="E161" s="5">
        <v>8.2840483726148717E-3</v>
      </c>
      <c r="F161" s="5">
        <v>1.017544296332662E-2</v>
      </c>
      <c r="G161" s="5">
        <v>-2.893646186995524E-2</v>
      </c>
      <c r="H161">
        <v>-1</v>
      </c>
      <c r="I161">
        <v>1</v>
      </c>
      <c r="J161" s="5">
        <v>0</v>
      </c>
      <c r="K161" s="5">
        <v>2.9554862496583571E-3</v>
      </c>
      <c r="L161" s="5">
        <v>0</v>
      </c>
      <c r="M161" s="5">
        <v>8.2840483726148717E-3</v>
      </c>
      <c r="N161" s="5">
        <v>1.017544296332662E-2</v>
      </c>
      <c r="O161" s="5">
        <v>0</v>
      </c>
      <c r="P161" s="5">
        <v>2.893646186995524E-2</v>
      </c>
      <c r="Q161" s="5">
        <v>0</v>
      </c>
      <c r="R161" s="5">
        <v>0.53597298126313897</v>
      </c>
      <c r="S161" s="5">
        <v>0.20046667117976691</v>
      </c>
      <c r="T161" s="5">
        <v>-0.12625819279431461</v>
      </c>
      <c r="U161" s="5">
        <v>0.5810720580388341</v>
      </c>
      <c r="V161" s="5">
        <v>0.99782264659797015</v>
      </c>
      <c r="W161" s="5">
        <v>0.61198135877226856</v>
      </c>
      <c r="X161" s="5">
        <v>1.0996942969156589</v>
      </c>
      <c r="Y161" s="5">
        <v>0.5645506263639698</v>
      </c>
      <c r="Z161" s="5">
        <v>4.4653024463372937</v>
      </c>
      <c r="AA161" s="5">
        <v>1.344557445249996</v>
      </c>
    </row>
    <row r="162" spans="1:27" x14ac:dyDescent="0.25">
      <c r="A162" s="1">
        <v>42369</v>
      </c>
      <c r="B162" s="5">
        <v>-1.6045687955071442E-2</v>
      </c>
      <c r="C162" s="5">
        <v>-4.4432753426562721E-2</v>
      </c>
      <c r="D162" s="5">
        <v>1.110289197179193E-2</v>
      </c>
      <c r="E162" s="5">
        <v>-1.917576938613685E-2</v>
      </c>
      <c r="F162" s="5">
        <v>-1.2277230473923819E-3</v>
      </c>
      <c r="G162" s="5">
        <v>5.1370013121722069E-3</v>
      </c>
      <c r="H162">
        <v>1</v>
      </c>
      <c r="I162">
        <v>-1</v>
      </c>
      <c r="J162" s="5">
        <v>1.110289197179193E-2</v>
      </c>
      <c r="K162" s="5">
        <v>0</v>
      </c>
      <c r="L162" s="5">
        <v>1.917576938613685E-2</v>
      </c>
      <c r="M162" s="5">
        <v>0</v>
      </c>
      <c r="N162" s="5">
        <v>0</v>
      </c>
      <c r="O162" s="5">
        <v>1.2277230473923819E-3</v>
      </c>
      <c r="P162" s="5">
        <v>0</v>
      </c>
      <c r="Q162" s="5">
        <v>5.1370013121722069E-3</v>
      </c>
      <c r="R162" s="5">
        <v>0.5470758732349309</v>
      </c>
      <c r="S162" s="5">
        <v>0.20046667117976691</v>
      </c>
      <c r="T162" s="5">
        <v>-0.10708242340817779</v>
      </c>
      <c r="U162" s="5">
        <v>0.5810720580388341</v>
      </c>
      <c r="V162" s="5">
        <v>0.99782264659797015</v>
      </c>
      <c r="W162" s="5">
        <v>0.61320908181966094</v>
      </c>
      <c r="X162" s="5">
        <v>1.0996942969156589</v>
      </c>
      <c r="Y162" s="5">
        <v>0.56968762767614201</v>
      </c>
      <c r="Z162" s="5">
        <v>4.5019458320547869</v>
      </c>
      <c r="AA162" s="5">
        <v>1.328511757294925</v>
      </c>
    </row>
    <row r="163" spans="1:27" x14ac:dyDescent="0.25">
      <c r="A163" s="1">
        <v>42400</v>
      </c>
      <c r="B163" s="5">
        <v>-4.893896819217336E-2</v>
      </c>
      <c r="C163" s="5">
        <v>-0.1260287074054611</v>
      </c>
      <c r="D163" s="5">
        <v>3.2346172411818697E-2</v>
      </c>
      <c r="E163" s="5">
        <v>1.0142799497257941E-2</v>
      </c>
      <c r="F163" s="5">
        <v>-5.9870587702059892E-2</v>
      </c>
      <c r="G163" s="5">
        <v>2.2928751948025131E-2</v>
      </c>
      <c r="H163">
        <v>1</v>
      </c>
      <c r="I163">
        <v>-1</v>
      </c>
      <c r="J163" s="5">
        <v>3.2346172411818697E-2</v>
      </c>
      <c r="K163" s="5">
        <v>0</v>
      </c>
      <c r="L163" s="5">
        <v>-1.0142799497257941E-2</v>
      </c>
      <c r="M163" s="5">
        <v>0</v>
      </c>
      <c r="N163" s="5">
        <v>0</v>
      </c>
      <c r="O163" s="5">
        <v>5.9870587702059892E-2</v>
      </c>
      <c r="P163" s="5">
        <v>0</v>
      </c>
      <c r="Q163" s="5">
        <v>2.2928751948025131E-2</v>
      </c>
      <c r="R163" s="5">
        <v>0.57942204564674959</v>
      </c>
      <c r="S163" s="5">
        <v>0.20046667117976691</v>
      </c>
      <c r="T163" s="5">
        <v>-0.1172252229054357</v>
      </c>
      <c r="U163" s="5">
        <v>0.5810720580388341</v>
      </c>
      <c r="V163" s="5">
        <v>0.99782264659797015</v>
      </c>
      <c r="W163" s="5">
        <v>0.67307966952172082</v>
      </c>
      <c r="X163" s="5">
        <v>1.0996942969156589</v>
      </c>
      <c r="Y163" s="5">
        <v>0.59261637962416713</v>
      </c>
      <c r="Z163" s="5">
        <v>4.6069485446194332</v>
      </c>
      <c r="AA163" s="5">
        <v>1.279572789102752</v>
      </c>
    </row>
    <row r="164" spans="1:27" x14ac:dyDescent="0.25">
      <c r="A164" s="1">
        <v>42429</v>
      </c>
      <c r="B164" s="5">
        <v>5.0973654427199921E-4</v>
      </c>
      <c r="C164" s="5">
        <v>-2.429507059934544E-2</v>
      </c>
      <c r="D164" s="5">
        <v>-6.0867819742838059E-3</v>
      </c>
      <c r="E164" s="5">
        <v>3.7787520955612219E-4</v>
      </c>
      <c r="F164" s="5">
        <v>-2.9870443812911481E-2</v>
      </c>
      <c r="G164" s="5">
        <v>1.320936436187858E-2</v>
      </c>
      <c r="H164">
        <v>1</v>
      </c>
      <c r="I164">
        <v>-1</v>
      </c>
      <c r="J164" s="5">
        <v>-6.0867819742838059E-3</v>
      </c>
      <c r="K164" s="5">
        <v>0</v>
      </c>
      <c r="L164" s="5">
        <v>-3.7787520955612219E-4</v>
      </c>
      <c r="M164" s="5">
        <v>0</v>
      </c>
      <c r="N164" s="5">
        <v>0</v>
      </c>
      <c r="O164" s="5">
        <v>2.9870443812911481E-2</v>
      </c>
      <c r="P164" s="5">
        <v>0</v>
      </c>
      <c r="Q164" s="5">
        <v>1.320936436187858E-2</v>
      </c>
      <c r="R164" s="5">
        <v>0.57333526367246579</v>
      </c>
      <c r="S164" s="5">
        <v>0.20046667117976691</v>
      </c>
      <c r="T164" s="5">
        <v>-0.1176030981149918</v>
      </c>
      <c r="U164" s="5">
        <v>0.5810720580388341</v>
      </c>
      <c r="V164" s="5">
        <v>0.99782264659797015</v>
      </c>
      <c r="W164" s="5">
        <v>0.70295011333463231</v>
      </c>
      <c r="X164" s="5">
        <v>1.0996942969156589</v>
      </c>
      <c r="Y164" s="5">
        <v>0.60582574398604572</v>
      </c>
      <c r="Z164" s="5">
        <v>4.643563695610383</v>
      </c>
      <c r="AA164" s="5">
        <v>1.280082525647023</v>
      </c>
    </row>
    <row r="165" spans="1:27" x14ac:dyDescent="0.25">
      <c r="A165" s="1">
        <v>42460</v>
      </c>
      <c r="B165" s="5">
        <v>6.5722634548337044E-2</v>
      </c>
      <c r="C165" s="5">
        <v>8.1690868657139482E-2</v>
      </c>
      <c r="D165" s="5">
        <v>4.2222733110776067E-3</v>
      </c>
      <c r="E165" s="5">
        <v>1.983888334525696E-2</v>
      </c>
      <c r="F165" s="5">
        <v>3.597166866950019E-2</v>
      </c>
      <c r="G165" s="5">
        <v>-1.6560875635107889E-2</v>
      </c>
      <c r="H165">
        <v>-1</v>
      </c>
      <c r="I165">
        <v>1</v>
      </c>
      <c r="J165" s="5">
        <v>0</v>
      </c>
      <c r="K165" s="5">
        <v>-4.2222733110776067E-3</v>
      </c>
      <c r="L165" s="5">
        <v>0</v>
      </c>
      <c r="M165" s="5">
        <v>1.983888334525696E-2</v>
      </c>
      <c r="N165" s="5">
        <v>3.597166866950019E-2</v>
      </c>
      <c r="O165" s="5">
        <v>0</v>
      </c>
      <c r="P165" s="5">
        <v>1.6560875635107889E-2</v>
      </c>
      <c r="Q165" s="5">
        <v>0</v>
      </c>
      <c r="R165" s="5">
        <v>0.57333526367246579</v>
      </c>
      <c r="S165" s="5">
        <v>0.1962443978686893</v>
      </c>
      <c r="T165" s="5">
        <v>-0.1176030981149918</v>
      </c>
      <c r="U165" s="5">
        <v>0.60091094138409107</v>
      </c>
      <c r="V165" s="5">
        <v>1.03379431526747</v>
      </c>
      <c r="W165" s="5">
        <v>0.70295011333463231</v>
      </c>
      <c r="X165" s="5">
        <v>1.116255172550767</v>
      </c>
      <c r="Y165" s="5">
        <v>0.60582574398604572</v>
      </c>
      <c r="Z165" s="5">
        <v>4.7117128499491701</v>
      </c>
      <c r="AA165" s="5">
        <v>1.34580516019536</v>
      </c>
    </row>
    <row r="166" spans="1:27" x14ac:dyDescent="0.25">
      <c r="A166" s="1">
        <v>42490</v>
      </c>
      <c r="B166" s="5">
        <v>4.3490579523587369E-3</v>
      </c>
      <c r="C166" s="5">
        <v>2.9385404665815181E-2</v>
      </c>
      <c r="D166" s="5">
        <v>-1.265304430357372E-2</v>
      </c>
      <c r="E166" s="5">
        <v>5.4310578217547922E-3</v>
      </c>
      <c r="F166" s="5">
        <v>-7.4587903043831227E-3</v>
      </c>
      <c r="G166" s="5">
        <v>1.9238963613289028E-2</v>
      </c>
      <c r="H166">
        <v>-1</v>
      </c>
      <c r="I166">
        <v>1</v>
      </c>
      <c r="J166" s="5">
        <v>0</v>
      </c>
      <c r="K166" s="5">
        <v>1.265304430357372E-2</v>
      </c>
      <c r="L166" s="5">
        <v>0</v>
      </c>
      <c r="M166" s="5">
        <v>5.4310578217547922E-3</v>
      </c>
      <c r="N166" s="5">
        <v>-7.4587903043831227E-3</v>
      </c>
      <c r="O166" s="5">
        <v>0</v>
      </c>
      <c r="P166" s="5">
        <v>-1.9238963613289028E-2</v>
      </c>
      <c r="Q166" s="5">
        <v>0</v>
      </c>
      <c r="R166" s="5">
        <v>0.57333526367246579</v>
      </c>
      <c r="S166" s="5">
        <v>0.208897442172263</v>
      </c>
      <c r="T166" s="5">
        <v>-0.1176030981149918</v>
      </c>
      <c r="U166" s="5">
        <v>0.60634199920584586</v>
      </c>
      <c r="V166" s="5">
        <v>1.026335524963087</v>
      </c>
      <c r="W166" s="5">
        <v>0.70295011333463231</v>
      </c>
      <c r="X166" s="5">
        <v>1.097016208937478</v>
      </c>
      <c r="Y166" s="5">
        <v>0.60582574398604572</v>
      </c>
      <c r="Z166" s="5">
        <v>4.703099198156826</v>
      </c>
      <c r="AA166" s="5">
        <v>1.3501542181477191</v>
      </c>
    </row>
    <row r="167" spans="1:27" x14ac:dyDescent="0.25">
      <c r="A167" s="1">
        <v>42521</v>
      </c>
      <c r="B167" s="5">
        <v>1.7356073648830961E-2</v>
      </c>
      <c r="C167" s="5">
        <v>-1.205992884582485E-2</v>
      </c>
      <c r="D167" s="5">
        <v>2.106612089009496E-2</v>
      </c>
      <c r="E167" s="5">
        <v>1.13567959260763E-4</v>
      </c>
      <c r="F167" s="5">
        <v>-2.868858305555833E-3</v>
      </c>
      <c r="G167" s="5">
        <v>1.0423757096097001E-2</v>
      </c>
      <c r="H167">
        <v>1</v>
      </c>
      <c r="I167">
        <v>-1</v>
      </c>
      <c r="J167" s="5">
        <v>2.106612089009496E-2</v>
      </c>
      <c r="K167" s="5">
        <v>0</v>
      </c>
      <c r="L167" s="5">
        <v>-1.13567959260763E-4</v>
      </c>
      <c r="M167" s="5">
        <v>0</v>
      </c>
      <c r="N167" s="5">
        <v>0</v>
      </c>
      <c r="O167" s="5">
        <v>2.868858305555833E-3</v>
      </c>
      <c r="P167" s="5">
        <v>0</v>
      </c>
      <c r="Q167" s="5">
        <v>1.0423757096097001E-2</v>
      </c>
      <c r="R167" s="5">
        <v>0.59440138456256075</v>
      </c>
      <c r="S167" s="5">
        <v>0.208897442172263</v>
      </c>
      <c r="T167" s="5">
        <v>-0.1177166660742526</v>
      </c>
      <c r="U167" s="5">
        <v>0.60634199920584586</v>
      </c>
      <c r="V167" s="5">
        <v>1.026335524963087</v>
      </c>
      <c r="W167" s="5">
        <v>0.70581897164018814</v>
      </c>
      <c r="X167" s="5">
        <v>1.097016208937478</v>
      </c>
      <c r="Y167" s="5">
        <v>0.61624950108214271</v>
      </c>
      <c r="Z167" s="5">
        <v>4.7373443664893129</v>
      </c>
      <c r="AA167" s="5">
        <v>1.36751029179655</v>
      </c>
    </row>
    <row r="168" spans="1:27" x14ac:dyDescent="0.25">
      <c r="A168" s="1">
        <v>42551</v>
      </c>
      <c r="B168" s="5">
        <v>4.9201553360302963E-3</v>
      </c>
      <c r="C168" s="5">
        <v>-2.9380467250977201E-2</v>
      </c>
      <c r="D168" s="5">
        <v>6.2817121259411968E-3</v>
      </c>
      <c r="E168" s="5">
        <v>4.0119449549675612E-2</v>
      </c>
      <c r="F168" s="5">
        <v>8.7554909606043507E-3</v>
      </c>
      <c r="G168" s="5">
        <v>2.0489683877083501E-2</v>
      </c>
      <c r="H168">
        <v>1</v>
      </c>
      <c r="I168">
        <v>-1</v>
      </c>
      <c r="J168" s="5">
        <v>6.2817121259411968E-3</v>
      </c>
      <c r="K168" s="5">
        <v>0</v>
      </c>
      <c r="L168" s="5">
        <v>-4.0119449549675612E-2</v>
      </c>
      <c r="M168" s="5">
        <v>0</v>
      </c>
      <c r="N168" s="5">
        <v>0</v>
      </c>
      <c r="O168" s="5">
        <v>-8.7554909606043507E-3</v>
      </c>
      <c r="P168" s="5">
        <v>0</v>
      </c>
      <c r="Q168" s="5">
        <v>2.0489683877083501E-2</v>
      </c>
      <c r="R168" s="5">
        <v>0.60068309668850195</v>
      </c>
      <c r="S168" s="5">
        <v>0.208897442172263</v>
      </c>
      <c r="T168" s="5">
        <v>-0.15783611562392821</v>
      </c>
      <c r="U168" s="5">
        <v>0.60634199920584586</v>
      </c>
      <c r="V168" s="5">
        <v>1.026335524963087</v>
      </c>
      <c r="W168" s="5">
        <v>0.69706348067958379</v>
      </c>
      <c r="X168" s="5">
        <v>1.097016208937478</v>
      </c>
      <c r="Y168" s="5">
        <v>0.63673918495922621</v>
      </c>
      <c r="Z168" s="5">
        <v>4.7152408219820572</v>
      </c>
      <c r="AA168" s="5">
        <v>1.372430447132581</v>
      </c>
    </row>
    <row r="169" spans="1:27" x14ac:dyDescent="0.25">
      <c r="A169" s="1">
        <v>42582</v>
      </c>
      <c r="B169" s="5">
        <v>3.6063169006845808E-2</v>
      </c>
      <c r="C169" s="5">
        <v>3.486704973369259E-2</v>
      </c>
      <c r="D169" s="5">
        <v>-5.4633164049966432E-4</v>
      </c>
      <c r="E169" s="5">
        <v>1.9804518498064749E-2</v>
      </c>
      <c r="F169" s="5">
        <v>1.51754701382486E-2</v>
      </c>
      <c r="G169" s="5">
        <v>3.5317115666249177E-2</v>
      </c>
      <c r="H169">
        <v>-1</v>
      </c>
      <c r="I169">
        <v>1</v>
      </c>
      <c r="J169" s="5">
        <v>0</v>
      </c>
      <c r="K169" s="5">
        <v>5.4633164049966432E-4</v>
      </c>
      <c r="L169" s="5">
        <v>0</v>
      </c>
      <c r="M169" s="5">
        <v>1.9804518498064749E-2</v>
      </c>
      <c r="N169" s="5">
        <v>1.51754701382486E-2</v>
      </c>
      <c r="O169" s="5">
        <v>0</v>
      </c>
      <c r="P169" s="5">
        <v>-3.5317115666249177E-2</v>
      </c>
      <c r="Q169" s="5">
        <v>0</v>
      </c>
      <c r="R169" s="5">
        <v>0.60068309668850195</v>
      </c>
      <c r="S169" s="5">
        <v>0.20944377381276269</v>
      </c>
      <c r="T169" s="5">
        <v>-0.15783611562392821</v>
      </c>
      <c r="U169" s="5">
        <v>0.62614651770391061</v>
      </c>
      <c r="V169" s="5">
        <v>1.0415109951013359</v>
      </c>
      <c r="W169" s="5">
        <v>0.69706348067958379</v>
      </c>
      <c r="X169" s="5">
        <v>1.061699093271228</v>
      </c>
      <c r="Y169" s="5">
        <v>0.63673918495922621</v>
      </c>
      <c r="Z169" s="5">
        <v>4.7154500265926211</v>
      </c>
      <c r="AA169" s="5">
        <v>1.4084936161394259</v>
      </c>
    </row>
    <row r="170" spans="1:27" x14ac:dyDescent="0.25">
      <c r="A170" s="1">
        <v>42613</v>
      </c>
      <c r="B170" s="5">
        <v>1.327988864660679E-3</v>
      </c>
      <c r="C170" s="5">
        <v>2.4720299304343159E-2</v>
      </c>
      <c r="D170" s="5">
        <v>-5.2871165644816642E-3</v>
      </c>
      <c r="E170" s="5">
        <v>8.4876349859683842E-3</v>
      </c>
      <c r="F170" s="5">
        <v>4.9292530344248187E-3</v>
      </c>
      <c r="G170" s="5">
        <v>-2.3450319077065521E-2</v>
      </c>
      <c r="H170">
        <v>-1</v>
      </c>
      <c r="I170">
        <v>1</v>
      </c>
      <c r="J170" s="5">
        <v>0</v>
      </c>
      <c r="K170" s="5">
        <v>5.2871165644816642E-3</v>
      </c>
      <c r="L170" s="5">
        <v>0</v>
      </c>
      <c r="M170" s="5">
        <v>8.4876349859683842E-3</v>
      </c>
      <c r="N170" s="5">
        <v>4.9292530344248187E-3</v>
      </c>
      <c r="O170" s="5">
        <v>0</v>
      </c>
      <c r="P170" s="5">
        <v>2.3450319077065521E-2</v>
      </c>
      <c r="Q170" s="5">
        <v>0</v>
      </c>
      <c r="R170" s="5">
        <v>0.60068309668850195</v>
      </c>
      <c r="S170" s="5">
        <v>0.21473089037724441</v>
      </c>
      <c r="T170" s="5">
        <v>-0.15783611562392821</v>
      </c>
      <c r="U170" s="5">
        <v>0.63463415268987899</v>
      </c>
      <c r="V170" s="5">
        <v>1.04644024813576</v>
      </c>
      <c r="W170" s="5">
        <v>0.69706348067958379</v>
      </c>
      <c r="X170" s="5">
        <v>1.0851494123482941</v>
      </c>
      <c r="Y170" s="5">
        <v>0.63673918495922621</v>
      </c>
      <c r="Z170" s="5">
        <v>4.757604350254562</v>
      </c>
      <c r="AA170" s="5">
        <v>1.409821605004087</v>
      </c>
    </row>
    <row r="171" spans="1:27" x14ac:dyDescent="0.25">
      <c r="A171" s="1">
        <v>42643</v>
      </c>
      <c r="B171" s="5">
        <v>8.6118396644774275E-4</v>
      </c>
      <c r="C171" s="5">
        <v>2.359152305777212E-2</v>
      </c>
      <c r="D171" s="5">
        <v>-3.9110735098819571E-3</v>
      </c>
      <c r="E171" s="5">
        <v>4.1738659614304341E-3</v>
      </c>
      <c r="F171" s="5">
        <v>5.2016034544544176E-3</v>
      </c>
      <c r="G171" s="5">
        <v>-1.302495633778589E-2</v>
      </c>
      <c r="H171">
        <v>-1</v>
      </c>
      <c r="I171">
        <v>1</v>
      </c>
      <c r="J171" s="5">
        <v>0</v>
      </c>
      <c r="K171" s="5">
        <v>3.9110735098819571E-3</v>
      </c>
      <c r="L171" s="5">
        <v>0</v>
      </c>
      <c r="M171" s="5">
        <v>4.1738659614304341E-3</v>
      </c>
      <c r="N171" s="5">
        <v>5.2016034544544176E-3</v>
      </c>
      <c r="O171" s="5">
        <v>0</v>
      </c>
      <c r="P171" s="5">
        <v>1.302495633778589E-2</v>
      </c>
      <c r="Q171" s="5">
        <v>0</v>
      </c>
      <c r="R171" s="5">
        <v>0.60068309668850195</v>
      </c>
      <c r="S171" s="5">
        <v>0.21864196388712631</v>
      </c>
      <c r="T171" s="5">
        <v>-0.15783611562392821</v>
      </c>
      <c r="U171" s="5">
        <v>0.63880801865130943</v>
      </c>
      <c r="V171" s="5">
        <v>1.0516418515902151</v>
      </c>
      <c r="W171" s="5">
        <v>0.69706348067958379</v>
      </c>
      <c r="X171" s="5">
        <v>1.0981743686860801</v>
      </c>
      <c r="Y171" s="5">
        <v>0.63673918495922621</v>
      </c>
      <c r="Z171" s="5">
        <v>4.7839158495181149</v>
      </c>
      <c r="AA171" s="5">
        <v>1.4106827889705349</v>
      </c>
    </row>
    <row r="172" spans="1:27" x14ac:dyDescent="0.25">
      <c r="A172" s="1">
        <v>42674</v>
      </c>
      <c r="B172" s="5">
        <v>-1.7301337565257091E-2</v>
      </c>
      <c r="C172" s="5">
        <v>1.834570302863936E-2</v>
      </c>
      <c r="D172" s="5">
        <v>-6.6807915872998391E-3</v>
      </c>
      <c r="E172" s="5">
        <v>-1.545608214240257E-2</v>
      </c>
      <c r="F172" s="5">
        <v>-5.8106249618687933E-3</v>
      </c>
      <c r="G172" s="5">
        <v>-2.455506134075669E-2</v>
      </c>
      <c r="H172">
        <v>-1</v>
      </c>
      <c r="I172">
        <v>1</v>
      </c>
      <c r="J172" s="5">
        <v>0</v>
      </c>
      <c r="K172" s="5">
        <v>6.6807915872998391E-3</v>
      </c>
      <c r="L172" s="5">
        <v>0</v>
      </c>
      <c r="M172" s="5">
        <v>-1.545608214240257E-2</v>
      </c>
      <c r="N172" s="5">
        <v>-5.8106249618687933E-3</v>
      </c>
      <c r="O172" s="5">
        <v>0</v>
      </c>
      <c r="P172" s="5">
        <v>2.455506134075669E-2</v>
      </c>
      <c r="Q172" s="5">
        <v>0</v>
      </c>
      <c r="R172" s="5">
        <v>0.60068309668850195</v>
      </c>
      <c r="S172" s="5">
        <v>0.22532275547442621</v>
      </c>
      <c r="T172" s="5">
        <v>-0.15783611562392821</v>
      </c>
      <c r="U172" s="5">
        <v>0.62335193650890686</v>
      </c>
      <c r="V172" s="5">
        <v>1.045831226628346</v>
      </c>
      <c r="W172" s="5">
        <v>0.69706348067958379</v>
      </c>
      <c r="X172" s="5">
        <v>1.1227294300268369</v>
      </c>
      <c r="Y172" s="5">
        <v>0.63673918495922621</v>
      </c>
      <c r="Z172" s="5">
        <v>4.7938849953418998</v>
      </c>
      <c r="AA172" s="5">
        <v>1.393381451405278</v>
      </c>
    </row>
    <row r="173" spans="1:27" x14ac:dyDescent="0.25">
      <c r="A173" s="1">
        <v>42704</v>
      </c>
      <c r="B173" s="5">
        <v>3.6644280050115219E-2</v>
      </c>
      <c r="C173" s="5">
        <v>0.1123803496879251</v>
      </c>
      <c r="D173" s="5">
        <v>1.0687822630213171E-3</v>
      </c>
      <c r="E173" s="5">
        <v>-7.362822759828358E-3</v>
      </c>
      <c r="F173" s="5">
        <v>3.1143198898775371E-3</v>
      </c>
      <c r="G173" s="5">
        <v>-2.7898768710785671E-3</v>
      </c>
      <c r="H173">
        <v>-1</v>
      </c>
      <c r="I173">
        <v>1</v>
      </c>
      <c r="J173" s="5">
        <v>0</v>
      </c>
      <c r="K173" s="5">
        <v>-1.0687822630213171E-3</v>
      </c>
      <c r="L173" s="5">
        <v>0</v>
      </c>
      <c r="M173" s="5">
        <v>-7.362822759828358E-3</v>
      </c>
      <c r="N173" s="5">
        <v>3.1143198898775371E-3</v>
      </c>
      <c r="O173" s="5">
        <v>0</v>
      </c>
      <c r="P173" s="5">
        <v>2.7898768710785671E-3</v>
      </c>
      <c r="Q173" s="5">
        <v>0</v>
      </c>
      <c r="R173" s="5">
        <v>0.60068309668850195</v>
      </c>
      <c r="S173" s="5">
        <v>0.22425397321140481</v>
      </c>
      <c r="T173" s="5">
        <v>-0.15783611562392821</v>
      </c>
      <c r="U173" s="5">
        <v>0.6159891137490785</v>
      </c>
      <c r="V173" s="5">
        <v>1.048945546518224</v>
      </c>
      <c r="W173" s="5">
        <v>0.69706348067958379</v>
      </c>
      <c r="X173" s="5">
        <v>1.125519306897915</v>
      </c>
      <c r="Y173" s="5">
        <v>0.63673918495922621</v>
      </c>
      <c r="Z173" s="5">
        <v>4.7913575870800056</v>
      </c>
      <c r="AA173" s="5">
        <v>1.430025731455393</v>
      </c>
    </row>
    <row r="174" spans="1:27" x14ac:dyDescent="0.25">
      <c r="A174" s="1">
        <v>42735</v>
      </c>
      <c r="B174" s="5">
        <v>2.0332742382785929E-2</v>
      </c>
      <c r="C174" s="5">
        <v>4.3811842608992513E-2</v>
      </c>
      <c r="D174" s="5">
        <v>-9.924179175015535E-3</v>
      </c>
      <c r="E174" s="5">
        <v>9.3956542307194191E-3</v>
      </c>
      <c r="F174" s="5">
        <v>1.9082515787233412E-2</v>
      </c>
      <c r="G174" s="5">
        <v>3.472957598629645E-3</v>
      </c>
      <c r="H174">
        <v>-1</v>
      </c>
      <c r="I174">
        <v>1</v>
      </c>
      <c r="J174" s="5">
        <v>0</v>
      </c>
      <c r="K174" s="5">
        <v>9.924179175015535E-3</v>
      </c>
      <c r="L174" s="5">
        <v>0</v>
      </c>
      <c r="M174" s="5">
        <v>9.3956542307194191E-3</v>
      </c>
      <c r="N174" s="5">
        <v>1.9082515787233412E-2</v>
      </c>
      <c r="O174" s="5">
        <v>0</v>
      </c>
      <c r="P174" s="5">
        <v>-3.472957598629645E-3</v>
      </c>
      <c r="Q174" s="5">
        <v>0</v>
      </c>
      <c r="R174" s="5">
        <v>0.60068309668850195</v>
      </c>
      <c r="S174" s="5">
        <v>0.2341781523864204</v>
      </c>
      <c r="T174" s="5">
        <v>-0.15783611562392821</v>
      </c>
      <c r="U174" s="5">
        <v>0.62538476797979792</v>
      </c>
      <c r="V174" s="5">
        <v>1.068028062305457</v>
      </c>
      <c r="W174" s="5">
        <v>0.69706348067958379</v>
      </c>
      <c r="X174" s="5">
        <v>1.122046349299286</v>
      </c>
      <c r="Y174" s="5">
        <v>0.63673918495922621</v>
      </c>
      <c r="Z174" s="5">
        <v>4.8262869786743448</v>
      </c>
      <c r="AA174" s="5">
        <v>1.450358473838179</v>
      </c>
    </row>
    <row r="175" spans="1:27" x14ac:dyDescent="0.25">
      <c r="A175" s="1">
        <v>42766</v>
      </c>
      <c r="B175" s="5">
        <v>1.7909787564629579E-2</v>
      </c>
      <c r="C175" s="5">
        <v>7.8350574623903269E-3</v>
      </c>
      <c r="D175" s="5">
        <v>-2.4923827839817841E-4</v>
      </c>
      <c r="E175" s="5">
        <v>-1.626381046712644E-3</v>
      </c>
      <c r="F175" s="5">
        <v>1.308177553893897E-2</v>
      </c>
      <c r="G175" s="5">
        <v>2.2623204059827321E-2</v>
      </c>
      <c r="H175">
        <v>-1</v>
      </c>
      <c r="I175">
        <v>1</v>
      </c>
      <c r="J175" s="5">
        <v>0</v>
      </c>
      <c r="K175" s="5">
        <v>2.4923827839817841E-4</v>
      </c>
      <c r="L175" s="5">
        <v>0</v>
      </c>
      <c r="M175" s="5">
        <v>-1.626381046712644E-3</v>
      </c>
      <c r="N175" s="5">
        <v>1.308177553893897E-2</v>
      </c>
      <c r="O175" s="5">
        <v>0</v>
      </c>
      <c r="P175" s="5">
        <v>-2.2623204059827321E-2</v>
      </c>
      <c r="Q175" s="5">
        <v>0</v>
      </c>
      <c r="R175" s="5">
        <v>0.60068309668850195</v>
      </c>
      <c r="S175" s="5">
        <v>0.23442739066481849</v>
      </c>
      <c r="T175" s="5">
        <v>-0.15783611562392821</v>
      </c>
      <c r="U175" s="5">
        <v>0.62375838693308527</v>
      </c>
      <c r="V175" s="5">
        <v>1.081109837844396</v>
      </c>
      <c r="W175" s="5">
        <v>0.69706348067958379</v>
      </c>
      <c r="X175" s="5">
        <v>1.0994231452394581</v>
      </c>
      <c r="Y175" s="5">
        <v>0.63673918495922621</v>
      </c>
      <c r="Z175" s="5">
        <v>4.8153684073851419</v>
      </c>
      <c r="AA175" s="5">
        <v>1.468268261402808</v>
      </c>
    </row>
    <row r="176" spans="1:27" x14ac:dyDescent="0.25">
      <c r="A176" s="1">
        <v>42794</v>
      </c>
      <c r="B176" s="5">
        <v>3.8652960984199791E-2</v>
      </c>
      <c r="C176" s="5">
        <v>3.363690616106163E-2</v>
      </c>
      <c r="D176" s="5">
        <v>8.1001466830965541E-4</v>
      </c>
      <c r="E176" s="5">
        <v>1.190613000962293E-2</v>
      </c>
      <c r="F176" s="5">
        <v>6.2035128732260691E-3</v>
      </c>
      <c r="G176" s="5">
        <v>6.3781037094839954E-3</v>
      </c>
      <c r="H176">
        <v>-1</v>
      </c>
      <c r="I176">
        <v>1</v>
      </c>
      <c r="J176" s="5">
        <v>0</v>
      </c>
      <c r="K176" s="5">
        <v>-8.1001466830965541E-4</v>
      </c>
      <c r="L176" s="5">
        <v>0</v>
      </c>
      <c r="M176" s="5">
        <v>1.190613000962293E-2</v>
      </c>
      <c r="N176" s="5">
        <v>6.2035128732260691E-3</v>
      </c>
      <c r="O176" s="5">
        <v>0</v>
      </c>
      <c r="P176" s="5">
        <v>-6.3781037094839954E-3</v>
      </c>
      <c r="Q176" s="5">
        <v>0</v>
      </c>
      <c r="R176" s="5">
        <v>0.60068309668850195</v>
      </c>
      <c r="S176" s="5">
        <v>0.23361737599650889</v>
      </c>
      <c r="T176" s="5">
        <v>-0.15783611562392821</v>
      </c>
      <c r="U176" s="5">
        <v>0.6356645169427082</v>
      </c>
      <c r="V176" s="5">
        <v>1.087313350717622</v>
      </c>
      <c r="W176" s="5">
        <v>0.69706348067958379</v>
      </c>
      <c r="X176" s="5">
        <v>1.0930450415299751</v>
      </c>
      <c r="Y176" s="5">
        <v>0.63673918495922621</v>
      </c>
      <c r="Z176" s="5">
        <v>4.8262899318901971</v>
      </c>
      <c r="AA176" s="5">
        <v>1.5069212223870081</v>
      </c>
    </row>
    <row r="177" spans="1:27" x14ac:dyDescent="0.25">
      <c r="A177" s="1">
        <v>42825</v>
      </c>
      <c r="B177" s="5">
        <v>1.5544487504154381E-3</v>
      </c>
      <c r="C177" s="5">
        <v>3.8568077220263448E-3</v>
      </c>
      <c r="D177" s="5">
        <v>8.6017252817170986E-3</v>
      </c>
      <c r="E177" s="5">
        <v>4.8361162221480791E-3</v>
      </c>
      <c r="F177" s="5">
        <v>2.3646124910285948E-3</v>
      </c>
      <c r="G177" s="5">
        <v>-2.555827505283292E-2</v>
      </c>
      <c r="H177">
        <v>-1</v>
      </c>
      <c r="I177">
        <v>1</v>
      </c>
      <c r="J177" s="5">
        <v>0</v>
      </c>
      <c r="K177" s="5">
        <v>-8.6017252817170986E-3</v>
      </c>
      <c r="L177" s="5">
        <v>0</v>
      </c>
      <c r="M177" s="5">
        <v>4.8361162221480791E-3</v>
      </c>
      <c r="N177" s="5">
        <v>2.3646124910285948E-3</v>
      </c>
      <c r="O177" s="5">
        <v>0</v>
      </c>
      <c r="P177" s="5">
        <v>2.555827505283292E-2</v>
      </c>
      <c r="Q177" s="5">
        <v>0</v>
      </c>
      <c r="R177" s="5">
        <v>0.60068309668850195</v>
      </c>
      <c r="S177" s="5">
        <v>0.22501565071479179</v>
      </c>
      <c r="T177" s="5">
        <v>-0.15783611562392821</v>
      </c>
      <c r="U177" s="5">
        <v>0.64050063316485628</v>
      </c>
      <c r="V177" s="5">
        <v>1.0896779632086511</v>
      </c>
      <c r="W177" s="5">
        <v>0.69706348067958379</v>
      </c>
      <c r="X177" s="5">
        <v>1.118603316582808</v>
      </c>
      <c r="Y177" s="5">
        <v>0.63673918495922621</v>
      </c>
      <c r="Z177" s="5">
        <v>4.8504472103744893</v>
      </c>
      <c r="AA177" s="5">
        <v>1.5084756711374241</v>
      </c>
    </row>
    <row r="178" spans="1:27" x14ac:dyDescent="0.25">
      <c r="A178" s="1">
        <v>42855</v>
      </c>
      <c r="B178" s="5">
        <v>1.008241537652199E-2</v>
      </c>
      <c r="C178" s="5">
        <v>-1.43845086660731E-2</v>
      </c>
      <c r="D178" s="5">
        <v>3.8493924675357949E-3</v>
      </c>
      <c r="E178" s="5">
        <v>-4.638654928052599E-3</v>
      </c>
      <c r="F178" s="5">
        <v>-2.282884690280151E-3</v>
      </c>
      <c r="G178" s="5">
        <v>2.193934401015452E-3</v>
      </c>
      <c r="H178">
        <v>1</v>
      </c>
      <c r="I178">
        <v>-1</v>
      </c>
      <c r="J178" s="5">
        <v>3.8493924675357949E-3</v>
      </c>
      <c r="K178" s="5">
        <v>0</v>
      </c>
      <c r="L178" s="5">
        <v>4.638654928052599E-3</v>
      </c>
      <c r="M178" s="5">
        <v>0</v>
      </c>
      <c r="N178" s="5">
        <v>0</v>
      </c>
      <c r="O178" s="5">
        <v>2.282884690280151E-3</v>
      </c>
      <c r="P178" s="5">
        <v>0</v>
      </c>
      <c r="Q178" s="5">
        <v>2.193934401015452E-3</v>
      </c>
      <c r="R178" s="5">
        <v>0.60453248915603774</v>
      </c>
      <c r="S178" s="5">
        <v>0.22501565071479179</v>
      </c>
      <c r="T178" s="5">
        <v>-0.15319746069587559</v>
      </c>
      <c r="U178" s="5">
        <v>0.64050063316485628</v>
      </c>
      <c r="V178" s="5">
        <v>1.0896779632086511</v>
      </c>
      <c r="W178" s="5">
        <v>0.69934636536986394</v>
      </c>
      <c r="X178" s="5">
        <v>1.118603316582808</v>
      </c>
      <c r="Y178" s="5">
        <v>0.63893311936024166</v>
      </c>
      <c r="Z178" s="5">
        <v>4.8634120768613736</v>
      </c>
      <c r="AA178" s="5">
        <v>1.5185580865139461</v>
      </c>
    </row>
    <row r="179" spans="1:27" x14ac:dyDescent="0.25">
      <c r="A179" s="1">
        <v>42886</v>
      </c>
      <c r="B179" s="5">
        <v>1.4266045593990031E-2</v>
      </c>
      <c r="C179" s="5">
        <v>-1.217665430027604E-2</v>
      </c>
      <c r="D179" s="5">
        <v>1.307813747545516E-2</v>
      </c>
      <c r="E179" s="5">
        <v>5.62119711219633E-3</v>
      </c>
      <c r="F179" s="5">
        <v>6.7938139638688E-3</v>
      </c>
      <c r="G179" s="5">
        <v>-6.5541642530732016E-3</v>
      </c>
      <c r="H179">
        <v>1</v>
      </c>
      <c r="I179">
        <v>-1</v>
      </c>
      <c r="J179" s="5">
        <v>1.307813747545516E-2</v>
      </c>
      <c r="K179" s="5">
        <v>0</v>
      </c>
      <c r="L179" s="5">
        <v>-5.62119711219633E-3</v>
      </c>
      <c r="M179" s="5">
        <v>0</v>
      </c>
      <c r="N179" s="5">
        <v>0</v>
      </c>
      <c r="O179" s="5">
        <v>-6.7938139638688E-3</v>
      </c>
      <c r="P179" s="5">
        <v>0</v>
      </c>
      <c r="Q179" s="5">
        <v>-6.5541642530732016E-3</v>
      </c>
      <c r="R179" s="5">
        <v>0.61761062663149291</v>
      </c>
      <c r="S179" s="5">
        <v>0.22501565071479179</v>
      </c>
      <c r="T179" s="5">
        <v>-0.15881865780807189</v>
      </c>
      <c r="U179" s="5">
        <v>0.64050063316485628</v>
      </c>
      <c r="V179" s="5">
        <v>1.0896779632086511</v>
      </c>
      <c r="W179" s="5">
        <v>0.69255255140599514</v>
      </c>
      <c r="X179" s="5">
        <v>1.118603316582808</v>
      </c>
      <c r="Y179" s="5">
        <v>0.63237895510716846</v>
      </c>
      <c r="Z179" s="5">
        <v>4.8575210390076906</v>
      </c>
      <c r="AA179" s="5">
        <v>1.5328241321079361</v>
      </c>
    </row>
    <row r="180" spans="1:27" x14ac:dyDescent="0.25">
      <c r="A180" s="1">
        <v>42916</v>
      </c>
      <c r="B180" s="5">
        <v>6.5861010025807243E-3</v>
      </c>
      <c r="C180" s="5">
        <v>-1.62682520710562E-2</v>
      </c>
      <c r="D180" s="5">
        <v>-4.6306885245674936E-3</v>
      </c>
      <c r="E180" s="5">
        <v>-1.9203089975543541E-2</v>
      </c>
      <c r="F180" s="5">
        <v>9.1969690142181815E-3</v>
      </c>
      <c r="G180" s="5">
        <v>6.4026271203848628E-3</v>
      </c>
      <c r="H180">
        <v>1</v>
      </c>
      <c r="I180">
        <v>-1</v>
      </c>
      <c r="J180" s="5">
        <v>-4.6306885245674936E-3</v>
      </c>
      <c r="K180" s="5">
        <v>0</v>
      </c>
      <c r="L180" s="5">
        <v>1.9203089975543541E-2</v>
      </c>
      <c r="M180" s="5">
        <v>0</v>
      </c>
      <c r="N180" s="5">
        <v>0</v>
      </c>
      <c r="O180" s="5">
        <v>-9.1969690142181815E-3</v>
      </c>
      <c r="P180" s="5">
        <v>0</v>
      </c>
      <c r="Q180" s="5">
        <v>6.4026271203848628E-3</v>
      </c>
      <c r="R180" s="5">
        <v>0.61297993810692541</v>
      </c>
      <c r="S180" s="5">
        <v>0.22501565071479179</v>
      </c>
      <c r="T180" s="5">
        <v>-0.1396155678325284</v>
      </c>
      <c r="U180" s="5">
        <v>0.64050063316485628</v>
      </c>
      <c r="V180" s="5">
        <v>1.0896779632086511</v>
      </c>
      <c r="W180" s="5">
        <v>0.68335558239177696</v>
      </c>
      <c r="X180" s="5">
        <v>1.118603316582808</v>
      </c>
      <c r="Y180" s="5">
        <v>0.63878158222755332</v>
      </c>
      <c r="Z180" s="5">
        <v>4.8692990985648326</v>
      </c>
      <c r="AA180" s="5">
        <v>1.5394102331105159</v>
      </c>
    </row>
    <row r="181" spans="1:27" x14ac:dyDescent="0.25">
      <c r="A181" s="1">
        <v>42947</v>
      </c>
      <c r="B181" s="5">
        <v>2.0473688154703181E-2</v>
      </c>
      <c r="C181" s="5">
        <v>1.780179180633501E-2</v>
      </c>
      <c r="D181" s="5">
        <v>-1.9832641239647669E-4</v>
      </c>
      <c r="E181" s="5">
        <v>-9.190819958692531E-3</v>
      </c>
      <c r="F181" s="5">
        <v>2.42211354882782E-3</v>
      </c>
      <c r="G181" s="5">
        <v>-1.5779489312161551E-2</v>
      </c>
      <c r="H181">
        <v>-1</v>
      </c>
      <c r="I181">
        <v>1</v>
      </c>
      <c r="J181" s="5">
        <v>0</v>
      </c>
      <c r="K181" s="5">
        <v>1.9832641239647669E-4</v>
      </c>
      <c r="L181" s="5">
        <v>0</v>
      </c>
      <c r="M181" s="5">
        <v>-9.190819958692531E-3</v>
      </c>
      <c r="N181" s="5">
        <v>2.42211354882782E-3</v>
      </c>
      <c r="O181" s="5">
        <v>0</v>
      </c>
      <c r="P181" s="5">
        <v>1.5779489312161551E-2</v>
      </c>
      <c r="Q181" s="5">
        <v>0</v>
      </c>
      <c r="R181" s="5">
        <v>0.61297993810692541</v>
      </c>
      <c r="S181" s="5">
        <v>0.2252139771271883</v>
      </c>
      <c r="T181" s="5">
        <v>-0.1396155678325284</v>
      </c>
      <c r="U181" s="5">
        <v>0.63130981320616375</v>
      </c>
      <c r="V181" s="5">
        <v>1.092100076757478</v>
      </c>
      <c r="W181" s="5">
        <v>0.68335558239177696</v>
      </c>
      <c r="X181" s="5">
        <v>1.134382805894969</v>
      </c>
      <c r="Y181" s="5">
        <v>0.63878158222755332</v>
      </c>
      <c r="Z181" s="5">
        <v>4.878508207879527</v>
      </c>
      <c r="AA181" s="5">
        <v>1.55988392126522</v>
      </c>
    </row>
    <row r="182" spans="1:27" x14ac:dyDescent="0.25">
      <c r="A182" s="1">
        <v>42978</v>
      </c>
      <c r="B182" s="5">
        <v>3.2967206882179578E-3</v>
      </c>
      <c r="C182" s="5">
        <v>-4.0954421224469677E-2</v>
      </c>
      <c r="D182" s="5">
        <v>1.881645695014145E-2</v>
      </c>
      <c r="E182" s="5">
        <v>8.3707388784715064E-3</v>
      </c>
      <c r="F182" s="5">
        <v>4.4554779546983614E-3</v>
      </c>
      <c r="G182" s="5">
        <v>1.0555123209628481E-2</v>
      </c>
      <c r="H182">
        <v>1</v>
      </c>
      <c r="I182">
        <v>-1</v>
      </c>
      <c r="J182" s="5">
        <v>1.881645695014145E-2</v>
      </c>
      <c r="K182" s="5">
        <v>0</v>
      </c>
      <c r="L182" s="5">
        <v>-8.3707388784715064E-3</v>
      </c>
      <c r="M182" s="5">
        <v>0</v>
      </c>
      <c r="N182" s="5">
        <v>0</v>
      </c>
      <c r="O182" s="5">
        <v>-4.4554779546983614E-3</v>
      </c>
      <c r="P182" s="5">
        <v>0</v>
      </c>
      <c r="Q182" s="5">
        <v>1.0555123209628481E-2</v>
      </c>
      <c r="R182" s="5">
        <v>0.63179639505706686</v>
      </c>
      <c r="S182" s="5">
        <v>0.2252139771271883</v>
      </c>
      <c r="T182" s="5">
        <v>-0.14798630671099991</v>
      </c>
      <c r="U182" s="5">
        <v>0.63130981320616375</v>
      </c>
      <c r="V182" s="5">
        <v>1.092100076757478</v>
      </c>
      <c r="W182" s="5">
        <v>0.6789001044370786</v>
      </c>
      <c r="X182" s="5">
        <v>1.134382805894969</v>
      </c>
      <c r="Y182" s="5">
        <v>0.6493367054371818</v>
      </c>
      <c r="Z182" s="5">
        <v>4.8950535712061267</v>
      </c>
      <c r="AA182" s="5">
        <v>1.563180641953438</v>
      </c>
    </row>
    <row r="183" spans="1:27" x14ac:dyDescent="0.25">
      <c r="A183" s="1">
        <v>43008</v>
      </c>
      <c r="B183" s="5">
        <v>2.0069012967101622E-2</v>
      </c>
      <c r="C183" s="5">
        <v>2.457544255694721E-2</v>
      </c>
      <c r="D183" s="5">
        <v>7.1674059653247246E-3</v>
      </c>
      <c r="E183" s="5">
        <v>-1.1333056816163371E-2</v>
      </c>
      <c r="F183" s="5">
        <v>-3.650324776223846E-3</v>
      </c>
      <c r="G183" s="5">
        <v>1.0144759813917161E-2</v>
      </c>
      <c r="H183">
        <v>-1</v>
      </c>
      <c r="I183">
        <v>1</v>
      </c>
      <c r="J183" s="5">
        <v>0</v>
      </c>
      <c r="K183" s="5">
        <v>-7.1674059653247246E-3</v>
      </c>
      <c r="L183" s="5">
        <v>0</v>
      </c>
      <c r="M183" s="5">
        <v>-1.1333056816163371E-2</v>
      </c>
      <c r="N183" s="5">
        <v>-3.650324776223846E-3</v>
      </c>
      <c r="O183" s="5">
        <v>0</v>
      </c>
      <c r="P183" s="5">
        <v>-1.0144759813917161E-2</v>
      </c>
      <c r="Q183" s="5">
        <v>0</v>
      </c>
      <c r="R183" s="5">
        <v>0.63179639505706686</v>
      </c>
      <c r="S183" s="5">
        <v>0.21804657116186349</v>
      </c>
      <c r="T183" s="5">
        <v>-0.14798630671099991</v>
      </c>
      <c r="U183" s="5">
        <v>0.61997675639000038</v>
      </c>
      <c r="V183" s="5">
        <v>1.088449751981255</v>
      </c>
      <c r="W183" s="5">
        <v>0.6789001044370786</v>
      </c>
      <c r="X183" s="5">
        <v>1.1242380460810519</v>
      </c>
      <c r="Y183" s="5">
        <v>0.6493367054371818</v>
      </c>
      <c r="Z183" s="5">
        <v>4.8627580238344974</v>
      </c>
      <c r="AA183" s="5">
        <v>1.583249654920539</v>
      </c>
    </row>
    <row r="184" spans="1:27" x14ac:dyDescent="0.25">
      <c r="A184" s="1">
        <v>43039</v>
      </c>
      <c r="B184" s="5">
        <v>2.3407760640967949E-2</v>
      </c>
      <c r="C184" s="5">
        <v>2.7301101813221099E-2</v>
      </c>
      <c r="D184" s="5">
        <v>2.193858495006529E-4</v>
      </c>
      <c r="E184" s="5">
        <v>3.969901101559925E-3</v>
      </c>
      <c r="F184" s="5">
        <v>1.245147295176363E-2</v>
      </c>
      <c r="G184" s="5">
        <v>-7.3872469920807093E-3</v>
      </c>
      <c r="H184">
        <v>-1</v>
      </c>
      <c r="I184">
        <v>1</v>
      </c>
      <c r="J184" s="5">
        <v>0</v>
      </c>
      <c r="K184" s="5">
        <v>-2.193858495006529E-4</v>
      </c>
      <c r="L184" s="5">
        <v>0</v>
      </c>
      <c r="M184" s="5">
        <v>3.969901101559925E-3</v>
      </c>
      <c r="N184" s="5">
        <v>1.245147295176363E-2</v>
      </c>
      <c r="O184" s="5">
        <v>0</v>
      </c>
      <c r="P184" s="5">
        <v>7.3872469920807093E-3</v>
      </c>
      <c r="Q184" s="5">
        <v>0</v>
      </c>
      <c r="R184" s="5">
        <v>0.63179639505706686</v>
      </c>
      <c r="S184" s="5">
        <v>0.21782718531236289</v>
      </c>
      <c r="T184" s="5">
        <v>-0.14798630671099991</v>
      </c>
      <c r="U184" s="5">
        <v>0.62394665749156031</v>
      </c>
      <c r="V184" s="5">
        <v>1.1009012249330179</v>
      </c>
      <c r="W184" s="5">
        <v>0.6789001044370786</v>
      </c>
      <c r="X184" s="5">
        <v>1.131625293073133</v>
      </c>
      <c r="Y184" s="5">
        <v>0.6493367054371818</v>
      </c>
      <c r="Z184" s="5">
        <v>4.8863472590304013</v>
      </c>
      <c r="AA184" s="5">
        <v>1.606657415561507</v>
      </c>
    </row>
    <row r="185" spans="1:27" x14ac:dyDescent="0.25">
      <c r="A185" s="1">
        <v>43069</v>
      </c>
      <c r="B185" s="5">
        <v>3.0295152584018489E-2</v>
      </c>
      <c r="C185" s="5">
        <v>-9.5048035234862605E-3</v>
      </c>
      <c r="D185" s="5">
        <v>1.9216956464672471E-2</v>
      </c>
      <c r="E185" s="5">
        <v>-1.2799047923051751E-2</v>
      </c>
      <c r="F185" s="5">
        <v>5.901474264317752E-3</v>
      </c>
      <c r="G185" s="5">
        <v>1.951821174299195E-2</v>
      </c>
      <c r="H185">
        <v>1</v>
      </c>
      <c r="I185">
        <v>-1</v>
      </c>
      <c r="J185" s="5">
        <v>1.9216956464672471E-2</v>
      </c>
      <c r="K185" s="5">
        <v>0</v>
      </c>
      <c r="L185" s="5">
        <v>1.2799047923051751E-2</v>
      </c>
      <c r="M185" s="5">
        <v>0</v>
      </c>
      <c r="N185" s="5">
        <v>0</v>
      </c>
      <c r="O185" s="5">
        <v>-5.901474264317752E-3</v>
      </c>
      <c r="P185" s="5">
        <v>0</v>
      </c>
      <c r="Q185" s="5">
        <v>1.951821174299195E-2</v>
      </c>
      <c r="R185" s="5">
        <v>0.65101335152173934</v>
      </c>
      <c r="S185" s="5">
        <v>0.21782718531236289</v>
      </c>
      <c r="T185" s="5">
        <v>-0.1351872587879481</v>
      </c>
      <c r="U185" s="5">
        <v>0.62394665749156031</v>
      </c>
      <c r="V185" s="5">
        <v>1.1009012249330179</v>
      </c>
      <c r="W185" s="5">
        <v>0.67299863017276085</v>
      </c>
      <c r="X185" s="5">
        <v>1.131625293073133</v>
      </c>
      <c r="Y185" s="5">
        <v>0.66885491718017376</v>
      </c>
      <c r="Z185" s="5">
        <v>4.9319800008968002</v>
      </c>
      <c r="AA185" s="5">
        <v>1.636952568145525</v>
      </c>
    </row>
    <row r="186" spans="1:27" x14ac:dyDescent="0.25">
      <c r="A186" s="1">
        <v>43100</v>
      </c>
      <c r="B186" s="5">
        <v>1.2172966471711949E-2</v>
      </c>
      <c r="C186" s="5">
        <v>1.447795814070307E-2</v>
      </c>
      <c r="D186" s="5">
        <v>-2.6841790251385111E-3</v>
      </c>
      <c r="E186" s="5">
        <v>1.8066681161298059E-2</v>
      </c>
      <c r="F186" s="5">
        <v>-3.5388565890582808E-3</v>
      </c>
      <c r="G186" s="5">
        <v>1.4570343918542511E-2</v>
      </c>
      <c r="H186">
        <v>-1</v>
      </c>
      <c r="I186">
        <v>1</v>
      </c>
      <c r="J186" s="5">
        <v>0</v>
      </c>
      <c r="K186" s="5">
        <v>2.6841790251385111E-3</v>
      </c>
      <c r="L186" s="5">
        <v>0</v>
      </c>
      <c r="M186" s="5">
        <v>1.8066681161298059E-2</v>
      </c>
      <c r="N186" s="5">
        <v>-3.5388565890582808E-3</v>
      </c>
      <c r="O186" s="5">
        <v>0</v>
      </c>
      <c r="P186" s="5">
        <v>-1.4570343918542511E-2</v>
      </c>
      <c r="Q186" s="5">
        <v>0</v>
      </c>
      <c r="R186" s="5">
        <v>0.65101335152173934</v>
      </c>
      <c r="S186" s="5">
        <v>0.2205113643375014</v>
      </c>
      <c r="T186" s="5">
        <v>-0.1351872587879481</v>
      </c>
      <c r="U186" s="5">
        <v>0.64201333865285837</v>
      </c>
      <c r="V186" s="5">
        <v>1.0973623683439599</v>
      </c>
      <c r="W186" s="5">
        <v>0.67299863017276085</v>
      </c>
      <c r="X186" s="5">
        <v>1.11705494915459</v>
      </c>
      <c r="Y186" s="5">
        <v>0.66885491718017376</v>
      </c>
      <c r="Z186" s="5">
        <v>4.9346216605756359</v>
      </c>
      <c r="AA186" s="5">
        <v>1.6491255346172371</v>
      </c>
    </row>
    <row r="187" spans="1:27" x14ac:dyDescent="0.25">
      <c r="A187" s="1">
        <v>43131</v>
      </c>
      <c r="B187" s="5">
        <v>5.5196956062639413E-2</v>
      </c>
      <c r="C187" s="5">
        <v>8.4866329076342506E-2</v>
      </c>
      <c r="D187" s="5">
        <v>-4.777033424082977E-3</v>
      </c>
      <c r="E187" s="5">
        <v>-7.8391667020806244E-3</v>
      </c>
      <c r="F187" s="5">
        <v>2.6190367026323269E-2</v>
      </c>
      <c r="G187" s="5">
        <v>-9.6684004642371146E-3</v>
      </c>
      <c r="H187">
        <v>-1</v>
      </c>
      <c r="I187">
        <v>1</v>
      </c>
      <c r="J187" s="5">
        <v>0</v>
      </c>
      <c r="K187" s="5">
        <v>4.777033424082977E-3</v>
      </c>
      <c r="L187" s="5">
        <v>0</v>
      </c>
      <c r="M187" s="5">
        <v>-7.8391667020806244E-3</v>
      </c>
      <c r="N187" s="5">
        <v>2.6190367026323269E-2</v>
      </c>
      <c r="O187" s="5">
        <v>0</v>
      </c>
      <c r="P187" s="5">
        <v>9.6684004642371146E-3</v>
      </c>
      <c r="Q187" s="5">
        <v>0</v>
      </c>
      <c r="R187" s="5">
        <v>0.65101335152173934</v>
      </c>
      <c r="S187" s="5">
        <v>0.22528839776158441</v>
      </c>
      <c r="T187" s="5">
        <v>-0.1351872587879481</v>
      </c>
      <c r="U187" s="5">
        <v>0.63417417195077774</v>
      </c>
      <c r="V187" s="5">
        <v>1.123552735370283</v>
      </c>
      <c r="W187" s="5">
        <v>0.67299863017276085</v>
      </c>
      <c r="X187" s="5">
        <v>1.1267233496188269</v>
      </c>
      <c r="Y187" s="5">
        <v>0.66885491718017376</v>
      </c>
      <c r="Z187" s="5">
        <v>4.9674182947881986</v>
      </c>
      <c r="AA187" s="5">
        <v>1.7043224906798771</v>
      </c>
    </row>
    <row r="188" spans="1:27" x14ac:dyDescent="0.25">
      <c r="A188" s="1">
        <v>43159</v>
      </c>
      <c r="B188" s="5">
        <v>-3.4220309590647917E-2</v>
      </c>
      <c r="C188" s="5">
        <v>5.3376314443709383E-3</v>
      </c>
      <c r="D188" s="5">
        <v>4.9350165201832441E-3</v>
      </c>
      <c r="E188" s="5">
        <v>1.4138227736990141E-2</v>
      </c>
      <c r="F188" s="5">
        <v>-5.0449819458576413E-2</v>
      </c>
      <c r="G188" s="5">
        <v>-3.003850712879896E-2</v>
      </c>
      <c r="H188">
        <v>-1</v>
      </c>
      <c r="I188">
        <v>1</v>
      </c>
      <c r="J188" s="5">
        <v>0</v>
      </c>
      <c r="K188" s="5">
        <v>-4.9350165201832441E-3</v>
      </c>
      <c r="L188" s="5">
        <v>0</v>
      </c>
      <c r="M188" s="5">
        <v>1.4138227736990141E-2</v>
      </c>
      <c r="N188" s="5">
        <v>-5.0449819458576413E-2</v>
      </c>
      <c r="O188" s="5">
        <v>0</v>
      </c>
      <c r="P188" s="5">
        <v>3.003850712879896E-2</v>
      </c>
      <c r="Q188" s="5">
        <v>0</v>
      </c>
      <c r="R188" s="5">
        <v>0.65101335152173934</v>
      </c>
      <c r="S188" s="5">
        <v>0.22035338124140111</v>
      </c>
      <c r="T188" s="5">
        <v>-0.1351872587879481</v>
      </c>
      <c r="U188" s="5">
        <v>0.64831239968776788</v>
      </c>
      <c r="V188" s="5">
        <v>1.0731029159117069</v>
      </c>
      <c r="W188" s="5">
        <v>0.67299863017276085</v>
      </c>
      <c r="X188" s="5">
        <v>1.1567618567476261</v>
      </c>
      <c r="Y188" s="5">
        <v>0.66885491718017376</v>
      </c>
      <c r="Z188" s="5">
        <v>4.9562101936752283</v>
      </c>
      <c r="AA188" s="5">
        <v>1.6701021810892289</v>
      </c>
    </row>
    <row r="189" spans="1:27" x14ac:dyDescent="0.25">
      <c r="A189" s="1">
        <v>43190</v>
      </c>
      <c r="B189" s="5">
        <v>-2.616312552687217E-2</v>
      </c>
      <c r="C189" s="5">
        <v>-4.9983876401533678E-3</v>
      </c>
      <c r="D189" s="5">
        <v>-2.6141547801387551E-2</v>
      </c>
      <c r="E189" s="5">
        <v>2.3534069137912561E-2</v>
      </c>
      <c r="F189" s="5">
        <v>4.340725483261143E-3</v>
      </c>
      <c r="G189" s="5">
        <v>-4.1755245512954398E-3</v>
      </c>
      <c r="H189">
        <v>1</v>
      </c>
      <c r="I189">
        <v>-1</v>
      </c>
      <c r="J189" s="5">
        <v>-2.6141547801387551E-2</v>
      </c>
      <c r="K189" s="5">
        <v>0</v>
      </c>
      <c r="L189" s="5">
        <v>-2.3534069137912561E-2</v>
      </c>
      <c r="M189" s="5">
        <v>0</v>
      </c>
      <c r="N189" s="5">
        <v>0</v>
      </c>
      <c r="O189" s="5">
        <v>-4.340725483261143E-3</v>
      </c>
      <c r="P189" s="5">
        <v>0</v>
      </c>
      <c r="Q189" s="5">
        <v>-4.1755245512954398E-3</v>
      </c>
      <c r="R189" s="5">
        <v>0.62487180372035178</v>
      </c>
      <c r="S189" s="5">
        <v>0.22035338124140111</v>
      </c>
      <c r="T189" s="5">
        <v>-0.15872132792586069</v>
      </c>
      <c r="U189" s="5">
        <v>0.64831239968776788</v>
      </c>
      <c r="V189" s="5">
        <v>1.0731029159117069</v>
      </c>
      <c r="W189" s="5">
        <v>0.6686579046894997</v>
      </c>
      <c r="X189" s="5">
        <v>1.1567618567476261</v>
      </c>
      <c r="Y189" s="5">
        <v>0.66467939262887832</v>
      </c>
      <c r="Z189" s="5">
        <v>4.8980183267013713</v>
      </c>
      <c r="AA189" s="5">
        <v>1.643939055562357</v>
      </c>
    </row>
    <row r="190" spans="1:27" x14ac:dyDescent="0.25">
      <c r="A190" s="1">
        <v>43220</v>
      </c>
      <c r="B190" s="5">
        <v>6.3196460418566414E-3</v>
      </c>
      <c r="C190" s="5">
        <v>4.0286593020438133E-2</v>
      </c>
      <c r="D190" s="5">
        <v>-7.7319381982361426E-3</v>
      </c>
      <c r="E190" s="5">
        <v>5.4768428301287253E-3</v>
      </c>
      <c r="F190" s="5">
        <v>-1.2462232344846219E-2</v>
      </c>
      <c r="G190" s="5">
        <v>-4.3276809433729913E-3</v>
      </c>
      <c r="H190">
        <v>-1</v>
      </c>
      <c r="I190">
        <v>1</v>
      </c>
      <c r="J190" s="5">
        <v>0</v>
      </c>
      <c r="K190" s="5">
        <v>7.7319381982361426E-3</v>
      </c>
      <c r="L190" s="5">
        <v>0</v>
      </c>
      <c r="M190" s="5">
        <v>5.4768428301287253E-3</v>
      </c>
      <c r="N190" s="5">
        <v>-1.2462232344846219E-2</v>
      </c>
      <c r="O190" s="5">
        <v>0</v>
      </c>
      <c r="P190" s="5">
        <v>4.3276809433729913E-3</v>
      </c>
      <c r="Q190" s="5">
        <v>0</v>
      </c>
      <c r="R190" s="5">
        <v>0.62487180372035178</v>
      </c>
      <c r="S190" s="5">
        <v>0.22808531943963731</v>
      </c>
      <c r="T190" s="5">
        <v>-0.15872132792586069</v>
      </c>
      <c r="U190" s="5">
        <v>0.65378924251789661</v>
      </c>
      <c r="V190" s="5">
        <v>1.0606406835668609</v>
      </c>
      <c r="W190" s="5">
        <v>0.6686579046894997</v>
      </c>
      <c r="X190" s="5">
        <v>1.1610895376909991</v>
      </c>
      <c r="Y190" s="5">
        <v>0.66467939262887832</v>
      </c>
      <c r="Z190" s="5">
        <v>4.9030925563282626</v>
      </c>
      <c r="AA190" s="5">
        <v>1.650258701604213</v>
      </c>
    </row>
    <row r="191" spans="1:27" x14ac:dyDescent="0.25">
      <c r="A191" s="1">
        <v>43251</v>
      </c>
      <c r="B191" s="5">
        <v>2.4478986611581991E-2</v>
      </c>
      <c r="C191" s="5">
        <v>4.6294599159032668E-2</v>
      </c>
      <c r="D191" s="5">
        <v>-8.7428792215901163E-3</v>
      </c>
      <c r="E191" s="5">
        <v>3.3467073488942178E-2</v>
      </c>
      <c r="F191" s="5">
        <v>9.1856954528783952E-3</v>
      </c>
      <c r="G191" s="5">
        <v>-3.0007123855568812E-4</v>
      </c>
      <c r="H191">
        <v>-1</v>
      </c>
      <c r="I191">
        <v>1</v>
      </c>
      <c r="J191" s="5">
        <v>0</v>
      </c>
      <c r="K191" s="5">
        <v>8.7428792215901163E-3</v>
      </c>
      <c r="L191" s="5">
        <v>0</v>
      </c>
      <c r="M191" s="5">
        <v>3.3467073488942178E-2</v>
      </c>
      <c r="N191" s="5">
        <v>9.1856954528783952E-3</v>
      </c>
      <c r="O191" s="5">
        <v>0</v>
      </c>
      <c r="P191" s="5">
        <v>3.0007123855568812E-4</v>
      </c>
      <c r="Q191" s="5">
        <v>0</v>
      </c>
      <c r="R191" s="5">
        <v>0.62487180372035178</v>
      </c>
      <c r="S191" s="5">
        <v>0.2368281986612274</v>
      </c>
      <c r="T191" s="5">
        <v>-0.15872132792586069</v>
      </c>
      <c r="U191" s="5">
        <v>0.68725631600683879</v>
      </c>
      <c r="V191" s="5">
        <v>1.0698263790197391</v>
      </c>
      <c r="W191" s="5">
        <v>0.6686579046894997</v>
      </c>
      <c r="X191" s="5">
        <v>1.161389608929555</v>
      </c>
      <c r="Y191" s="5">
        <v>0.66467939262887832</v>
      </c>
      <c r="Z191" s="5">
        <v>4.9547882757302286</v>
      </c>
      <c r="AA191" s="5">
        <v>1.6747376882157949</v>
      </c>
    </row>
    <row r="192" spans="1:27" x14ac:dyDescent="0.25">
      <c r="A192" s="1">
        <v>43281</v>
      </c>
      <c r="B192" s="5">
        <v>6.02425011879959E-3</v>
      </c>
      <c r="C192" s="5">
        <v>1.9798379245679509E-2</v>
      </c>
      <c r="D192" s="5">
        <v>-1.0702613697867069E-2</v>
      </c>
      <c r="E192" s="5">
        <v>9.7952395698687189E-3</v>
      </c>
      <c r="F192" s="5">
        <v>2.3549466685563462E-2</v>
      </c>
      <c r="G192" s="5">
        <v>-8.5889618971205506E-3</v>
      </c>
      <c r="H192">
        <v>-1</v>
      </c>
      <c r="I192">
        <v>1</v>
      </c>
      <c r="J192" s="5">
        <v>0</v>
      </c>
      <c r="K192" s="5">
        <v>1.0702613697867069E-2</v>
      </c>
      <c r="L192" s="5">
        <v>0</v>
      </c>
      <c r="M192" s="5">
        <v>9.7952395698687189E-3</v>
      </c>
      <c r="N192" s="5">
        <v>2.3549466685563462E-2</v>
      </c>
      <c r="O192" s="5">
        <v>0</v>
      </c>
      <c r="P192" s="5">
        <v>8.5889618971205506E-3</v>
      </c>
      <c r="Q192" s="5">
        <v>0</v>
      </c>
      <c r="R192" s="5">
        <v>0.62487180372035178</v>
      </c>
      <c r="S192" s="5">
        <v>0.24753081235909449</v>
      </c>
      <c r="T192" s="5">
        <v>-0.15872132792586069</v>
      </c>
      <c r="U192" s="5">
        <v>0.6970515555767075</v>
      </c>
      <c r="V192" s="5">
        <v>1.0933758457053031</v>
      </c>
      <c r="W192" s="5">
        <v>0.6686579046894997</v>
      </c>
      <c r="X192" s="5">
        <v>1.169978570826675</v>
      </c>
      <c r="Y192" s="5">
        <v>0.66467939262887832</v>
      </c>
      <c r="Z192" s="5">
        <v>5.0074245575806486</v>
      </c>
      <c r="AA192" s="5">
        <v>1.6807619383345951</v>
      </c>
    </row>
    <row r="193" spans="1:27" x14ac:dyDescent="0.25">
      <c r="A193" s="1">
        <v>43312</v>
      </c>
      <c r="B193" s="5">
        <v>3.6689515530479277E-2</v>
      </c>
      <c r="C193" s="5">
        <v>5.0389387052113488E-2</v>
      </c>
      <c r="D193" s="5">
        <v>4.1249514738249671E-3</v>
      </c>
      <c r="E193" s="5">
        <v>3.6298995730215111E-3</v>
      </c>
      <c r="F193" s="5">
        <v>2.4226884761957331E-2</v>
      </c>
      <c r="G193" s="5">
        <v>4.2765384918614924E-3</v>
      </c>
      <c r="H193">
        <v>-1</v>
      </c>
      <c r="I193">
        <v>1</v>
      </c>
      <c r="J193" s="5">
        <v>0</v>
      </c>
      <c r="K193" s="5">
        <v>-4.1249514738249671E-3</v>
      </c>
      <c r="L193" s="5">
        <v>0</v>
      </c>
      <c r="M193" s="5">
        <v>3.6298995730215111E-3</v>
      </c>
      <c r="N193" s="5">
        <v>2.4226884761957331E-2</v>
      </c>
      <c r="O193" s="5">
        <v>0</v>
      </c>
      <c r="P193" s="5">
        <v>-4.2765384918614924E-3</v>
      </c>
      <c r="Q193" s="5">
        <v>0</v>
      </c>
      <c r="R193" s="5">
        <v>0.62487180372035178</v>
      </c>
      <c r="S193" s="5">
        <v>0.2434058608852695</v>
      </c>
      <c r="T193" s="5">
        <v>-0.15872132792586069</v>
      </c>
      <c r="U193" s="5">
        <v>0.70068145514972902</v>
      </c>
      <c r="V193" s="5">
        <v>1.11760273046726</v>
      </c>
      <c r="W193" s="5">
        <v>0.6686579046894997</v>
      </c>
      <c r="X193" s="5">
        <v>1.165702032334814</v>
      </c>
      <c r="Y193" s="5">
        <v>0.66467939262887832</v>
      </c>
      <c r="Z193" s="5">
        <v>5.0268798519499409</v>
      </c>
      <c r="AA193" s="5">
        <v>1.717451453865074</v>
      </c>
    </row>
    <row r="194" spans="1:27" x14ac:dyDescent="0.25">
      <c r="A194" s="1">
        <v>43343</v>
      </c>
      <c r="B194" s="5">
        <v>3.1653688067477592E-2</v>
      </c>
      <c r="C194" s="5">
        <v>1.4685397830399569E-3</v>
      </c>
      <c r="D194" s="5">
        <v>1.384171078120244E-2</v>
      </c>
      <c r="E194" s="5">
        <v>-3.0840974975054891E-3</v>
      </c>
      <c r="F194" s="5">
        <v>1.503110523891704E-2</v>
      </c>
      <c r="G194" s="5">
        <v>-6.3484758985974388E-3</v>
      </c>
      <c r="H194">
        <v>-1</v>
      </c>
      <c r="I194">
        <v>1</v>
      </c>
      <c r="J194" s="5">
        <v>0</v>
      </c>
      <c r="K194" s="5">
        <v>-1.384171078120244E-2</v>
      </c>
      <c r="L194" s="5">
        <v>0</v>
      </c>
      <c r="M194" s="5">
        <v>-3.0840974975054891E-3</v>
      </c>
      <c r="N194" s="5">
        <v>1.503110523891704E-2</v>
      </c>
      <c r="O194" s="5">
        <v>0</v>
      </c>
      <c r="P194" s="5">
        <v>6.3484758985974388E-3</v>
      </c>
      <c r="Q194" s="5">
        <v>0</v>
      </c>
      <c r="R194" s="5">
        <v>0.62487180372035178</v>
      </c>
      <c r="S194" s="5">
        <v>0.22956415010406711</v>
      </c>
      <c r="T194" s="5">
        <v>-0.15872132792586069</v>
      </c>
      <c r="U194" s="5">
        <v>0.69759735765222353</v>
      </c>
      <c r="V194" s="5">
        <v>1.1326338357061769</v>
      </c>
      <c r="W194" s="5">
        <v>0.6686579046894997</v>
      </c>
      <c r="X194" s="5">
        <v>1.1720505082334109</v>
      </c>
      <c r="Y194" s="5">
        <v>0.66467939262887832</v>
      </c>
      <c r="Z194" s="5">
        <v>5.031333624808747</v>
      </c>
      <c r="AA194" s="5">
        <v>1.7491051419325521</v>
      </c>
    </row>
    <row r="195" spans="1:27" x14ac:dyDescent="0.25">
      <c r="A195" s="1">
        <v>43373</v>
      </c>
      <c r="B195" s="5">
        <v>6.0409390056418433E-3</v>
      </c>
      <c r="C195" s="5">
        <v>3.9938848731248533E-2</v>
      </c>
      <c r="D195" s="5">
        <v>-1.0222833276981591E-3</v>
      </c>
      <c r="E195" s="5">
        <v>4.0446510873923813E-3</v>
      </c>
      <c r="F195" s="5">
        <v>-7.6287586864474122E-3</v>
      </c>
      <c r="G195" s="5">
        <v>-9.5678913511735297E-3</v>
      </c>
      <c r="H195">
        <v>-1</v>
      </c>
      <c r="I195">
        <v>1</v>
      </c>
      <c r="J195" s="5">
        <v>0</v>
      </c>
      <c r="K195" s="5">
        <v>1.0222833276981591E-3</v>
      </c>
      <c r="L195" s="5">
        <v>0</v>
      </c>
      <c r="M195" s="5">
        <v>4.0446510873923813E-3</v>
      </c>
      <c r="N195" s="5">
        <v>-7.6287586864474122E-3</v>
      </c>
      <c r="O195" s="5">
        <v>0</v>
      </c>
      <c r="P195" s="5">
        <v>9.5678913511735297E-3</v>
      </c>
      <c r="Q195" s="5">
        <v>0</v>
      </c>
      <c r="R195" s="5">
        <v>0.62487180372035178</v>
      </c>
      <c r="S195" s="5">
        <v>0.23058643343176519</v>
      </c>
      <c r="T195" s="5">
        <v>-0.15872132792586069</v>
      </c>
      <c r="U195" s="5">
        <v>0.70164200873961591</v>
      </c>
      <c r="V195" s="5">
        <v>1.12500507701973</v>
      </c>
      <c r="W195" s="5">
        <v>0.6686579046894997</v>
      </c>
      <c r="X195" s="5">
        <v>1.181618399584585</v>
      </c>
      <c r="Y195" s="5">
        <v>0.66467939262887832</v>
      </c>
      <c r="Z195" s="5">
        <v>5.0383396918885639</v>
      </c>
      <c r="AA195" s="5">
        <v>1.7551460809381929</v>
      </c>
    </row>
    <row r="196" spans="1:27" x14ac:dyDescent="0.25">
      <c r="A196" s="1">
        <v>43404</v>
      </c>
      <c r="B196" s="5">
        <v>-6.935553726615995E-2</v>
      </c>
      <c r="C196" s="5">
        <v>-2.1613587532606119E-2</v>
      </c>
      <c r="D196" s="5">
        <v>-1.9565506686919368E-2</v>
      </c>
      <c r="E196" s="5">
        <v>-1.0546934301961519E-3</v>
      </c>
      <c r="F196" s="5">
        <v>-9.9729013807206002E-3</v>
      </c>
      <c r="G196" s="5">
        <v>-3.4248514611155738E-2</v>
      </c>
      <c r="H196">
        <v>1</v>
      </c>
      <c r="I196">
        <v>-1</v>
      </c>
      <c r="J196" s="5">
        <v>-1.9565506686919368E-2</v>
      </c>
      <c r="K196" s="5">
        <v>0</v>
      </c>
      <c r="L196" s="5">
        <v>1.0546934301961519E-3</v>
      </c>
      <c r="M196" s="5">
        <v>0</v>
      </c>
      <c r="N196" s="5">
        <v>0</v>
      </c>
      <c r="O196" s="5">
        <v>9.9729013807206002E-3</v>
      </c>
      <c r="P196" s="5">
        <v>0</v>
      </c>
      <c r="Q196" s="5">
        <v>-3.4248514611155738E-2</v>
      </c>
      <c r="R196" s="5">
        <v>0.60530629703343242</v>
      </c>
      <c r="S196" s="5">
        <v>0.23058643343176519</v>
      </c>
      <c r="T196" s="5">
        <v>-0.15766663449566451</v>
      </c>
      <c r="U196" s="5">
        <v>0.70164200873961591</v>
      </c>
      <c r="V196" s="5">
        <v>1.12500507701973</v>
      </c>
      <c r="W196" s="5">
        <v>0.6786308060702203</v>
      </c>
      <c r="X196" s="5">
        <v>1.181618399584585</v>
      </c>
      <c r="Y196" s="5">
        <v>0.63043087801772257</v>
      </c>
      <c r="Z196" s="5">
        <v>4.9955532654014059</v>
      </c>
      <c r="AA196" s="5">
        <v>1.685790543672034</v>
      </c>
    </row>
    <row r="197" spans="1:27" x14ac:dyDescent="0.25">
      <c r="A197" s="1">
        <v>43434</v>
      </c>
      <c r="B197" s="5">
        <v>1.9785829341583679E-2</v>
      </c>
      <c r="C197" s="5">
        <v>-3.5159572053989452E-2</v>
      </c>
      <c r="D197" s="5">
        <v>3.9765351056806453E-2</v>
      </c>
      <c r="E197" s="5">
        <v>2.7214346531511109E-3</v>
      </c>
      <c r="F197" s="5">
        <v>3.7972407459660913E-2</v>
      </c>
      <c r="G197" s="5">
        <v>-6.8653726069091148E-3</v>
      </c>
      <c r="H197">
        <v>1</v>
      </c>
      <c r="I197">
        <v>-1</v>
      </c>
      <c r="J197" s="5">
        <v>3.9765351056806453E-2</v>
      </c>
      <c r="K197" s="5">
        <v>0</v>
      </c>
      <c r="L197" s="5">
        <v>-2.7214346531511109E-3</v>
      </c>
      <c r="M197" s="5">
        <v>0</v>
      </c>
      <c r="N197" s="5">
        <v>0</v>
      </c>
      <c r="O197" s="5">
        <v>-3.7972407459660913E-2</v>
      </c>
      <c r="P197" s="5">
        <v>0</v>
      </c>
      <c r="Q197" s="5">
        <v>-6.8653726069091148E-3</v>
      </c>
      <c r="R197" s="5">
        <v>0.64507164809023887</v>
      </c>
      <c r="S197" s="5">
        <v>0.23058643343176519</v>
      </c>
      <c r="T197" s="5">
        <v>-0.16038806914881559</v>
      </c>
      <c r="U197" s="5">
        <v>0.70164200873961591</v>
      </c>
      <c r="V197" s="5">
        <v>1.12500507701973</v>
      </c>
      <c r="W197" s="5">
        <v>0.6406583986105594</v>
      </c>
      <c r="X197" s="5">
        <v>1.181618399584585</v>
      </c>
      <c r="Y197" s="5">
        <v>0.62356550541081346</v>
      </c>
      <c r="Z197" s="5">
        <v>4.987759401738491</v>
      </c>
      <c r="AA197" s="5">
        <v>1.7055763730136171</v>
      </c>
    </row>
    <row r="198" spans="1:27" x14ac:dyDescent="0.25">
      <c r="A198" s="1">
        <v>43465</v>
      </c>
      <c r="B198" s="5">
        <v>-8.8768156910123852E-2</v>
      </c>
      <c r="C198" s="5">
        <v>-0.21009834137489569</v>
      </c>
      <c r="D198" s="5">
        <v>6.5670846543383843E-2</v>
      </c>
      <c r="E198" s="5">
        <v>1.6650503075373859E-3</v>
      </c>
      <c r="F198" s="5">
        <v>-4.2016884652981153E-2</v>
      </c>
      <c r="G198" s="5">
        <v>3.2982113652943353E-2</v>
      </c>
      <c r="H198">
        <v>1</v>
      </c>
      <c r="I198">
        <v>-1</v>
      </c>
      <c r="J198" s="5">
        <v>6.5670846543383843E-2</v>
      </c>
      <c r="K198" s="5">
        <v>0</v>
      </c>
      <c r="L198" s="5">
        <v>-1.6650503075373859E-3</v>
      </c>
      <c r="M198" s="5">
        <v>0</v>
      </c>
      <c r="N198" s="5">
        <v>0</v>
      </c>
      <c r="O198" s="5">
        <v>4.2016884652981153E-2</v>
      </c>
      <c r="P198" s="5">
        <v>0</v>
      </c>
      <c r="Q198" s="5">
        <v>3.2982113652943353E-2</v>
      </c>
      <c r="R198" s="5">
        <v>0.71074249463362271</v>
      </c>
      <c r="S198" s="5">
        <v>0.23058643343176519</v>
      </c>
      <c r="T198" s="5">
        <v>-0.16205311945635301</v>
      </c>
      <c r="U198" s="5">
        <v>0.70164200873961591</v>
      </c>
      <c r="V198" s="5">
        <v>1.12500507701973</v>
      </c>
      <c r="W198" s="5">
        <v>0.68267528326354054</v>
      </c>
      <c r="X198" s="5">
        <v>1.181618399584585</v>
      </c>
      <c r="Y198" s="5">
        <v>0.6565476190637568</v>
      </c>
      <c r="Z198" s="5">
        <v>5.1267641962802619</v>
      </c>
      <c r="AA198" s="5">
        <v>1.6168082161034929</v>
      </c>
    </row>
    <row r="199" spans="1:27" x14ac:dyDescent="0.25">
      <c r="A199" s="1">
        <v>43496</v>
      </c>
      <c r="B199" s="5">
        <v>7.8477809287381239E-2</v>
      </c>
      <c r="C199" s="5">
        <v>6.3407213087554926E-2</v>
      </c>
      <c r="D199" s="5">
        <v>2.4678704072346069E-2</v>
      </c>
      <c r="E199" s="5">
        <v>1.37038599729189E-2</v>
      </c>
      <c r="F199" s="5">
        <v>2.7953196449690521E-2</v>
      </c>
      <c r="G199" s="5">
        <v>-5.0542967941247241E-4</v>
      </c>
      <c r="H199">
        <v>-1</v>
      </c>
      <c r="I199">
        <v>1</v>
      </c>
      <c r="J199" s="5">
        <v>0</v>
      </c>
      <c r="K199" s="5">
        <v>-2.4678704072346069E-2</v>
      </c>
      <c r="L199" s="5">
        <v>0</v>
      </c>
      <c r="M199" s="5">
        <v>1.37038599729189E-2</v>
      </c>
      <c r="N199" s="5">
        <v>2.7953196449690521E-2</v>
      </c>
      <c r="O199" s="5">
        <v>0</v>
      </c>
      <c r="P199" s="5">
        <v>5.0542967941247241E-4</v>
      </c>
      <c r="Q199" s="5">
        <v>0</v>
      </c>
      <c r="R199" s="5">
        <v>0.71074249463362271</v>
      </c>
      <c r="S199" s="5">
        <v>0.20590772935941909</v>
      </c>
      <c r="T199" s="5">
        <v>-0.16205311945635301</v>
      </c>
      <c r="U199" s="5">
        <v>0.7153458687125348</v>
      </c>
      <c r="V199" s="5">
        <v>1.1529582734694199</v>
      </c>
      <c r="W199" s="5">
        <v>0.68267528326354054</v>
      </c>
      <c r="X199" s="5">
        <v>1.1821238292639971</v>
      </c>
      <c r="Y199" s="5">
        <v>0.6565476190637568</v>
      </c>
      <c r="Z199" s="5">
        <v>5.144247978309938</v>
      </c>
      <c r="AA199" s="5">
        <v>1.6952860253908739</v>
      </c>
    </row>
    <row r="200" spans="1:27" x14ac:dyDescent="0.25">
      <c r="A200" s="1">
        <v>43524</v>
      </c>
      <c r="B200" s="5">
        <v>3.2163246252630777E-2</v>
      </c>
      <c r="C200" s="5">
        <v>3.4666672941134458E-2</v>
      </c>
      <c r="D200" s="5">
        <v>-1.6460889887104371E-3</v>
      </c>
      <c r="E200" s="5">
        <v>-1.2744780484765791E-2</v>
      </c>
      <c r="F200" s="5">
        <v>8.5786419607747355E-4</v>
      </c>
      <c r="G200" s="5">
        <v>1.1692946403970561E-3</v>
      </c>
      <c r="H200">
        <v>-1</v>
      </c>
      <c r="I200">
        <v>1</v>
      </c>
      <c r="J200" s="5">
        <v>0</v>
      </c>
      <c r="K200" s="5">
        <v>1.6460889887104371E-3</v>
      </c>
      <c r="L200" s="5">
        <v>0</v>
      </c>
      <c r="M200" s="5">
        <v>-1.2744780484765791E-2</v>
      </c>
      <c r="N200" s="5">
        <v>8.5786419607747355E-4</v>
      </c>
      <c r="O200" s="5">
        <v>0</v>
      </c>
      <c r="P200" s="5">
        <v>-1.1692946403970561E-3</v>
      </c>
      <c r="Q200" s="5">
        <v>0</v>
      </c>
      <c r="R200" s="5">
        <v>0.71074249463362271</v>
      </c>
      <c r="S200" s="5">
        <v>0.20755381834812961</v>
      </c>
      <c r="T200" s="5">
        <v>-0.16205311945635301</v>
      </c>
      <c r="U200" s="5">
        <v>0.70260108822776901</v>
      </c>
      <c r="V200" s="5">
        <v>1.153816137665497</v>
      </c>
      <c r="W200" s="5">
        <v>0.68267528326354054</v>
      </c>
      <c r="X200" s="5">
        <v>1.1809545346235999</v>
      </c>
      <c r="Y200" s="5">
        <v>0.6565476190637568</v>
      </c>
      <c r="Z200" s="5">
        <v>5.1328378563695631</v>
      </c>
      <c r="AA200" s="5">
        <v>1.727449271643505</v>
      </c>
    </row>
    <row r="201" spans="1:27" x14ac:dyDescent="0.25">
      <c r="A201" s="1">
        <v>43555</v>
      </c>
      <c r="B201" s="5">
        <v>1.8497523683521529E-2</v>
      </c>
      <c r="C201" s="5">
        <v>-3.0505003708047868E-4</v>
      </c>
      <c r="D201" s="5">
        <v>-7.6770919622154432E-3</v>
      </c>
      <c r="E201" s="5">
        <v>2.8159385034979612E-2</v>
      </c>
      <c r="F201" s="5">
        <v>-1.31757476410046E-2</v>
      </c>
      <c r="G201" s="5">
        <v>1.0841284476416409E-2</v>
      </c>
      <c r="H201">
        <v>1</v>
      </c>
      <c r="I201">
        <v>-1</v>
      </c>
      <c r="J201" s="5">
        <v>-7.6770919622154432E-3</v>
      </c>
      <c r="K201" s="5">
        <v>0</v>
      </c>
      <c r="L201" s="5">
        <v>-2.8159385034979612E-2</v>
      </c>
      <c r="M201" s="5">
        <v>0</v>
      </c>
      <c r="N201" s="5">
        <v>0</v>
      </c>
      <c r="O201" s="5">
        <v>1.31757476410046E-2</v>
      </c>
      <c r="P201" s="5">
        <v>0</v>
      </c>
      <c r="Q201" s="5">
        <v>1.0841284476416409E-2</v>
      </c>
      <c r="R201" s="5">
        <v>0.70306540267140727</v>
      </c>
      <c r="S201" s="5">
        <v>0.20755381834812961</v>
      </c>
      <c r="T201" s="5">
        <v>-0.19021250449133259</v>
      </c>
      <c r="U201" s="5">
        <v>0.70260108822776901</v>
      </c>
      <c r="V201" s="5">
        <v>1.153816137665497</v>
      </c>
      <c r="W201" s="5">
        <v>0.69585103090454514</v>
      </c>
      <c r="X201" s="5">
        <v>1.1809545346235999</v>
      </c>
      <c r="Y201" s="5">
        <v>0.66738890354017322</v>
      </c>
      <c r="Z201" s="5">
        <v>5.1210184114897892</v>
      </c>
      <c r="AA201" s="5">
        <v>1.745946795327026</v>
      </c>
    </row>
    <row r="202" spans="1:27" x14ac:dyDescent="0.25">
      <c r="A202" s="1">
        <v>43585</v>
      </c>
      <c r="B202" s="5">
        <v>4.0229042604753462E-2</v>
      </c>
      <c r="C202" s="5">
        <v>5.809382313839051E-2</v>
      </c>
      <c r="D202" s="5">
        <v>1.2891173176882381E-2</v>
      </c>
      <c r="E202" s="5">
        <v>1.0971627800424599E-2</v>
      </c>
      <c r="F202" s="5">
        <v>2.1416237895486079E-2</v>
      </c>
      <c r="G202" s="5">
        <v>-1.6896744269112252E-2</v>
      </c>
      <c r="H202">
        <v>-1</v>
      </c>
      <c r="I202">
        <v>1</v>
      </c>
      <c r="J202" s="5">
        <v>0</v>
      </c>
      <c r="K202" s="5">
        <v>-1.2891173176882381E-2</v>
      </c>
      <c r="L202" s="5">
        <v>0</v>
      </c>
      <c r="M202" s="5">
        <v>1.0971627800424599E-2</v>
      </c>
      <c r="N202" s="5">
        <v>2.1416237895486079E-2</v>
      </c>
      <c r="O202" s="5">
        <v>0</v>
      </c>
      <c r="P202" s="5">
        <v>1.6896744269112252E-2</v>
      </c>
      <c r="Q202" s="5">
        <v>0</v>
      </c>
      <c r="R202" s="5">
        <v>0.70306540267140727</v>
      </c>
      <c r="S202" s="5">
        <v>0.19466264517124721</v>
      </c>
      <c r="T202" s="5">
        <v>-0.19021250449133259</v>
      </c>
      <c r="U202" s="5">
        <v>0.71357271602819361</v>
      </c>
      <c r="V202" s="5">
        <v>1.175232375560983</v>
      </c>
      <c r="W202" s="5">
        <v>0.69585103090454514</v>
      </c>
      <c r="X202" s="5">
        <v>1.197851278892712</v>
      </c>
      <c r="Y202" s="5">
        <v>0.66738890354017322</v>
      </c>
      <c r="Z202" s="5">
        <v>5.1574118482779294</v>
      </c>
      <c r="AA202" s="5">
        <v>1.78617583793178</v>
      </c>
    </row>
    <row r="203" spans="1:27" x14ac:dyDescent="0.25">
      <c r="A203" s="1">
        <v>43616</v>
      </c>
      <c r="B203" s="5">
        <v>-6.4900453868902752E-2</v>
      </c>
      <c r="C203" s="5">
        <v>-4.2450941935942683E-2</v>
      </c>
      <c r="D203" s="5">
        <v>-3.9777113255939467E-2</v>
      </c>
      <c r="E203" s="5">
        <v>4.9192841503328921E-2</v>
      </c>
      <c r="F203" s="5">
        <v>-2.0702850534254139E-2</v>
      </c>
      <c r="G203" s="5">
        <v>1.2612244871415429E-2</v>
      </c>
      <c r="H203">
        <v>1</v>
      </c>
      <c r="I203">
        <v>-1</v>
      </c>
      <c r="J203" s="5">
        <v>-3.9777113255939467E-2</v>
      </c>
      <c r="K203" s="5">
        <v>0</v>
      </c>
      <c r="L203" s="5">
        <v>-4.9192841503328921E-2</v>
      </c>
      <c r="M203" s="5">
        <v>0</v>
      </c>
      <c r="N203" s="5">
        <v>0</v>
      </c>
      <c r="O203" s="5">
        <v>2.0702850534254139E-2</v>
      </c>
      <c r="P203" s="5">
        <v>0</v>
      </c>
      <c r="Q203" s="5">
        <v>1.2612244871415429E-2</v>
      </c>
      <c r="R203" s="5">
        <v>0.6632882894154678</v>
      </c>
      <c r="S203" s="5">
        <v>0.19466264517124721</v>
      </c>
      <c r="T203" s="5">
        <v>-0.23940534599466159</v>
      </c>
      <c r="U203" s="5">
        <v>0.71357271602819361</v>
      </c>
      <c r="V203" s="5">
        <v>1.175232375560983</v>
      </c>
      <c r="W203" s="5">
        <v>0.71655388143879928</v>
      </c>
      <c r="X203" s="5">
        <v>1.197851278892712</v>
      </c>
      <c r="Y203" s="5">
        <v>0.68000114841158865</v>
      </c>
      <c r="Z203" s="5">
        <v>5.1017569889243308</v>
      </c>
      <c r="AA203" s="5">
        <v>1.7212753840628769</v>
      </c>
    </row>
    <row r="204" spans="1:27" x14ac:dyDescent="0.25">
      <c r="A204" s="1">
        <v>43646</v>
      </c>
      <c r="B204" s="5">
        <v>6.7809383236264065E-2</v>
      </c>
      <c r="C204" s="5">
        <v>7.1856907649220925E-2</v>
      </c>
      <c r="D204" s="5">
        <v>-3.338140846534277E-3</v>
      </c>
      <c r="E204" s="5">
        <v>1.0523285845390419E-2</v>
      </c>
      <c r="F204" s="5">
        <v>4.4335285985562238E-2</v>
      </c>
      <c r="G204" s="5">
        <v>1.513213958655335E-3</v>
      </c>
      <c r="H204">
        <v>-1</v>
      </c>
      <c r="I204">
        <v>1</v>
      </c>
      <c r="J204" s="5">
        <v>0</v>
      </c>
      <c r="K204" s="5">
        <v>3.338140846534277E-3</v>
      </c>
      <c r="L204" s="5">
        <v>0</v>
      </c>
      <c r="M204" s="5">
        <v>1.0523285845390419E-2</v>
      </c>
      <c r="N204" s="5">
        <v>4.4335285985562238E-2</v>
      </c>
      <c r="O204" s="5">
        <v>0</v>
      </c>
      <c r="P204" s="5">
        <v>-1.513213958655335E-3</v>
      </c>
      <c r="Q204" s="5">
        <v>0</v>
      </c>
      <c r="R204" s="5">
        <v>0.6632882894154678</v>
      </c>
      <c r="S204" s="5">
        <v>0.19800078601778151</v>
      </c>
      <c r="T204" s="5">
        <v>-0.23940534599466159</v>
      </c>
      <c r="U204" s="5">
        <v>0.72409600187358403</v>
      </c>
      <c r="V204" s="5">
        <v>1.2195676615465461</v>
      </c>
      <c r="W204" s="5">
        <v>0.71655388143879928</v>
      </c>
      <c r="X204" s="5">
        <v>1.1963380649340569</v>
      </c>
      <c r="Y204" s="5">
        <v>0.68000114841158865</v>
      </c>
      <c r="Z204" s="5">
        <v>5.158440487643162</v>
      </c>
      <c r="AA204" s="5">
        <v>1.789084767299141</v>
      </c>
    </row>
    <row r="205" spans="1:27" x14ac:dyDescent="0.25">
      <c r="A205" s="1">
        <v>43677</v>
      </c>
      <c r="B205" s="5">
        <v>1.531176113849619E-2</v>
      </c>
      <c r="C205" s="5">
        <v>2.1032164801545791E-2</v>
      </c>
      <c r="D205" s="5">
        <v>-1.4442548038223759E-3</v>
      </c>
      <c r="E205" s="5">
        <v>7.248268766894439E-3</v>
      </c>
      <c r="F205" s="5">
        <v>1.304516870355954E-2</v>
      </c>
      <c r="G205" s="5">
        <v>5.9978496275592263E-4</v>
      </c>
      <c r="H205">
        <v>-1</v>
      </c>
      <c r="I205">
        <v>1</v>
      </c>
      <c r="J205" s="5">
        <v>0</v>
      </c>
      <c r="K205" s="5">
        <v>1.4442548038223759E-3</v>
      </c>
      <c r="L205" s="5">
        <v>0</v>
      </c>
      <c r="M205" s="5">
        <v>7.248268766894439E-3</v>
      </c>
      <c r="N205" s="5">
        <v>1.304516870355954E-2</v>
      </c>
      <c r="O205" s="5">
        <v>0</v>
      </c>
      <c r="P205" s="5">
        <v>-5.9978496275592263E-4</v>
      </c>
      <c r="Q205" s="5">
        <v>0</v>
      </c>
      <c r="R205" s="5">
        <v>0.6632882894154678</v>
      </c>
      <c r="S205" s="5">
        <v>0.19944504082160389</v>
      </c>
      <c r="T205" s="5">
        <v>-0.23940534599466159</v>
      </c>
      <c r="U205" s="5">
        <v>0.73134427064047847</v>
      </c>
      <c r="V205" s="5">
        <v>1.2326128302501049</v>
      </c>
      <c r="W205" s="5">
        <v>0.71655388143879928</v>
      </c>
      <c r="X205" s="5">
        <v>1.195738279971301</v>
      </c>
      <c r="Y205" s="5">
        <v>0.68000114841158865</v>
      </c>
      <c r="Z205" s="5">
        <v>5.1795783949546834</v>
      </c>
      <c r="AA205" s="5">
        <v>1.804396528437638</v>
      </c>
    </row>
    <row r="206" spans="1:27" x14ac:dyDescent="0.25">
      <c r="A206" s="1">
        <v>43708</v>
      </c>
      <c r="B206" s="5">
        <v>-1.4649857869985629E-2</v>
      </c>
      <c r="C206" s="5">
        <v>-0.10248474235537949</v>
      </c>
      <c r="D206" s="5">
        <v>5.0981081936363193E-4</v>
      </c>
      <c r="E206" s="5">
        <v>1.8930473888803308E-2</v>
      </c>
      <c r="F206" s="5">
        <v>-3.1696625135023908E-2</v>
      </c>
      <c r="G206" s="5">
        <v>5.4739950815384741E-2</v>
      </c>
      <c r="H206">
        <v>1</v>
      </c>
      <c r="I206">
        <v>-1</v>
      </c>
      <c r="J206" s="5">
        <v>5.0981081936363193E-4</v>
      </c>
      <c r="K206" s="5">
        <v>0</v>
      </c>
      <c r="L206" s="5">
        <v>-1.8930473888803308E-2</v>
      </c>
      <c r="M206" s="5">
        <v>0</v>
      </c>
      <c r="N206" s="5">
        <v>0</v>
      </c>
      <c r="O206" s="5">
        <v>3.1696625135023908E-2</v>
      </c>
      <c r="P206" s="5">
        <v>0</v>
      </c>
      <c r="Q206" s="5">
        <v>5.4739950815384741E-2</v>
      </c>
      <c r="R206" s="5">
        <v>0.66379810023483143</v>
      </c>
      <c r="S206" s="5">
        <v>0.19944504082160389</v>
      </c>
      <c r="T206" s="5">
        <v>-0.25833581988346488</v>
      </c>
      <c r="U206" s="5">
        <v>0.73134427064047847</v>
      </c>
      <c r="V206" s="5">
        <v>1.2326128302501049</v>
      </c>
      <c r="W206" s="5">
        <v>0.74825050657382319</v>
      </c>
      <c r="X206" s="5">
        <v>1.195738279971301</v>
      </c>
      <c r="Y206" s="5">
        <v>0.73474109922697339</v>
      </c>
      <c r="Z206" s="5">
        <v>5.2475943078356524</v>
      </c>
      <c r="AA206" s="5">
        <v>1.7897466705676519</v>
      </c>
    </row>
    <row r="207" spans="1:27" x14ac:dyDescent="0.25">
      <c r="A207" s="1">
        <v>43738</v>
      </c>
      <c r="B207" s="5">
        <v>1.9560589190405819E-2</v>
      </c>
      <c r="C207" s="5">
        <v>5.909584707393023E-2</v>
      </c>
      <c r="D207" s="5">
        <v>-4.7651219580187032E-3</v>
      </c>
      <c r="E207" s="5">
        <v>8.7705058723580587E-3</v>
      </c>
      <c r="F207" s="5">
        <v>1.963398090446267E-2</v>
      </c>
      <c r="G207" s="5">
        <v>-2.5973440993995789E-2</v>
      </c>
      <c r="H207">
        <v>-1</v>
      </c>
      <c r="I207">
        <v>1</v>
      </c>
      <c r="J207" s="5">
        <v>0</v>
      </c>
      <c r="K207" s="5">
        <v>4.7651219580187032E-3</v>
      </c>
      <c r="L207" s="5">
        <v>0</v>
      </c>
      <c r="M207" s="5">
        <v>8.7705058723580587E-3</v>
      </c>
      <c r="N207" s="5">
        <v>1.963398090446267E-2</v>
      </c>
      <c r="O207" s="5">
        <v>0</v>
      </c>
      <c r="P207" s="5">
        <v>2.5973440993995789E-2</v>
      </c>
      <c r="Q207" s="5">
        <v>0</v>
      </c>
      <c r="R207" s="5">
        <v>0.66379810023483143</v>
      </c>
      <c r="S207" s="5">
        <v>0.20421016277962259</v>
      </c>
      <c r="T207" s="5">
        <v>-0.25833581988346488</v>
      </c>
      <c r="U207" s="5">
        <v>0.74011477651283653</v>
      </c>
      <c r="V207" s="5">
        <v>1.2522468111545679</v>
      </c>
      <c r="W207" s="5">
        <v>0.74825050657382319</v>
      </c>
      <c r="X207" s="5">
        <v>1.221711720965297</v>
      </c>
      <c r="Y207" s="5">
        <v>0.73474109922697339</v>
      </c>
      <c r="Z207" s="5">
        <v>5.3067373575644874</v>
      </c>
      <c r="AA207" s="5">
        <v>1.809307259758058</v>
      </c>
    </row>
    <row r="208" spans="1:27" x14ac:dyDescent="0.25">
      <c r="A208" s="1">
        <v>43769</v>
      </c>
      <c r="B208" s="5">
        <v>2.2600267764034791E-2</v>
      </c>
      <c r="C208" s="5">
        <v>4.1602296126618588E-2</v>
      </c>
      <c r="D208" s="5">
        <v>1.1115374898164051E-2</v>
      </c>
      <c r="E208" s="5">
        <v>1.9643933721634092E-2</v>
      </c>
      <c r="F208" s="5">
        <v>-1.2148748134702351E-2</v>
      </c>
      <c r="G208" s="5">
        <v>1.3670190245649531E-2</v>
      </c>
      <c r="H208">
        <v>-1</v>
      </c>
      <c r="I208">
        <v>1</v>
      </c>
      <c r="J208" s="5">
        <v>0</v>
      </c>
      <c r="K208" s="5">
        <v>-1.1115374898164051E-2</v>
      </c>
      <c r="L208" s="5">
        <v>0</v>
      </c>
      <c r="M208" s="5">
        <v>1.9643933721634092E-2</v>
      </c>
      <c r="N208" s="5">
        <v>-1.2148748134702351E-2</v>
      </c>
      <c r="O208" s="5">
        <v>0</v>
      </c>
      <c r="P208" s="5">
        <v>-1.3670190245649531E-2</v>
      </c>
      <c r="Q208" s="5">
        <v>0</v>
      </c>
      <c r="R208" s="5">
        <v>0.66379810023483143</v>
      </c>
      <c r="S208" s="5">
        <v>0.19309478788145851</v>
      </c>
      <c r="T208" s="5">
        <v>-0.25833581988346488</v>
      </c>
      <c r="U208" s="5">
        <v>0.75975871023447061</v>
      </c>
      <c r="V208" s="5">
        <v>1.240098063019865</v>
      </c>
      <c r="W208" s="5">
        <v>0.74825050657382319</v>
      </c>
      <c r="X208" s="5">
        <v>1.208041530719647</v>
      </c>
      <c r="Y208" s="5">
        <v>0.73474109922697339</v>
      </c>
      <c r="Z208" s="5">
        <v>5.2894469780076054</v>
      </c>
      <c r="AA208" s="5">
        <v>1.8319075275220931</v>
      </c>
    </row>
    <row r="209" spans="1:27" x14ac:dyDescent="0.25">
      <c r="A209" s="1">
        <v>43799</v>
      </c>
      <c r="B209" s="5">
        <v>3.571052377658801E-2</v>
      </c>
      <c r="C209" s="5">
        <v>3.1255510368257799E-2</v>
      </c>
      <c r="D209" s="5">
        <v>1.298848792926977E-2</v>
      </c>
      <c r="E209" s="5">
        <v>5.02572900614906E-3</v>
      </c>
      <c r="F209" s="5">
        <v>1.591992993951008E-2</v>
      </c>
      <c r="G209" s="5">
        <v>-3.9553651120680773E-2</v>
      </c>
      <c r="H209">
        <v>-1</v>
      </c>
      <c r="I209">
        <v>1</v>
      </c>
      <c r="J209" s="5">
        <v>0</v>
      </c>
      <c r="K209" s="5">
        <v>-1.298848792926977E-2</v>
      </c>
      <c r="L209" s="5">
        <v>0</v>
      </c>
      <c r="M209" s="5">
        <v>5.02572900614906E-3</v>
      </c>
      <c r="N209" s="5">
        <v>1.591992993951008E-2</v>
      </c>
      <c r="O209" s="5">
        <v>0</v>
      </c>
      <c r="P209" s="5">
        <v>3.9553651120680773E-2</v>
      </c>
      <c r="Q209" s="5">
        <v>0</v>
      </c>
      <c r="R209" s="5">
        <v>0.66379810023483143</v>
      </c>
      <c r="S209" s="5">
        <v>0.18010629995218869</v>
      </c>
      <c r="T209" s="5">
        <v>-0.25833581988346488</v>
      </c>
      <c r="U209" s="5">
        <v>0.76478443924061967</v>
      </c>
      <c r="V209" s="5">
        <v>1.256017992959376</v>
      </c>
      <c r="W209" s="5">
        <v>0.74825050657382319</v>
      </c>
      <c r="X209" s="5">
        <v>1.2475951818403279</v>
      </c>
      <c r="Y209" s="5">
        <v>0.73474109922697339</v>
      </c>
      <c r="Z209" s="5">
        <v>5.3369578001446749</v>
      </c>
      <c r="AA209" s="5">
        <v>1.8676180512986811</v>
      </c>
    </row>
    <row r="210" spans="1:27" x14ac:dyDescent="0.25">
      <c r="A210" s="1">
        <v>43830</v>
      </c>
      <c r="B210" s="5">
        <v>2.888400887297593E-2</v>
      </c>
      <c r="C210" s="5">
        <v>4.8534434160773299E-2</v>
      </c>
      <c r="D210" s="5">
        <v>3.550513197692617E-3</v>
      </c>
      <c r="E210" s="5">
        <v>-8.5348301612558908E-3</v>
      </c>
      <c r="F210" s="5">
        <v>1.90126907208954E-3</v>
      </c>
      <c r="G210" s="5">
        <v>-1.274941130473051E-2</v>
      </c>
      <c r="H210">
        <v>-1</v>
      </c>
      <c r="I210">
        <v>1</v>
      </c>
      <c r="J210" s="5">
        <v>0</v>
      </c>
      <c r="K210" s="5">
        <v>-3.550513197692617E-3</v>
      </c>
      <c r="L210" s="5">
        <v>0</v>
      </c>
      <c r="M210" s="5">
        <v>-8.5348301612558908E-3</v>
      </c>
      <c r="N210" s="5">
        <v>1.90126907208954E-3</v>
      </c>
      <c r="O210" s="5">
        <v>0</v>
      </c>
      <c r="P210" s="5">
        <v>1.274941130473051E-2</v>
      </c>
      <c r="Q210" s="5">
        <v>0</v>
      </c>
      <c r="R210" s="5">
        <v>0.66379810023483143</v>
      </c>
      <c r="S210" s="5">
        <v>0.1765557867544961</v>
      </c>
      <c r="T210" s="5">
        <v>-0.25833581988346488</v>
      </c>
      <c r="U210" s="5">
        <v>0.75624960907936378</v>
      </c>
      <c r="V210" s="5">
        <v>1.257919262031465</v>
      </c>
      <c r="W210" s="5">
        <v>0.74825050657382319</v>
      </c>
      <c r="X210" s="5">
        <v>1.260344593145059</v>
      </c>
      <c r="Y210" s="5">
        <v>0.73474109922697339</v>
      </c>
      <c r="Z210" s="5">
        <v>5.339523137162546</v>
      </c>
      <c r="AA210" s="5">
        <v>1.8965020601716569</v>
      </c>
    </row>
    <row r="211" spans="1:27" x14ac:dyDescent="0.25">
      <c r="A211" s="1">
        <v>43861</v>
      </c>
      <c r="B211" s="5">
        <v>1.8651653410373109E-4</v>
      </c>
      <c r="C211" s="5">
        <v>-9.585033054471559E-3</v>
      </c>
      <c r="D211" s="5">
        <v>-3.0181610082432479E-2</v>
      </c>
      <c r="E211" s="5">
        <v>3.4859425718876902E-2</v>
      </c>
      <c r="F211" s="5">
        <v>8.1123348560113717E-3</v>
      </c>
      <c r="G211" s="5">
        <v>9.4881148586170028E-3</v>
      </c>
      <c r="H211">
        <v>1</v>
      </c>
      <c r="I211">
        <v>-1</v>
      </c>
      <c r="J211" s="5">
        <v>-3.0181610082432479E-2</v>
      </c>
      <c r="K211" s="5">
        <v>0</v>
      </c>
      <c r="L211" s="5">
        <v>-3.4859425718876902E-2</v>
      </c>
      <c r="M211" s="5">
        <v>0</v>
      </c>
      <c r="N211" s="5">
        <v>0</v>
      </c>
      <c r="O211" s="5">
        <v>-8.1123348560113717E-3</v>
      </c>
      <c r="P211" s="5">
        <v>0</v>
      </c>
      <c r="Q211" s="5">
        <v>9.4881148586170028E-3</v>
      </c>
      <c r="R211" s="5">
        <v>0.63361649015239896</v>
      </c>
      <c r="S211" s="5">
        <v>0.1765557867544961</v>
      </c>
      <c r="T211" s="5">
        <v>-0.29319524560234178</v>
      </c>
      <c r="U211" s="5">
        <v>0.75624960907936378</v>
      </c>
      <c r="V211" s="5">
        <v>1.257919262031465</v>
      </c>
      <c r="W211" s="5">
        <v>0.74013817171781182</v>
      </c>
      <c r="X211" s="5">
        <v>1.260344593145059</v>
      </c>
      <c r="Y211" s="5">
        <v>0.7442292140855904</v>
      </c>
      <c r="Z211" s="5">
        <v>5.2758578813638426</v>
      </c>
      <c r="AA211" s="5">
        <v>1.8966885767057611</v>
      </c>
    </row>
    <row r="212" spans="1:27" x14ac:dyDescent="0.25">
      <c r="A212" s="1">
        <v>43890</v>
      </c>
      <c r="B212" s="5">
        <v>-8.0031981233165683E-2</v>
      </c>
      <c r="C212" s="5">
        <v>-2.8470713409798679E-2</v>
      </c>
      <c r="D212" s="5">
        <v>-8.309359927727189E-2</v>
      </c>
      <c r="E212" s="5">
        <v>3.3460520555865243E-2</v>
      </c>
      <c r="F212" s="5">
        <v>3.2252934734914973E-2</v>
      </c>
      <c r="G212" s="5">
        <v>-8.2273142414228673E-3</v>
      </c>
      <c r="H212">
        <v>1</v>
      </c>
      <c r="I212">
        <v>-1</v>
      </c>
      <c r="J212" s="5">
        <v>-8.309359927727189E-2</v>
      </c>
      <c r="K212" s="5">
        <v>0</v>
      </c>
      <c r="L212" s="5">
        <v>-3.3460520555865243E-2</v>
      </c>
      <c r="M212" s="5">
        <v>0</v>
      </c>
      <c r="N212" s="5">
        <v>0</v>
      </c>
      <c r="O212" s="5">
        <v>-3.2252934734914973E-2</v>
      </c>
      <c r="P212" s="5">
        <v>0</v>
      </c>
      <c r="Q212" s="5">
        <v>-8.2273142414228673E-3</v>
      </c>
      <c r="R212" s="5">
        <v>0.55052289087512707</v>
      </c>
      <c r="S212" s="5">
        <v>0.1765557867544961</v>
      </c>
      <c r="T212" s="5">
        <v>-0.32665576615820702</v>
      </c>
      <c r="U212" s="5">
        <v>0.75624960907936378</v>
      </c>
      <c r="V212" s="5">
        <v>1.257919262031465</v>
      </c>
      <c r="W212" s="5">
        <v>0.70788523698289685</v>
      </c>
      <c r="X212" s="5">
        <v>1.260344593145059</v>
      </c>
      <c r="Y212" s="5">
        <v>0.73600189984416753</v>
      </c>
      <c r="Z212" s="5">
        <v>5.1188235125543677</v>
      </c>
      <c r="AA212" s="5">
        <v>1.8166565954725951</v>
      </c>
    </row>
    <row r="213" spans="1:27" x14ac:dyDescent="0.25">
      <c r="A213" s="1">
        <v>43921</v>
      </c>
      <c r="B213" s="5">
        <v>-9.9208902268969057E-2</v>
      </c>
      <c r="C213" s="5">
        <v>-0.26660557790181783</v>
      </c>
      <c r="D213" s="5">
        <v>0.12617956872831779</v>
      </c>
      <c r="E213" s="5">
        <v>3.5592340462273893E-2</v>
      </c>
      <c r="F213" s="5">
        <v>6.9343987070509261E-3</v>
      </c>
      <c r="G213" s="5">
        <v>7.4484902258363017E-2</v>
      </c>
      <c r="H213">
        <v>1</v>
      </c>
      <c r="I213">
        <v>-1</v>
      </c>
      <c r="J213" s="5">
        <v>0.12617956872831779</v>
      </c>
      <c r="K213" s="5">
        <v>0</v>
      </c>
      <c r="L213" s="5">
        <v>-3.5592340462273893E-2</v>
      </c>
      <c r="M213" s="5">
        <v>0</v>
      </c>
      <c r="N213" s="5">
        <v>0</v>
      </c>
      <c r="O213" s="5">
        <v>-6.9343987070509261E-3</v>
      </c>
      <c r="P213" s="5">
        <v>0</v>
      </c>
      <c r="Q213" s="5">
        <v>7.4484902258363017E-2</v>
      </c>
      <c r="R213" s="5">
        <v>0.67670245960344488</v>
      </c>
      <c r="S213" s="5">
        <v>0.1765557867544961</v>
      </c>
      <c r="T213" s="5">
        <v>-0.3622481066204809</v>
      </c>
      <c r="U213" s="5">
        <v>0.75624960907936378</v>
      </c>
      <c r="V213" s="5">
        <v>1.257919262031465</v>
      </c>
      <c r="W213" s="5">
        <v>0.70095083827584592</v>
      </c>
      <c r="X213" s="5">
        <v>1.260344593145059</v>
      </c>
      <c r="Y213" s="5">
        <v>0.81048680210253055</v>
      </c>
      <c r="Z213" s="5">
        <v>5.2769612443717238</v>
      </c>
      <c r="AA213" s="5">
        <v>1.717447693203626</v>
      </c>
    </row>
    <row r="214" spans="1:27" x14ac:dyDescent="0.25">
      <c r="A214" s="1">
        <v>43951</v>
      </c>
      <c r="B214" s="5">
        <v>0.12631020908776239</v>
      </c>
      <c r="C214" s="5">
        <v>5.6075064625101922E-2</v>
      </c>
      <c r="D214" s="5">
        <v>4.055448493089564E-2</v>
      </c>
      <c r="E214" s="5">
        <v>-1.631271156349301E-2</v>
      </c>
      <c r="F214" s="5">
        <v>3.180206779905681E-2</v>
      </c>
      <c r="G214" s="5">
        <v>9.6529723659157796E-3</v>
      </c>
      <c r="H214">
        <v>-1</v>
      </c>
      <c r="I214">
        <v>1</v>
      </c>
      <c r="J214" s="5">
        <v>0</v>
      </c>
      <c r="K214" s="5">
        <v>-4.055448493089564E-2</v>
      </c>
      <c r="L214" s="5">
        <v>0</v>
      </c>
      <c r="M214" s="5">
        <v>-1.631271156349301E-2</v>
      </c>
      <c r="N214" s="5">
        <v>3.180206779905681E-2</v>
      </c>
      <c r="O214" s="5">
        <v>0</v>
      </c>
      <c r="P214" s="5">
        <v>-9.6529723659157796E-3</v>
      </c>
      <c r="Q214" s="5">
        <v>0</v>
      </c>
      <c r="R214" s="5">
        <v>0.67670245960344488</v>
      </c>
      <c r="S214" s="5">
        <v>0.13600130182360051</v>
      </c>
      <c r="T214" s="5">
        <v>-0.3622481066204809</v>
      </c>
      <c r="U214" s="5">
        <v>0.73993689751587077</v>
      </c>
      <c r="V214" s="5">
        <v>1.2897213298305219</v>
      </c>
      <c r="W214" s="5">
        <v>0.70095083827584592</v>
      </c>
      <c r="X214" s="5">
        <v>1.250691620779143</v>
      </c>
      <c r="Y214" s="5">
        <v>0.81048680210253055</v>
      </c>
      <c r="Z214" s="5">
        <v>5.2422431433104766</v>
      </c>
      <c r="AA214" s="5">
        <v>1.8437579022913879</v>
      </c>
    </row>
    <row r="215" spans="1:27" x14ac:dyDescent="0.25">
      <c r="A215" s="1">
        <v>43982</v>
      </c>
      <c r="B215" s="5">
        <v>4.8492873281040128E-2</v>
      </c>
      <c r="C215" s="5">
        <v>2.7807101058960781E-2</v>
      </c>
      <c r="D215" s="5">
        <v>3.1709685465570632E-2</v>
      </c>
      <c r="E215" s="5">
        <v>-5.7689029307027573E-3</v>
      </c>
      <c r="F215" s="5">
        <v>-9.187622288678976E-3</v>
      </c>
      <c r="G215" s="5">
        <v>-1.9708953585391149E-3</v>
      </c>
      <c r="H215">
        <v>-1</v>
      </c>
      <c r="I215">
        <v>1</v>
      </c>
      <c r="J215" s="5">
        <v>0</v>
      </c>
      <c r="K215" s="5">
        <v>-3.1709685465570632E-2</v>
      </c>
      <c r="L215" s="5">
        <v>0</v>
      </c>
      <c r="M215" s="5">
        <v>-5.7689029307027573E-3</v>
      </c>
      <c r="N215" s="5">
        <v>-9.187622288678976E-3</v>
      </c>
      <c r="O215" s="5">
        <v>0</v>
      </c>
      <c r="P215" s="5">
        <v>1.9708953585391149E-3</v>
      </c>
      <c r="Q215" s="5">
        <v>0</v>
      </c>
      <c r="R215" s="5">
        <v>0.67670245960344488</v>
      </c>
      <c r="S215" s="5">
        <v>0.1042916163580299</v>
      </c>
      <c r="T215" s="5">
        <v>-0.3622481066204809</v>
      </c>
      <c r="U215" s="5">
        <v>0.73416799458516802</v>
      </c>
      <c r="V215" s="5">
        <v>1.280533707541843</v>
      </c>
      <c r="W215" s="5">
        <v>0.70095083827584592</v>
      </c>
      <c r="X215" s="5">
        <v>1.2526625161376821</v>
      </c>
      <c r="Y215" s="5">
        <v>0.81048680210253055</v>
      </c>
      <c r="Z215" s="5">
        <v>5.1975478279840637</v>
      </c>
      <c r="AA215" s="5">
        <v>1.892250775572428</v>
      </c>
    </row>
    <row r="216" spans="1:27" x14ac:dyDescent="0.25">
      <c r="A216" s="1">
        <v>44012</v>
      </c>
      <c r="B216" s="5">
        <v>2.109631254770827E-2</v>
      </c>
      <c r="C216" s="5">
        <v>2.6351734342612069E-2</v>
      </c>
      <c r="D216" s="5">
        <v>-1.364660738711887E-5</v>
      </c>
      <c r="E216" s="5">
        <v>9.5973114134728643E-3</v>
      </c>
      <c r="F216" s="5">
        <v>4.8632860728509808E-2</v>
      </c>
      <c r="G216" s="5">
        <v>-4.5268534154147673E-2</v>
      </c>
      <c r="H216">
        <v>-1</v>
      </c>
      <c r="I216">
        <v>1</v>
      </c>
      <c r="J216" s="5">
        <v>0</v>
      </c>
      <c r="K216" s="5">
        <v>1.364660738711887E-5</v>
      </c>
      <c r="L216" s="5">
        <v>0</v>
      </c>
      <c r="M216" s="5">
        <v>9.5973114134728643E-3</v>
      </c>
      <c r="N216" s="5">
        <v>4.8632860728509808E-2</v>
      </c>
      <c r="O216" s="5">
        <v>0</v>
      </c>
      <c r="P216" s="5">
        <v>4.5268534154147673E-2</v>
      </c>
      <c r="Q216" s="5">
        <v>0</v>
      </c>
      <c r="R216" s="5">
        <v>0.67670245960344488</v>
      </c>
      <c r="S216" s="5">
        <v>0.10430526296541701</v>
      </c>
      <c r="T216" s="5">
        <v>-0.3622481066204809</v>
      </c>
      <c r="U216" s="5">
        <v>0.74376530599864088</v>
      </c>
      <c r="V216" s="5">
        <v>1.3291665682703531</v>
      </c>
      <c r="W216" s="5">
        <v>0.70095083827584592</v>
      </c>
      <c r="X216" s="5">
        <v>1.29793105029183</v>
      </c>
      <c r="Y216" s="5">
        <v>0.81048680210253055</v>
      </c>
      <c r="Z216" s="5">
        <v>5.301060180887581</v>
      </c>
      <c r="AA216" s="5">
        <v>1.913347088120136</v>
      </c>
    </row>
    <row r="217" spans="1:27" x14ac:dyDescent="0.25">
      <c r="A217" s="1">
        <v>44043</v>
      </c>
      <c r="B217" s="5">
        <v>5.8006279892352519E-2</v>
      </c>
      <c r="C217" s="5">
        <v>3.4056945257221798E-2</v>
      </c>
      <c r="D217" s="5">
        <v>-7.8944200111852325E-4</v>
      </c>
      <c r="E217" s="5">
        <v>1.907180820279453E-2</v>
      </c>
      <c r="F217" s="5">
        <v>2.5283718016310349E-2</v>
      </c>
      <c r="G217" s="5">
        <v>5.0631606300178822E-3</v>
      </c>
      <c r="H217">
        <v>-1</v>
      </c>
      <c r="I217">
        <v>1</v>
      </c>
      <c r="J217" s="5">
        <v>0</v>
      </c>
      <c r="K217" s="5">
        <v>7.8944200111852325E-4</v>
      </c>
      <c r="L217" s="5">
        <v>0</v>
      </c>
      <c r="M217" s="5">
        <v>1.907180820279453E-2</v>
      </c>
      <c r="N217" s="5">
        <v>2.5283718016310349E-2</v>
      </c>
      <c r="O217" s="5">
        <v>0</v>
      </c>
      <c r="P217" s="5">
        <v>-5.0631606300178822E-3</v>
      </c>
      <c r="Q217" s="5">
        <v>0</v>
      </c>
      <c r="R217" s="5">
        <v>0.67670245960344488</v>
      </c>
      <c r="S217" s="5">
        <v>0.1050947049665355</v>
      </c>
      <c r="T217" s="5">
        <v>-0.3622481066204809</v>
      </c>
      <c r="U217" s="5">
        <v>0.76283711420143541</v>
      </c>
      <c r="V217" s="5">
        <v>1.354450286286663</v>
      </c>
      <c r="W217" s="5">
        <v>0.70095083827584592</v>
      </c>
      <c r="X217" s="5">
        <v>1.292867889661812</v>
      </c>
      <c r="Y217" s="5">
        <v>0.81048680210253055</v>
      </c>
      <c r="Z217" s="5">
        <v>5.3411419884777862</v>
      </c>
      <c r="AA217" s="5">
        <v>1.9713533680124891</v>
      </c>
    </row>
    <row r="218" spans="1:27" x14ac:dyDescent="0.25">
      <c r="A218" s="1">
        <v>44074</v>
      </c>
      <c r="B218" s="5">
        <v>6.7842533875965505E-2</v>
      </c>
      <c r="C218" s="5">
        <v>6.6092119765851054E-2</v>
      </c>
      <c r="D218" s="5">
        <v>2.868134432505753E-2</v>
      </c>
      <c r="E218" s="5">
        <v>-2.4216499146975878E-2</v>
      </c>
      <c r="F218" s="5">
        <v>2.4428279126085251E-2</v>
      </c>
      <c r="G218" s="5">
        <v>-5.3254987525561681E-3</v>
      </c>
      <c r="H218">
        <v>-1</v>
      </c>
      <c r="I218">
        <v>1</v>
      </c>
      <c r="J218" s="5">
        <v>0</v>
      </c>
      <c r="K218" s="5">
        <v>-2.868134432505753E-2</v>
      </c>
      <c r="L218" s="5">
        <v>0</v>
      </c>
      <c r="M218" s="5">
        <v>-2.4216499146975878E-2</v>
      </c>
      <c r="N218" s="5">
        <v>2.4428279126085251E-2</v>
      </c>
      <c r="O218" s="5">
        <v>0</v>
      </c>
      <c r="P218" s="5">
        <v>5.3254987525561681E-3</v>
      </c>
      <c r="Q218" s="5">
        <v>0</v>
      </c>
      <c r="R218" s="5">
        <v>0.67670245960344488</v>
      </c>
      <c r="S218" s="5">
        <v>7.6413360641477968E-2</v>
      </c>
      <c r="T218" s="5">
        <v>-0.3622481066204809</v>
      </c>
      <c r="U218" s="5">
        <v>0.73862061505445953</v>
      </c>
      <c r="V218" s="5">
        <v>1.378878565412748</v>
      </c>
      <c r="W218" s="5">
        <v>0.70095083827584592</v>
      </c>
      <c r="X218" s="5">
        <v>1.2981933884143679</v>
      </c>
      <c r="Y218" s="5">
        <v>0.81048680210253055</v>
      </c>
      <c r="Z218" s="5">
        <v>5.3179979228843939</v>
      </c>
      <c r="AA218" s="5">
        <v>2.039195901888454</v>
      </c>
    </row>
    <row r="219" spans="1:27" x14ac:dyDescent="0.25">
      <c r="A219" s="1">
        <v>44104</v>
      </c>
      <c r="B219" s="5">
        <v>-3.5737659660372227E-2</v>
      </c>
      <c r="C219" s="5">
        <v>-6.4360563895146661E-2</v>
      </c>
      <c r="D219" s="5">
        <v>1.438680298905215E-2</v>
      </c>
      <c r="E219" s="5">
        <v>-6.1083737294953533E-3</v>
      </c>
      <c r="F219" s="5">
        <v>-4.6019132277675068E-2</v>
      </c>
      <c r="G219" s="5">
        <v>1.0955425996189261E-2</v>
      </c>
      <c r="H219">
        <v>1</v>
      </c>
      <c r="I219">
        <v>-1</v>
      </c>
      <c r="J219" s="5">
        <v>1.438680298905215E-2</v>
      </c>
      <c r="K219" s="5">
        <v>0</v>
      </c>
      <c r="L219" s="5">
        <v>6.1083737294953533E-3</v>
      </c>
      <c r="M219" s="5">
        <v>0</v>
      </c>
      <c r="N219" s="5">
        <v>0</v>
      </c>
      <c r="O219" s="5">
        <v>4.6019132277675068E-2</v>
      </c>
      <c r="P219" s="5">
        <v>0</v>
      </c>
      <c r="Q219" s="5">
        <v>1.0955425996189261E-2</v>
      </c>
      <c r="R219" s="5">
        <v>0.69108926259249703</v>
      </c>
      <c r="S219" s="5">
        <v>7.6413360641477968E-2</v>
      </c>
      <c r="T219" s="5">
        <v>-0.35613973289098549</v>
      </c>
      <c r="U219" s="5">
        <v>0.73862061505445953</v>
      </c>
      <c r="V219" s="5">
        <v>1.378878565412748</v>
      </c>
      <c r="W219" s="5">
        <v>0.74696997055352099</v>
      </c>
      <c r="X219" s="5">
        <v>1.2981933884143679</v>
      </c>
      <c r="Y219" s="5">
        <v>0.82144222809871981</v>
      </c>
      <c r="Z219" s="5">
        <v>5.3954676578768046</v>
      </c>
      <c r="AA219" s="5">
        <v>2.0034582422280822</v>
      </c>
    </row>
    <row r="220" spans="1:27" x14ac:dyDescent="0.25">
      <c r="A220" s="1">
        <v>44135</v>
      </c>
      <c r="B220" s="5">
        <v>-2.3497975393280131E-2</v>
      </c>
      <c r="C220" s="5">
        <v>5.0926968986040877E-2</v>
      </c>
      <c r="D220" s="5">
        <v>-4.7487023436683207E-2</v>
      </c>
      <c r="E220" s="5">
        <v>-6.9108277296058276E-3</v>
      </c>
      <c r="F220" s="5">
        <v>1.7849188571451902E-2</v>
      </c>
      <c r="G220" s="5">
        <v>-2.3527418399633349E-2</v>
      </c>
      <c r="H220">
        <v>-1</v>
      </c>
      <c r="I220">
        <v>1</v>
      </c>
      <c r="J220" s="5">
        <v>0</v>
      </c>
      <c r="K220" s="5">
        <v>4.7487023436683207E-2</v>
      </c>
      <c r="L220" s="5">
        <v>0</v>
      </c>
      <c r="M220" s="5">
        <v>-6.9108277296058276E-3</v>
      </c>
      <c r="N220" s="5">
        <v>1.7849188571451902E-2</v>
      </c>
      <c r="O220" s="5">
        <v>0</v>
      </c>
      <c r="P220" s="5">
        <v>2.3527418399633349E-2</v>
      </c>
      <c r="Q220" s="5">
        <v>0</v>
      </c>
      <c r="R220" s="5">
        <v>0.69108926259249703</v>
      </c>
      <c r="S220" s="5">
        <v>0.1239003840781612</v>
      </c>
      <c r="T220" s="5">
        <v>-0.35613973289098549</v>
      </c>
      <c r="U220" s="5">
        <v>0.7317097873248537</v>
      </c>
      <c r="V220" s="5">
        <v>1.3967277539842</v>
      </c>
      <c r="W220" s="5">
        <v>0.74696997055352099</v>
      </c>
      <c r="X220" s="5">
        <v>1.3217208068140009</v>
      </c>
      <c r="Y220" s="5">
        <v>0.82144222809871981</v>
      </c>
      <c r="Z220" s="5">
        <v>5.4774204605549679</v>
      </c>
      <c r="AA220" s="5">
        <v>1.979960266834802</v>
      </c>
    </row>
    <row r="221" spans="1:27" x14ac:dyDescent="0.25">
      <c r="A221" s="1">
        <v>44165</v>
      </c>
      <c r="B221" s="5">
        <v>0.1045152701887356</v>
      </c>
      <c r="C221" s="5">
        <v>5.8996865003974157E-2</v>
      </c>
      <c r="D221" s="5">
        <v>1.8924314016548701E-2</v>
      </c>
      <c r="E221" s="5">
        <v>-9.1553067599295934E-3</v>
      </c>
      <c r="F221" s="5">
        <v>7.0487960096269675E-2</v>
      </c>
      <c r="G221" s="5">
        <v>1.3034763491055481E-2</v>
      </c>
      <c r="H221">
        <v>-1</v>
      </c>
      <c r="I221">
        <v>1</v>
      </c>
      <c r="J221" s="5">
        <v>0</v>
      </c>
      <c r="K221" s="5">
        <v>-1.8924314016548701E-2</v>
      </c>
      <c r="L221" s="5">
        <v>0</v>
      </c>
      <c r="M221" s="5">
        <v>-9.1553067599295934E-3</v>
      </c>
      <c r="N221" s="5">
        <v>7.0487960096269675E-2</v>
      </c>
      <c r="O221" s="5">
        <v>0</v>
      </c>
      <c r="P221" s="5">
        <v>-1.3034763491055481E-2</v>
      </c>
      <c r="Q221" s="5">
        <v>0</v>
      </c>
      <c r="R221" s="5">
        <v>0.69108926259249703</v>
      </c>
      <c r="S221" s="5">
        <v>0.1049760700616125</v>
      </c>
      <c r="T221" s="5">
        <v>-0.35613973289098549</v>
      </c>
      <c r="U221" s="5">
        <v>0.72255448056492411</v>
      </c>
      <c r="V221" s="5">
        <v>1.46721571408047</v>
      </c>
      <c r="W221" s="5">
        <v>0.74696997055352099</v>
      </c>
      <c r="X221" s="5">
        <v>1.3086860433229459</v>
      </c>
      <c r="Y221" s="5">
        <v>0.82144222809871981</v>
      </c>
      <c r="Z221" s="5">
        <v>5.5067940363837042</v>
      </c>
      <c r="AA221" s="5">
        <v>2.0844755370235371</v>
      </c>
    </row>
    <row r="222" spans="1:27" x14ac:dyDescent="0.25">
      <c r="A222" s="1">
        <v>44196</v>
      </c>
      <c r="B222" s="5">
        <v>3.6718223076448009E-2</v>
      </c>
      <c r="C222" s="5">
        <v>3.7320190437037597E-2</v>
      </c>
      <c r="D222" s="5">
        <v>1.6294423489302771E-2</v>
      </c>
      <c r="E222" s="5">
        <v>5.0074395225220281E-3</v>
      </c>
      <c r="F222" s="5">
        <v>1.933126192782153E-2</v>
      </c>
      <c r="G222" s="5">
        <v>-2.02624603100422E-2</v>
      </c>
      <c r="H222">
        <v>-1</v>
      </c>
      <c r="I222">
        <v>1</v>
      </c>
      <c r="J222" s="5">
        <v>0</v>
      </c>
      <c r="K222" s="5">
        <v>-1.6294423489302771E-2</v>
      </c>
      <c r="L222" s="5">
        <v>0</v>
      </c>
      <c r="M222" s="5">
        <v>5.0074395225220281E-3</v>
      </c>
      <c r="N222" s="5">
        <v>1.933126192782153E-2</v>
      </c>
      <c r="O222" s="5">
        <v>0</v>
      </c>
      <c r="P222" s="5">
        <v>2.02624603100422E-2</v>
      </c>
      <c r="Q222" s="5">
        <v>0</v>
      </c>
      <c r="R222" s="5">
        <v>0.69108926259249703</v>
      </c>
      <c r="S222" s="5">
        <v>8.8681646572309702E-2</v>
      </c>
      <c r="T222" s="5">
        <v>-0.35613973289098549</v>
      </c>
      <c r="U222" s="5">
        <v>0.72756192008744613</v>
      </c>
      <c r="V222" s="5">
        <v>1.486546976008291</v>
      </c>
      <c r="W222" s="5">
        <v>0.74696997055352099</v>
      </c>
      <c r="X222" s="5">
        <v>1.328948503632988</v>
      </c>
      <c r="Y222" s="5">
        <v>0.82144222809871981</v>
      </c>
      <c r="Z222" s="5">
        <v>5.5351007746547873</v>
      </c>
      <c r="AA222" s="5">
        <v>2.1211937600999859</v>
      </c>
    </row>
    <row r="223" spans="1:27" x14ac:dyDescent="0.25">
      <c r="A223" s="1">
        <v>44227</v>
      </c>
      <c r="B223" s="5">
        <v>-9.2381577780097368E-3</v>
      </c>
      <c r="C223" s="5">
        <v>5.3752719801942628E-2</v>
      </c>
      <c r="D223" s="5">
        <v>-3.7420615465962648E-2</v>
      </c>
      <c r="E223" s="5">
        <v>-1.0888397416708551E-2</v>
      </c>
      <c r="F223" s="5">
        <v>1.980734870681267E-2</v>
      </c>
      <c r="G223" s="5">
        <v>-4.1201806283726272E-2</v>
      </c>
      <c r="H223">
        <v>-1</v>
      </c>
      <c r="I223">
        <v>1</v>
      </c>
      <c r="J223" s="5">
        <v>0</v>
      </c>
      <c r="K223" s="5">
        <v>3.7420615465962648E-2</v>
      </c>
      <c r="L223" s="5">
        <v>0</v>
      </c>
      <c r="M223" s="5">
        <v>-1.0888397416708551E-2</v>
      </c>
      <c r="N223" s="5">
        <v>1.980734870681267E-2</v>
      </c>
      <c r="O223" s="5">
        <v>0</v>
      </c>
      <c r="P223" s="5">
        <v>4.1201806283726272E-2</v>
      </c>
      <c r="Q223" s="5">
        <v>0</v>
      </c>
      <c r="R223" s="5">
        <v>0.69108926259249703</v>
      </c>
      <c r="S223" s="5">
        <v>0.12610226203827241</v>
      </c>
      <c r="T223" s="5">
        <v>-0.35613973289098549</v>
      </c>
      <c r="U223" s="5">
        <v>0.71667352267073758</v>
      </c>
      <c r="V223" s="5">
        <v>1.5063543247151041</v>
      </c>
      <c r="W223" s="5">
        <v>0.74696997055352099</v>
      </c>
      <c r="X223" s="5">
        <v>1.370150309916714</v>
      </c>
      <c r="Y223" s="5">
        <v>0.82144222809871981</v>
      </c>
      <c r="Z223" s="5">
        <v>5.62264214769458</v>
      </c>
      <c r="AA223" s="5">
        <v>2.1119556023219759</v>
      </c>
    </row>
    <row r="224" spans="1:27" x14ac:dyDescent="0.25">
      <c r="A224" s="1">
        <v>44255</v>
      </c>
      <c r="B224" s="5">
        <v>2.8183892925661039E-2</v>
      </c>
      <c r="C224" s="5">
        <v>0.1103384289337888</v>
      </c>
      <c r="D224" s="5">
        <v>-1.7014929599760031E-2</v>
      </c>
      <c r="E224" s="5">
        <v>7.2848360068952234E-3</v>
      </c>
      <c r="F224" s="5">
        <v>4.6873706956129579E-2</v>
      </c>
      <c r="G224" s="5">
        <v>-2.5207127953274729E-2</v>
      </c>
      <c r="H224">
        <v>-1</v>
      </c>
      <c r="I224">
        <v>1</v>
      </c>
      <c r="J224" s="5">
        <v>0</v>
      </c>
      <c r="K224" s="5">
        <v>1.7014929599760031E-2</v>
      </c>
      <c r="L224" s="5">
        <v>0</v>
      </c>
      <c r="M224" s="5">
        <v>7.2848360068952234E-3</v>
      </c>
      <c r="N224" s="5">
        <v>4.6873706956129579E-2</v>
      </c>
      <c r="O224" s="5">
        <v>0</v>
      </c>
      <c r="P224" s="5">
        <v>2.5207127953274729E-2</v>
      </c>
      <c r="Q224" s="5">
        <v>0</v>
      </c>
      <c r="R224" s="5">
        <v>0.69108926259249703</v>
      </c>
      <c r="S224" s="5">
        <v>0.14311719163803241</v>
      </c>
      <c r="T224" s="5">
        <v>-0.35613973289098549</v>
      </c>
      <c r="U224" s="5">
        <v>0.72395835867763281</v>
      </c>
      <c r="V224" s="5">
        <v>1.553228031671233</v>
      </c>
      <c r="W224" s="5">
        <v>0.74696997055352099</v>
      </c>
      <c r="X224" s="5">
        <v>1.3953574378699889</v>
      </c>
      <c r="Y224" s="5">
        <v>0.82144222809871981</v>
      </c>
      <c r="Z224" s="5">
        <v>5.7190227482106399</v>
      </c>
      <c r="AA224" s="5">
        <v>2.1401394952476371</v>
      </c>
    </row>
    <row r="225" spans="1:27" x14ac:dyDescent="0.25">
      <c r="A225" s="1">
        <v>44286</v>
      </c>
      <c r="B225" s="5">
        <v>4.5600885374568079E-2</v>
      </c>
      <c r="C225" s="5">
        <v>8.6317909175936403E-2</v>
      </c>
      <c r="D225" s="5">
        <v>1.7666221233699101E-2</v>
      </c>
      <c r="E225" s="5">
        <v>5.4014789331912061E-3</v>
      </c>
      <c r="F225" s="5">
        <v>9.2130963252262665E-3</v>
      </c>
      <c r="G225" s="5">
        <v>-2.8484816159702438E-2</v>
      </c>
      <c r="H225">
        <v>-1</v>
      </c>
      <c r="I225">
        <v>1</v>
      </c>
      <c r="J225" s="5">
        <v>0</v>
      </c>
      <c r="K225" s="5">
        <v>-1.7666221233699101E-2</v>
      </c>
      <c r="L225" s="5">
        <v>0</v>
      </c>
      <c r="M225" s="5">
        <v>5.4014789331912061E-3</v>
      </c>
      <c r="N225" s="5">
        <v>9.2130963252262665E-3</v>
      </c>
      <c r="O225" s="5">
        <v>0</v>
      </c>
      <c r="P225" s="5">
        <v>2.8484816159702438E-2</v>
      </c>
      <c r="Q225" s="5">
        <v>0</v>
      </c>
      <c r="R225" s="5">
        <v>0.69108926259249703</v>
      </c>
      <c r="S225" s="5">
        <v>0.12545097040433331</v>
      </c>
      <c r="T225" s="5">
        <v>-0.35613973289098549</v>
      </c>
      <c r="U225" s="5">
        <v>0.72935983761082401</v>
      </c>
      <c r="V225" s="5">
        <v>1.5624411279964601</v>
      </c>
      <c r="W225" s="5">
        <v>0.74696997055352099</v>
      </c>
      <c r="X225" s="5">
        <v>1.423842254029692</v>
      </c>
      <c r="Y225" s="5">
        <v>0.82144222809871981</v>
      </c>
      <c r="Z225" s="5">
        <v>5.7444559183950608</v>
      </c>
      <c r="AA225" s="5">
        <v>2.1857403806222049</v>
      </c>
    </row>
    <row r="226" spans="1:27" x14ac:dyDescent="0.25">
      <c r="A226" s="1">
        <v>44316</v>
      </c>
      <c r="B226" s="5">
        <v>5.2057723398015072E-2</v>
      </c>
      <c r="C226" s="5">
        <v>2.178452440058765E-3</v>
      </c>
      <c r="D226" s="5">
        <v>1.2229061609691391E-2</v>
      </c>
      <c r="E226" s="5">
        <v>-1.249457119786801E-2</v>
      </c>
      <c r="F226" s="5">
        <v>3.0465744343403101E-2</v>
      </c>
      <c r="G226" s="5">
        <v>2.0317351346829549E-2</v>
      </c>
      <c r="H226">
        <v>-1</v>
      </c>
      <c r="I226">
        <v>1</v>
      </c>
      <c r="J226" s="5">
        <v>0</v>
      </c>
      <c r="K226" s="5">
        <v>-1.2229061609691391E-2</v>
      </c>
      <c r="L226" s="5">
        <v>0</v>
      </c>
      <c r="M226" s="5">
        <v>-1.249457119786801E-2</v>
      </c>
      <c r="N226" s="5">
        <v>3.0465744343403101E-2</v>
      </c>
      <c r="O226" s="5">
        <v>0</v>
      </c>
      <c r="P226" s="5">
        <v>-2.0317351346829549E-2</v>
      </c>
      <c r="Q226" s="5">
        <v>0</v>
      </c>
      <c r="R226" s="5">
        <v>0.69108926259249703</v>
      </c>
      <c r="S226" s="5">
        <v>0.1132219087946419</v>
      </c>
      <c r="T226" s="5">
        <v>-0.35613973289098549</v>
      </c>
      <c r="U226" s="5">
        <v>0.716865266412956</v>
      </c>
      <c r="V226" s="5">
        <v>1.5929068723398629</v>
      </c>
      <c r="W226" s="5">
        <v>0.74696997055352099</v>
      </c>
      <c r="X226" s="5">
        <v>1.403524902682862</v>
      </c>
      <c r="Y226" s="5">
        <v>0.82144222809871981</v>
      </c>
      <c r="Z226" s="5">
        <v>5.7298806785840748</v>
      </c>
      <c r="AA226" s="5">
        <v>2.2377981040202211</v>
      </c>
    </row>
    <row r="227" spans="1:27" x14ac:dyDescent="0.25">
      <c r="A227" s="1">
        <v>44347</v>
      </c>
      <c r="B227" s="5">
        <v>7.2903659984585589E-3</v>
      </c>
      <c r="C227" s="5">
        <v>3.1921487108432789E-4</v>
      </c>
      <c r="D227" s="5">
        <v>1.227379600930156E-2</v>
      </c>
      <c r="E227" s="5">
        <v>5.6375877342584868E-3</v>
      </c>
      <c r="F227" s="5">
        <v>1.1564042957680321E-2</v>
      </c>
      <c r="G227" s="5">
        <v>5.7501109537363426E-3</v>
      </c>
      <c r="H227">
        <v>-1</v>
      </c>
      <c r="I227">
        <v>1</v>
      </c>
      <c r="J227" s="5">
        <v>0</v>
      </c>
      <c r="K227" s="5">
        <v>-1.227379600930156E-2</v>
      </c>
      <c r="L227" s="5">
        <v>0</v>
      </c>
      <c r="M227" s="5">
        <v>5.6375877342584868E-3</v>
      </c>
      <c r="N227" s="5">
        <v>1.1564042957680321E-2</v>
      </c>
      <c r="O227" s="5">
        <v>0</v>
      </c>
      <c r="P227" s="5">
        <v>-5.7501109537363426E-3</v>
      </c>
      <c r="Q227" s="5">
        <v>0</v>
      </c>
      <c r="R227" s="5">
        <v>0.69108926259249703</v>
      </c>
      <c r="S227" s="5">
        <v>0.1009481127853403</v>
      </c>
      <c r="T227" s="5">
        <v>-0.35613973289098549</v>
      </c>
      <c r="U227" s="5">
        <v>0.72250285414721449</v>
      </c>
      <c r="V227" s="5">
        <v>1.6044709152975429</v>
      </c>
      <c r="W227" s="5">
        <v>0.74696997055352099</v>
      </c>
      <c r="X227" s="5">
        <v>1.3977747917291261</v>
      </c>
      <c r="Y227" s="5">
        <v>0.82144222809871981</v>
      </c>
      <c r="Z227" s="5">
        <v>5.729058402312976</v>
      </c>
      <c r="AA227" s="5">
        <v>2.2450884700186791</v>
      </c>
    </row>
    <row r="228" spans="1:27" x14ac:dyDescent="0.25">
      <c r="A228" s="1">
        <v>44377</v>
      </c>
      <c r="B228" s="5">
        <v>2.2498044710969611E-2</v>
      </c>
      <c r="C228" s="5">
        <v>-3.1026729303170741E-2</v>
      </c>
      <c r="D228" s="5">
        <v>1.700435905875286E-2</v>
      </c>
      <c r="E228" s="5">
        <v>7.4960514795694433E-3</v>
      </c>
      <c r="F228" s="5">
        <v>5.156312301881294E-3</v>
      </c>
      <c r="G228" s="5">
        <v>8.9587629810524705E-3</v>
      </c>
      <c r="H228">
        <v>1</v>
      </c>
      <c r="I228">
        <v>-1</v>
      </c>
      <c r="J228" s="5">
        <v>1.700435905875286E-2</v>
      </c>
      <c r="K228" s="5">
        <v>0</v>
      </c>
      <c r="L228" s="5">
        <v>-7.4960514795694433E-3</v>
      </c>
      <c r="M228" s="5">
        <v>0</v>
      </c>
      <c r="N228" s="5">
        <v>0</v>
      </c>
      <c r="O228" s="5">
        <v>-5.156312301881294E-3</v>
      </c>
      <c r="P228" s="5">
        <v>0</v>
      </c>
      <c r="Q228" s="5">
        <v>8.9587629810524705E-3</v>
      </c>
      <c r="R228" s="5">
        <v>0.70809362165124989</v>
      </c>
      <c r="S228" s="5">
        <v>0.1009481127853403</v>
      </c>
      <c r="T228" s="5">
        <v>-0.36363578437055499</v>
      </c>
      <c r="U228" s="5">
        <v>0.72250285414721449</v>
      </c>
      <c r="V228" s="5">
        <v>1.6044709152975429</v>
      </c>
      <c r="W228" s="5">
        <v>0.7418136582516397</v>
      </c>
      <c r="X228" s="5">
        <v>1.3977747917291261</v>
      </c>
      <c r="Y228" s="5">
        <v>0.83040099107977228</v>
      </c>
      <c r="Z228" s="5">
        <v>5.7423691605713314</v>
      </c>
      <c r="AA228" s="5">
        <v>2.2675865147296488</v>
      </c>
    </row>
    <row r="229" spans="1:27" x14ac:dyDescent="0.25">
      <c r="A229" s="1">
        <v>44408</v>
      </c>
      <c r="B229" s="5">
        <v>2.464463566441533E-2</v>
      </c>
      <c r="C229" s="5">
        <v>-1.9578278651575239E-2</v>
      </c>
      <c r="D229" s="5">
        <v>7.0662182858713951E-3</v>
      </c>
      <c r="E229" s="5">
        <v>2.4350113479276739E-4</v>
      </c>
      <c r="F229" s="5">
        <v>6.7446904977427344E-3</v>
      </c>
      <c r="G229" s="5">
        <v>3.0587779075669671E-2</v>
      </c>
      <c r="H229">
        <v>1</v>
      </c>
      <c r="I229">
        <v>-1</v>
      </c>
      <c r="J229" s="5">
        <v>7.0662182858713951E-3</v>
      </c>
      <c r="K229" s="5">
        <v>0</v>
      </c>
      <c r="L229" s="5">
        <v>-2.4350113479276739E-4</v>
      </c>
      <c r="M229" s="5">
        <v>0</v>
      </c>
      <c r="N229" s="5">
        <v>0</v>
      </c>
      <c r="O229" s="5">
        <v>-6.7446904977427344E-3</v>
      </c>
      <c r="P229" s="5">
        <v>0</v>
      </c>
      <c r="Q229" s="5">
        <v>3.0587779075669671E-2</v>
      </c>
      <c r="R229" s="5">
        <v>0.71515983993712129</v>
      </c>
      <c r="S229" s="5">
        <v>0.1009481127853403</v>
      </c>
      <c r="T229" s="5">
        <v>-0.36387928550534782</v>
      </c>
      <c r="U229" s="5">
        <v>0.72250285414721449</v>
      </c>
      <c r="V229" s="5">
        <v>1.6044709152975429</v>
      </c>
      <c r="W229" s="5">
        <v>0.73506896775389696</v>
      </c>
      <c r="X229" s="5">
        <v>1.3977747917291261</v>
      </c>
      <c r="Y229" s="5">
        <v>0.86098877015544195</v>
      </c>
      <c r="Z229" s="5">
        <v>5.7730349663003357</v>
      </c>
      <c r="AA229" s="5">
        <v>2.292231150394064</v>
      </c>
    </row>
    <row r="230" spans="1:27" x14ac:dyDescent="0.25">
      <c r="A230" s="1">
        <v>44439</v>
      </c>
      <c r="B230" s="5">
        <v>2.9631859655226859E-2</v>
      </c>
      <c r="C230" s="5">
        <v>2.738394316984416E-3</v>
      </c>
      <c r="D230" s="5">
        <v>1.8436080966524489E-2</v>
      </c>
      <c r="E230" s="5">
        <v>-1.13725154964901E-2</v>
      </c>
      <c r="F230" s="5">
        <v>9.1038204296556291E-3</v>
      </c>
      <c r="G230" s="5">
        <v>-1.0291238347372561E-2</v>
      </c>
      <c r="H230">
        <v>-1</v>
      </c>
      <c r="I230">
        <v>1</v>
      </c>
      <c r="J230" s="5">
        <v>0</v>
      </c>
      <c r="K230" s="5">
        <v>-1.8436080966524489E-2</v>
      </c>
      <c r="L230" s="5">
        <v>0</v>
      </c>
      <c r="M230" s="5">
        <v>-1.13725154964901E-2</v>
      </c>
      <c r="N230" s="5">
        <v>9.1038204296556291E-3</v>
      </c>
      <c r="O230" s="5">
        <v>0</v>
      </c>
      <c r="P230" s="5">
        <v>1.0291238347372561E-2</v>
      </c>
      <c r="Q230" s="5">
        <v>0</v>
      </c>
      <c r="R230" s="5">
        <v>0.71515983993712129</v>
      </c>
      <c r="S230" s="5">
        <v>8.2512031818815834E-2</v>
      </c>
      <c r="T230" s="5">
        <v>-0.36387928550534782</v>
      </c>
      <c r="U230" s="5">
        <v>0.71113033865072439</v>
      </c>
      <c r="V230" s="5">
        <v>1.613574735727199</v>
      </c>
      <c r="W230" s="5">
        <v>0.73506896775389696</v>
      </c>
      <c r="X230" s="5">
        <v>1.408066030076498</v>
      </c>
      <c r="Y230" s="5">
        <v>0.86098877015544195</v>
      </c>
      <c r="Z230" s="5">
        <v>5.7626214286143496</v>
      </c>
      <c r="AA230" s="5">
        <v>2.3218630100492912</v>
      </c>
    </row>
    <row r="231" spans="1:27" x14ac:dyDescent="0.25">
      <c r="A231" s="1">
        <v>44469</v>
      </c>
      <c r="B231" s="5">
        <v>-4.7022997606157468E-2</v>
      </c>
      <c r="C231" s="5">
        <v>-4.8669187242056711E-2</v>
      </c>
      <c r="D231" s="5">
        <v>-1.975489700036304E-2</v>
      </c>
      <c r="E231" s="5">
        <v>-5.0026237131217788E-2</v>
      </c>
      <c r="F231" s="5">
        <v>-1.4286043815575631E-3</v>
      </c>
      <c r="G231" s="5">
        <v>-4.6828538599169578E-3</v>
      </c>
      <c r="H231">
        <v>1</v>
      </c>
      <c r="I231">
        <v>-1</v>
      </c>
      <c r="J231" s="5">
        <v>-1.975489700036304E-2</v>
      </c>
      <c r="K231" s="5">
        <v>0</v>
      </c>
      <c r="L231" s="5">
        <v>5.0026237131217788E-2</v>
      </c>
      <c r="M231" s="5">
        <v>0</v>
      </c>
      <c r="N231" s="5">
        <v>0</v>
      </c>
      <c r="O231" s="5">
        <v>1.4286043815575631E-3</v>
      </c>
      <c r="P231" s="5">
        <v>0</v>
      </c>
      <c r="Q231" s="5">
        <v>-4.6828538599169578E-3</v>
      </c>
      <c r="R231" s="5">
        <v>0.69540494293675825</v>
      </c>
      <c r="S231" s="5">
        <v>8.2512031818815834E-2</v>
      </c>
      <c r="T231" s="5">
        <v>-0.31385304837412997</v>
      </c>
      <c r="U231" s="5">
        <v>0.71113033865072439</v>
      </c>
      <c r="V231" s="5">
        <v>1.613574735727199</v>
      </c>
      <c r="W231" s="5">
        <v>0.73649757213545453</v>
      </c>
      <c r="X231" s="5">
        <v>1.408066030076498</v>
      </c>
      <c r="Y231" s="5">
        <v>0.85630591629552499</v>
      </c>
      <c r="Z231" s="5">
        <v>5.7896385192668447</v>
      </c>
      <c r="AA231" s="5">
        <v>2.2748400124431329</v>
      </c>
    </row>
    <row r="232" spans="1:27" x14ac:dyDescent="0.25">
      <c r="A232" s="1">
        <v>44500</v>
      </c>
      <c r="B232" s="5">
        <v>6.8389666000883254E-2</v>
      </c>
      <c r="C232" s="5">
        <v>6.6386420704063198E-2</v>
      </c>
      <c r="D232" s="5">
        <v>1.2474433735060851E-2</v>
      </c>
      <c r="E232" s="5">
        <v>3.5622372828651223E-2</v>
      </c>
      <c r="F232" s="5">
        <v>2.219491727057743E-2</v>
      </c>
      <c r="G232" s="5">
        <v>-8.6028695796336319E-3</v>
      </c>
      <c r="H232">
        <v>-1</v>
      </c>
      <c r="I232">
        <v>1</v>
      </c>
      <c r="J232" s="5">
        <v>0</v>
      </c>
      <c r="K232" s="5">
        <v>-1.2474433735060851E-2</v>
      </c>
      <c r="L232" s="5">
        <v>0</v>
      </c>
      <c r="M232" s="5">
        <v>3.5622372828651223E-2</v>
      </c>
      <c r="N232" s="5">
        <v>2.219491727057743E-2</v>
      </c>
      <c r="O232" s="5">
        <v>0</v>
      </c>
      <c r="P232" s="5">
        <v>8.6028695796336319E-3</v>
      </c>
      <c r="Q232" s="5">
        <v>0</v>
      </c>
      <c r="R232" s="5">
        <v>0.69540494293675825</v>
      </c>
      <c r="S232" s="5">
        <v>7.0037598083754982E-2</v>
      </c>
      <c r="T232" s="5">
        <v>-0.31385304837412997</v>
      </c>
      <c r="U232" s="5">
        <v>0.74675271147937561</v>
      </c>
      <c r="V232" s="5">
        <v>1.6357696529977761</v>
      </c>
      <c r="W232" s="5">
        <v>0.73649757213545453</v>
      </c>
      <c r="X232" s="5">
        <v>1.4166688996561321</v>
      </c>
      <c r="Y232" s="5">
        <v>0.85630591629552499</v>
      </c>
      <c r="Z232" s="5">
        <v>5.8435842452106463</v>
      </c>
      <c r="AA232" s="5">
        <v>2.343229678444017</v>
      </c>
    </row>
    <row r="233" spans="1:27" x14ac:dyDescent="0.25">
      <c r="A233" s="1">
        <v>44530</v>
      </c>
      <c r="B233" s="5">
        <v>-7.4097041214846726E-3</v>
      </c>
      <c r="C233" s="5">
        <v>1.4406910227133141E-2</v>
      </c>
      <c r="D233" s="5">
        <v>-2.8313591639895112E-2</v>
      </c>
      <c r="E233" s="5">
        <v>2.2300921522953709E-2</v>
      </c>
      <c r="F233" s="5">
        <v>2.0050690844943819E-2</v>
      </c>
      <c r="G233" s="5">
        <v>1.2370628388422509E-2</v>
      </c>
      <c r="H233">
        <v>-1</v>
      </c>
      <c r="I233">
        <v>1</v>
      </c>
      <c r="J233" s="5">
        <v>0</v>
      </c>
      <c r="K233" s="5">
        <v>2.8313591639895112E-2</v>
      </c>
      <c r="L233" s="5">
        <v>0</v>
      </c>
      <c r="M233" s="5">
        <v>2.2300921522953709E-2</v>
      </c>
      <c r="N233" s="5">
        <v>2.0050690844943819E-2</v>
      </c>
      <c r="O233" s="5">
        <v>0</v>
      </c>
      <c r="P233" s="5">
        <v>-1.2370628388422509E-2</v>
      </c>
      <c r="Q233" s="5">
        <v>0</v>
      </c>
      <c r="R233" s="5">
        <v>0.69540494293675825</v>
      </c>
      <c r="S233" s="5">
        <v>9.835118972365009E-2</v>
      </c>
      <c r="T233" s="5">
        <v>-0.31385304837412997</v>
      </c>
      <c r="U233" s="5">
        <v>0.76905363300232932</v>
      </c>
      <c r="V233" s="5">
        <v>1.6558203438427199</v>
      </c>
      <c r="W233" s="5">
        <v>0.73649757213545453</v>
      </c>
      <c r="X233" s="5">
        <v>1.404298271267709</v>
      </c>
      <c r="Y233" s="5">
        <v>0.85630591629552499</v>
      </c>
      <c r="Z233" s="5">
        <v>5.9018788208300164</v>
      </c>
      <c r="AA233" s="5">
        <v>2.3358199743225319</v>
      </c>
    </row>
    <row r="234" spans="1:27" x14ac:dyDescent="0.25">
      <c r="A234" s="1">
        <v>44561</v>
      </c>
      <c r="B234" s="5">
        <v>4.6446906905660112E-2</v>
      </c>
      <c r="C234" s="5">
        <v>3.4271749678956957E-2</v>
      </c>
      <c r="D234" s="5">
        <v>2.5550259004561319E-2</v>
      </c>
      <c r="E234" s="5">
        <v>-6.1673684027755424E-3</v>
      </c>
      <c r="F234" s="5">
        <v>2.8035968740761859E-2</v>
      </c>
      <c r="G234" s="5">
        <v>-2.4667726131479828E-3</v>
      </c>
      <c r="H234">
        <v>-1</v>
      </c>
      <c r="I234">
        <v>1</v>
      </c>
      <c r="J234" s="5">
        <v>0</v>
      </c>
      <c r="K234" s="5">
        <v>-2.5550259004561319E-2</v>
      </c>
      <c r="L234" s="5">
        <v>0</v>
      </c>
      <c r="M234" s="5">
        <v>-6.1673684027755424E-3</v>
      </c>
      <c r="N234" s="5">
        <v>2.8035968740761859E-2</v>
      </c>
      <c r="O234" s="5">
        <v>0</v>
      </c>
      <c r="P234" s="5">
        <v>2.4667726131479828E-3</v>
      </c>
      <c r="Q234" s="5">
        <v>0</v>
      </c>
      <c r="R234" s="5">
        <v>0.69540494293675825</v>
      </c>
      <c r="S234" s="5">
        <v>7.2800930719088774E-2</v>
      </c>
      <c r="T234" s="5">
        <v>-0.31385304837412997</v>
      </c>
      <c r="U234" s="5">
        <v>0.76288626459955378</v>
      </c>
      <c r="V234" s="5">
        <v>1.683856312583482</v>
      </c>
      <c r="W234" s="5">
        <v>0.73649757213545453</v>
      </c>
      <c r="X234" s="5">
        <v>1.406765043880857</v>
      </c>
      <c r="Y234" s="5">
        <v>0.85630591629552499</v>
      </c>
      <c r="Z234" s="5">
        <v>5.9006639347765892</v>
      </c>
      <c r="AA234" s="5">
        <v>2.3822668812281922</v>
      </c>
    </row>
    <row r="235" spans="1:27" x14ac:dyDescent="0.25">
      <c r="A235" s="1">
        <v>44592</v>
      </c>
      <c r="B235" s="5">
        <v>-5.2796636733294822E-2</v>
      </c>
      <c r="C235" s="5">
        <v>-3.7320693196474908E-2</v>
      </c>
      <c r="D235" s="5">
        <v>2.3190662748362789E-2</v>
      </c>
      <c r="E235" s="5">
        <v>-1.662357454088603E-4</v>
      </c>
      <c r="F235" s="5">
        <v>-1.8640057655344929E-2</v>
      </c>
      <c r="G235" s="5">
        <v>-4.0435216481756082E-2</v>
      </c>
      <c r="H235">
        <v>1</v>
      </c>
      <c r="I235">
        <v>-1</v>
      </c>
      <c r="J235" s="5">
        <v>2.3190662748362789E-2</v>
      </c>
      <c r="K235" s="5">
        <v>0</v>
      </c>
      <c r="L235" s="5">
        <v>1.662357454088603E-4</v>
      </c>
      <c r="M235" s="5">
        <v>0</v>
      </c>
      <c r="N235" s="5">
        <v>0</v>
      </c>
      <c r="O235" s="5">
        <v>1.8640057655344929E-2</v>
      </c>
      <c r="P235" s="5">
        <v>0</v>
      </c>
      <c r="Q235" s="5">
        <v>-4.0435216481756082E-2</v>
      </c>
      <c r="R235" s="5">
        <v>0.71859560568512104</v>
      </c>
      <c r="S235" s="5">
        <v>7.2800930719088774E-2</v>
      </c>
      <c r="T235" s="5">
        <v>-0.31368681262872111</v>
      </c>
      <c r="U235" s="5">
        <v>0.76288626459955378</v>
      </c>
      <c r="V235" s="5">
        <v>1.683856312583482</v>
      </c>
      <c r="W235" s="5">
        <v>0.75513762979079946</v>
      </c>
      <c r="X235" s="5">
        <v>1.406765043880857</v>
      </c>
      <c r="Y235" s="5">
        <v>0.81587069981376892</v>
      </c>
      <c r="Z235" s="5">
        <v>5.9022256744439501</v>
      </c>
      <c r="AA235" s="5">
        <v>2.3294702444948969</v>
      </c>
    </row>
    <row r="236" spans="1:27" x14ac:dyDescent="0.25">
      <c r="A236" s="1">
        <v>44620</v>
      </c>
      <c r="B236" s="5">
        <v>-2.8135038756904821E-2</v>
      </c>
      <c r="C236" s="5">
        <v>-1.9951649036245019E-2</v>
      </c>
      <c r="D236" s="5">
        <v>1.6815974799750721E-2</v>
      </c>
      <c r="E236" s="5">
        <v>9.5265295821835849E-3</v>
      </c>
      <c r="F236" s="5">
        <v>-5.5409923942915107E-3</v>
      </c>
      <c r="G236" s="5">
        <v>-2.1833028138984471E-2</v>
      </c>
      <c r="H236">
        <v>1</v>
      </c>
      <c r="I236">
        <v>-1</v>
      </c>
      <c r="J236" s="5">
        <v>1.6815974799750721E-2</v>
      </c>
      <c r="K236" s="5">
        <v>0</v>
      </c>
      <c r="L236" s="5">
        <v>-9.5265295821835849E-3</v>
      </c>
      <c r="M236" s="5">
        <v>0</v>
      </c>
      <c r="N236" s="5">
        <v>0</v>
      </c>
      <c r="O236" s="5">
        <v>5.5409923942915107E-3</v>
      </c>
      <c r="P236" s="5">
        <v>0</v>
      </c>
      <c r="Q236" s="5">
        <v>-2.1833028138984471E-2</v>
      </c>
      <c r="R236" s="5">
        <v>0.73541158048487176</v>
      </c>
      <c r="S236" s="5">
        <v>7.2800930719088774E-2</v>
      </c>
      <c r="T236" s="5">
        <v>-0.3232133422109047</v>
      </c>
      <c r="U236" s="5">
        <v>0.76288626459955378</v>
      </c>
      <c r="V236" s="5">
        <v>1.683856312583482</v>
      </c>
      <c r="W236" s="5">
        <v>0.76067862218509097</v>
      </c>
      <c r="X236" s="5">
        <v>1.406765043880857</v>
      </c>
      <c r="Y236" s="5">
        <v>0.79403767167478445</v>
      </c>
      <c r="Z236" s="5">
        <v>5.8932230839168236</v>
      </c>
      <c r="AA236" s="5">
        <v>2.3013352057379932</v>
      </c>
    </row>
    <row r="237" spans="1:27" x14ac:dyDescent="0.25">
      <c r="A237" s="1">
        <v>44651</v>
      </c>
      <c r="B237" s="5">
        <v>3.9308308514474422E-2</v>
      </c>
      <c r="C237" s="5">
        <v>8.997412607987687E-2</v>
      </c>
      <c r="D237" s="5">
        <v>1.6698733505068671E-2</v>
      </c>
      <c r="E237" s="5">
        <v>1.3729640052377531E-2</v>
      </c>
      <c r="F237" s="5">
        <v>-3.9416337561247183E-2</v>
      </c>
      <c r="G237" s="5">
        <v>-2.8013273551610318E-3</v>
      </c>
      <c r="H237">
        <v>-1</v>
      </c>
      <c r="I237">
        <v>1</v>
      </c>
      <c r="J237" s="5">
        <v>0</v>
      </c>
      <c r="K237" s="5">
        <v>-1.6698733505068671E-2</v>
      </c>
      <c r="L237" s="5">
        <v>0</v>
      </c>
      <c r="M237" s="5">
        <v>1.3729640052377531E-2</v>
      </c>
      <c r="N237" s="5">
        <v>-3.9416337561247183E-2</v>
      </c>
      <c r="O237" s="5">
        <v>0</v>
      </c>
      <c r="P237" s="5">
        <v>2.8013273551610318E-3</v>
      </c>
      <c r="Q237" s="5">
        <v>0</v>
      </c>
      <c r="R237" s="5">
        <v>0.73541158048487176</v>
      </c>
      <c r="S237" s="5">
        <v>5.61021972140201E-2</v>
      </c>
      <c r="T237" s="5">
        <v>-0.3232133422109047</v>
      </c>
      <c r="U237" s="5">
        <v>0.77661590465193131</v>
      </c>
      <c r="V237" s="5">
        <v>1.6444399750222349</v>
      </c>
      <c r="W237" s="5">
        <v>0.76067862218509097</v>
      </c>
      <c r="X237" s="5">
        <v>1.409566371236018</v>
      </c>
      <c r="Y237" s="5">
        <v>0.79403767167478445</v>
      </c>
      <c r="Z237" s="5">
        <v>5.8536389802580473</v>
      </c>
      <c r="AA237" s="5">
        <v>2.3406435142524669</v>
      </c>
    </row>
    <row r="238" spans="1:27" x14ac:dyDescent="0.25">
      <c r="A238" s="1">
        <v>44681</v>
      </c>
      <c r="B238" s="5">
        <v>-8.9288567689732146E-2</v>
      </c>
      <c r="C238" s="5">
        <v>3.6195263073533379E-2</v>
      </c>
      <c r="D238" s="5">
        <v>-3.2047412684026111E-2</v>
      </c>
      <c r="E238" s="5">
        <v>-4.2417777482451902E-3</v>
      </c>
      <c r="F238" s="5">
        <v>-6.1910252345177552E-3</v>
      </c>
      <c r="G238" s="5">
        <v>-4.1361820151712081E-2</v>
      </c>
      <c r="H238">
        <v>-1</v>
      </c>
      <c r="I238">
        <v>1</v>
      </c>
      <c r="J238" s="5">
        <v>0</v>
      </c>
      <c r="K238" s="5">
        <v>3.2047412684026111E-2</v>
      </c>
      <c r="L238" s="5">
        <v>0</v>
      </c>
      <c r="M238" s="5">
        <v>-4.2417777482451902E-3</v>
      </c>
      <c r="N238" s="5">
        <v>-6.1910252345177552E-3</v>
      </c>
      <c r="O238" s="5">
        <v>0</v>
      </c>
      <c r="P238" s="5">
        <v>4.1361820151712081E-2</v>
      </c>
      <c r="Q238" s="5">
        <v>0</v>
      </c>
      <c r="R238" s="5">
        <v>0.73541158048487176</v>
      </c>
      <c r="S238" s="5">
        <v>8.8149609898046211E-2</v>
      </c>
      <c r="T238" s="5">
        <v>-0.3232133422109047</v>
      </c>
      <c r="U238" s="5">
        <v>0.77237412690368612</v>
      </c>
      <c r="V238" s="5">
        <v>1.6382489497877171</v>
      </c>
      <c r="W238" s="5">
        <v>0.76067862218509097</v>
      </c>
      <c r="X238" s="5">
        <v>1.450928191387731</v>
      </c>
      <c r="Y238" s="5">
        <v>0.79403767167478445</v>
      </c>
      <c r="Z238" s="5">
        <v>5.9166154101110227</v>
      </c>
      <c r="AA238" s="5">
        <v>2.2513549465627349</v>
      </c>
    </row>
    <row r="239" spans="1:27" x14ac:dyDescent="0.25">
      <c r="A239" s="1">
        <v>44712</v>
      </c>
      <c r="B239" s="5">
        <v>6.1594943563627602E-3</v>
      </c>
      <c r="C239" s="5">
        <v>-4.7892972064461192E-2</v>
      </c>
      <c r="D239" s="5">
        <v>5.8830657322931801E-2</v>
      </c>
      <c r="E239" s="5">
        <v>-1.6014090677818341E-2</v>
      </c>
      <c r="F239" s="5">
        <v>-4.5558759380792679E-4</v>
      </c>
      <c r="G239" s="5">
        <v>-4.7215735141017179E-2</v>
      </c>
      <c r="H239">
        <v>1</v>
      </c>
      <c r="I239">
        <v>-1</v>
      </c>
      <c r="J239" s="5">
        <v>5.8830657322931801E-2</v>
      </c>
      <c r="K239" s="5">
        <v>0</v>
      </c>
      <c r="L239" s="5">
        <v>1.6014090677818341E-2</v>
      </c>
      <c r="M239" s="5">
        <v>0</v>
      </c>
      <c r="N239" s="5">
        <v>0</v>
      </c>
      <c r="O239" s="5">
        <v>4.5558759380792679E-4</v>
      </c>
      <c r="P239" s="5">
        <v>0</v>
      </c>
      <c r="Q239" s="5">
        <v>-4.7215735141017179E-2</v>
      </c>
      <c r="R239" s="5">
        <v>0.79424223780780356</v>
      </c>
      <c r="S239" s="5">
        <v>8.8149609898046211E-2</v>
      </c>
      <c r="T239" s="5">
        <v>-0.30719925153308641</v>
      </c>
      <c r="U239" s="5">
        <v>0.77237412690368612</v>
      </c>
      <c r="V239" s="5">
        <v>1.6382489497877171</v>
      </c>
      <c r="W239" s="5">
        <v>0.7611342097788989</v>
      </c>
      <c r="X239" s="5">
        <v>1.450928191387731</v>
      </c>
      <c r="Y239" s="5">
        <v>0.74682193653376727</v>
      </c>
      <c r="Z239" s="5">
        <v>5.9447000105645644</v>
      </c>
      <c r="AA239" s="5">
        <v>2.2575144409190981</v>
      </c>
    </row>
    <row r="240" spans="1:27" x14ac:dyDescent="0.25">
      <c r="A240" s="1">
        <v>44742</v>
      </c>
      <c r="B240" s="5">
        <v>-8.2370093024942803E-2</v>
      </c>
      <c r="C240" s="5">
        <v>-6.499681821389458E-2</v>
      </c>
      <c r="D240" s="5">
        <v>8.4049131891030804E-3</v>
      </c>
      <c r="E240" s="5">
        <v>1.4893244713936051E-2</v>
      </c>
      <c r="F240" s="5">
        <v>7.180403421903625E-3</v>
      </c>
      <c r="G240" s="5">
        <v>-1.0420140934120029E-2</v>
      </c>
      <c r="H240">
        <v>1</v>
      </c>
      <c r="I240">
        <v>-1</v>
      </c>
      <c r="J240" s="5">
        <v>8.4049131891030804E-3</v>
      </c>
      <c r="K240" s="5">
        <v>0</v>
      </c>
      <c r="L240" s="5">
        <v>-1.4893244713936051E-2</v>
      </c>
      <c r="M240" s="5">
        <v>0</v>
      </c>
      <c r="N240" s="5">
        <v>0</v>
      </c>
      <c r="O240" s="5">
        <v>-7.180403421903625E-3</v>
      </c>
      <c r="P240" s="5">
        <v>0</v>
      </c>
      <c r="Q240" s="5">
        <v>-1.0420140934120029E-2</v>
      </c>
      <c r="R240" s="5">
        <v>0.80264715099690664</v>
      </c>
      <c r="S240" s="5">
        <v>8.8149609898046211E-2</v>
      </c>
      <c r="T240" s="5">
        <v>-0.32209249624702241</v>
      </c>
      <c r="U240" s="5">
        <v>0.77237412690368612</v>
      </c>
      <c r="V240" s="5">
        <v>1.6382489497877171</v>
      </c>
      <c r="W240" s="5">
        <v>0.75395380635699527</v>
      </c>
      <c r="X240" s="5">
        <v>1.450928191387731</v>
      </c>
      <c r="Y240" s="5">
        <v>0.73640179559964725</v>
      </c>
      <c r="Z240" s="5">
        <v>5.9206111346837069</v>
      </c>
      <c r="AA240" s="5">
        <v>2.1751443478941548</v>
      </c>
    </row>
    <row r="241" spans="1:27" x14ac:dyDescent="0.25">
      <c r="A241" s="1">
        <v>44773</v>
      </c>
      <c r="B241" s="5">
        <v>8.9661610936645375E-2</v>
      </c>
      <c r="C241" s="5">
        <v>1.271293618415914E-2</v>
      </c>
      <c r="D241" s="5">
        <v>4.2471497343544828E-2</v>
      </c>
      <c r="E241" s="5">
        <v>-9.3929502476586269E-3</v>
      </c>
      <c r="F241" s="5">
        <v>2.9997192599240829E-2</v>
      </c>
      <c r="G241" s="5">
        <v>-1.8543533286442981E-2</v>
      </c>
      <c r="H241">
        <v>-1</v>
      </c>
      <c r="I241">
        <v>1</v>
      </c>
      <c r="J241" s="5">
        <v>0</v>
      </c>
      <c r="K241" s="5">
        <v>-4.2471497343544828E-2</v>
      </c>
      <c r="L241" s="5">
        <v>0</v>
      </c>
      <c r="M241" s="5">
        <v>-9.3929502476586269E-3</v>
      </c>
      <c r="N241" s="5">
        <v>2.9997192599240829E-2</v>
      </c>
      <c r="O241" s="5">
        <v>0</v>
      </c>
      <c r="P241" s="5">
        <v>1.8543533286442981E-2</v>
      </c>
      <c r="Q241" s="5">
        <v>0</v>
      </c>
      <c r="R241" s="5">
        <v>0.80264715099690664</v>
      </c>
      <c r="S241" s="5">
        <v>4.5678112554501382E-2</v>
      </c>
      <c r="T241" s="5">
        <v>-0.32209249624702241</v>
      </c>
      <c r="U241" s="5">
        <v>0.76298117665602749</v>
      </c>
      <c r="V241" s="5">
        <v>1.6682461423869579</v>
      </c>
      <c r="W241" s="5">
        <v>0.75395380635699527</v>
      </c>
      <c r="X241" s="5">
        <v>1.469471724674174</v>
      </c>
      <c r="Y241" s="5">
        <v>0.73640179559964725</v>
      </c>
      <c r="Z241" s="5">
        <v>5.9172874129781876</v>
      </c>
      <c r="AA241" s="5">
        <v>2.2648059588308</v>
      </c>
    </row>
    <row r="242" spans="1:27" x14ac:dyDescent="0.25">
      <c r="A242" s="1">
        <v>44804</v>
      </c>
      <c r="B242" s="5">
        <v>-3.9985155702362052E-2</v>
      </c>
      <c r="C242" s="5">
        <v>5.9667355361286763E-2</v>
      </c>
      <c r="D242" s="5">
        <v>-6.4971228771752432E-2</v>
      </c>
      <c r="E242" s="5">
        <v>-1.0059041115307419E-2</v>
      </c>
      <c r="F242" s="5">
        <v>3.735157250942978E-3</v>
      </c>
      <c r="G242" s="5">
        <v>-5.4699785777430074E-3</v>
      </c>
      <c r="H242">
        <v>-1</v>
      </c>
      <c r="I242">
        <v>1</v>
      </c>
      <c r="J242" s="5">
        <v>0</v>
      </c>
      <c r="K242" s="5">
        <v>6.4971228771752432E-2</v>
      </c>
      <c r="L242" s="5">
        <v>0</v>
      </c>
      <c r="M242" s="5">
        <v>-1.0059041115307419E-2</v>
      </c>
      <c r="N242" s="5">
        <v>3.735157250942978E-3</v>
      </c>
      <c r="O242" s="5">
        <v>0</v>
      </c>
      <c r="P242" s="5">
        <v>5.4699785777430074E-3</v>
      </c>
      <c r="Q242" s="5">
        <v>0</v>
      </c>
      <c r="R242" s="5">
        <v>0.80264715099690664</v>
      </c>
      <c r="S242" s="5">
        <v>0.1106493413262538</v>
      </c>
      <c r="T242" s="5">
        <v>-0.32209249624702241</v>
      </c>
      <c r="U242" s="5">
        <v>0.75292213554072007</v>
      </c>
      <c r="V242" s="5">
        <v>1.6719812996379011</v>
      </c>
      <c r="W242" s="5">
        <v>0.75395380635699527</v>
      </c>
      <c r="X242" s="5">
        <v>1.474941703251917</v>
      </c>
      <c r="Y242" s="5">
        <v>0.73640179559964725</v>
      </c>
      <c r="Z242" s="5">
        <v>5.9814047364633183</v>
      </c>
      <c r="AA242" s="5">
        <v>2.2248208031284382</v>
      </c>
    </row>
    <row r="243" spans="1:27" x14ac:dyDescent="0.25">
      <c r="A243" s="1">
        <v>44834</v>
      </c>
      <c r="B243" s="5">
        <v>-9.4487983697545075E-2</v>
      </c>
      <c r="C243" s="5">
        <v>8.8971406853627366E-3</v>
      </c>
      <c r="D243" s="5">
        <v>-4.5876222008975683E-2</v>
      </c>
      <c r="E243" s="5">
        <v>-2.5961489164245118E-2</v>
      </c>
      <c r="F243" s="5">
        <v>1.332145561269671E-2</v>
      </c>
      <c r="G243" s="5">
        <v>-3.1861843628926627E-2</v>
      </c>
      <c r="H243">
        <v>-1</v>
      </c>
      <c r="I243">
        <v>1</v>
      </c>
      <c r="J243" s="5">
        <v>0</v>
      </c>
      <c r="K243" s="5">
        <v>4.5876222008975683E-2</v>
      </c>
      <c r="L243" s="5">
        <v>0</v>
      </c>
      <c r="M243" s="5">
        <v>-2.5961489164245118E-2</v>
      </c>
      <c r="N243" s="5">
        <v>1.332145561269671E-2</v>
      </c>
      <c r="O243" s="5">
        <v>0</v>
      </c>
      <c r="P243" s="5">
        <v>3.1861843628926627E-2</v>
      </c>
      <c r="Q243" s="5">
        <v>0</v>
      </c>
      <c r="R243" s="5">
        <v>0.80264715099690664</v>
      </c>
      <c r="S243" s="5">
        <v>0.15652556333522949</v>
      </c>
      <c r="T243" s="5">
        <v>-0.32209249624702241</v>
      </c>
      <c r="U243" s="5">
        <v>0.72696064637647495</v>
      </c>
      <c r="V243" s="5">
        <v>1.685302755250597</v>
      </c>
      <c r="W243" s="5">
        <v>0.75395380635699527</v>
      </c>
      <c r="X243" s="5">
        <v>1.5068035468808429</v>
      </c>
      <c r="Y243" s="5">
        <v>0.73640179559964725</v>
      </c>
      <c r="Z243" s="5">
        <v>6.0465027685496722</v>
      </c>
      <c r="AA243" s="5">
        <v>2.130332819430893</v>
      </c>
    </row>
    <row r="244" spans="1:27" x14ac:dyDescent="0.25">
      <c r="A244" s="1">
        <v>44865</v>
      </c>
      <c r="B244" s="5">
        <v>8.1360016993827444E-2</v>
      </c>
      <c r="C244" s="5">
        <v>0.1410698514647821</v>
      </c>
      <c r="D244" s="5">
        <v>3.1898406646399091E-2</v>
      </c>
      <c r="E244" s="5">
        <v>3.1724303537678411E-2</v>
      </c>
      <c r="F244" s="5">
        <v>1.6849724382092202E-2</v>
      </c>
      <c r="G244" s="5">
        <v>-1.1731225164536729E-2</v>
      </c>
      <c r="H244">
        <v>-1</v>
      </c>
      <c r="I244">
        <v>1</v>
      </c>
      <c r="J244" s="5">
        <v>0</v>
      </c>
      <c r="K244" s="5">
        <v>-3.1898406646399091E-2</v>
      </c>
      <c r="L244" s="5">
        <v>0</v>
      </c>
      <c r="M244" s="5">
        <v>3.1724303537678411E-2</v>
      </c>
      <c r="N244" s="5">
        <v>1.6849724382092202E-2</v>
      </c>
      <c r="O244" s="5">
        <v>0</v>
      </c>
      <c r="P244" s="5">
        <v>1.1731225164536729E-2</v>
      </c>
      <c r="Q244" s="5">
        <v>0</v>
      </c>
      <c r="R244" s="5">
        <v>0.80264715099690664</v>
      </c>
      <c r="S244" s="5">
        <v>0.1246271566888304</v>
      </c>
      <c r="T244" s="5">
        <v>-0.32209249624702241</v>
      </c>
      <c r="U244" s="5">
        <v>0.75868494991415336</v>
      </c>
      <c r="V244" s="5">
        <v>1.702152479632689</v>
      </c>
      <c r="W244" s="5">
        <v>0.75395380635699527</v>
      </c>
      <c r="X244" s="5">
        <v>1.5185347720453799</v>
      </c>
      <c r="Y244" s="5">
        <v>0.73640179559964725</v>
      </c>
      <c r="Z244" s="5">
        <v>6.0749096149875808</v>
      </c>
      <c r="AA244" s="5">
        <v>2.2116928364247199</v>
      </c>
    </row>
    <row r="245" spans="1:27" x14ac:dyDescent="0.25">
      <c r="A245" s="1">
        <v>44895</v>
      </c>
      <c r="B245" s="5">
        <v>5.7214671587841881E-2</v>
      </c>
      <c r="C245" s="5">
        <v>-2.039173232804092E-2</v>
      </c>
      <c r="D245" s="5">
        <v>3.3360830493271321E-2</v>
      </c>
      <c r="E245" s="5">
        <v>2.6690130762190619E-2</v>
      </c>
      <c r="F245" s="5">
        <v>-1.5810211799955679E-2</v>
      </c>
      <c r="G245" s="5">
        <v>-2.7168956634486489E-2</v>
      </c>
      <c r="H245">
        <v>1</v>
      </c>
      <c r="I245">
        <v>-1</v>
      </c>
      <c r="J245" s="5">
        <v>3.3360830493271321E-2</v>
      </c>
      <c r="K245" s="5">
        <v>0</v>
      </c>
      <c r="L245" s="5">
        <v>-2.6690130762190619E-2</v>
      </c>
      <c r="M245" s="5">
        <v>0</v>
      </c>
      <c r="N245" s="5">
        <v>0</v>
      </c>
      <c r="O245" s="5">
        <v>1.5810211799955679E-2</v>
      </c>
      <c r="P245" s="5">
        <v>0</v>
      </c>
      <c r="Q245" s="5">
        <v>-2.7168956634486489E-2</v>
      </c>
      <c r="R245" s="5">
        <v>0.83600798149017796</v>
      </c>
      <c r="S245" s="5">
        <v>0.1246271566888304</v>
      </c>
      <c r="T245" s="5">
        <v>-0.34878262700921298</v>
      </c>
      <c r="U245" s="5">
        <v>0.75868494991415336</v>
      </c>
      <c r="V245" s="5">
        <v>1.702152479632689</v>
      </c>
      <c r="W245" s="5">
        <v>0.76976401815695095</v>
      </c>
      <c r="X245" s="5">
        <v>1.5185347720453799</v>
      </c>
      <c r="Y245" s="5">
        <v>0.70923283896516076</v>
      </c>
      <c r="Z245" s="5">
        <v>6.0702215698841311</v>
      </c>
      <c r="AA245" s="5">
        <v>2.2689075080125618</v>
      </c>
    </row>
    <row r="246" spans="1:27" x14ac:dyDescent="0.25">
      <c r="A246" s="1">
        <v>44926</v>
      </c>
      <c r="B246" s="5">
        <v>-5.7983052687413217E-2</v>
      </c>
      <c r="C246" s="5">
        <v>-6.4473230682289606E-2</v>
      </c>
      <c r="D246" s="5">
        <v>-9.5189650497244926E-3</v>
      </c>
      <c r="E246" s="5">
        <v>-4.029111657519191E-2</v>
      </c>
      <c r="F246" s="5">
        <v>-3.5994647823447079E-2</v>
      </c>
      <c r="G246" s="5">
        <v>6.6956787475849766E-2</v>
      </c>
      <c r="H246">
        <v>1</v>
      </c>
      <c r="I246">
        <v>-1</v>
      </c>
      <c r="J246" s="5">
        <v>-9.5189650497244926E-3</v>
      </c>
      <c r="K246" s="5">
        <v>0</v>
      </c>
      <c r="L246" s="5">
        <v>4.029111657519191E-2</v>
      </c>
      <c r="M246" s="5">
        <v>0</v>
      </c>
      <c r="N246" s="5">
        <v>0</v>
      </c>
      <c r="O246" s="5">
        <v>3.5994647823447079E-2</v>
      </c>
      <c r="P246" s="5">
        <v>0</v>
      </c>
      <c r="Q246" s="5">
        <v>6.6956787475849766E-2</v>
      </c>
      <c r="R246" s="5">
        <v>0.82648901644045347</v>
      </c>
      <c r="S246" s="5">
        <v>0.1246271566888304</v>
      </c>
      <c r="T246" s="5">
        <v>-0.30849151043402112</v>
      </c>
      <c r="U246" s="5">
        <v>0.75868494991415336</v>
      </c>
      <c r="V246" s="5">
        <v>1.702152479632689</v>
      </c>
      <c r="W246" s="5">
        <v>0.80575866598039803</v>
      </c>
      <c r="X246" s="5">
        <v>1.5185347720453799</v>
      </c>
      <c r="Y246" s="5">
        <v>0.77618962644101053</v>
      </c>
      <c r="Z246" s="5">
        <v>6.2039451567088957</v>
      </c>
      <c r="AA246" s="5">
        <v>2.210924455325149</v>
      </c>
    </row>
    <row r="247" spans="1:27" x14ac:dyDescent="0.25">
      <c r="A247" s="1">
        <v>44957</v>
      </c>
      <c r="B247" s="5">
        <v>6.2116962560503919E-2</v>
      </c>
      <c r="C247" s="5">
        <v>-2.9367716536819469E-2</v>
      </c>
      <c r="D247" s="5">
        <v>1.5819258771188841E-2</v>
      </c>
      <c r="E247" s="5">
        <v>-4.1089881848044302E-4</v>
      </c>
      <c r="F247" s="5">
        <v>1.4461935811890149E-2</v>
      </c>
      <c r="G247" s="5">
        <v>6.0685565794462708E-2</v>
      </c>
      <c r="H247">
        <v>1</v>
      </c>
      <c r="I247">
        <v>-1</v>
      </c>
      <c r="J247" s="5">
        <v>1.5819258771188841E-2</v>
      </c>
      <c r="K247" s="5">
        <v>0</v>
      </c>
      <c r="L247" s="5">
        <v>4.1089881848044302E-4</v>
      </c>
      <c r="M247" s="5">
        <v>0</v>
      </c>
      <c r="N247" s="5">
        <v>0</v>
      </c>
      <c r="O247" s="5">
        <v>-1.4461935811890149E-2</v>
      </c>
      <c r="P247" s="5">
        <v>0</v>
      </c>
      <c r="Q247" s="5">
        <v>6.0685565794462708E-2</v>
      </c>
      <c r="R247" s="5">
        <v>0.84230827521164231</v>
      </c>
      <c r="S247" s="5">
        <v>0.1246271566888304</v>
      </c>
      <c r="T247" s="5">
        <v>-0.30808061161554068</v>
      </c>
      <c r="U247" s="5">
        <v>0.75868494991415336</v>
      </c>
      <c r="V247" s="5">
        <v>1.702152479632689</v>
      </c>
      <c r="W247" s="5">
        <v>0.79129673016850788</v>
      </c>
      <c r="X247" s="5">
        <v>1.5185347720453799</v>
      </c>
      <c r="Y247" s="5">
        <v>0.83687519223547324</v>
      </c>
      <c r="Z247" s="5">
        <v>6.2663989442811374</v>
      </c>
      <c r="AA247" s="5">
        <v>2.2730414178856519</v>
      </c>
    </row>
    <row r="248" spans="1:27" x14ac:dyDescent="0.25">
      <c r="A248" s="1">
        <v>44985</v>
      </c>
      <c r="B248" s="5">
        <v>-2.458032603859894E-2</v>
      </c>
      <c r="C248" s="5">
        <v>3.392388515467526E-2</v>
      </c>
      <c r="D248" s="5">
        <v>-5.6532403693871913E-3</v>
      </c>
      <c r="E248" s="5">
        <v>4.0875296187974364E-3</v>
      </c>
      <c r="F248" s="5">
        <v>2.1522906024489141E-2</v>
      </c>
      <c r="G248" s="5">
        <v>-1.7070215998637232E-2</v>
      </c>
      <c r="H248">
        <v>-1</v>
      </c>
      <c r="I248">
        <v>1</v>
      </c>
      <c r="J248" s="5">
        <v>0</v>
      </c>
      <c r="K248" s="5">
        <v>5.6532403693871913E-3</v>
      </c>
      <c r="L248" s="5">
        <v>0</v>
      </c>
      <c r="M248" s="5">
        <v>4.0875296187974364E-3</v>
      </c>
      <c r="N248" s="5">
        <v>2.1522906024489141E-2</v>
      </c>
      <c r="O248" s="5">
        <v>0</v>
      </c>
      <c r="P248" s="5">
        <v>1.7070215998637232E-2</v>
      </c>
      <c r="Q248" s="5">
        <v>0</v>
      </c>
      <c r="R248" s="5">
        <v>0.84230827521164231</v>
      </c>
      <c r="S248" s="5">
        <v>0.13028039705821759</v>
      </c>
      <c r="T248" s="5">
        <v>-0.30808061161554068</v>
      </c>
      <c r="U248" s="5">
        <v>0.7627724795329508</v>
      </c>
      <c r="V248" s="5">
        <v>1.7236753856571789</v>
      </c>
      <c r="W248" s="5">
        <v>0.79129673016850788</v>
      </c>
      <c r="X248" s="5">
        <v>1.535604988044017</v>
      </c>
      <c r="Y248" s="5">
        <v>0.83687519223547324</v>
      </c>
      <c r="Z248" s="5">
        <v>6.314732836292448</v>
      </c>
      <c r="AA248" s="5">
        <v>2.2484610918470529</v>
      </c>
    </row>
    <row r="249" spans="1:27" x14ac:dyDescent="0.25">
      <c r="A249" s="1">
        <v>45016</v>
      </c>
      <c r="B249" s="5">
        <v>3.7873838783400893E-2</v>
      </c>
      <c r="C249" s="5">
        <v>-2.431206283566412E-2</v>
      </c>
      <c r="D249" s="5">
        <v>2.6328618187439919E-2</v>
      </c>
      <c r="E249" s="5">
        <v>1.346620224712947E-2</v>
      </c>
      <c r="F249" s="5">
        <v>5.3432890843728709E-3</v>
      </c>
      <c r="G249" s="5">
        <v>2.994600835564909E-3</v>
      </c>
      <c r="H249">
        <v>1</v>
      </c>
      <c r="I249">
        <v>-1</v>
      </c>
      <c r="J249" s="5">
        <v>2.6328618187439919E-2</v>
      </c>
      <c r="K249" s="5">
        <v>0</v>
      </c>
      <c r="L249" s="5">
        <v>-1.346620224712947E-2</v>
      </c>
      <c r="M249" s="5">
        <v>0</v>
      </c>
      <c r="N249" s="5">
        <v>0</v>
      </c>
      <c r="O249" s="5">
        <v>-5.3432890843728709E-3</v>
      </c>
      <c r="P249" s="5">
        <v>0</v>
      </c>
      <c r="Q249" s="5">
        <v>2.994600835564909E-3</v>
      </c>
      <c r="R249" s="5">
        <v>0.86863689339908223</v>
      </c>
      <c r="S249" s="5">
        <v>0.13028039705821759</v>
      </c>
      <c r="T249" s="5">
        <v>-0.32154681386267009</v>
      </c>
      <c r="U249" s="5">
        <v>0.7627724795329508</v>
      </c>
      <c r="V249" s="5">
        <v>1.7236753856571789</v>
      </c>
      <c r="W249" s="5">
        <v>0.78595344108413501</v>
      </c>
      <c r="X249" s="5">
        <v>1.535604988044017</v>
      </c>
      <c r="Y249" s="5">
        <v>0.83986979307103815</v>
      </c>
      <c r="Z249" s="5">
        <v>6.3252465639839501</v>
      </c>
      <c r="AA249" s="5">
        <v>2.2863349306304541</v>
      </c>
    </row>
    <row r="250" spans="1:27" x14ac:dyDescent="0.25">
      <c r="A250" s="1">
        <v>45046</v>
      </c>
      <c r="B250" s="5">
        <v>1.637255327093046E-2</v>
      </c>
      <c r="C250" s="5">
        <v>1.4107690757068079E-2</v>
      </c>
      <c r="D250" s="5">
        <v>8.3338768950933506E-3</v>
      </c>
      <c r="E250" s="5">
        <v>1.0253967038495789E-2</v>
      </c>
      <c r="F250" s="5">
        <v>5.716545940072093E-4</v>
      </c>
      <c r="G250" s="5">
        <v>6.5914648017916244E-3</v>
      </c>
      <c r="H250">
        <v>-1</v>
      </c>
      <c r="I250">
        <v>1</v>
      </c>
      <c r="J250" s="5">
        <v>0</v>
      </c>
      <c r="K250" s="5">
        <v>-8.3338768950933506E-3</v>
      </c>
      <c r="L250" s="5">
        <v>0</v>
      </c>
      <c r="M250" s="5">
        <v>1.0253967038495789E-2</v>
      </c>
      <c r="N250" s="5">
        <v>5.716545940072093E-4</v>
      </c>
      <c r="O250" s="5">
        <v>0</v>
      </c>
      <c r="P250" s="5">
        <v>-6.5914648017916244E-3</v>
      </c>
      <c r="Q250" s="5">
        <v>0</v>
      </c>
      <c r="R250" s="5">
        <v>0.86863689339908223</v>
      </c>
      <c r="S250" s="5">
        <v>0.1219465201631242</v>
      </c>
      <c r="T250" s="5">
        <v>-0.32154681386267009</v>
      </c>
      <c r="U250" s="5">
        <v>0.77302644657144659</v>
      </c>
      <c r="V250" s="5">
        <v>1.724247040251186</v>
      </c>
      <c r="W250" s="5">
        <v>0.78595344108413501</v>
      </c>
      <c r="X250" s="5">
        <v>1.5290135232422259</v>
      </c>
      <c r="Y250" s="5">
        <v>0.83986979307103815</v>
      </c>
      <c r="Z250" s="5">
        <v>6.3211468439195677</v>
      </c>
      <c r="AA250" s="5">
        <v>2.302707483901385</v>
      </c>
    </row>
    <row r="251" spans="1:27" x14ac:dyDescent="0.25">
      <c r="A251" s="1">
        <v>45077</v>
      </c>
      <c r="B251" s="5">
        <v>5.2851598263831123E-3</v>
      </c>
      <c r="C251" s="5">
        <v>5.4880790984376149E-2</v>
      </c>
      <c r="D251" s="5">
        <v>-1.615198151974973E-3</v>
      </c>
      <c r="E251" s="5">
        <v>1.866718971593662E-2</v>
      </c>
      <c r="F251" s="5">
        <v>-7.6834658899839203E-3</v>
      </c>
      <c r="G251" s="5">
        <v>-1.153681931068784E-2</v>
      </c>
      <c r="H251">
        <v>-1</v>
      </c>
      <c r="I251">
        <v>1</v>
      </c>
      <c r="J251" s="5">
        <v>0</v>
      </c>
      <c r="K251" s="5">
        <v>1.615198151974973E-3</v>
      </c>
      <c r="L251" s="5">
        <v>0</v>
      </c>
      <c r="M251" s="5">
        <v>1.866718971593662E-2</v>
      </c>
      <c r="N251" s="5">
        <v>-7.6834658899839203E-3</v>
      </c>
      <c r="O251" s="5">
        <v>0</v>
      </c>
      <c r="P251" s="5">
        <v>1.153681931068784E-2</v>
      </c>
      <c r="Q251" s="5">
        <v>0</v>
      </c>
      <c r="R251" s="5">
        <v>0.86863689339908223</v>
      </c>
      <c r="S251" s="5">
        <v>0.1235617183150992</v>
      </c>
      <c r="T251" s="5">
        <v>-0.32154681386267009</v>
      </c>
      <c r="U251" s="5">
        <v>0.79169363628738321</v>
      </c>
      <c r="V251" s="5">
        <v>1.716563574361202</v>
      </c>
      <c r="W251" s="5">
        <v>0.78595344108413501</v>
      </c>
      <c r="X251" s="5">
        <v>1.540550342552913</v>
      </c>
      <c r="Y251" s="5">
        <v>0.83986979307103815</v>
      </c>
      <c r="Z251" s="5">
        <v>6.3452825852081833</v>
      </c>
      <c r="AA251" s="5">
        <v>2.307992643727768</v>
      </c>
    </row>
    <row r="252" spans="1:27" x14ac:dyDescent="0.25">
      <c r="A252" s="1">
        <v>45107</v>
      </c>
      <c r="B252" s="5">
        <v>6.3317445892180246E-2</v>
      </c>
      <c r="C252" s="5">
        <v>5.1217063472938529E-2</v>
      </c>
      <c r="D252" s="5">
        <v>1.556409558544081E-2</v>
      </c>
      <c r="E252" s="5">
        <v>6.4350676354238967E-3</v>
      </c>
      <c r="F252" s="5">
        <v>2.0765485891562241E-2</v>
      </c>
      <c r="G252" s="5">
        <v>-1.7847157390907701E-2</v>
      </c>
      <c r="H252">
        <v>-1</v>
      </c>
      <c r="I252">
        <v>1</v>
      </c>
      <c r="J252" s="5">
        <v>0</v>
      </c>
      <c r="K252" s="5">
        <v>-1.556409558544081E-2</v>
      </c>
      <c r="L252" s="5">
        <v>0</v>
      </c>
      <c r="M252" s="5">
        <v>6.4350676354238967E-3</v>
      </c>
      <c r="N252" s="5">
        <v>2.0765485891562241E-2</v>
      </c>
      <c r="O252" s="5">
        <v>0</v>
      </c>
      <c r="P252" s="5">
        <v>1.7847157390907701E-2</v>
      </c>
      <c r="Q252" s="5">
        <v>0</v>
      </c>
      <c r="R252" s="5">
        <v>0.86863689339908223</v>
      </c>
      <c r="S252" s="5">
        <v>0.1079976227296584</v>
      </c>
      <c r="T252" s="5">
        <v>-0.32154681386267009</v>
      </c>
      <c r="U252" s="5">
        <v>0.7981287039228071</v>
      </c>
      <c r="V252" s="5">
        <v>1.737329060252764</v>
      </c>
      <c r="W252" s="5">
        <v>0.78595344108413501</v>
      </c>
      <c r="X252" s="5">
        <v>1.558397499943821</v>
      </c>
      <c r="Y252" s="5">
        <v>0.83986979307103815</v>
      </c>
      <c r="Z252" s="5">
        <v>6.3747662005406367</v>
      </c>
      <c r="AA252" s="5">
        <v>2.3713100896199482</v>
      </c>
    </row>
    <row r="253" spans="1:27" x14ac:dyDescent="0.25">
      <c r="A253" s="1">
        <v>45138</v>
      </c>
      <c r="B253" s="5">
        <v>3.2475003961464077E-2</v>
      </c>
      <c r="C253" s="5">
        <v>3.6806979641755722E-2</v>
      </c>
      <c r="D253" s="5">
        <v>7.9481408337445103E-3</v>
      </c>
      <c r="E253" s="5">
        <v>-1.27983076099466E-2</v>
      </c>
      <c r="F253" s="5">
        <v>-8.1609246464321439E-3</v>
      </c>
      <c r="G253" s="5">
        <v>-3.40213912077999E-2</v>
      </c>
      <c r="H253">
        <v>-1</v>
      </c>
      <c r="I253">
        <v>1</v>
      </c>
      <c r="J253" s="5">
        <v>0</v>
      </c>
      <c r="K253" s="5">
        <v>-7.9481408337445103E-3</v>
      </c>
      <c r="L253" s="5">
        <v>0</v>
      </c>
      <c r="M253" s="5">
        <v>-1.27983076099466E-2</v>
      </c>
      <c r="N253" s="5">
        <v>-8.1609246464321439E-3</v>
      </c>
      <c r="O253" s="5">
        <v>0</v>
      </c>
      <c r="P253" s="5">
        <v>3.40213912077999E-2</v>
      </c>
      <c r="Q253" s="5">
        <v>0</v>
      </c>
      <c r="R253" s="5">
        <v>0.86863689339908223</v>
      </c>
      <c r="S253" s="5">
        <v>0.10004948189591389</v>
      </c>
      <c r="T253" s="5">
        <v>-0.32154681386267009</v>
      </c>
      <c r="U253" s="5">
        <v>0.7853303963128605</v>
      </c>
      <c r="V253" s="5">
        <v>1.729168135606332</v>
      </c>
      <c r="W253" s="5">
        <v>0.78595344108413501</v>
      </c>
      <c r="X253" s="5">
        <v>1.5924188911516211</v>
      </c>
      <c r="Y253" s="5">
        <v>0.83986979307103815</v>
      </c>
      <c r="Z253" s="5">
        <v>6.3798802186583137</v>
      </c>
      <c r="AA253" s="5">
        <v>2.403785093581412</v>
      </c>
    </row>
    <row r="254" spans="1:27" x14ac:dyDescent="0.25">
      <c r="A254" s="1">
        <v>45169</v>
      </c>
      <c r="B254" s="5">
        <v>-1.571843436646481E-2</v>
      </c>
      <c r="C254" s="5">
        <v>3.3658785388991252E-2</v>
      </c>
      <c r="D254" s="5">
        <v>2.5071299781027179E-2</v>
      </c>
      <c r="E254" s="5">
        <v>4.3990711427028588E-2</v>
      </c>
      <c r="F254" s="5">
        <v>-1.5432315897249469E-2</v>
      </c>
      <c r="G254" s="5">
        <v>-4.2286724180821689E-2</v>
      </c>
      <c r="H254">
        <v>-1</v>
      </c>
      <c r="I254">
        <v>1</v>
      </c>
      <c r="J254" s="5">
        <v>0</v>
      </c>
      <c r="K254" s="5">
        <v>-2.5071299781027179E-2</v>
      </c>
      <c r="L254" s="5">
        <v>0</v>
      </c>
      <c r="M254" s="5">
        <v>4.3990711427028588E-2</v>
      </c>
      <c r="N254" s="5">
        <v>-1.5432315897249469E-2</v>
      </c>
      <c r="O254" s="5">
        <v>0</v>
      </c>
      <c r="P254" s="5">
        <v>4.2286724180821689E-2</v>
      </c>
      <c r="Q254" s="5">
        <v>0</v>
      </c>
      <c r="R254" s="5">
        <v>0.86863689339908223</v>
      </c>
      <c r="S254" s="5">
        <v>7.4978182114886716E-2</v>
      </c>
      <c r="T254" s="5">
        <v>-0.32154681386267009</v>
      </c>
      <c r="U254" s="5">
        <v>0.8293211077398891</v>
      </c>
      <c r="V254" s="5">
        <v>1.7137358197090831</v>
      </c>
      <c r="W254" s="5">
        <v>0.78595344108413501</v>
      </c>
      <c r="X254" s="5">
        <v>1.6347056153324431</v>
      </c>
      <c r="Y254" s="5">
        <v>0.83986979307103815</v>
      </c>
      <c r="Z254" s="5">
        <v>6.4256540385878873</v>
      </c>
      <c r="AA254" s="5">
        <v>2.3880666592149469</v>
      </c>
    </row>
    <row r="255" spans="1:27" x14ac:dyDescent="0.25">
      <c r="A255" s="1">
        <v>45199</v>
      </c>
      <c r="B255" s="5">
        <v>-4.8086133112391398E-2</v>
      </c>
      <c r="C255" s="5">
        <v>1.031489290359555E-2</v>
      </c>
      <c r="D255" s="5">
        <v>-6.7163377164752847E-3</v>
      </c>
      <c r="E255" s="5">
        <v>-3.0094477680093101E-2</v>
      </c>
      <c r="F255" s="5">
        <v>-1.074320599260503E-2</v>
      </c>
      <c r="G255" s="5">
        <v>-2.0538535204485561E-2</v>
      </c>
      <c r="H255">
        <v>-1</v>
      </c>
      <c r="I255">
        <v>1</v>
      </c>
      <c r="J255" s="5">
        <v>0</v>
      </c>
      <c r="K255" s="5">
        <v>6.7163377164752847E-3</v>
      </c>
      <c r="L255" s="5">
        <v>0</v>
      </c>
      <c r="M255" s="5">
        <v>-3.0094477680093101E-2</v>
      </c>
      <c r="N255" s="5">
        <v>-1.074320599260503E-2</v>
      </c>
      <c r="O255" s="5">
        <v>0</v>
      </c>
      <c r="P255" s="5">
        <v>2.0538535204485561E-2</v>
      </c>
      <c r="Q255" s="5">
        <v>0</v>
      </c>
      <c r="R255" s="5">
        <v>0.86863689339908223</v>
      </c>
      <c r="S255" s="5">
        <v>8.1694519831362E-2</v>
      </c>
      <c r="T255" s="5">
        <v>-0.32154681386267009</v>
      </c>
      <c r="U255" s="5">
        <v>0.79922663005979599</v>
      </c>
      <c r="V255" s="5">
        <v>1.7029926137164779</v>
      </c>
      <c r="W255" s="5">
        <v>0.78595344108413501</v>
      </c>
      <c r="X255" s="5">
        <v>1.655244150536928</v>
      </c>
      <c r="Y255" s="5">
        <v>0.83986979307103815</v>
      </c>
      <c r="Z255" s="5">
        <v>6.41207122783615</v>
      </c>
      <c r="AA255" s="5">
        <v>2.3399805261025559</v>
      </c>
    </row>
    <row r="256" spans="1:27" x14ac:dyDescent="0.25">
      <c r="A256" s="1">
        <v>45230</v>
      </c>
      <c r="B256" s="5">
        <v>-2.112108094717224E-2</v>
      </c>
      <c r="C256" s="5">
        <v>4.3912093420967913E-2</v>
      </c>
      <c r="D256" s="5">
        <v>-6.8174303094270527E-3</v>
      </c>
      <c r="E256" s="5">
        <v>4.6329681347054841E-3</v>
      </c>
      <c r="F256" s="5">
        <v>4.9943423282756694E-3</v>
      </c>
      <c r="G256" s="5">
        <v>-4.1245821637792002E-2</v>
      </c>
      <c r="H256">
        <v>-1</v>
      </c>
      <c r="I256">
        <v>1</v>
      </c>
      <c r="J256" s="5">
        <v>0</v>
      </c>
      <c r="K256" s="5">
        <v>6.8174303094270527E-3</v>
      </c>
      <c r="L256" s="5">
        <v>0</v>
      </c>
      <c r="M256" s="5">
        <v>4.6329681347054841E-3</v>
      </c>
      <c r="N256" s="5">
        <v>4.9943423282756694E-3</v>
      </c>
      <c r="O256" s="5">
        <v>0</v>
      </c>
      <c r="P256" s="5">
        <v>4.1245821637792002E-2</v>
      </c>
      <c r="Q256" s="5">
        <v>0</v>
      </c>
      <c r="R256" s="5">
        <v>0.86863689339908223</v>
      </c>
      <c r="S256" s="5">
        <v>8.8511950140789053E-2</v>
      </c>
      <c r="T256" s="5">
        <v>-0.32154681386267009</v>
      </c>
      <c r="U256" s="5">
        <v>0.80385959819450148</v>
      </c>
      <c r="V256" s="5">
        <v>1.7079869560447529</v>
      </c>
      <c r="W256" s="5">
        <v>0.78595344108413501</v>
      </c>
      <c r="X256" s="5">
        <v>1.69648997217472</v>
      </c>
      <c r="Y256" s="5">
        <v>0.83986979307103815</v>
      </c>
      <c r="Z256" s="5">
        <v>6.4697617902463502</v>
      </c>
      <c r="AA256" s="5">
        <v>2.318859445155383</v>
      </c>
    </row>
    <row r="257" spans="1:27" x14ac:dyDescent="0.25">
      <c r="A257" s="1">
        <v>45260</v>
      </c>
      <c r="B257" s="5">
        <v>8.8086505358496825E-2</v>
      </c>
      <c r="C257" s="5">
        <v>-3.8931076528884172E-3</v>
      </c>
      <c r="D257" s="5">
        <v>6.8993651449281712E-3</v>
      </c>
      <c r="E257" s="5">
        <v>1.1453852266020361E-2</v>
      </c>
      <c r="F257" s="5">
        <v>4.4098955238720983E-2</v>
      </c>
      <c r="G257" s="5">
        <v>5.6307560993441141E-2</v>
      </c>
      <c r="H257">
        <v>1</v>
      </c>
      <c r="I257">
        <v>-1</v>
      </c>
      <c r="J257" s="5">
        <v>6.8993651449281712E-3</v>
      </c>
      <c r="K257" s="5">
        <v>0</v>
      </c>
      <c r="L257" s="5">
        <v>-1.1453852266020361E-2</v>
      </c>
      <c r="M257" s="5">
        <v>0</v>
      </c>
      <c r="N257" s="5">
        <v>0</v>
      </c>
      <c r="O257" s="5">
        <v>-4.4098955238720983E-2</v>
      </c>
      <c r="P257" s="5">
        <v>0</v>
      </c>
      <c r="Q257" s="5">
        <v>5.6307560993441141E-2</v>
      </c>
      <c r="R257" s="5">
        <v>0.8755362585440104</v>
      </c>
      <c r="S257" s="5">
        <v>8.8511950140789053E-2</v>
      </c>
      <c r="T257" s="5">
        <v>-0.3330006661286905</v>
      </c>
      <c r="U257" s="5">
        <v>0.80385959819450148</v>
      </c>
      <c r="V257" s="5">
        <v>1.7079869560447529</v>
      </c>
      <c r="W257" s="5">
        <v>0.74185448584541402</v>
      </c>
      <c r="X257" s="5">
        <v>1.69648997217472</v>
      </c>
      <c r="Y257" s="5">
        <v>0.89617735406447929</v>
      </c>
      <c r="Z257" s="5">
        <v>6.4774159088799781</v>
      </c>
      <c r="AA257" s="5">
        <v>2.4069459505138799</v>
      </c>
    </row>
    <row r="258" spans="1:27" x14ac:dyDescent="0.25">
      <c r="A258" s="1">
        <v>45291</v>
      </c>
      <c r="B258" s="5">
        <v>4.5032614561773647E-2</v>
      </c>
      <c r="C258" s="5">
        <v>-4.5535441784381292E-2</v>
      </c>
      <c r="D258" s="5">
        <v>5.5229063045624249E-3</v>
      </c>
      <c r="E258" s="5">
        <v>-2.6845082824344951E-4</v>
      </c>
      <c r="F258" s="5">
        <v>4.0700255344728884E-3</v>
      </c>
      <c r="G258" s="5">
        <v>4.3921849325836537E-2</v>
      </c>
      <c r="H258">
        <v>1</v>
      </c>
      <c r="I258">
        <v>-1</v>
      </c>
      <c r="J258" s="5">
        <v>5.5229063045624249E-3</v>
      </c>
      <c r="K258" s="5">
        <v>0</v>
      </c>
      <c r="L258" s="5">
        <v>2.6845082824344951E-4</v>
      </c>
      <c r="M258" s="5">
        <v>0</v>
      </c>
      <c r="N258" s="5">
        <v>0</v>
      </c>
      <c r="O258" s="5">
        <v>-4.0700255344728884E-3</v>
      </c>
      <c r="P258" s="5">
        <v>0</v>
      </c>
      <c r="Q258" s="5">
        <v>4.3921849325836537E-2</v>
      </c>
      <c r="R258" s="5">
        <v>0.88105916484857283</v>
      </c>
      <c r="S258" s="5">
        <v>8.8511950140789053E-2</v>
      </c>
      <c r="T258" s="5">
        <v>-0.33273221530044711</v>
      </c>
      <c r="U258" s="5">
        <v>0.80385959819450148</v>
      </c>
      <c r="V258" s="5">
        <v>1.7079869560447529</v>
      </c>
      <c r="W258" s="5">
        <v>0.73778446031094114</v>
      </c>
      <c r="X258" s="5">
        <v>1.69648997217472</v>
      </c>
      <c r="Y258" s="5">
        <v>0.94009920339031583</v>
      </c>
      <c r="Z258" s="5">
        <v>6.5230590898041481</v>
      </c>
      <c r="AA258" s="5">
        <v>2.4519785650756538</v>
      </c>
    </row>
    <row r="259" spans="1:27" x14ac:dyDescent="0.25">
      <c r="A259" s="1">
        <v>45322</v>
      </c>
      <c r="B259" s="5">
        <v>1.6302053164978899E-2</v>
      </c>
      <c r="C259" s="5">
        <v>7.1347391719419284E-2</v>
      </c>
      <c r="D259" s="5">
        <v>-3.9098161767312511E-3</v>
      </c>
      <c r="E259" s="5">
        <v>2.9164599312065609E-2</v>
      </c>
      <c r="F259" s="5">
        <v>-1.3384140943141221E-3</v>
      </c>
      <c r="G259" s="5">
        <v>-1.6488545535077059E-2</v>
      </c>
      <c r="H259">
        <v>-1</v>
      </c>
      <c r="I259">
        <v>1</v>
      </c>
      <c r="J259" s="5">
        <v>0</v>
      </c>
      <c r="K259" s="5">
        <v>3.9098161767312511E-3</v>
      </c>
      <c r="L259" s="5">
        <v>0</v>
      </c>
      <c r="M259" s="5">
        <v>2.9164599312065609E-2</v>
      </c>
      <c r="N259" s="5">
        <v>-1.3384140943141221E-3</v>
      </c>
      <c r="O259" s="5">
        <v>0</v>
      </c>
      <c r="P259" s="5">
        <v>1.6488545535077059E-2</v>
      </c>
      <c r="Q259" s="5">
        <v>0</v>
      </c>
      <c r="R259" s="5">
        <v>0.88105916484857283</v>
      </c>
      <c r="S259" s="5">
        <v>9.2421766317520304E-2</v>
      </c>
      <c r="T259" s="5">
        <v>-0.33273221530044711</v>
      </c>
      <c r="U259" s="5">
        <v>0.83302419750656709</v>
      </c>
      <c r="V259" s="5">
        <v>1.7066485419504389</v>
      </c>
      <c r="W259" s="5">
        <v>0.73778446031094114</v>
      </c>
      <c r="X259" s="5">
        <v>1.7129785177097969</v>
      </c>
      <c r="Y259" s="5">
        <v>0.94009920339031583</v>
      </c>
      <c r="Z259" s="5">
        <v>6.5712836367337077</v>
      </c>
      <c r="AA259" s="5">
        <v>2.4682806182406329</v>
      </c>
    </row>
    <row r="260" spans="1:27" x14ac:dyDescent="0.25">
      <c r="A260" s="1">
        <v>45351</v>
      </c>
      <c r="B260" s="5">
        <v>5.1488747555206049E-2</v>
      </c>
      <c r="C260" s="5">
        <v>8.8752863128697901E-2</v>
      </c>
      <c r="D260" s="5">
        <v>1.1581644277732779E-3</v>
      </c>
      <c r="E260" s="5">
        <v>1.6757673707675891E-2</v>
      </c>
      <c r="F260" s="5">
        <v>3.121803858747418E-2</v>
      </c>
      <c r="G260" s="5">
        <v>-1.7732375378660788E-2</v>
      </c>
      <c r="H260">
        <v>-1</v>
      </c>
      <c r="I260">
        <v>1</v>
      </c>
      <c r="J260" s="5">
        <v>0</v>
      </c>
      <c r="K260" s="5">
        <v>-1.1581644277732779E-3</v>
      </c>
      <c r="L260" s="5">
        <v>0</v>
      </c>
      <c r="M260" s="5">
        <v>1.6757673707675891E-2</v>
      </c>
      <c r="N260" s="5">
        <v>3.121803858747418E-2</v>
      </c>
      <c r="O260" s="5">
        <v>0</v>
      </c>
      <c r="P260" s="5">
        <v>1.7732375378660788E-2</v>
      </c>
      <c r="Q260" s="5">
        <v>0</v>
      </c>
      <c r="R260" s="5">
        <v>0.88105916484857283</v>
      </c>
      <c r="S260" s="5">
        <v>9.1263601889747026E-2</v>
      </c>
      <c r="T260" s="5">
        <v>-0.33273221530044711</v>
      </c>
      <c r="U260" s="5">
        <v>0.84978187121424298</v>
      </c>
      <c r="V260" s="5">
        <v>1.737866580537913</v>
      </c>
      <c r="W260" s="5">
        <v>0.73778446031094114</v>
      </c>
      <c r="X260" s="5">
        <v>1.730710893088458</v>
      </c>
      <c r="Y260" s="5">
        <v>0.94009920339031583</v>
      </c>
      <c r="Z260" s="5">
        <v>6.6358335599797451</v>
      </c>
      <c r="AA260" s="5">
        <v>2.5197693657958391</v>
      </c>
    </row>
    <row r="261" spans="1:27" x14ac:dyDescent="0.25">
      <c r="A261" s="1">
        <v>45382</v>
      </c>
      <c r="B261" s="5">
        <v>3.2561217372195188E-2</v>
      </c>
      <c r="C261" s="5">
        <v>3.9033614420746487E-2</v>
      </c>
      <c r="D261" s="5">
        <v>1.70714707773556E-3</v>
      </c>
      <c r="E261" s="5">
        <v>1.6413090518260901E-2</v>
      </c>
      <c r="F261" s="5">
        <v>1.331547192758142E-2</v>
      </c>
      <c r="G261" s="5">
        <v>2.138121075597688E-2</v>
      </c>
      <c r="H261">
        <v>-1</v>
      </c>
      <c r="I261">
        <v>1</v>
      </c>
      <c r="J261" s="5">
        <v>0</v>
      </c>
      <c r="K261" s="5">
        <v>-1.70714707773556E-3</v>
      </c>
      <c r="L261" s="5">
        <v>0</v>
      </c>
      <c r="M261" s="5">
        <v>1.6413090518260901E-2</v>
      </c>
      <c r="N261" s="5">
        <v>1.331547192758142E-2</v>
      </c>
      <c r="O261" s="5">
        <v>0</v>
      </c>
      <c r="P261" s="5">
        <v>-2.138121075597688E-2</v>
      </c>
      <c r="Q261" s="5">
        <v>0</v>
      </c>
      <c r="R261" s="5">
        <v>0.88105916484857283</v>
      </c>
      <c r="S261" s="5">
        <v>8.9556454812011466E-2</v>
      </c>
      <c r="T261" s="5">
        <v>-0.33273221530044711</v>
      </c>
      <c r="U261" s="5">
        <v>0.86619496173250388</v>
      </c>
      <c r="V261" s="5">
        <v>1.7511820524654951</v>
      </c>
      <c r="W261" s="5">
        <v>0.73778446031094114</v>
      </c>
      <c r="X261" s="5">
        <v>1.7093296823324811</v>
      </c>
      <c r="Y261" s="5">
        <v>0.94009920339031583</v>
      </c>
      <c r="Z261" s="5">
        <v>6.642473764591875</v>
      </c>
      <c r="AA261" s="5">
        <v>2.5523305831680339</v>
      </c>
    </row>
    <row r="262" spans="1:27" x14ac:dyDescent="0.25">
      <c r="A262" s="1">
        <v>45412</v>
      </c>
      <c r="B262" s="5">
        <v>-4.0391724882961173E-2</v>
      </c>
      <c r="C262" s="5">
        <v>1.030524323173299E-3</v>
      </c>
      <c r="D262" s="5">
        <v>1.397625858482365E-2</v>
      </c>
      <c r="E262" s="5">
        <v>-1.0349871827254111E-2</v>
      </c>
      <c r="F262" s="5">
        <v>-8.7585502185608677E-3</v>
      </c>
      <c r="G262" s="5">
        <v>-3.1115395083889611E-2</v>
      </c>
      <c r="H262">
        <v>-1</v>
      </c>
      <c r="I262">
        <v>1</v>
      </c>
      <c r="J262" s="5">
        <v>0</v>
      </c>
      <c r="K262" s="5">
        <v>-1.397625858482365E-2</v>
      </c>
      <c r="L262" s="5">
        <v>0</v>
      </c>
      <c r="M262" s="5">
        <v>-1.0349871827254111E-2</v>
      </c>
      <c r="N262" s="5">
        <v>-8.7585502185608677E-3</v>
      </c>
      <c r="O262" s="5">
        <v>0</v>
      </c>
      <c r="P262" s="5">
        <v>3.1115395083889611E-2</v>
      </c>
      <c r="Q262" s="5">
        <v>0</v>
      </c>
      <c r="R262" s="5">
        <v>0.88105916484857283</v>
      </c>
      <c r="S262" s="5">
        <v>7.5580196227187812E-2</v>
      </c>
      <c r="T262" s="5">
        <v>-0.33273221530044711</v>
      </c>
      <c r="U262" s="5">
        <v>0.85584508990524977</v>
      </c>
      <c r="V262" s="5">
        <v>1.7424235022469341</v>
      </c>
      <c r="W262" s="5">
        <v>0.73778446031094114</v>
      </c>
      <c r="X262" s="5">
        <v>1.7404450774163709</v>
      </c>
      <c r="Y262" s="5">
        <v>0.94009920339031583</v>
      </c>
      <c r="Z262" s="5">
        <v>6.6405044790451262</v>
      </c>
      <c r="AA262" s="5">
        <v>2.511938858285073</v>
      </c>
    </row>
    <row r="263" spans="1:27" x14ac:dyDescent="0.25">
      <c r="A263" s="1">
        <v>45443</v>
      </c>
      <c r="B263" s="5">
        <v>4.9772232077811902E-2</v>
      </c>
      <c r="C263" s="5">
        <v>1.5871416525547799E-2</v>
      </c>
      <c r="D263" s="5">
        <v>-7.396600863248004E-3</v>
      </c>
      <c r="E263" s="5">
        <v>-1.225216155157249E-2</v>
      </c>
      <c r="F263" s="5">
        <v>2.993188164738236E-2</v>
      </c>
      <c r="G263" s="5">
        <v>3.1774985218491647E-2</v>
      </c>
      <c r="H263">
        <v>-1</v>
      </c>
      <c r="I263">
        <v>1</v>
      </c>
      <c r="J263" s="5">
        <v>0</v>
      </c>
      <c r="K263" s="5">
        <v>7.396600863248004E-3</v>
      </c>
      <c r="L263" s="5">
        <v>0</v>
      </c>
      <c r="M263" s="5">
        <v>-1.225216155157249E-2</v>
      </c>
      <c r="N263" s="5">
        <v>2.993188164738236E-2</v>
      </c>
      <c r="O263" s="5">
        <v>0</v>
      </c>
      <c r="P263" s="5">
        <v>-3.1774985218491647E-2</v>
      </c>
      <c r="Q263" s="5">
        <v>0</v>
      </c>
      <c r="R263" s="5">
        <v>0.88105916484857283</v>
      </c>
      <c r="S263" s="5">
        <v>8.2976797090435817E-2</v>
      </c>
      <c r="T263" s="5">
        <v>-0.33273221530044711</v>
      </c>
      <c r="U263" s="5">
        <v>0.84359292835367727</v>
      </c>
      <c r="V263" s="5">
        <v>1.772355383894316</v>
      </c>
      <c r="W263" s="5">
        <v>0.73778446031094114</v>
      </c>
      <c r="X263" s="5">
        <v>1.708670092197879</v>
      </c>
      <c r="Y263" s="5">
        <v>0.94009920339031583</v>
      </c>
      <c r="Z263" s="5">
        <v>6.633805814785692</v>
      </c>
      <c r="AA263" s="5">
        <v>2.561711090362885</v>
      </c>
    </row>
    <row r="264" spans="1:27" x14ac:dyDescent="0.25">
      <c r="A264" s="1">
        <v>45473</v>
      </c>
      <c r="B264" s="5">
        <v>3.4848975824243622E-2</v>
      </c>
      <c r="C264" s="5">
        <v>-1.417348922089157E-2</v>
      </c>
      <c r="D264" s="5">
        <v>2.7401657752254009E-3</v>
      </c>
      <c r="E264" s="5">
        <v>-2.7223292211015829E-2</v>
      </c>
      <c r="F264" s="5">
        <v>1.258397426519575E-2</v>
      </c>
      <c r="G264" s="5">
        <v>1.534828494456031E-2</v>
      </c>
      <c r="H264">
        <v>1</v>
      </c>
      <c r="I264">
        <v>-1</v>
      </c>
      <c r="J264" s="5">
        <v>2.7401657752254009E-3</v>
      </c>
      <c r="K264" s="5">
        <v>0</v>
      </c>
      <c r="L264" s="5">
        <v>2.7223292211015829E-2</v>
      </c>
      <c r="M264" s="5">
        <v>0</v>
      </c>
      <c r="N264" s="5">
        <v>0</v>
      </c>
      <c r="O264" s="5">
        <v>-1.258397426519575E-2</v>
      </c>
      <c r="P264" s="5">
        <v>0</v>
      </c>
      <c r="Q264" s="5">
        <v>1.534828494456031E-2</v>
      </c>
      <c r="R264" s="5">
        <v>0.88379933062379823</v>
      </c>
      <c r="S264" s="5">
        <v>8.2976797090435817E-2</v>
      </c>
      <c r="T264" s="5">
        <v>-0.30550892308943117</v>
      </c>
      <c r="U264" s="5">
        <v>0.84359292835367727</v>
      </c>
      <c r="V264" s="5">
        <v>1.772355383894316</v>
      </c>
      <c r="W264" s="5">
        <v>0.72520048604574538</v>
      </c>
      <c r="X264" s="5">
        <v>1.708670092197879</v>
      </c>
      <c r="Y264" s="5">
        <v>0.95544748833487614</v>
      </c>
      <c r="Z264" s="5">
        <v>6.6665335834512973</v>
      </c>
      <c r="AA264" s="5">
        <v>2.5965600661871289</v>
      </c>
    </row>
    <row r="265" spans="1:27" x14ac:dyDescent="0.25">
      <c r="A265" s="1">
        <v>45504</v>
      </c>
      <c r="B265" s="5">
        <v>1.2901358820789801E-2</v>
      </c>
      <c r="C265" s="5">
        <v>6.1674236454313247E-3</v>
      </c>
      <c r="D265" s="5">
        <v>-6.4659075061866966E-3</v>
      </c>
      <c r="E265" s="5">
        <v>2.324303146473217E-2</v>
      </c>
      <c r="F265" s="5">
        <v>2.0171064671094859E-2</v>
      </c>
      <c r="G265" s="5">
        <v>1.409946404763862E-2</v>
      </c>
      <c r="H265">
        <v>-1</v>
      </c>
      <c r="I265">
        <v>1</v>
      </c>
      <c r="J265" s="5">
        <v>0</v>
      </c>
      <c r="K265" s="5">
        <v>6.4659075061866966E-3</v>
      </c>
      <c r="L265" s="5">
        <v>0</v>
      </c>
      <c r="M265" s="5">
        <v>2.324303146473217E-2</v>
      </c>
      <c r="N265" s="5">
        <v>2.0171064671094859E-2</v>
      </c>
      <c r="O265" s="5">
        <v>0</v>
      </c>
      <c r="P265" s="5">
        <v>-1.409946404763862E-2</v>
      </c>
      <c r="Q265" s="5">
        <v>0</v>
      </c>
      <c r="R265" s="5">
        <v>0.88379933062379823</v>
      </c>
      <c r="S265" s="5">
        <v>8.9442704596622513E-2</v>
      </c>
      <c r="T265" s="5">
        <v>-0.30550892308943117</v>
      </c>
      <c r="U265" s="5">
        <v>0.86683595981840944</v>
      </c>
      <c r="V265" s="5">
        <v>1.7925264485654111</v>
      </c>
      <c r="W265" s="5">
        <v>0.72520048604574538</v>
      </c>
      <c r="X265" s="5">
        <v>1.69457062815024</v>
      </c>
      <c r="Y265" s="5">
        <v>0.95544748833487614</v>
      </c>
      <c r="Z265" s="5">
        <v>6.7023141230456726</v>
      </c>
      <c r="AA265" s="5">
        <v>2.6094614250079191</v>
      </c>
    </row>
    <row r="266" spans="1:27" x14ac:dyDescent="0.25">
      <c r="A266" s="1">
        <v>45535</v>
      </c>
      <c r="B266" s="5">
        <v>2.4635894864778352E-2</v>
      </c>
      <c r="C266" s="5">
        <v>-2.5806678563175089E-2</v>
      </c>
      <c r="D266" s="5">
        <v>5.5964680962656832E-3</v>
      </c>
      <c r="E266" s="5">
        <v>-2.2810488295141429E-2</v>
      </c>
      <c r="F266" s="5">
        <v>-5.9367354543300777E-2</v>
      </c>
      <c r="G266" s="5">
        <v>1.5669035716160521E-2</v>
      </c>
      <c r="H266">
        <v>1</v>
      </c>
      <c r="I266">
        <v>-1</v>
      </c>
      <c r="J266" s="5">
        <v>5.5964680962656832E-3</v>
      </c>
      <c r="K266" s="5">
        <v>0</v>
      </c>
      <c r="L266" s="5">
        <v>2.2810488295141429E-2</v>
      </c>
      <c r="M266" s="5">
        <v>0</v>
      </c>
      <c r="N266" s="5">
        <v>0</v>
      </c>
      <c r="O266" s="5">
        <v>5.9367354543300777E-2</v>
      </c>
      <c r="P266" s="5">
        <v>0</v>
      </c>
      <c r="Q266" s="5">
        <v>1.5669035716160521E-2</v>
      </c>
      <c r="R266" s="5">
        <v>0.88939579872006391</v>
      </c>
      <c r="S266" s="5">
        <v>8.9442704596622513E-2</v>
      </c>
      <c r="T266" s="5">
        <v>-0.2826984347942898</v>
      </c>
      <c r="U266" s="5">
        <v>0.86683595981840944</v>
      </c>
      <c r="V266" s="5">
        <v>1.7925264485654111</v>
      </c>
      <c r="W266" s="5">
        <v>0.78456784058904616</v>
      </c>
      <c r="X266" s="5">
        <v>1.69457062815024</v>
      </c>
      <c r="Y266" s="5">
        <v>0.97111652405103666</v>
      </c>
      <c r="Z266" s="5">
        <v>6.8057574696965411</v>
      </c>
      <c r="AA266" s="5">
        <v>2.6340973198726969</v>
      </c>
    </row>
    <row r="267" spans="1:27" x14ac:dyDescent="0.25">
      <c r="A267" s="1">
        <v>45565</v>
      </c>
      <c r="B267" s="5">
        <v>2.1500378579805909E-2</v>
      </c>
      <c r="C267" s="5">
        <v>-1.16930223546764E-2</v>
      </c>
      <c r="D267" s="5">
        <v>7.1774017959299607E-3</v>
      </c>
      <c r="E267" s="5">
        <v>-5.7312763823882404E-3</v>
      </c>
      <c r="F267" s="5">
        <v>-3.0692104617247359E-2</v>
      </c>
      <c r="G267" s="5">
        <v>3.9119909857214252E-2</v>
      </c>
      <c r="H267">
        <v>1</v>
      </c>
      <c r="I267">
        <v>-1</v>
      </c>
      <c r="J267" s="5">
        <v>7.1774017959299607E-3</v>
      </c>
      <c r="K267" s="5">
        <v>0</v>
      </c>
      <c r="L267" s="5">
        <v>5.7312763823882404E-3</v>
      </c>
      <c r="M267" s="5">
        <v>0</v>
      </c>
      <c r="N267" s="5">
        <v>0</v>
      </c>
      <c r="O267" s="5">
        <v>3.0692104617247359E-2</v>
      </c>
      <c r="P267" s="5">
        <v>0</v>
      </c>
      <c r="Q267" s="5">
        <v>3.9119909857214252E-2</v>
      </c>
      <c r="R267" s="5">
        <v>0.89657320051599387</v>
      </c>
      <c r="S267" s="5">
        <v>8.9442704596622513E-2</v>
      </c>
      <c r="T267" s="5">
        <v>-0.27696715841190162</v>
      </c>
      <c r="U267" s="5">
        <v>0.86683595981840944</v>
      </c>
      <c r="V267" s="5">
        <v>1.7925264485654111</v>
      </c>
      <c r="W267" s="5">
        <v>0.81525994520629352</v>
      </c>
      <c r="X267" s="5">
        <v>1.69457062815024</v>
      </c>
      <c r="Y267" s="5">
        <v>1.010236433908251</v>
      </c>
      <c r="Z267" s="5">
        <v>6.8884781623493208</v>
      </c>
      <c r="AA267" s="5">
        <v>2.6555976984525032</v>
      </c>
    </row>
    <row r="268" spans="1:27" x14ac:dyDescent="0.25">
      <c r="A268" s="1">
        <v>45596</v>
      </c>
      <c r="B268" s="5">
        <v>-8.4199508663846956E-3</v>
      </c>
      <c r="C268" s="5">
        <v>7.5216387920401973E-2</v>
      </c>
      <c r="D268" s="5">
        <v>-2.5769658325618949E-2</v>
      </c>
      <c r="E268" s="5">
        <v>2.433348415011416E-3</v>
      </c>
      <c r="F268" s="5">
        <v>-1.0317692162005289E-2</v>
      </c>
      <c r="G268" s="5">
        <v>-3.0463899180686819E-2</v>
      </c>
      <c r="H268">
        <v>-1</v>
      </c>
      <c r="I268">
        <v>1</v>
      </c>
      <c r="J268" s="5">
        <v>0</v>
      </c>
      <c r="K268" s="5">
        <v>2.5769658325618949E-2</v>
      </c>
      <c r="L268" s="5">
        <v>0</v>
      </c>
      <c r="M268" s="5">
        <v>2.433348415011416E-3</v>
      </c>
      <c r="N268" s="5">
        <v>-1.0317692162005289E-2</v>
      </c>
      <c r="O268" s="5">
        <v>0</v>
      </c>
      <c r="P268" s="5">
        <v>3.0463899180686819E-2</v>
      </c>
      <c r="Q268" s="5">
        <v>0</v>
      </c>
      <c r="R268" s="5">
        <v>0.89657320051599387</v>
      </c>
      <c r="S268" s="5">
        <v>0.1152123629222415</v>
      </c>
      <c r="T268" s="5">
        <v>-0.27696715841190162</v>
      </c>
      <c r="U268" s="5">
        <v>0.86926930823342086</v>
      </c>
      <c r="V268" s="5">
        <v>1.7822087564034059</v>
      </c>
      <c r="W268" s="5">
        <v>0.81525994520629352</v>
      </c>
      <c r="X268" s="5">
        <v>1.7250345273309271</v>
      </c>
      <c r="Y268" s="5">
        <v>1.010236433908251</v>
      </c>
      <c r="Z268" s="5">
        <v>6.9368273761086323</v>
      </c>
      <c r="AA268" s="5">
        <v>2.647177747586118</v>
      </c>
    </row>
    <row r="269" spans="1:27" x14ac:dyDescent="0.25">
      <c r="A269" s="1">
        <v>45626</v>
      </c>
      <c r="B269" s="5">
        <v>5.8536319633616267E-2</v>
      </c>
      <c r="C269" s="5">
        <v>6.2374894457865808E-2</v>
      </c>
      <c r="D269" s="5">
        <v>1.4895143461754251E-2</v>
      </c>
      <c r="E269" s="5">
        <v>3.9809360517639281E-2</v>
      </c>
      <c r="F269" s="5">
        <v>4.6756031294631677E-2</v>
      </c>
      <c r="G269" s="5">
        <v>-8.1256053100725589E-3</v>
      </c>
      <c r="H269">
        <v>-1</v>
      </c>
      <c r="I269">
        <v>1</v>
      </c>
      <c r="J269" s="5">
        <v>0</v>
      </c>
      <c r="K269" s="5">
        <v>-1.4895143461754251E-2</v>
      </c>
      <c r="L269" s="5">
        <v>0</v>
      </c>
      <c r="M269" s="5">
        <v>3.9809360517639281E-2</v>
      </c>
      <c r="N269" s="5">
        <v>4.6756031294631677E-2</v>
      </c>
      <c r="O269" s="5">
        <v>0</v>
      </c>
      <c r="P269" s="5">
        <v>8.1256053100725589E-3</v>
      </c>
      <c r="Q269" s="5">
        <v>0</v>
      </c>
      <c r="R269" s="5">
        <v>0.89657320051599387</v>
      </c>
      <c r="S269" s="5">
        <v>0.1003172194604872</v>
      </c>
      <c r="T269" s="5">
        <v>-0.27696715841190162</v>
      </c>
      <c r="U269" s="5">
        <v>0.90907866875106014</v>
      </c>
      <c r="V269" s="5">
        <v>1.8289647876980371</v>
      </c>
      <c r="W269" s="5">
        <v>0.81525994520629352</v>
      </c>
      <c r="X269" s="5">
        <v>1.733160132641</v>
      </c>
      <c r="Y269" s="5">
        <v>1.010236433908251</v>
      </c>
      <c r="Z269" s="5">
        <v>7.0166232297692206</v>
      </c>
      <c r="AA269" s="5">
        <v>2.7057140672197342</v>
      </c>
    </row>
    <row r="270" spans="1:27" x14ac:dyDescent="0.25">
      <c r="A270" s="1">
        <v>45657</v>
      </c>
      <c r="B270" s="5">
        <v>-2.351956292751789E-2</v>
      </c>
      <c r="C270" s="5">
        <v>3.9119960959926869E-2</v>
      </c>
      <c r="D270" s="5">
        <v>-8.4063412140974458E-3</v>
      </c>
      <c r="E270" s="5">
        <v>-1.1027446796406659E-2</v>
      </c>
      <c r="F270" s="5">
        <v>8.7157755752241828E-3</v>
      </c>
      <c r="G270" s="5">
        <v>8.0247906360200183E-3</v>
      </c>
      <c r="H270">
        <v>-1</v>
      </c>
      <c r="I270">
        <v>1</v>
      </c>
      <c r="J270" s="5">
        <v>0</v>
      </c>
      <c r="K270" s="5">
        <v>8.4063412140974458E-3</v>
      </c>
      <c r="L270" s="5">
        <v>0</v>
      </c>
      <c r="M270" s="5">
        <v>-1.1027446796406659E-2</v>
      </c>
      <c r="N270" s="5">
        <v>8.7157755752241828E-3</v>
      </c>
      <c r="O270" s="5">
        <v>0</v>
      </c>
      <c r="P270" s="5">
        <v>-8.0247906360200183E-3</v>
      </c>
      <c r="Q270" s="5">
        <v>0</v>
      </c>
      <c r="R270" s="5">
        <v>0.89657320051599387</v>
      </c>
      <c r="S270" s="5">
        <v>0.1087235606745847</v>
      </c>
      <c r="T270" s="5">
        <v>-0.27696715841190162</v>
      </c>
      <c r="U270" s="5">
        <v>0.89805122195465348</v>
      </c>
      <c r="V270" s="5">
        <v>1.837680563273262</v>
      </c>
      <c r="W270" s="5">
        <v>0.81525994520629352</v>
      </c>
      <c r="X270" s="5">
        <v>1.72513534200498</v>
      </c>
      <c r="Y270" s="5">
        <v>1.010236433908251</v>
      </c>
      <c r="Z270" s="5">
        <v>7.0146931091261164</v>
      </c>
      <c r="AA270" s="5">
        <v>2.682194504292216</v>
      </c>
    </row>
    <row r="271" spans="1:27" x14ac:dyDescent="0.25">
      <c r="A271" s="1">
        <v>45688</v>
      </c>
      <c r="B271" s="5">
        <v>2.7252816504766079E-2</v>
      </c>
      <c r="C271" s="5">
        <v>3.8149293115323002E-2</v>
      </c>
      <c r="D271" s="5">
        <v>-9.9906566732472779E-3</v>
      </c>
      <c r="E271" s="5">
        <v>6.2721624241458551E-3</v>
      </c>
      <c r="F271" s="5">
        <v>5.9639600654837199E-3</v>
      </c>
      <c r="G271" s="5">
        <v>-1.491427331194406E-2</v>
      </c>
      <c r="H271">
        <v>-1</v>
      </c>
      <c r="I271">
        <v>1</v>
      </c>
      <c r="J271" s="5">
        <v>0</v>
      </c>
      <c r="K271" s="5">
        <v>9.9906566732472779E-3</v>
      </c>
      <c r="L271" s="5">
        <v>0</v>
      </c>
      <c r="M271" s="5">
        <v>6.2721624241458551E-3</v>
      </c>
      <c r="N271" s="5">
        <v>5.9639600654837199E-3</v>
      </c>
      <c r="O271" s="5">
        <v>0</v>
      </c>
      <c r="P271" s="5">
        <v>1.491427331194406E-2</v>
      </c>
      <c r="Q271" s="5">
        <v>0</v>
      </c>
      <c r="R271" s="5">
        <v>0.89657320051599387</v>
      </c>
      <c r="S271" s="5">
        <v>0.1187142173478319</v>
      </c>
      <c r="T271" s="5">
        <v>-0.27696715841190162</v>
      </c>
      <c r="U271" s="5">
        <v>0.90432338437879933</v>
      </c>
      <c r="V271" s="5">
        <v>1.8436445233387451</v>
      </c>
      <c r="W271" s="5">
        <v>0.81525994520629352</v>
      </c>
      <c r="X271" s="5">
        <v>1.740049615316924</v>
      </c>
      <c r="Y271" s="5">
        <v>1.010236433908251</v>
      </c>
      <c r="Z271" s="5">
        <v>7.0518341616009366</v>
      </c>
      <c r="AA271" s="5">
        <v>2.7094473207969831</v>
      </c>
    </row>
    <row r="272" spans="1:27" x14ac:dyDescent="0.25">
      <c r="A272" s="1">
        <v>45716</v>
      </c>
      <c r="B272" s="5">
        <v>-1.2154924506873719E-2</v>
      </c>
      <c r="C272" s="5">
        <v>-3.5266739081101783E-2</v>
      </c>
      <c r="D272" s="5">
        <v>-4.8247651784222301E-3</v>
      </c>
      <c r="E272" s="5">
        <v>2.8351407840832229E-2</v>
      </c>
      <c r="F272" s="5">
        <v>-1.644732809261362E-3</v>
      </c>
      <c r="G272" s="5">
        <v>2.0814652924140531E-2</v>
      </c>
      <c r="H272">
        <v>1</v>
      </c>
      <c r="I272">
        <v>-1</v>
      </c>
      <c r="J272" s="5">
        <v>-4.8247651784222301E-3</v>
      </c>
      <c r="K272" s="5">
        <v>0</v>
      </c>
      <c r="L272" s="5">
        <v>-2.8351407840832229E-2</v>
      </c>
      <c r="M272" s="5">
        <v>0</v>
      </c>
      <c r="N272" s="5">
        <v>0</v>
      </c>
      <c r="O272" s="5">
        <v>1.644732809261362E-3</v>
      </c>
      <c r="P272" s="5">
        <v>0</v>
      </c>
      <c r="Q272" s="5">
        <v>2.0814652924140531E-2</v>
      </c>
      <c r="R272" s="5">
        <v>0.89174843533757164</v>
      </c>
      <c r="S272" s="5">
        <v>0.1187142173478319</v>
      </c>
      <c r="T272" s="5">
        <v>-0.30531856625273379</v>
      </c>
      <c r="U272" s="5">
        <v>0.90432338437879933</v>
      </c>
      <c r="V272" s="5">
        <v>1.8436445233387451</v>
      </c>
      <c r="W272" s="5">
        <v>0.81690467801555489</v>
      </c>
      <c r="X272" s="5">
        <v>1.740049615316924</v>
      </c>
      <c r="Y272" s="5">
        <v>1.0310510868323921</v>
      </c>
      <c r="Z272" s="5">
        <v>7.0411173743150854</v>
      </c>
      <c r="AA272" s="5">
        <v>2.6972923962901092</v>
      </c>
    </row>
    <row r="273" spans="1:27" x14ac:dyDescent="0.25">
      <c r="A273" s="1">
        <v>45747</v>
      </c>
      <c r="B273" s="5">
        <v>-5.5547092211403408E-2</v>
      </c>
      <c r="C273" s="5">
        <v>-3.2412286179435812E-2</v>
      </c>
      <c r="D273" s="5">
        <v>-7.7071332159225348E-3</v>
      </c>
      <c r="E273" s="5">
        <v>3.854075532923718E-3</v>
      </c>
      <c r="F273" s="5">
        <v>-3.07552886760829E-2</v>
      </c>
      <c r="G273" s="5">
        <v>-2.21478593016553E-2</v>
      </c>
      <c r="H273">
        <v>1</v>
      </c>
      <c r="I273">
        <v>-1</v>
      </c>
      <c r="J273" s="5">
        <v>-7.7071332159225348E-3</v>
      </c>
      <c r="K273" s="5">
        <v>0</v>
      </c>
      <c r="L273" s="5">
        <v>-3.854075532923718E-3</v>
      </c>
      <c r="M273" s="5">
        <v>0</v>
      </c>
      <c r="N273" s="5">
        <v>0</v>
      </c>
      <c r="O273" s="5">
        <v>3.07552886760829E-2</v>
      </c>
      <c r="P273" s="5">
        <v>0</v>
      </c>
      <c r="Q273" s="5">
        <v>-2.21478593016553E-2</v>
      </c>
      <c r="R273" s="5">
        <v>0.88404130212164911</v>
      </c>
      <c r="S273" s="5">
        <v>0.1187142173478319</v>
      </c>
      <c r="T273" s="5">
        <v>-0.30917264178565751</v>
      </c>
      <c r="U273" s="5">
        <v>0.90432338437879933</v>
      </c>
      <c r="V273" s="5">
        <v>1.8436445233387451</v>
      </c>
      <c r="W273" s="5">
        <v>0.84765996669163779</v>
      </c>
      <c r="X273" s="5">
        <v>1.740049615316924</v>
      </c>
      <c r="Y273" s="5">
        <v>1.0089032275307359</v>
      </c>
      <c r="Z273" s="5">
        <v>7.0381635949406656</v>
      </c>
      <c r="AA273" s="5">
        <v>2.641745304078706</v>
      </c>
    </row>
    <row r="274" spans="1:27" x14ac:dyDescent="0.25">
      <c r="A274" s="1">
        <v>45777</v>
      </c>
      <c r="B274" s="5">
        <v>2.0899292979963402E-3</v>
      </c>
      <c r="C274" s="5">
        <v>-2.4960082756489981E-3</v>
      </c>
      <c r="D274" s="5">
        <v>5.0847313003916213E-2</v>
      </c>
      <c r="E274" s="5">
        <v>3.4206800895675633E-2</v>
      </c>
      <c r="F274" s="5">
        <v>-0.10045214054978201</v>
      </c>
      <c r="G274" s="5">
        <v>-6.6653040608489764E-3</v>
      </c>
      <c r="H274">
        <v>1</v>
      </c>
      <c r="I274">
        <v>-1</v>
      </c>
      <c r="J274" s="5">
        <v>5.0847313003916213E-2</v>
      </c>
      <c r="K274" s="5">
        <v>0</v>
      </c>
      <c r="L274" s="5">
        <v>-3.4206800895675633E-2</v>
      </c>
      <c r="M274" s="5">
        <v>0</v>
      </c>
      <c r="N274" s="5">
        <v>0</v>
      </c>
      <c r="O274" s="5">
        <v>0.10045214054978201</v>
      </c>
      <c r="P274" s="5">
        <v>0</v>
      </c>
      <c r="Q274" s="5">
        <v>-6.6653040608489764E-3</v>
      </c>
      <c r="R274" s="5">
        <v>0.93488861512556531</v>
      </c>
      <c r="S274" s="5">
        <v>0.1187142173478319</v>
      </c>
      <c r="T274" s="5">
        <v>-0.34337944268133308</v>
      </c>
      <c r="U274" s="5">
        <v>0.90432338437879933</v>
      </c>
      <c r="V274" s="5">
        <v>1.8436445233387451</v>
      </c>
      <c r="W274" s="5">
        <v>0.94811210724141981</v>
      </c>
      <c r="X274" s="5">
        <v>1.740049615316924</v>
      </c>
      <c r="Y274" s="5">
        <v>1.002237923469887</v>
      </c>
      <c r="Z274" s="5">
        <v>7.1485909435378394</v>
      </c>
      <c r="AA274" s="5">
        <v>2.6438352333767021</v>
      </c>
    </row>
    <row r="275" spans="1:27" x14ac:dyDescent="0.25">
      <c r="A275" s="1">
        <v>45808</v>
      </c>
      <c r="B275" s="5">
        <v>6.2169052845271078E-2</v>
      </c>
      <c r="C275" s="5">
        <v>0.11007742554267801</v>
      </c>
      <c r="D275" s="5">
        <v>1.1402910569974001E-2</v>
      </c>
      <c r="E275" s="5">
        <v>2.7302779016475601E-2</v>
      </c>
      <c r="F275" s="5">
        <v>1.204379430636404E-2</v>
      </c>
      <c r="G275" s="5">
        <v>-1.3928780902351169E-2</v>
      </c>
      <c r="H275">
        <v>-1</v>
      </c>
      <c r="I275">
        <v>1</v>
      </c>
      <c r="J275" s="5">
        <v>0</v>
      </c>
      <c r="K275" s="5">
        <v>-1.1402910569974001E-2</v>
      </c>
      <c r="L275" s="5">
        <v>0</v>
      </c>
      <c r="M275" s="5">
        <v>2.7302779016475601E-2</v>
      </c>
      <c r="N275" s="5">
        <v>1.204379430636404E-2</v>
      </c>
      <c r="O275" s="5">
        <v>0</v>
      </c>
      <c r="P275" s="5">
        <v>1.3928780902351169E-2</v>
      </c>
      <c r="Q275" s="5">
        <v>0</v>
      </c>
      <c r="R275" s="5">
        <v>0.93488861512556531</v>
      </c>
      <c r="S275" s="5">
        <v>0.1073113067778579</v>
      </c>
      <c r="T275" s="5">
        <v>-0.34337944268133308</v>
      </c>
      <c r="U275" s="5">
        <v>0.93162616339527493</v>
      </c>
      <c r="V275" s="5">
        <v>1.8556883176451091</v>
      </c>
      <c r="W275" s="5">
        <v>0.94811210724141981</v>
      </c>
      <c r="X275" s="5">
        <v>1.753978396219275</v>
      </c>
      <c r="Y275" s="5">
        <v>1.002237923469887</v>
      </c>
      <c r="Z275" s="5">
        <v>7.1904633871930574</v>
      </c>
      <c r="AA275" s="5">
        <v>2.7060042862219729</v>
      </c>
    </row>
    <row r="276" spans="1:27" x14ac:dyDescent="0.25">
      <c r="A276" s="1">
        <v>45838</v>
      </c>
      <c r="B276" s="5">
        <v>5.0544778179984262E-2</v>
      </c>
      <c r="C276" s="5">
        <v>1.145867748746288E-2</v>
      </c>
      <c r="D276" s="5">
        <v>2.9180958003939491E-2</v>
      </c>
      <c r="E276" s="5">
        <v>1.7020920487673449E-2</v>
      </c>
      <c r="F276" s="5">
        <v>1.6503335429217669E-2</v>
      </c>
      <c r="G276" s="5">
        <v>-6.8642460268161232E-3</v>
      </c>
      <c r="H276">
        <v>-1</v>
      </c>
      <c r="I276">
        <v>1</v>
      </c>
      <c r="J276" s="5">
        <v>0</v>
      </c>
      <c r="K276" s="5">
        <v>-2.9180958003939491E-2</v>
      </c>
      <c r="L276" s="5">
        <v>0</v>
      </c>
      <c r="M276" s="5">
        <v>1.7020920487673449E-2</v>
      </c>
      <c r="N276" s="5">
        <v>1.6503335429217669E-2</v>
      </c>
      <c r="O276" s="5">
        <v>0</v>
      </c>
      <c r="P276" s="5">
        <v>6.8642460268161232E-3</v>
      </c>
      <c r="Q276" s="5">
        <v>0</v>
      </c>
      <c r="R276" s="5">
        <v>0.93488861512556531</v>
      </c>
      <c r="S276" s="5">
        <v>7.8130348773918445E-2</v>
      </c>
      <c r="T276" s="5">
        <v>-0.34337944268133308</v>
      </c>
      <c r="U276" s="5">
        <v>0.94864708388294838</v>
      </c>
      <c r="V276" s="5">
        <v>1.872191653074327</v>
      </c>
      <c r="W276" s="5">
        <v>0.94811210724141981</v>
      </c>
      <c r="X276" s="5">
        <v>1.760842642246091</v>
      </c>
      <c r="Y276" s="5">
        <v>1.002237923469887</v>
      </c>
      <c r="Z276" s="5">
        <v>7.2016709311328242</v>
      </c>
      <c r="AA276" s="5">
        <v>2.7565490644019581</v>
      </c>
    </row>
    <row r="277" spans="1:27" x14ac:dyDescent="0.25">
      <c r="A277" s="1">
        <v>45869</v>
      </c>
      <c r="B277" s="5">
        <v>2.2961178223050101E-2</v>
      </c>
      <c r="C277" s="5">
        <v>3.3540320219346831E-2</v>
      </c>
      <c r="D277" s="5">
        <v>5.1636496140897714E-3</v>
      </c>
      <c r="E277" s="5">
        <v>4.8247440591927537E-3</v>
      </c>
      <c r="F277" s="5">
        <v>4.0913142780306666E-3</v>
      </c>
      <c r="G277" s="5">
        <v>-2.1659567737104309E-2</v>
      </c>
      <c r="H277">
        <v>-1</v>
      </c>
      <c r="I277">
        <v>1</v>
      </c>
      <c r="J277" s="5">
        <v>0</v>
      </c>
      <c r="K277" s="5">
        <v>-5.1636496140897714E-3</v>
      </c>
      <c r="L277" s="5">
        <v>0</v>
      </c>
      <c r="M277" s="5">
        <v>4.8247440591927537E-3</v>
      </c>
      <c r="N277" s="5">
        <v>4.0913142780306666E-3</v>
      </c>
      <c r="O277" s="5">
        <v>0</v>
      </c>
      <c r="P277" s="5">
        <v>2.1659567737104309E-2</v>
      </c>
      <c r="Q277" s="5">
        <v>0</v>
      </c>
      <c r="R277" s="5">
        <v>0.93488861512556531</v>
      </c>
      <c r="S277" s="5">
        <v>7.2966699159828674E-2</v>
      </c>
      <c r="T277" s="5">
        <v>-0.34337944268133308</v>
      </c>
      <c r="U277" s="5">
        <v>0.95347182794214114</v>
      </c>
      <c r="V277" s="5">
        <v>1.876282967352358</v>
      </c>
      <c r="W277" s="5">
        <v>0.94811210724141981</v>
      </c>
      <c r="X277" s="5">
        <v>1.782502209983196</v>
      </c>
      <c r="Y277" s="5">
        <v>1.002237923469887</v>
      </c>
      <c r="Z277" s="5">
        <v>7.2270829075930623</v>
      </c>
      <c r="AA277" s="5">
        <v>2.7795102426250078</v>
      </c>
    </row>
    <row r="278" spans="1:27" x14ac:dyDescent="0.25">
      <c r="A278" s="1">
        <v>45900</v>
      </c>
      <c r="B278" s="5">
        <v>2.0889813545132089E-2</v>
      </c>
      <c r="C278" s="5">
        <v>7.6877067190705972E-3</v>
      </c>
      <c r="D278" s="5">
        <v>1.4998977325476731E-2</v>
      </c>
      <c r="E278" s="5">
        <v>2.2755625040031808E-3</v>
      </c>
      <c r="F278" s="5">
        <v>5.6146303123538743E-4</v>
      </c>
      <c r="G278" s="5">
        <v>1.253367907472969E-2</v>
      </c>
      <c r="H278">
        <v>-1</v>
      </c>
      <c r="I278">
        <v>1</v>
      </c>
      <c r="J278" s="5">
        <v>0</v>
      </c>
      <c r="K278" s="5">
        <v>-1.4998977325476731E-2</v>
      </c>
      <c r="L278" s="5">
        <v>0</v>
      </c>
      <c r="M278" s="5">
        <v>2.2755625040031808E-3</v>
      </c>
      <c r="N278" s="5">
        <v>5.6146303123538743E-4</v>
      </c>
      <c r="O278" s="5">
        <v>0</v>
      </c>
      <c r="P278" s="5">
        <v>-1.253367907472969E-2</v>
      </c>
      <c r="Q278" s="5">
        <v>0</v>
      </c>
      <c r="R278" s="5">
        <v>0.93488861512556531</v>
      </c>
      <c r="S278" s="5">
        <v>5.7967721834351948E-2</v>
      </c>
      <c r="T278" s="5">
        <v>-0.34337944268133308</v>
      </c>
      <c r="U278" s="5">
        <v>0.95574739044614432</v>
      </c>
      <c r="V278" s="5">
        <v>1.8768444303835929</v>
      </c>
      <c r="W278" s="5">
        <v>0.94811210724141981</v>
      </c>
      <c r="X278" s="5">
        <v>1.7699685309084661</v>
      </c>
      <c r="Y278" s="5">
        <v>1.002237923469887</v>
      </c>
      <c r="Z278" s="5">
        <v>7.2023872767280954</v>
      </c>
      <c r="AA278" s="5">
        <v>2.8004000561701399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E257-7654-44B3-89FB-72BD713A324B}">
  <dimension ref="A1:AA278"/>
  <sheetViews>
    <sheetView zoomScale="85" zoomScaleNormal="85" workbookViewId="0">
      <pane xSplit="1" ySplit="1" topLeftCell="P245" activePane="bottomRight" state="frozen"/>
      <selection pane="topRight" activeCell="B1" sqref="B1"/>
      <selection pane="bottomLeft" activeCell="A2" sqref="A2"/>
      <selection pane="bottomRight" activeCell="V284" sqref="V284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1.85546875" style="8" bestFit="1" customWidth="1"/>
    <col min="9" max="9" width="11.7109375" style="8" bestFit="1" customWidth="1"/>
    <col min="10" max="10" width="28.140625" style="7" bestFit="1" customWidth="1"/>
    <col min="11" max="11" width="28.7109375" style="7" bestFit="1" customWidth="1"/>
    <col min="12" max="12" width="28.42578125" style="7" bestFit="1" customWidth="1"/>
    <col min="13" max="13" width="27.85546875" style="7" bestFit="1" customWidth="1"/>
    <col min="14" max="14" width="29" style="7" bestFit="1" customWidth="1"/>
    <col min="15" max="15" width="29.5703125" style="7" bestFit="1" customWidth="1"/>
    <col min="16" max="16" width="29.28515625" style="7" bestFit="1" customWidth="1"/>
    <col min="17" max="17" width="28.7109375" style="7" bestFit="1" customWidth="1"/>
    <col min="18" max="18" width="32.140625" style="7" bestFit="1" customWidth="1"/>
    <col min="19" max="19" width="32.5703125" style="7" bestFit="1" customWidth="1"/>
    <col min="20" max="20" width="32.28515625" style="7" bestFit="1" customWidth="1"/>
    <col min="21" max="21" width="31.7109375" style="7" bestFit="1" customWidth="1"/>
    <col min="22" max="22" width="32.85546875" style="7" bestFit="1" customWidth="1"/>
    <col min="23" max="23" width="33.42578125" style="7" bestFit="1" customWidth="1"/>
    <col min="24" max="24" width="33.140625" style="7" bestFit="1" customWidth="1"/>
    <col min="25" max="25" width="32.5703125" style="7" bestFit="1" customWidth="1"/>
    <col min="26" max="26" width="8.7109375" style="7" bestFit="1" customWidth="1"/>
    <col min="27" max="27" width="11.28515625" style="7" bestFit="1" customWidth="1"/>
    <col min="28" max="16384" width="9.140625" style="8"/>
  </cols>
  <sheetData>
    <row r="1" spans="1:27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7" t="s">
        <v>25</v>
      </c>
      <c r="AA1" s="7" t="s">
        <v>26</v>
      </c>
    </row>
    <row r="2" spans="1:27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8">
        <v>-1</v>
      </c>
      <c r="I2" s="8">
        <v>0</v>
      </c>
      <c r="J2" s="9">
        <v>0</v>
      </c>
      <c r="K2" s="9">
        <v>4.1722756203997791E-2</v>
      </c>
      <c r="L2" s="9">
        <v>0</v>
      </c>
      <c r="M2" s="9">
        <v>1.486144974689496E-2</v>
      </c>
      <c r="N2" s="9">
        <v>0</v>
      </c>
      <c r="O2" s="9">
        <v>0</v>
      </c>
      <c r="P2" s="9">
        <v>0</v>
      </c>
      <c r="Q2" s="9">
        <v>0</v>
      </c>
      <c r="R2" s="10">
        <v>0</v>
      </c>
      <c r="S2" s="10">
        <v>4.1722756203997791E-2</v>
      </c>
      <c r="T2" s="10">
        <v>0</v>
      </c>
      <c r="U2" s="10">
        <v>1.486144974689496E-2</v>
      </c>
      <c r="V2" s="10">
        <v>0</v>
      </c>
      <c r="W2" s="10">
        <v>0</v>
      </c>
      <c r="X2" s="10">
        <v>0</v>
      </c>
      <c r="Y2" s="10">
        <v>0</v>
      </c>
      <c r="Z2" s="7">
        <v>5.6584205950892752E-2</v>
      </c>
      <c r="AA2" s="7">
        <v>1.1221760356182281E-2</v>
      </c>
    </row>
    <row r="3" spans="1:27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8">
        <v>1</v>
      </c>
      <c r="I3" s="8">
        <v>-1</v>
      </c>
      <c r="J3" s="9">
        <v>-2.1353700696120751E-2</v>
      </c>
      <c r="K3" s="9">
        <v>0</v>
      </c>
      <c r="L3" s="9">
        <v>-3.458280026252925E-3</v>
      </c>
      <c r="M3" s="9">
        <v>0</v>
      </c>
      <c r="N3" s="9">
        <v>0</v>
      </c>
      <c r="O3" s="9">
        <v>1.127441942065821E-2</v>
      </c>
      <c r="P3" s="9">
        <v>0</v>
      </c>
      <c r="Q3" s="9">
        <v>7.3620584063089911E-3</v>
      </c>
      <c r="R3" s="10">
        <v>-2.1353700696120751E-2</v>
      </c>
      <c r="S3" s="10">
        <v>4.1722756203997791E-2</v>
      </c>
      <c r="T3" s="10">
        <v>-3.458280026252925E-3</v>
      </c>
      <c r="U3" s="10">
        <v>1.486144974689496E-2</v>
      </c>
      <c r="V3" s="10">
        <v>0</v>
      </c>
      <c r="W3" s="10">
        <v>1.127441942065821E-2</v>
      </c>
      <c r="X3" s="10">
        <v>0</v>
      </c>
      <c r="Y3" s="10">
        <v>7.3620584063089911E-3</v>
      </c>
      <c r="Z3" s="7">
        <v>5.0408703055486281E-2</v>
      </c>
      <c r="AA3" s="7">
        <v>-9.6333951281998287E-2</v>
      </c>
    </row>
    <row r="4" spans="1:27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8">
        <v>-1</v>
      </c>
      <c r="I4" s="8">
        <v>1</v>
      </c>
      <c r="J4" s="9">
        <v>0</v>
      </c>
      <c r="K4" s="9">
        <v>1.78007468992375E-2</v>
      </c>
      <c r="L4" s="9">
        <v>0</v>
      </c>
      <c r="M4" s="9">
        <v>2.5719946974226079E-2</v>
      </c>
      <c r="N4" s="9">
        <v>-3.1047380250574189E-2</v>
      </c>
      <c r="O4" s="9">
        <v>0</v>
      </c>
      <c r="P4" s="9">
        <v>4.3149334234490189E-3</v>
      </c>
      <c r="Q4" s="9">
        <v>0</v>
      </c>
      <c r="R4" s="10">
        <v>-2.1353700696120751E-2</v>
      </c>
      <c r="S4" s="10">
        <v>5.9523503103235287E-2</v>
      </c>
      <c r="T4" s="10">
        <v>-3.458280026252925E-3</v>
      </c>
      <c r="U4" s="10">
        <v>4.0581396721121037E-2</v>
      </c>
      <c r="V4" s="10">
        <v>-3.1047380250574189E-2</v>
      </c>
      <c r="W4" s="10">
        <v>1.127441942065821E-2</v>
      </c>
      <c r="X4" s="10">
        <v>4.3149334234490189E-3</v>
      </c>
      <c r="Y4" s="10">
        <v>7.3620584063089911E-3</v>
      </c>
      <c r="Z4" s="7">
        <v>6.7196950101824693E-2</v>
      </c>
      <c r="AA4" s="7">
        <v>-1.081832374806435E-2</v>
      </c>
    </row>
    <row r="5" spans="1:27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8">
        <v>-1</v>
      </c>
      <c r="I5" s="8">
        <v>1</v>
      </c>
      <c r="J5" s="9">
        <v>0</v>
      </c>
      <c r="K5" s="9">
        <v>5.6751736528826147E-4</v>
      </c>
      <c r="L5" s="9">
        <v>0</v>
      </c>
      <c r="M5" s="9">
        <v>-6.2806661223496763E-3</v>
      </c>
      <c r="N5" s="9">
        <v>2.5647469094507321E-2</v>
      </c>
      <c r="O5" s="9">
        <v>0</v>
      </c>
      <c r="P5" s="9">
        <v>-1.6294176783444581E-2</v>
      </c>
      <c r="Q5" s="9">
        <v>0</v>
      </c>
      <c r="R5" s="10">
        <v>-2.1353700696120751E-2</v>
      </c>
      <c r="S5" s="10">
        <v>6.0091020468523548E-2</v>
      </c>
      <c r="T5" s="10">
        <v>-3.458280026252925E-3</v>
      </c>
      <c r="U5" s="10">
        <v>3.4300730598771367E-2</v>
      </c>
      <c r="V5" s="10">
        <v>-5.3999111560668611E-3</v>
      </c>
      <c r="W5" s="10">
        <v>1.127441942065821E-2</v>
      </c>
      <c r="X5" s="10">
        <v>-1.197924335999556E-2</v>
      </c>
      <c r="Y5" s="10">
        <v>7.3620584063089911E-3</v>
      </c>
      <c r="Z5" s="7">
        <v>7.0837093655826022E-2</v>
      </c>
      <c r="AA5" s="7">
        <v>5.1193350125372072E-2</v>
      </c>
    </row>
    <row r="6" spans="1:27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8">
        <v>1</v>
      </c>
      <c r="I6" s="8">
        <v>-1</v>
      </c>
      <c r="J6" s="9">
        <v>-1.943166553330344E-2</v>
      </c>
      <c r="K6" s="9">
        <v>0</v>
      </c>
      <c r="L6" s="9">
        <v>-1.862020068494186E-2</v>
      </c>
      <c r="M6" s="9">
        <v>0</v>
      </c>
      <c r="N6" s="9">
        <v>0</v>
      </c>
      <c r="O6" s="9">
        <v>2.0782399830664881E-2</v>
      </c>
      <c r="P6" s="9">
        <v>0</v>
      </c>
      <c r="Q6" s="9">
        <v>1.1798680667630901E-2</v>
      </c>
      <c r="R6" s="10">
        <v>-4.0785366229424191E-2</v>
      </c>
      <c r="S6" s="10">
        <v>6.0091020468523548E-2</v>
      </c>
      <c r="T6" s="10">
        <v>-2.2078480711194781E-2</v>
      </c>
      <c r="U6" s="10">
        <v>3.4300730598771367E-2</v>
      </c>
      <c r="V6" s="10">
        <v>-5.3999111560668611E-3</v>
      </c>
      <c r="W6" s="10">
        <v>3.2056819251323088E-2</v>
      </c>
      <c r="X6" s="10">
        <v>-1.197924335999556E-2</v>
      </c>
      <c r="Y6" s="10">
        <v>1.9160739073939888E-2</v>
      </c>
      <c r="Z6" s="7">
        <v>6.53663079358765E-2</v>
      </c>
      <c r="AA6" s="7">
        <v>-5.3738688844074964E-3</v>
      </c>
    </row>
    <row r="7" spans="1:27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8">
        <v>-1</v>
      </c>
      <c r="I7" s="8">
        <v>1</v>
      </c>
      <c r="J7" s="9">
        <v>0</v>
      </c>
      <c r="K7" s="9">
        <v>2.935793416884824E-2</v>
      </c>
      <c r="L7" s="9">
        <v>0</v>
      </c>
      <c r="M7" s="9">
        <v>7.0222996522653069E-3</v>
      </c>
      <c r="N7" s="9">
        <v>3.59635319274767E-2</v>
      </c>
      <c r="O7" s="9">
        <v>0</v>
      </c>
      <c r="P7" s="9">
        <v>1.7635039263573678E-2</v>
      </c>
      <c r="Q7" s="9">
        <v>0</v>
      </c>
      <c r="R7" s="10">
        <v>-4.0785366229424191E-2</v>
      </c>
      <c r="S7" s="10">
        <v>8.9448954637371791E-2</v>
      </c>
      <c r="T7" s="10">
        <v>-2.2078480711194781E-2</v>
      </c>
      <c r="U7" s="10">
        <v>4.1323030251036667E-2</v>
      </c>
      <c r="V7" s="10">
        <v>3.0563620771409838E-2</v>
      </c>
      <c r="W7" s="10">
        <v>3.2056819251323088E-2</v>
      </c>
      <c r="X7" s="10">
        <v>5.6557959035781202E-3</v>
      </c>
      <c r="Y7" s="10">
        <v>1.9160739073939888E-2</v>
      </c>
      <c r="Z7" s="7">
        <v>0.1553451129480404</v>
      </c>
      <c r="AA7" s="7">
        <v>-2.802007346142887E-2</v>
      </c>
    </row>
    <row r="8" spans="1:27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8">
        <v>1</v>
      </c>
      <c r="I8" s="8">
        <v>-1</v>
      </c>
      <c r="J8" s="9">
        <v>1.3288164484369199E-2</v>
      </c>
      <c r="K8" s="9">
        <v>0</v>
      </c>
      <c r="L8" s="9">
        <v>-1.958944926716466E-2</v>
      </c>
      <c r="M8" s="9">
        <v>0</v>
      </c>
      <c r="N8" s="9">
        <v>0</v>
      </c>
      <c r="O8" s="9">
        <v>3.0999563916162539E-2</v>
      </c>
      <c r="P8" s="9">
        <v>0</v>
      </c>
      <c r="Q8" s="9">
        <v>7.6672773688242213E-3</v>
      </c>
      <c r="R8" s="10">
        <v>-2.7497201745054989E-2</v>
      </c>
      <c r="S8" s="10">
        <v>8.9448954637371791E-2</v>
      </c>
      <c r="T8" s="10">
        <v>-4.1667929978359441E-2</v>
      </c>
      <c r="U8" s="10">
        <v>4.1323030251036667E-2</v>
      </c>
      <c r="V8" s="10">
        <v>3.0563620771409838E-2</v>
      </c>
      <c r="W8" s="10">
        <v>6.305638316748563E-2</v>
      </c>
      <c r="X8" s="10">
        <v>5.6557959035781202E-3</v>
      </c>
      <c r="Y8" s="10">
        <v>2.682801644276411E-2</v>
      </c>
      <c r="Z8" s="7">
        <v>0.18771066945023171</v>
      </c>
      <c r="AA8" s="7">
        <v>-4.0369236003721443E-2</v>
      </c>
    </row>
    <row r="9" spans="1:27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8">
        <v>-1</v>
      </c>
      <c r="I9" s="8">
        <v>1</v>
      </c>
      <c r="J9" s="9">
        <v>0</v>
      </c>
      <c r="K9" s="9">
        <v>5.5650671691803599E-2</v>
      </c>
      <c r="L9" s="9">
        <v>0</v>
      </c>
      <c r="M9" s="9">
        <v>3.2797872118050853E-2</v>
      </c>
      <c r="N9" s="9">
        <v>-1.851686913615436E-2</v>
      </c>
      <c r="O9" s="9">
        <v>0</v>
      </c>
      <c r="P9" s="9">
        <v>-4.7794699992778078E-3</v>
      </c>
      <c r="Q9" s="9">
        <v>0</v>
      </c>
      <c r="R9" s="10">
        <v>-2.7497201745054989E-2</v>
      </c>
      <c r="S9" s="10">
        <v>0.14509962632917539</v>
      </c>
      <c r="T9" s="10">
        <v>-4.1667929978359441E-2</v>
      </c>
      <c r="U9" s="10">
        <v>7.4120902369087527E-2</v>
      </c>
      <c r="V9" s="10">
        <v>1.204675163525548E-2</v>
      </c>
      <c r="W9" s="10">
        <v>6.305638316748563E-2</v>
      </c>
      <c r="X9" s="10">
        <v>8.7632590430031243E-4</v>
      </c>
      <c r="Y9" s="10">
        <v>2.682801644276411E-2</v>
      </c>
      <c r="Z9" s="7">
        <v>0.25286287412465402</v>
      </c>
      <c r="AA9" s="7">
        <v>-3.5352963424969852E-2</v>
      </c>
    </row>
    <row r="10" spans="1:27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8">
        <v>-1</v>
      </c>
      <c r="I10" s="8">
        <v>1</v>
      </c>
      <c r="J10" s="9">
        <v>0</v>
      </c>
      <c r="K10" s="9">
        <v>-6.5363248575294186E-3</v>
      </c>
      <c r="L10" s="9">
        <v>0</v>
      </c>
      <c r="M10" s="9">
        <v>1.927873048507411E-2</v>
      </c>
      <c r="N10" s="9">
        <v>3.8751710430242607E-2</v>
      </c>
      <c r="O10" s="9">
        <v>0</v>
      </c>
      <c r="P10" s="9">
        <v>1.9002863705216529E-2</v>
      </c>
      <c r="Q10" s="9">
        <v>0</v>
      </c>
      <c r="R10" s="10">
        <v>-2.7497201745054989E-2</v>
      </c>
      <c r="S10" s="10">
        <v>0.138563301471646</v>
      </c>
      <c r="T10" s="10">
        <v>-4.1667929978359441E-2</v>
      </c>
      <c r="U10" s="10">
        <v>9.3399632854161641E-2</v>
      </c>
      <c r="V10" s="10">
        <v>5.0798462065498103E-2</v>
      </c>
      <c r="W10" s="10">
        <v>6.305638316748563E-2</v>
      </c>
      <c r="X10" s="10">
        <v>1.9879189609516849E-2</v>
      </c>
      <c r="Y10" s="10">
        <v>2.682801644276411E-2</v>
      </c>
      <c r="Z10" s="7">
        <v>0.32335985388765792</v>
      </c>
      <c r="AA10" s="7">
        <v>4.7416891525050693E-2</v>
      </c>
    </row>
    <row r="11" spans="1:27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8">
        <v>1</v>
      </c>
      <c r="I11" s="8">
        <v>-1</v>
      </c>
      <c r="J11" s="9">
        <v>4.57029779187067E-2</v>
      </c>
      <c r="K11" s="9">
        <v>0</v>
      </c>
      <c r="L11" s="9">
        <v>1.5470853433114939E-3</v>
      </c>
      <c r="M11" s="9">
        <v>0</v>
      </c>
      <c r="N11" s="9">
        <v>0</v>
      </c>
      <c r="O11" s="9">
        <v>-1.61363743238957E-2</v>
      </c>
      <c r="P11" s="9">
        <v>0</v>
      </c>
      <c r="Q11" s="9">
        <v>1.455157428169207E-2</v>
      </c>
      <c r="R11" s="10">
        <v>1.8205776173651711E-2</v>
      </c>
      <c r="S11" s="10">
        <v>0.138563301471646</v>
      </c>
      <c r="T11" s="10">
        <v>-4.0120844635047948E-2</v>
      </c>
      <c r="U11" s="10">
        <v>9.3399632854161641E-2</v>
      </c>
      <c r="V11" s="10">
        <v>5.0798462065498103E-2</v>
      </c>
      <c r="W11" s="10">
        <v>4.6920008843589933E-2</v>
      </c>
      <c r="X11" s="10">
        <v>1.9879189609516849E-2</v>
      </c>
      <c r="Y11" s="10">
        <v>4.1379590724456183E-2</v>
      </c>
      <c r="Z11" s="7">
        <v>0.36902511710747238</v>
      </c>
      <c r="AA11" s="7">
        <v>0.10183121091010611</v>
      </c>
    </row>
    <row r="12" spans="1:27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8">
        <v>-1</v>
      </c>
      <c r="I12" s="8">
        <v>1</v>
      </c>
      <c r="J12" s="9">
        <v>0</v>
      </c>
      <c r="K12" s="9">
        <v>1.8113439969254849E-2</v>
      </c>
      <c r="L12" s="9">
        <v>0</v>
      </c>
      <c r="M12" s="9">
        <v>-1.3126019970565389E-2</v>
      </c>
      <c r="N12" s="9">
        <v>2.3687673858548419E-2</v>
      </c>
      <c r="O12" s="9">
        <v>0</v>
      </c>
      <c r="P12" s="9">
        <v>5.575843385111634E-4</v>
      </c>
      <c r="Q12" s="9">
        <v>0</v>
      </c>
      <c r="R12" s="10">
        <v>1.8205776173651711E-2</v>
      </c>
      <c r="S12" s="10">
        <v>0.1566767414409008</v>
      </c>
      <c r="T12" s="10">
        <v>-4.0120844635047948E-2</v>
      </c>
      <c r="U12" s="10">
        <v>8.0273612883596246E-2</v>
      </c>
      <c r="V12" s="10">
        <v>7.4486135924046515E-2</v>
      </c>
      <c r="W12" s="10">
        <v>4.6920008843589933E-2</v>
      </c>
      <c r="X12" s="10">
        <v>2.0436773948028009E-2</v>
      </c>
      <c r="Y12" s="10">
        <v>4.1379590724456183E-2</v>
      </c>
      <c r="Z12" s="7">
        <v>0.39825779530322147</v>
      </c>
      <c r="AA12" s="7">
        <v>0.1133810498872404</v>
      </c>
    </row>
    <row r="13" spans="1:27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8">
        <v>-1</v>
      </c>
      <c r="I13" s="8">
        <v>1</v>
      </c>
      <c r="J13" s="9">
        <v>0</v>
      </c>
      <c r="K13" s="9">
        <v>-2.4216137979320429E-3</v>
      </c>
      <c r="L13" s="9">
        <v>0</v>
      </c>
      <c r="M13" s="9">
        <v>-3.8721073276863138E-2</v>
      </c>
      <c r="N13" s="9">
        <v>3.5798401806402043E-2</v>
      </c>
      <c r="O13" s="9">
        <v>0</v>
      </c>
      <c r="P13" s="9">
        <v>2.232533265445602E-2</v>
      </c>
      <c r="Q13" s="9">
        <v>0</v>
      </c>
      <c r="R13" s="10">
        <v>1.8205776173651711E-2</v>
      </c>
      <c r="S13" s="10">
        <v>0.15425512764296881</v>
      </c>
      <c r="T13" s="10">
        <v>-4.0120844635047948E-2</v>
      </c>
      <c r="U13" s="10">
        <v>4.1552539606733108E-2</v>
      </c>
      <c r="V13" s="10">
        <v>0.11028453773044861</v>
      </c>
      <c r="W13" s="10">
        <v>4.6920008843589933E-2</v>
      </c>
      <c r="X13" s="10">
        <v>4.2762106602484029E-2</v>
      </c>
      <c r="Y13" s="10">
        <v>4.1379590724456183E-2</v>
      </c>
      <c r="Z13" s="7">
        <v>0.41523884268928429</v>
      </c>
      <c r="AA13" s="7">
        <v>0.1322781134359047</v>
      </c>
    </row>
    <row r="14" spans="1:27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8">
        <v>-1</v>
      </c>
      <c r="I14" s="8">
        <v>1</v>
      </c>
      <c r="J14" s="9">
        <v>0</v>
      </c>
      <c r="K14" s="9">
        <v>-6.7214851149153274E-3</v>
      </c>
      <c r="L14" s="9">
        <v>0</v>
      </c>
      <c r="M14" s="9">
        <v>7.9375803346507512E-3</v>
      </c>
      <c r="N14" s="9">
        <v>-1.374462595288106E-2</v>
      </c>
      <c r="O14" s="9">
        <v>0</v>
      </c>
      <c r="P14" s="9">
        <v>-1.7488370986190379E-2</v>
      </c>
      <c r="Q14" s="9">
        <v>0</v>
      </c>
      <c r="R14" s="10">
        <v>1.8205776173651711E-2</v>
      </c>
      <c r="S14" s="10">
        <v>0.14753364252805351</v>
      </c>
      <c r="T14" s="10">
        <v>-4.0120844635047948E-2</v>
      </c>
      <c r="U14" s="10">
        <v>4.9490119941383859E-2</v>
      </c>
      <c r="V14" s="10">
        <v>9.6539911777567489E-2</v>
      </c>
      <c r="W14" s="10">
        <v>4.6920008843589933E-2</v>
      </c>
      <c r="X14" s="10">
        <v>2.527373561629365E-2</v>
      </c>
      <c r="Y14" s="10">
        <v>4.1379590724456183E-2</v>
      </c>
      <c r="Z14" s="7">
        <v>0.38522194096994827</v>
      </c>
      <c r="AA14" s="7">
        <v>0.15325968276089399</v>
      </c>
    </row>
    <row r="15" spans="1:27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8">
        <v>1</v>
      </c>
      <c r="I15" s="8">
        <v>-1</v>
      </c>
      <c r="J15" s="9">
        <v>-2.537947808176888E-2</v>
      </c>
      <c r="K15" s="9">
        <v>0</v>
      </c>
      <c r="L15" s="9">
        <v>-3.8051791672164548E-2</v>
      </c>
      <c r="M15" s="9">
        <v>0</v>
      </c>
      <c r="N15" s="9">
        <v>0</v>
      </c>
      <c r="O15" s="9">
        <v>-2.199538650546207E-2</v>
      </c>
      <c r="P15" s="9">
        <v>0</v>
      </c>
      <c r="Q15" s="9">
        <v>-6.1196030360965992E-4</v>
      </c>
      <c r="R15" s="10">
        <v>-7.1737019081171693E-3</v>
      </c>
      <c r="S15" s="10">
        <v>0.14753364252805351</v>
      </c>
      <c r="T15" s="10">
        <v>-7.8172636307212495E-2</v>
      </c>
      <c r="U15" s="10">
        <v>4.9490119941383859E-2</v>
      </c>
      <c r="V15" s="10">
        <v>9.6539911777567489E-2</v>
      </c>
      <c r="W15" s="10">
        <v>2.492462233812787E-2</v>
      </c>
      <c r="X15" s="10">
        <v>2.527373561629365E-2</v>
      </c>
      <c r="Y15" s="10">
        <v>4.0767630420846523E-2</v>
      </c>
      <c r="Z15" s="7">
        <v>0.29918332440694317</v>
      </c>
      <c r="AA15" s="7">
        <v>0.14308219723530469</v>
      </c>
    </row>
    <row r="16" spans="1:27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8">
        <v>-1</v>
      </c>
      <c r="I16" s="8">
        <v>1</v>
      </c>
      <c r="J16" s="9">
        <v>0</v>
      </c>
      <c r="K16" s="9">
        <v>-4.3670511769591247E-3</v>
      </c>
      <c r="L16" s="9">
        <v>0</v>
      </c>
      <c r="M16" s="9">
        <v>1.276731806987808E-2</v>
      </c>
      <c r="N16" s="9">
        <v>4.2507846677938721E-2</v>
      </c>
      <c r="O16" s="9">
        <v>0</v>
      </c>
      <c r="P16" s="9">
        <v>3.6585468737529103E-2</v>
      </c>
      <c r="Q16" s="9">
        <v>0</v>
      </c>
      <c r="R16" s="10">
        <v>-7.1737019081171693E-3</v>
      </c>
      <c r="S16" s="10">
        <v>0.1431665913510943</v>
      </c>
      <c r="T16" s="10">
        <v>-7.8172636307212495E-2</v>
      </c>
      <c r="U16" s="10">
        <v>6.2257438011261927E-2</v>
      </c>
      <c r="V16" s="10">
        <v>0.13904775845550621</v>
      </c>
      <c r="W16" s="10">
        <v>2.492462233812787E-2</v>
      </c>
      <c r="X16" s="10">
        <v>6.185920435382275E-2</v>
      </c>
      <c r="Y16" s="10">
        <v>4.0767630420846523E-2</v>
      </c>
      <c r="Z16" s="7">
        <v>0.38667690671532989</v>
      </c>
      <c r="AA16" s="7">
        <v>0.19581808369583359</v>
      </c>
    </row>
    <row r="17" spans="1:27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8">
        <v>1</v>
      </c>
      <c r="I17" s="8">
        <v>-1</v>
      </c>
      <c r="J17" s="9">
        <v>2.1367308150597179E-2</v>
      </c>
      <c r="K17" s="9">
        <v>0</v>
      </c>
      <c r="L17" s="9">
        <v>1.5866273036471031E-2</v>
      </c>
      <c r="M17" s="9">
        <v>0</v>
      </c>
      <c r="N17" s="9">
        <v>0</v>
      </c>
      <c r="O17" s="9">
        <v>-3.0044991389092108E-3</v>
      </c>
      <c r="P17" s="9">
        <v>0</v>
      </c>
      <c r="Q17" s="9">
        <v>-1.5848778571532329E-2</v>
      </c>
      <c r="R17" s="10">
        <v>1.4193606242480009E-2</v>
      </c>
      <c r="S17" s="10">
        <v>0.1431665913510943</v>
      </c>
      <c r="T17" s="10">
        <v>-6.2306363270741461E-2</v>
      </c>
      <c r="U17" s="10">
        <v>6.2257438011261927E-2</v>
      </c>
      <c r="V17" s="10">
        <v>0.13904775845550621</v>
      </c>
      <c r="W17" s="10">
        <v>2.1920123199218659E-2</v>
      </c>
      <c r="X17" s="10">
        <v>6.185920435382275E-2</v>
      </c>
      <c r="Y17" s="10">
        <v>2.4918851849314191E-2</v>
      </c>
      <c r="Z17" s="7">
        <v>0.40505721019195662</v>
      </c>
      <c r="AA17" s="7">
        <v>0.20710432713903479</v>
      </c>
    </row>
    <row r="18" spans="1:27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8">
        <v>-1</v>
      </c>
      <c r="I18" s="8">
        <v>1</v>
      </c>
      <c r="J18" s="9">
        <v>0</v>
      </c>
      <c r="K18" s="9">
        <v>-2.1733808493392459E-2</v>
      </c>
      <c r="L18" s="9">
        <v>0</v>
      </c>
      <c r="M18" s="9">
        <v>-1.3943475659631501E-2</v>
      </c>
      <c r="N18" s="9">
        <v>3.8459154044356851E-3</v>
      </c>
      <c r="O18" s="9">
        <v>0</v>
      </c>
      <c r="P18" s="9">
        <v>-1.292428694274006E-2</v>
      </c>
      <c r="Q18" s="9">
        <v>0</v>
      </c>
      <c r="R18" s="10">
        <v>1.4193606242480009E-2</v>
      </c>
      <c r="S18" s="10">
        <v>0.1214327828577019</v>
      </c>
      <c r="T18" s="10">
        <v>-6.2306363270741461E-2</v>
      </c>
      <c r="U18" s="10">
        <v>4.8313962351630442E-2</v>
      </c>
      <c r="V18" s="10">
        <v>0.14289367385994189</v>
      </c>
      <c r="W18" s="10">
        <v>2.1920123199218659E-2</v>
      </c>
      <c r="X18" s="10">
        <v>4.893491741108269E-2</v>
      </c>
      <c r="Y18" s="10">
        <v>2.4918851849314191E-2</v>
      </c>
      <c r="Z18" s="7">
        <v>0.36030155450062828</v>
      </c>
      <c r="AA18" s="7">
        <v>0.25661662234210031</v>
      </c>
    </row>
    <row r="19" spans="1:27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8">
        <v>-1</v>
      </c>
      <c r="I19" s="8">
        <v>1</v>
      </c>
      <c r="J19" s="9">
        <v>0</v>
      </c>
      <c r="K19" s="9">
        <v>8.1388937318258581E-3</v>
      </c>
      <c r="L19" s="9">
        <v>0</v>
      </c>
      <c r="M19" s="9">
        <v>-3.795916915062536E-3</v>
      </c>
      <c r="N19" s="9">
        <v>1.876801723312238E-2</v>
      </c>
      <c r="O19" s="9">
        <v>0</v>
      </c>
      <c r="P19" s="9">
        <v>-2.6012720783541438E-4</v>
      </c>
      <c r="Q19" s="9">
        <v>0</v>
      </c>
      <c r="R19" s="10">
        <v>1.4193606242480009E-2</v>
      </c>
      <c r="S19" s="10">
        <v>0.1295716765895277</v>
      </c>
      <c r="T19" s="10">
        <v>-6.2306363270741461E-2</v>
      </c>
      <c r="U19" s="10">
        <v>4.4518045436567899E-2</v>
      </c>
      <c r="V19" s="10">
        <v>0.1616616910930643</v>
      </c>
      <c r="W19" s="10">
        <v>2.1920123199218659E-2</v>
      </c>
      <c r="X19" s="10">
        <v>4.8674790203247283E-2</v>
      </c>
      <c r="Y19" s="10">
        <v>2.4918851849314191E-2</v>
      </c>
      <c r="Z19" s="7">
        <v>0.38315242134267857</v>
      </c>
      <c r="AA19" s="7">
        <v>0.27663216711394761</v>
      </c>
    </row>
    <row r="20" spans="1:27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8">
        <v>1</v>
      </c>
      <c r="I20" s="8">
        <v>-1</v>
      </c>
      <c r="J20" s="9">
        <v>3.7560016768719562E-3</v>
      </c>
      <c r="K20" s="9">
        <v>0</v>
      </c>
      <c r="L20" s="9">
        <v>-8.8822473437140115E-3</v>
      </c>
      <c r="M20" s="9">
        <v>0</v>
      </c>
      <c r="N20" s="9">
        <v>0</v>
      </c>
      <c r="O20" s="9">
        <v>-8.6220386005328997E-3</v>
      </c>
      <c r="P20" s="9">
        <v>0</v>
      </c>
      <c r="Q20" s="9">
        <v>8.1046927743074759E-3</v>
      </c>
      <c r="R20" s="10">
        <v>1.7949607919351959E-2</v>
      </c>
      <c r="S20" s="10">
        <v>0.1295716765895277</v>
      </c>
      <c r="T20" s="10">
        <v>-7.1188610614455472E-2</v>
      </c>
      <c r="U20" s="10">
        <v>4.4518045436567899E-2</v>
      </c>
      <c r="V20" s="10">
        <v>0.1616616910930643</v>
      </c>
      <c r="W20" s="10">
        <v>1.3298084598685761E-2</v>
      </c>
      <c r="X20" s="10">
        <v>4.8674790203247283E-2</v>
      </c>
      <c r="Y20" s="10">
        <v>3.302354462362167E-2</v>
      </c>
      <c r="Z20" s="7">
        <v>0.37750882984961109</v>
      </c>
      <c r="AA20" s="7">
        <v>0.29037563156884533</v>
      </c>
    </row>
    <row r="21" spans="1:27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8">
        <v>1</v>
      </c>
      <c r="I21" s="8">
        <v>-1</v>
      </c>
      <c r="J21" s="9">
        <v>1.8476374260886549E-2</v>
      </c>
      <c r="K21" s="9">
        <v>0</v>
      </c>
      <c r="L21" s="9">
        <v>9.6614090114085505E-3</v>
      </c>
      <c r="M21" s="9">
        <v>0</v>
      </c>
      <c r="N21" s="9">
        <v>0</v>
      </c>
      <c r="O21" s="9">
        <v>-1.1831285546346271E-2</v>
      </c>
      <c r="P21" s="9">
        <v>0</v>
      </c>
      <c r="Q21" s="9">
        <v>1.523174497679369E-2</v>
      </c>
      <c r="R21" s="10">
        <v>3.6425982180238507E-2</v>
      </c>
      <c r="S21" s="10">
        <v>0.1295716765895277</v>
      </c>
      <c r="T21" s="10">
        <v>-6.1527201603046922E-2</v>
      </c>
      <c r="U21" s="10">
        <v>4.4518045436567899E-2</v>
      </c>
      <c r="V21" s="10">
        <v>0.1616616910930643</v>
      </c>
      <c r="W21" s="10">
        <v>1.4667990523394849E-3</v>
      </c>
      <c r="X21" s="10">
        <v>4.8674790203247283E-2</v>
      </c>
      <c r="Y21" s="10">
        <v>4.8255289600415363E-2</v>
      </c>
      <c r="Z21" s="7">
        <v>0.40904707255235362</v>
      </c>
      <c r="AA21" s="7">
        <v>0.27804399364064247</v>
      </c>
    </row>
    <row r="22" spans="1:27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8">
        <v>-1</v>
      </c>
      <c r="I22" s="8">
        <v>1</v>
      </c>
      <c r="J22" s="9">
        <v>0</v>
      </c>
      <c r="K22" s="9">
        <v>2.9063585368370389E-2</v>
      </c>
      <c r="L22" s="9">
        <v>0</v>
      </c>
      <c r="M22" s="9">
        <v>-1.0376442161348139E-2</v>
      </c>
      <c r="N22" s="9">
        <v>1.350588220593207E-2</v>
      </c>
      <c r="O22" s="9">
        <v>0</v>
      </c>
      <c r="P22" s="9">
        <v>3.2708513198035249E-2</v>
      </c>
      <c r="Q22" s="9">
        <v>0</v>
      </c>
      <c r="R22" s="10">
        <v>3.6425982180238507E-2</v>
      </c>
      <c r="S22" s="10">
        <v>0.15863526195789809</v>
      </c>
      <c r="T22" s="10">
        <v>-6.1527201603046922E-2</v>
      </c>
      <c r="U22" s="10">
        <v>3.4141603275219763E-2</v>
      </c>
      <c r="V22" s="10">
        <v>0.17516757329899629</v>
      </c>
      <c r="W22" s="10">
        <v>1.4667990523394849E-3</v>
      </c>
      <c r="X22" s="10">
        <v>8.1383303401282525E-2</v>
      </c>
      <c r="Y22" s="10">
        <v>4.8255289600415363E-2</v>
      </c>
      <c r="Z22" s="7">
        <v>0.47394861116334319</v>
      </c>
      <c r="AA22" s="7">
        <v>0.25957608323656001</v>
      </c>
    </row>
    <row r="23" spans="1:27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8">
        <v>-1</v>
      </c>
      <c r="I23" s="8">
        <v>1</v>
      </c>
      <c r="J23" s="9">
        <v>0</v>
      </c>
      <c r="K23" s="9">
        <v>-2.7528552981758488E-2</v>
      </c>
      <c r="L23" s="9">
        <v>0</v>
      </c>
      <c r="M23" s="9">
        <v>1.6560145460553181E-2</v>
      </c>
      <c r="N23" s="9">
        <v>-8.8000344321050861E-3</v>
      </c>
      <c r="O23" s="9">
        <v>0</v>
      </c>
      <c r="P23" s="9">
        <v>2.4118692838533181E-2</v>
      </c>
      <c r="Q23" s="9">
        <v>0</v>
      </c>
      <c r="R23" s="10">
        <v>3.6425982180238507E-2</v>
      </c>
      <c r="S23" s="10">
        <v>0.1311067089761396</v>
      </c>
      <c r="T23" s="10">
        <v>-6.1527201603046922E-2</v>
      </c>
      <c r="U23" s="10">
        <v>5.0701748735772927E-2</v>
      </c>
      <c r="V23" s="10">
        <v>0.16636753886689129</v>
      </c>
      <c r="W23" s="10">
        <v>1.4667990523394849E-3</v>
      </c>
      <c r="X23" s="10">
        <v>0.1055019962398157</v>
      </c>
      <c r="Y23" s="10">
        <v>4.8255289600415363E-2</v>
      </c>
      <c r="Z23" s="7">
        <v>0.47829886204856598</v>
      </c>
      <c r="AA23" s="7">
        <v>0.27711949054938978</v>
      </c>
    </row>
    <row r="24" spans="1:27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8">
        <v>-1</v>
      </c>
      <c r="I24" s="8">
        <v>1</v>
      </c>
      <c r="J24" s="9">
        <v>0</v>
      </c>
      <c r="K24" s="9">
        <v>-6.7399691569599574E-3</v>
      </c>
      <c r="L24" s="9">
        <v>0</v>
      </c>
      <c r="M24" s="9">
        <v>1.532124259657874E-2</v>
      </c>
      <c r="N24" s="9">
        <v>1.636861555413072E-2</v>
      </c>
      <c r="O24" s="9">
        <v>0</v>
      </c>
      <c r="P24" s="9">
        <v>1.5249318933016179E-2</v>
      </c>
      <c r="Q24" s="9">
        <v>0</v>
      </c>
      <c r="R24" s="10">
        <v>3.6425982180238507E-2</v>
      </c>
      <c r="S24" s="10">
        <v>0.1243667398191797</v>
      </c>
      <c r="T24" s="10">
        <v>-6.1527201603046922E-2</v>
      </c>
      <c r="U24" s="10">
        <v>6.6022991332351677E-2</v>
      </c>
      <c r="V24" s="10">
        <v>0.18273615442102201</v>
      </c>
      <c r="W24" s="10">
        <v>1.4667990523394849E-3</v>
      </c>
      <c r="X24" s="10">
        <v>0.1207513151728319</v>
      </c>
      <c r="Y24" s="10">
        <v>4.8255289600415363E-2</v>
      </c>
      <c r="Z24" s="7">
        <v>0.51849806997533165</v>
      </c>
      <c r="AA24" s="7">
        <v>0.29588387761050339</v>
      </c>
    </row>
    <row r="25" spans="1:27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8">
        <v>1</v>
      </c>
      <c r="I25" s="8">
        <v>-1</v>
      </c>
      <c r="J25" s="9">
        <v>8.7956890346071459E-3</v>
      </c>
      <c r="K25" s="9">
        <v>0</v>
      </c>
      <c r="L25" s="9">
        <v>7.6560428455463292E-4</v>
      </c>
      <c r="M25" s="9">
        <v>0</v>
      </c>
      <c r="N25" s="9">
        <v>0</v>
      </c>
      <c r="O25" s="9">
        <v>2.7185738024280259E-2</v>
      </c>
      <c r="P25" s="9">
        <v>0</v>
      </c>
      <c r="Q25" s="9">
        <v>1.1706318383611251E-2</v>
      </c>
      <c r="R25" s="10">
        <v>4.522167121484566E-2</v>
      </c>
      <c r="S25" s="10">
        <v>0.1243667398191797</v>
      </c>
      <c r="T25" s="10">
        <v>-6.0761597318492289E-2</v>
      </c>
      <c r="U25" s="10">
        <v>6.6022991332351677E-2</v>
      </c>
      <c r="V25" s="10">
        <v>0.18273615442102201</v>
      </c>
      <c r="W25" s="10">
        <v>2.8652537076619741E-2</v>
      </c>
      <c r="X25" s="10">
        <v>0.1207513151728319</v>
      </c>
      <c r="Y25" s="10">
        <v>5.996160798402661E-2</v>
      </c>
      <c r="Z25" s="7">
        <v>0.56695141970238494</v>
      </c>
      <c r="AA25" s="7">
        <v>0.26369152433821641</v>
      </c>
    </row>
    <row r="26" spans="1:27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8">
        <v>1</v>
      </c>
      <c r="I26" s="8">
        <v>-1</v>
      </c>
      <c r="J26" s="9">
        <v>5.7664263219470158E-3</v>
      </c>
      <c r="K26" s="9">
        <v>0</v>
      </c>
      <c r="L26" s="9">
        <v>-1.4183360699532851E-2</v>
      </c>
      <c r="M26" s="9">
        <v>0</v>
      </c>
      <c r="N26" s="9">
        <v>0</v>
      </c>
      <c r="O26" s="9">
        <v>3.6391475953699071E-2</v>
      </c>
      <c r="P26" s="9">
        <v>0</v>
      </c>
      <c r="Q26" s="9">
        <v>2.5465014527947138E-2</v>
      </c>
      <c r="R26" s="10">
        <v>5.0988097536792683E-2</v>
      </c>
      <c r="S26" s="10">
        <v>0.1243667398191797</v>
      </c>
      <c r="T26" s="10">
        <v>-7.4944958018025143E-2</v>
      </c>
      <c r="U26" s="10">
        <v>6.6022991332351677E-2</v>
      </c>
      <c r="V26" s="10">
        <v>0.18273615442102201</v>
      </c>
      <c r="W26" s="10">
        <v>6.5044013030318815E-2</v>
      </c>
      <c r="X26" s="10">
        <v>0.1207513151728319</v>
      </c>
      <c r="Y26" s="10">
        <v>8.5426622511973749E-2</v>
      </c>
      <c r="Z26" s="7">
        <v>0.62039097580644531</v>
      </c>
      <c r="AA26" s="7">
        <v>0.26677280476778958</v>
      </c>
    </row>
    <row r="27" spans="1:27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8">
        <v>1</v>
      </c>
      <c r="I27" s="8">
        <v>-1</v>
      </c>
      <c r="J27" s="9">
        <v>1.950631359998956E-3</v>
      </c>
      <c r="K27" s="9">
        <v>0</v>
      </c>
      <c r="L27" s="9">
        <v>1.5992616299567719E-2</v>
      </c>
      <c r="M27" s="9">
        <v>0</v>
      </c>
      <c r="N27" s="9">
        <v>0</v>
      </c>
      <c r="O27" s="9">
        <v>-1.324192018605397E-2</v>
      </c>
      <c r="P27" s="9">
        <v>0</v>
      </c>
      <c r="Q27" s="9">
        <v>-1.2889929356397769E-3</v>
      </c>
      <c r="R27" s="10">
        <v>5.2938728896791631E-2</v>
      </c>
      <c r="S27" s="10">
        <v>0.1243667398191797</v>
      </c>
      <c r="T27" s="10">
        <v>-5.8952341718457417E-2</v>
      </c>
      <c r="U27" s="10">
        <v>6.6022991332351677E-2</v>
      </c>
      <c r="V27" s="10">
        <v>0.18273615442102201</v>
      </c>
      <c r="W27" s="10">
        <v>5.1802092844264853E-2</v>
      </c>
      <c r="X27" s="10">
        <v>0.1207513151728319</v>
      </c>
      <c r="Y27" s="10">
        <v>8.4137629576333972E-2</v>
      </c>
      <c r="Z27" s="7">
        <v>0.62380331034431824</v>
      </c>
      <c r="AA27" s="7">
        <v>0.27709750302482949</v>
      </c>
    </row>
    <row r="28" spans="1:27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8">
        <v>1</v>
      </c>
      <c r="I28" s="8">
        <v>-1</v>
      </c>
      <c r="J28" s="9">
        <v>1.7722429227709498E-2</v>
      </c>
      <c r="K28" s="9">
        <v>0</v>
      </c>
      <c r="L28" s="9">
        <v>1.8256870750822381E-3</v>
      </c>
      <c r="M28" s="9">
        <v>0</v>
      </c>
      <c r="N28" s="9">
        <v>0</v>
      </c>
      <c r="O28" s="9">
        <v>-1.523284351360177E-2</v>
      </c>
      <c r="P28" s="9">
        <v>0</v>
      </c>
      <c r="Q28" s="9">
        <v>-1.2434964034883981E-2</v>
      </c>
      <c r="R28" s="10">
        <v>7.0661158124501133E-2</v>
      </c>
      <c r="S28" s="10">
        <v>0.1243667398191797</v>
      </c>
      <c r="T28" s="10">
        <v>-5.7126654643375192E-2</v>
      </c>
      <c r="U28" s="10">
        <v>6.6022991332351677E-2</v>
      </c>
      <c r="V28" s="10">
        <v>0.18273615442102201</v>
      </c>
      <c r="W28" s="10">
        <v>3.6569249330663078E-2</v>
      </c>
      <c r="X28" s="10">
        <v>0.1207513151728319</v>
      </c>
      <c r="Y28" s="10">
        <v>7.1702665541449995E-2</v>
      </c>
      <c r="Z28" s="7">
        <v>0.61568361909862424</v>
      </c>
      <c r="AA28" s="7">
        <v>0.29058385211662419</v>
      </c>
    </row>
    <row r="29" spans="1:27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8">
        <v>-1</v>
      </c>
      <c r="I29" s="8">
        <v>1</v>
      </c>
      <c r="J29" s="9">
        <v>0</v>
      </c>
      <c r="K29" s="9">
        <v>-4.0206493505484664E-3</v>
      </c>
      <c r="L29" s="9">
        <v>0</v>
      </c>
      <c r="M29" s="9">
        <v>-1.496609826230633E-2</v>
      </c>
      <c r="N29" s="9">
        <v>3.56028068054699E-2</v>
      </c>
      <c r="O29" s="9">
        <v>0</v>
      </c>
      <c r="P29" s="9">
        <v>1.421144310080791E-2</v>
      </c>
      <c r="Q29" s="9">
        <v>0</v>
      </c>
      <c r="R29" s="10">
        <v>7.0661158124501133E-2</v>
      </c>
      <c r="S29" s="10">
        <v>0.12034609046863121</v>
      </c>
      <c r="T29" s="10">
        <v>-5.7126654643375192E-2</v>
      </c>
      <c r="U29" s="10">
        <v>5.105689307004535E-2</v>
      </c>
      <c r="V29" s="10">
        <v>0.21833896122649191</v>
      </c>
      <c r="W29" s="10">
        <v>3.6569249330663078E-2</v>
      </c>
      <c r="X29" s="10">
        <v>0.13496275827363979</v>
      </c>
      <c r="Y29" s="10">
        <v>7.1702665541449995E-2</v>
      </c>
      <c r="Z29" s="7">
        <v>0.64651112139204725</v>
      </c>
      <c r="AA29" s="7">
        <v>0.33453187638071752</v>
      </c>
    </row>
    <row r="30" spans="1:27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8">
        <v>1</v>
      </c>
      <c r="I30" s="8">
        <v>-1</v>
      </c>
      <c r="J30" s="9">
        <v>4.0047232207830463E-3</v>
      </c>
      <c r="K30" s="9">
        <v>0</v>
      </c>
      <c r="L30" s="9">
        <v>3.2044002069699928E-3</v>
      </c>
      <c r="M30" s="9">
        <v>0</v>
      </c>
      <c r="N30" s="9">
        <v>0</v>
      </c>
      <c r="O30" s="9">
        <v>-1.8883103659042E-3</v>
      </c>
      <c r="P30" s="9">
        <v>0</v>
      </c>
      <c r="Q30" s="9">
        <v>1.463999511306324E-2</v>
      </c>
      <c r="R30" s="10">
        <v>7.466588134528418E-2</v>
      </c>
      <c r="S30" s="10">
        <v>0.12034609046863121</v>
      </c>
      <c r="T30" s="10">
        <v>-5.3922254436405193E-2</v>
      </c>
      <c r="U30" s="10">
        <v>5.105689307004535E-2</v>
      </c>
      <c r="V30" s="10">
        <v>0.21833896122649191</v>
      </c>
      <c r="W30" s="10">
        <v>3.4680938964758878E-2</v>
      </c>
      <c r="X30" s="10">
        <v>0.13496275827363979</v>
      </c>
      <c r="Y30" s="10">
        <v>8.6342660654513237E-2</v>
      </c>
      <c r="Z30" s="7">
        <v>0.66647192956695933</v>
      </c>
      <c r="AA30" s="7">
        <v>0.36446218232457062</v>
      </c>
    </row>
    <row r="31" spans="1:27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8">
        <v>1</v>
      </c>
      <c r="I31" s="8">
        <v>-1</v>
      </c>
      <c r="J31" s="9">
        <v>1.3748420119299221E-2</v>
      </c>
      <c r="K31" s="9">
        <v>0</v>
      </c>
      <c r="L31" s="9">
        <v>-3.4884840607457561E-3</v>
      </c>
      <c r="M31" s="9">
        <v>0</v>
      </c>
      <c r="N31" s="9">
        <v>0</v>
      </c>
      <c r="O31" s="9">
        <v>2.018477097283122E-2</v>
      </c>
      <c r="P31" s="9">
        <v>0</v>
      </c>
      <c r="Q31" s="9">
        <v>-3.8951171372092468E-5</v>
      </c>
      <c r="R31" s="10">
        <v>8.84143014645834E-2</v>
      </c>
      <c r="S31" s="10">
        <v>0.12034609046863121</v>
      </c>
      <c r="T31" s="10">
        <v>-5.7410738497150948E-2</v>
      </c>
      <c r="U31" s="10">
        <v>5.105689307004535E-2</v>
      </c>
      <c r="V31" s="10">
        <v>0.21833896122649191</v>
      </c>
      <c r="W31" s="10">
        <v>5.4865709937590101E-2</v>
      </c>
      <c r="X31" s="10">
        <v>0.13496275827363979</v>
      </c>
      <c r="Y31" s="10">
        <v>8.6303709483141144E-2</v>
      </c>
      <c r="Z31" s="7">
        <v>0.69687768542697193</v>
      </c>
      <c r="AA31" s="7">
        <v>0.34217435058566648</v>
      </c>
    </row>
    <row r="32" spans="1:27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8">
        <v>-1</v>
      </c>
      <c r="I32" s="8">
        <v>1</v>
      </c>
      <c r="J32" s="9">
        <v>0</v>
      </c>
      <c r="K32" s="9">
        <v>-1.708929655990055E-2</v>
      </c>
      <c r="L32" s="9">
        <v>0</v>
      </c>
      <c r="M32" s="9">
        <v>-4.7983080293456659E-3</v>
      </c>
      <c r="N32" s="9">
        <v>1.6120656861561829E-2</v>
      </c>
      <c r="O32" s="9">
        <v>0</v>
      </c>
      <c r="P32" s="9">
        <v>-2.1513588712022021E-2</v>
      </c>
      <c r="Q32" s="9">
        <v>0</v>
      </c>
      <c r="R32" s="10">
        <v>8.84143014645834E-2</v>
      </c>
      <c r="S32" s="10">
        <v>0.1032567939087307</v>
      </c>
      <c r="T32" s="10">
        <v>-5.7410738497150948E-2</v>
      </c>
      <c r="U32" s="10">
        <v>4.6258585040699678E-2</v>
      </c>
      <c r="V32" s="10">
        <v>0.23445961808805371</v>
      </c>
      <c r="W32" s="10">
        <v>5.4865709937590101E-2</v>
      </c>
      <c r="X32" s="10">
        <v>0.1134491695616178</v>
      </c>
      <c r="Y32" s="10">
        <v>8.6303709483141144E-2</v>
      </c>
      <c r="Z32" s="7">
        <v>0.66959714898726552</v>
      </c>
      <c r="AA32" s="7">
        <v>0.36329086728774268</v>
      </c>
    </row>
    <row r="33" spans="1:27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8">
        <v>1</v>
      </c>
      <c r="I33" s="8">
        <v>-1</v>
      </c>
      <c r="J33" s="9">
        <v>-1.009193205521175E-3</v>
      </c>
      <c r="K33" s="9">
        <v>0</v>
      </c>
      <c r="L33" s="9">
        <v>-1.0362394448728111E-2</v>
      </c>
      <c r="M33" s="9">
        <v>0</v>
      </c>
      <c r="N33" s="9">
        <v>0</v>
      </c>
      <c r="O33" s="9">
        <v>-1.7837170024897708E-2</v>
      </c>
      <c r="P33" s="9">
        <v>0</v>
      </c>
      <c r="Q33" s="9">
        <v>1.260261428169551E-2</v>
      </c>
      <c r="R33" s="10">
        <v>8.7405108259062225E-2</v>
      </c>
      <c r="S33" s="10">
        <v>0.1032567939087307</v>
      </c>
      <c r="T33" s="10">
        <v>-6.7773132945879055E-2</v>
      </c>
      <c r="U33" s="10">
        <v>4.6258585040699678E-2</v>
      </c>
      <c r="V33" s="10">
        <v>0.23445961808805371</v>
      </c>
      <c r="W33" s="10">
        <v>3.7028539912692393E-2</v>
      </c>
      <c r="X33" s="10">
        <v>0.1134491695616178</v>
      </c>
      <c r="Y33" s="10">
        <v>9.8906323764836657E-2</v>
      </c>
      <c r="Z33" s="7">
        <v>0.65299100558981404</v>
      </c>
      <c r="AA33" s="7">
        <v>0.34529520539511283</v>
      </c>
    </row>
    <row r="34" spans="1:27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8">
        <v>1</v>
      </c>
      <c r="I34" s="8">
        <v>-1</v>
      </c>
      <c r="J34" s="9">
        <v>-1.989333887360889E-3</v>
      </c>
      <c r="K34" s="9">
        <v>0</v>
      </c>
      <c r="L34" s="9">
        <v>-1.896700529611273E-2</v>
      </c>
      <c r="M34" s="9">
        <v>0</v>
      </c>
      <c r="N34" s="9">
        <v>0</v>
      </c>
      <c r="O34" s="9">
        <v>-1.083611030251797E-2</v>
      </c>
      <c r="P34" s="9">
        <v>0</v>
      </c>
      <c r="Q34" s="9">
        <v>-4.0048044339862088E-3</v>
      </c>
      <c r="R34" s="10">
        <v>8.5415774371701336E-2</v>
      </c>
      <c r="S34" s="10">
        <v>0.1032567939087307</v>
      </c>
      <c r="T34" s="10">
        <v>-8.6740138241991782E-2</v>
      </c>
      <c r="U34" s="10">
        <v>4.6258585040699678E-2</v>
      </c>
      <c r="V34" s="10">
        <v>0.23445961808805371</v>
      </c>
      <c r="W34" s="10">
        <v>2.6192429610174432E-2</v>
      </c>
      <c r="X34" s="10">
        <v>0.1134491695616178</v>
      </c>
      <c r="Y34" s="10">
        <v>9.4901519330850448E-2</v>
      </c>
      <c r="Z34" s="7">
        <v>0.61719375166983625</v>
      </c>
      <c r="AA34" s="7">
        <v>0.32732344108896139</v>
      </c>
    </row>
    <row r="35" spans="1:27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8">
        <v>-1</v>
      </c>
      <c r="I35" s="8">
        <v>1</v>
      </c>
      <c r="J35" s="9">
        <v>0</v>
      </c>
      <c r="K35" s="9">
        <v>-3.0719770505799331E-3</v>
      </c>
      <c r="L35" s="9">
        <v>0</v>
      </c>
      <c r="M35" s="9">
        <v>1.669294460527437E-2</v>
      </c>
      <c r="N35" s="9">
        <v>1.156173082509959E-2</v>
      </c>
      <c r="O35" s="9">
        <v>0</v>
      </c>
      <c r="P35" s="9">
        <v>1.139296632524012E-2</v>
      </c>
      <c r="Q35" s="9">
        <v>0</v>
      </c>
      <c r="R35" s="10">
        <v>8.5415774371701336E-2</v>
      </c>
      <c r="S35" s="10">
        <v>0.1001848168581507</v>
      </c>
      <c r="T35" s="10">
        <v>-8.6740138241991782E-2</v>
      </c>
      <c r="U35" s="10">
        <v>6.2951529645974058E-2</v>
      </c>
      <c r="V35" s="10">
        <v>0.2460213489131533</v>
      </c>
      <c r="W35" s="10">
        <v>2.6192429610174432E-2</v>
      </c>
      <c r="X35" s="10">
        <v>0.1248421358868579</v>
      </c>
      <c r="Y35" s="10">
        <v>9.4901519330850448E-2</v>
      </c>
      <c r="Z35" s="7">
        <v>0.6537694163748704</v>
      </c>
      <c r="AA35" s="7">
        <v>0.35942543779483799</v>
      </c>
    </row>
    <row r="36" spans="1:27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8">
        <v>-1</v>
      </c>
      <c r="I36" s="8">
        <v>1</v>
      </c>
      <c r="J36" s="9">
        <v>0</v>
      </c>
      <c r="K36" s="9">
        <v>1.8850487705647009E-2</v>
      </c>
      <c r="L36" s="9">
        <v>0</v>
      </c>
      <c r="M36" s="9">
        <v>1.9365892432761211E-2</v>
      </c>
      <c r="N36" s="9">
        <v>5.4774618271681286E-3</v>
      </c>
      <c r="O36" s="9">
        <v>0</v>
      </c>
      <c r="P36" s="9">
        <v>-1.9606748856538351E-2</v>
      </c>
      <c r="Q36" s="9">
        <v>0</v>
      </c>
      <c r="R36" s="10">
        <v>8.5415774371701336E-2</v>
      </c>
      <c r="S36" s="10">
        <v>0.1190353045637977</v>
      </c>
      <c r="T36" s="10">
        <v>-8.6740138241991782E-2</v>
      </c>
      <c r="U36" s="10">
        <v>8.231742207873527E-2</v>
      </c>
      <c r="V36" s="10">
        <v>0.25149881074032138</v>
      </c>
      <c r="W36" s="10">
        <v>2.6192429610174432E-2</v>
      </c>
      <c r="X36" s="10">
        <v>0.1052353870303195</v>
      </c>
      <c r="Y36" s="10">
        <v>9.4901519330850448E-2</v>
      </c>
      <c r="Z36" s="7">
        <v>0.67785650948390841</v>
      </c>
      <c r="AA36" s="7">
        <v>0.36120853539742348</v>
      </c>
    </row>
    <row r="37" spans="1:27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8">
        <v>-1</v>
      </c>
      <c r="I37" s="8">
        <v>1</v>
      </c>
      <c r="J37" s="9">
        <v>0</v>
      </c>
      <c r="K37" s="9">
        <v>-1.6705690651236389E-3</v>
      </c>
      <c r="L37" s="9">
        <v>0</v>
      </c>
      <c r="M37" s="9">
        <v>-4.6160898041524012E-3</v>
      </c>
      <c r="N37" s="9">
        <v>1.7940667277864138E-2</v>
      </c>
      <c r="O37" s="9">
        <v>0</v>
      </c>
      <c r="P37" s="9">
        <v>1.8055553005563611E-2</v>
      </c>
      <c r="Q37" s="9">
        <v>0</v>
      </c>
      <c r="R37" s="10">
        <v>8.5415774371701336E-2</v>
      </c>
      <c r="S37" s="10">
        <v>0.1173647354986741</v>
      </c>
      <c r="T37" s="10">
        <v>-8.6740138241991782E-2</v>
      </c>
      <c r="U37" s="10">
        <v>7.7701332274582868E-2</v>
      </c>
      <c r="V37" s="10">
        <v>0.26943947801818557</v>
      </c>
      <c r="W37" s="10">
        <v>2.6192429610174432E-2</v>
      </c>
      <c r="X37" s="10">
        <v>0.1232909400358831</v>
      </c>
      <c r="Y37" s="10">
        <v>9.4901519330850448E-2</v>
      </c>
      <c r="Z37" s="7">
        <v>0.70756607089806012</v>
      </c>
      <c r="AA37" s="7">
        <v>0.39904651411953063</v>
      </c>
    </row>
    <row r="38" spans="1:27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8">
        <v>1</v>
      </c>
      <c r="I38" s="8">
        <v>-1</v>
      </c>
      <c r="J38" s="9">
        <v>1.0922253866132441E-3</v>
      </c>
      <c r="K38" s="9">
        <v>0</v>
      </c>
      <c r="L38" s="9">
        <v>-2.33642713146065E-2</v>
      </c>
      <c r="M38" s="9">
        <v>0</v>
      </c>
      <c r="N38" s="9">
        <v>0</v>
      </c>
      <c r="O38" s="9">
        <v>6.897210664049136E-3</v>
      </c>
      <c r="P38" s="9">
        <v>0</v>
      </c>
      <c r="Q38" s="9">
        <v>-1.1925966545124461E-2</v>
      </c>
      <c r="R38" s="10">
        <v>8.650799975831458E-2</v>
      </c>
      <c r="S38" s="10">
        <v>0.1173647354986741</v>
      </c>
      <c r="T38" s="10">
        <v>-0.1101044095565983</v>
      </c>
      <c r="U38" s="10">
        <v>7.7701332274582868E-2</v>
      </c>
      <c r="V38" s="10">
        <v>0.26943947801818557</v>
      </c>
      <c r="W38" s="10">
        <v>3.3089640274223557E-2</v>
      </c>
      <c r="X38" s="10">
        <v>0.1232909400358831</v>
      </c>
      <c r="Y38" s="10">
        <v>8.2975552785725992E-2</v>
      </c>
      <c r="Z38" s="7">
        <v>0.68026526908899154</v>
      </c>
      <c r="AA38" s="7">
        <v>0.39005356487816362</v>
      </c>
    </row>
    <row r="39" spans="1:27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8">
        <v>-1</v>
      </c>
      <c r="I39" s="8">
        <v>1</v>
      </c>
      <c r="J39" s="9">
        <v>0</v>
      </c>
      <c r="K39" s="9">
        <v>-1.3952550693553171E-2</v>
      </c>
      <c r="L39" s="9">
        <v>0</v>
      </c>
      <c r="M39" s="9">
        <v>-1.1890033877296259E-2</v>
      </c>
      <c r="N39" s="9">
        <v>7.5538140546146382E-3</v>
      </c>
      <c r="O39" s="9">
        <v>0</v>
      </c>
      <c r="P39" s="9">
        <v>2.0571194037496739E-2</v>
      </c>
      <c r="Q39" s="9">
        <v>0</v>
      </c>
      <c r="R39" s="10">
        <v>8.650799975831458E-2</v>
      </c>
      <c r="S39" s="10">
        <v>0.1034121848051209</v>
      </c>
      <c r="T39" s="10">
        <v>-0.1101044095565983</v>
      </c>
      <c r="U39" s="10">
        <v>6.5811298397286611E-2</v>
      </c>
      <c r="V39" s="10">
        <v>0.27699329207280021</v>
      </c>
      <c r="W39" s="10">
        <v>3.3089640274223557E-2</v>
      </c>
      <c r="X39" s="10">
        <v>0.14386213407337989</v>
      </c>
      <c r="Y39" s="10">
        <v>8.2975552785725992E-2</v>
      </c>
      <c r="Z39" s="7">
        <v>0.6825476926102535</v>
      </c>
      <c r="AA39" s="7">
        <v>0.39834344415354239</v>
      </c>
    </row>
    <row r="40" spans="1:27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8">
        <v>1</v>
      </c>
      <c r="I40" s="8">
        <v>-1</v>
      </c>
      <c r="J40" s="9">
        <v>1.707709698465909E-2</v>
      </c>
      <c r="K40" s="9">
        <v>0</v>
      </c>
      <c r="L40" s="9">
        <v>1.8108628355203989E-2</v>
      </c>
      <c r="M40" s="9">
        <v>0</v>
      </c>
      <c r="N40" s="9">
        <v>0</v>
      </c>
      <c r="O40" s="9">
        <v>2.8103858588412689E-2</v>
      </c>
      <c r="P40" s="9">
        <v>0</v>
      </c>
      <c r="Q40" s="9">
        <v>8.3833318383685906E-5</v>
      </c>
      <c r="R40" s="10">
        <v>0.1035850967429737</v>
      </c>
      <c r="S40" s="10">
        <v>0.1034121848051209</v>
      </c>
      <c r="T40" s="10">
        <v>-9.1995781201394289E-2</v>
      </c>
      <c r="U40" s="10">
        <v>6.5811298397286611E-2</v>
      </c>
      <c r="V40" s="10">
        <v>0.27699329207280021</v>
      </c>
      <c r="W40" s="10">
        <v>6.1193498862636253E-2</v>
      </c>
      <c r="X40" s="10">
        <v>0.14386213407337989</v>
      </c>
      <c r="Y40" s="10">
        <v>8.3059386104109678E-2</v>
      </c>
      <c r="Z40" s="7">
        <v>0.74592110985691296</v>
      </c>
      <c r="AA40" s="7">
        <v>0.37535667502527797</v>
      </c>
    </row>
    <row r="41" spans="1:27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8">
        <v>-1</v>
      </c>
      <c r="I41" s="8">
        <v>1</v>
      </c>
      <c r="J41" s="9">
        <v>0</v>
      </c>
      <c r="K41" s="9">
        <v>2.7204645949528978E-3</v>
      </c>
      <c r="L41" s="9">
        <v>0</v>
      </c>
      <c r="M41" s="9">
        <v>-4.4717668762676022E-3</v>
      </c>
      <c r="N41" s="9">
        <v>1.739920876654721E-2</v>
      </c>
      <c r="O41" s="9">
        <v>0</v>
      </c>
      <c r="P41" s="9">
        <v>1.079066100134563E-2</v>
      </c>
      <c r="Q41" s="9">
        <v>0</v>
      </c>
      <c r="R41" s="10">
        <v>0.1035850967429737</v>
      </c>
      <c r="S41" s="10">
        <v>0.1061326494000738</v>
      </c>
      <c r="T41" s="10">
        <v>-9.1995781201394289E-2</v>
      </c>
      <c r="U41" s="10">
        <v>6.1339531521019008E-2</v>
      </c>
      <c r="V41" s="10">
        <v>0.29439250083934743</v>
      </c>
      <c r="W41" s="10">
        <v>6.1193498862636253E-2</v>
      </c>
      <c r="X41" s="10">
        <v>0.15465279507472551</v>
      </c>
      <c r="Y41" s="10">
        <v>8.3059386104109678E-2</v>
      </c>
      <c r="Z41" s="7">
        <v>0.77235967734349109</v>
      </c>
      <c r="AA41" s="7">
        <v>0.41861505997257831</v>
      </c>
    </row>
    <row r="42" spans="1:27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8">
        <v>-1</v>
      </c>
      <c r="I42" s="8">
        <v>1</v>
      </c>
      <c r="J42" s="9">
        <v>0</v>
      </c>
      <c r="K42" s="9">
        <v>1.204074378787434E-2</v>
      </c>
      <c r="L42" s="9">
        <v>0</v>
      </c>
      <c r="M42" s="9">
        <v>1.9369391412684681E-2</v>
      </c>
      <c r="N42" s="9">
        <v>5.4019445998462201E-3</v>
      </c>
      <c r="O42" s="9">
        <v>0</v>
      </c>
      <c r="P42" s="9">
        <v>-7.3898703274344335E-4</v>
      </c>
      <c r="Q42" s="9">
        <v>0</v>
      </c>
      <c r="R42" s="10">
        <v>0.1035850967429737</v>
      </c>
      <c r="S42" s="10">
        <v>0.1181733931879482</v>
      </c>
      <c r="T42" s="10">
        <v>-9.1995781201394289E-2</v>
      </c>
      <c r="U42" s="10">
        <v>8.0708922933703686E-2</v>
      </c>
      <c r="V42" s="10">
        <v>0.29979444543919359</v>
      </c>
      <c r="W42" s="10">
        <v>6.1193498862636253E-2</v>
      </c>
      <c r="X42" s="10">
        <v>0.1539138080419821</v>
      </c>
      <c r="Y42" s="10">
        <v>8.3059386104109678E-2</v>
      </c>
      <c r="Z42" s="7">
        <v>0.80843277011115289</v>
      </c>
      <c r="AA42" s="7">
        <v>0.4169259891506677</v>
      </c>
    </row>
    <row r="43" spans="1:27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8">
        <v>-1</v>
      </c>
      <c r="I43" s="8">
        <v>1</v>
      </c>
      <c r="J43" s="9">
        <v>0</v>
      </c>
      <c r="K43" s="9">
        <v>-7.5641466990244988E-3</v>
      </c>
      <c r="L43" s="9">
        <v>0</v>
      </c>
      <c r="M43" s="9">
        <v>-1.340158722774942E-2</v>
      </c>
      <c r="N43" s="9">
        <v>3.3844050679922473E-2</v>
      </c>
      <c r="O43" s="9">
        <v>0</v>
      </c>
      <c r="P43" s="9">
        <v>1.2994816717236679E-3</v>
      </c>
      <c r="Q43" s="9">
        <v>0</v>
      </c>
      <c r="R43" s="10">
        <v>0.1035850967429737</v>
      </c>
      <c r="S43" s="10">
        <v>0.1106092464889237</v>
      </c>
      <c r="T43" s="10">
        <v>-9.1995781201394289E-2</v>
      </c>
      <c r="U43" s="10">
        <v>6.7307335705954263E-2</v>
      </c>
      <c r="V43" s="10">
        <v>0.33363849611911611</v>
      </c>
      <c r="W43" s="10">
        <v>6.1193498862636253E-2</v>
      </c>
      <c r="X43" s="10">
        <v>0.15521328971370571</v>
      </c>
      <c r="Y43" s="10">
        <v>8.3059386104109678E-2</v>
      </c>
      <c r="Z43" s="7">
        <v>0.8226105685360251</v>
      </c>
      <c r="AA43" s="7">
        <v>0.44115153475905572</v>
      </c>
    </row>
    <row r="44" spans="1:27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8">
        <v>-1</v>
      </c>
      <c r="I44" s="8">
        <v>1</v>
      </c>
      <c r="J44" s="9">
        <v>0</v>
      </c>
      <c r="K44" s="9">
        <v>8.0281595170902387E-3</v>
      </c>
      <c r="L44" s="9">
        <v>0</v>
      </c>
      <c r="M44" s="9">
        <v>-7.4864482983161285E-4</v>
      </c>
      <c r="N44" s="9">
        <v>-1.5822348533060748E-2</v>
      </c>
      <c r="O44" s="9">
        <v>0</v>
      </c>
      <c r="P44" s="9">
        <v>-2.8204382467733602E-3</v>
      </c>
      <c r="Q44" s="9">
        <v>0</v>
      </c>
      <c r="R44" s="10">
        <v>0.1035850967429737</v>
      </c>
      <c r="S44" s="10">
        <v>0.1186374060060139</v>
      </c>
      <c r="T44" s="10">
        <v>-9.1995781201394289E-2</v>
      </c>
      <c r="U44" s="10">
        <v>6.655869087612265E-2</v>
      </c>
      <c r="V44" s="10">
        <v>0.31781614758605542</v>
      </c>
      <c r="W44" s="10">
        <v>6.1193498862636253E-2</v>
      </c>
      <c r="X44" s="10">
        <v>0.15239285146693241</v>
      </c>
      <c r="Y44" s="10">
        <v>8.3059386104109678E-2</v>
      </c>
      <c r="Z44" s="7">
        <v>0.81124729644344962</v>
      </c>
      <c r="AA44" s="7">
        <v>0.44721878413807908</v>
      </c>
    </row>
    <row r="45" spans="1:27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8">
        <v>-1</v>
      </c>
      <c r="I45" s="8">
        <v>1</v>
      </c>
      <c r="J45" s="9">
        <v>0</v>
      </c>
      <c r="K45" s="9">
        <v>-1.912521600976214E-3</v>
      </c>
      <c r="L45" s="9">
        <v>0</v>
      </c>
      <c r="M45" s="9">
        <v>-1.880796693564846E-2</v>
      </c>
      <c r="N45" s="9">
        <v>-1.9679550459246191E-3</v>
      </c>
      <c r="O45" s="9">
        <v>0</v>
      </c>
      <c r="P45" s="9">
        <v>2.6845983427686741E-2</v>
      </c>
      <c r="Q45" s="9">
        <v>0</v>
      </c>
      <c r="R45" s="10">
        <v>0.1035850967429737</v>
      </c>
      <c r="S45" s="10">
        <v>0.1167248844050377</v>
      </c>
      <c r="T45" s="10">
        <v>-9.1995781201394289E-2</v>
      </c>
      <c r="U45" s="10">
        <v>4.7750723940474193E-2</v>
      </c>
      <c r="V45" s="10">
        <v>0.31584819254013069</v>
      </c>
      <c r="W45" s="10">
        <v>6.1193498862636253E-2</v>
      </c>
      <c r="X45" s="10">
        <v>0.17923883489461909</v>
      </c>
      <c r="Y45" s="10">
        <v>8.3059386104109678E-2</v>
      </c>
      <c r="Z45" s="7">
        <v>0.81540483628858706</v>
      </c>
      <c r="AA45" s="7">
        <v>0.46387115570287929</v>
      </c>
    </row>
    <row r="46" spans="1:27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8">
        <v>-1</v>
      </c>
      <c r="I46" s="8">
        <v>1</v>
      </c>
      <c r="J46" s="9">
        <v>0</v>
      </c>
      <c r="K46" s="9">
        <v>-4.294409491087281E-3</v>
      </c>
      <c r="L46" s="9">
        <v>0</v>
      </c>
      <c r="M46" s="9">
        <v>-1.150469816720723E-2</v>
      </c>
      <c r="N46" s="9">
        <v>-2.1570385020627252E-3</v>
      </c>
      <c r="O46" s="9">
        <v>0</v>
      </c>
      <c r="P46" s="9">
        <v>1.6724020333853451E-2</v>
      </c>
      <c r="Q46" s="9">
        <v>0</v>
      </c>
      <c r="R46" s="10">
        <v>0.1035850967429737</v>
      </c>
      <c r="S46" s="10">
        <v>0.1124304749139504</v>
      </c>
      <c r="T46" s="10">
        <v>-9.1995781201394289E-2</v>
      </c>
      <c r="U46" s="10">
        <v>3.6246025773266972E-2</v>
      </c>
      <c r="V46" s="10">
        <v>0.31369115403806802</v>
      </c>
      <c r="W46" s="10">
        <v>6.1193498862636253E-2</v>
      </c>
      <c r="X46" s="10">
        <v>0.19596285522847259</v>
      </c>
      <c r="Y46" s="10">
        <v>8.3059386104109678E-2</v>
      </c>
      <c r="Z46" s="7">
        <v>0.81417271046208328</v>
      </c>
      <c r="AA46" s="7">
        <v>0.47669799775347038</v>
      </c>
    </row>
    <row r="47" spans="1:27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8">
        <v>1</v>
      </c>
      <c r="I47" s="8">
        <v>-1</v>
      </c>
      <c r="J47" s="9">
        <v>3.6213730805622069E-3</v>
      </c>
      <c r="K47" s="9">
        <v>0</v>
      </c>
      <c r="L47" s="9">
        <v>9.0144167273940035E-3</v>
      </c>
      <c r="M47" s="9">
        <v>0</v>
      </c>
      <c r="N47" s="9">
        <v>0</v>
      </c>
      <c r="O47" s="9">
        <v>-8.0688660622649788E-3</v>
      </c>
      <c r="P47" s="9">
        <v>0</v>
      </c>
      <c r="Q47" s="9">
        <v>-2.6930278955847879E-3</v>
      </c>
      <c r="R47" s="10">
        <v>0.1072064698235359</v>
      </c>
      <c r="S47" s="10">
        <v>0.1124304749139504</v>
      </c>
      <c r="T47" s="10">
        <v>-8.2981364474000285E-2</v>
      </c>
      <c r="U47" s="10">
        <v>3.6246025773266972E-2</v>
      </c>
      <c r="V47" s="10">
        <v>0.31369115403806802</v>
      </c>
      <c r="W47" s="10">
        <v>5.3124632800371267E-2</v>
      </c>
      <c r="X47" s="10">
        <v>0.19596285522847259</v>
      </c>
      <c r="Y47" s="10">
        <v>8.0366358208524891E-2</v>
      </c>
      <c r="Z47" s="7">
        <v>0.81604660631218973</v>
      </c>
      <c r="AA47" s="7">
        <v>0.44701421732009972</v>
      </c>
    </row>
    <row r="48" spans="1:27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8">
        <v>1</v>
      </c>
      <c r="I48" s="8">
        <v>-1</v>
      </c>
      <c r="J48" s="9">
        <v>1.8276688387726892E-2</v>
      </c>
      <c r="K48" s="9">
        <v>0</v>
      </c>
      <c r="L48" s="9">
        <v>-3.067910039963317E-3</v>
      </c>
      <c r="M48" s="9">
        <v>0</v>
      </c>
      <c r="N48" s="9">
        <v>0</v>
      </c>
      <c r="O48" s="9">
        <v>1.283862143800729E-2</v>
      </c>
      <c r="P48" s="9">
        <v>0</v>
      </c>
      <c r="Q48" s="9">
        <v>2.1026645001704258E-2</v>
      </c>
      <c r="R48" s="10">
        <v>0.1254831582112628</v>
      </c>
      <c r="S48" s="10">
        <v>0.1124304749139504</v>
      </c>
      <c r="T48" s="10">
        <v>-8.6049274513963603E-2</v>
      </c>
      <c r="U48" s="10">
        <v>3.6246025773266972E-2</v>
      </c>
      <c r="V48" s="10">
        <v>0.31369115403806802</v>
      </c>
      <c r="W48" s="10">
        <v>6.5963254238378566E-2</v>
      </c>
      <c r="X48" s="10">
        <v>0.19596285522847259</v>
      </c>
      <c r="Y48" s="10">
        <v>0.10139300321022909</v>
      </c>
      <c r="Z48" s="7">
        <v>0.86512065109966485</v>
      </c>
      <c r="AA48" s="7">
        <v>0.45056181099299419</v>
      </c>
    </row>
    <row r="49" spans="1:27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8">
        <v>1</v>
      </c>
      <c r="I49" s="8">
        <v>-1</v>
      </c>
      <c r="J49" s="9">
        <v>1.2968428901967701E-2</v>
      </c>
      <c r="K49" s="9">
        <v>0</v>
      </c>
      <c r="L49" s="9">
        <v>-6.2251171959197826E-3</v>
      </c>
      <c r="M49" s="9">
        <v>0</v>
      </c>
      <c r="N49" s="9">
        <v>0</v>
      </c>
      <c r="O49" s="9">
        <v>3.3320454252384608E-3</v>
      </c>
      <c r="P49" s="9">
        <v>0</v>
      </c>
      <c r="Q49" s="9">
        <v>4.5516968893543064E-3</v>
      </c>
      <c r="R49" s="10">
        <v>0.1384515871132305</v>
      </c>
      <c r="S49" s="10">
        <v>0.1124304749139504</v>
      </c>
      <c r="T49" s="10">
        <v>-9.2274391709883385E-2</v>
      </c>
      <c r="U49" s="10">
        <v>3.6246025773266972E-2</v>
      </c>
      <c r="V49" s="10">
        <v>0.31369115403806802</v>
      </c>
      <c r="W49" s="10">
        <v>6.9295299663617027E-2</v>
      </c>
      <c r="X49" s="10">
        <v>0.19596285522847259</v>
      </c>
      <c r="Y49" s="10">
        <v>0.1059447000995835</v>
      </c>
      <c r="Z49" s="7">
        <v>0.87974770512030553</v>
      </c>
      <c r="AA49" s="7">
        <v>0.45567070346676619</v>
      </c>
    </row>
    <row r="50" spans="1:27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8">
        <v>1</v>
      </c>
      <c r="I50" s="8">
        <v>-1</v>
      </c>
      <c r="J50" s="9">
        <v>3.928410193723475E-3</v>
      </c>
      <c r="K50" s="9">
        <v>0</v>
      </c>
      <c r="L50" s="9">
        <v>-1.1429033000811771E-2</v>
      </c>
      <c r="M50" s="9">
        <v>0</v>
      </c>
      <c r="N50" s="9">
        <v>0</v>
      </c>
      <c r="O50" s="9">
        <v>-4.3378440335328777E-4</v>
      </c>
      <c r="P50" s="9">
        <v>0</v>
      </c>
      <c r="Q50" s="9">
        <v>1.0523595103124511E-2</v>
      </c>
      <c r="R50" s="10">
        <v>0.14237999730695389</v>
      </c>
      <c r="S50" s="10">
        <v>0.1124304749139504</v>
      </c>
      <c r="T50" s="10">
        <v>-0.1037034247106952</v>
      </c>
      <c r="U50" s="10">
        <v>3.6246025773266972E-2</v>
      </c>
      <c r="V50" s="10">
        <v>0.31369115403806802</v>
      </c>
      <c r="W50" s="10">
        <v>6.8861515260263739E-2</v>
      </c>
      <c r="X50" s="10">
        <v>0.19596285522847259</v>
      </c>
      <c r="Y50" s="10">
        <v>0.116468295202708</v>
      </c>
      <c r="Z50" s="7">
        <v>0.88233689301298845</v>
      </c>
      <c r="AA50" s="7">
        <v>0.47747097607430028</v>
      </c>
    </row>
    <row r="51" spans="1:27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8">
        <v>1</v>
      </c>
      <c r="I51" s="8">
        <v>-1</v>
      </c>
      <c r="J51" s="9">
        <v>1.5986451176445701E-2</v>
      </c>
      <c r="K51" s="9">
        <v>0</v>
      </c>
      <c r="L51" s="9">
        <v>2.975525022354653E-3</v>
      </c>
      <c r="M51" s="9">
        <v>0</v>
      </c>
      <c r="N51" s="9">
        <v>0</v>
      </c>
      <c r="O51" s="9">
        <v>2.6861866207525949E-3</v>
      </c>
      <c r="P51" s="9">
        <v>0</v>
      </c>
      <c r="Q51" s="9">
        <v>-4.5472148747006669E-3</v>
      </c>
      <c r="R51" s="10">
        <v>0.15836644848339959</v>
      </c>
      <c r="S51" s="10">
        <v>0.1124304749139504</v>
      </c>
      <c r="T51" s="10">
        <v>-0.10072789968834051</v>
      </c>
      <c r="U51" s="10">
        <v>3.6246025773266972E-2</v>
      </c>
      <c r="V51" s="10">
        <v>0.31369115403806802</v>
      </c>
      <c r="W51" s="10">
        <v>7.1547701881016335E-2</v>
      </c>
      <c r="X51" s="10">
        <v>0.19596285522847259</v>
      </c>
      <c r="Y51" s="10">
        <v>0.11192108032800729</v>
      </c>
      <c r="Z51" s="7">
        <v>0.89943784095784074</v>
      </c>
      <c r="AA51" s="7">
        <v>0.50434586349975863</v>
      </c>
    </row>
    <row r="52" spans="1:27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8">
        <v>-1</v>
      </c>
      <c r="I52" s="8">
        <v>1</v>
      </c>
      <c r="J52" s="9">
        <v>0</v>
      </c>
      <c r="K52" s="9">
        <v>-6.9645335188366353E-3</v>
      </c>
      <c r="L52" s="9">
        <v>0</v>
      </c>
      <c r="M52" s="9">
        <v>2.559095742070927E-2</v>
      </c>
      <c r="N52" s="9">
        <v>1.072814323251625E-2</v>
      </c>
      <c r="O52" s="9">
        <v>0</v>
      </c>
      <c r="P52" s="9">
        <v>8.7543981066479093E-3</v>
      </c>
      <c r="Q52" s="9">
        <v>0</v>
      </c>
      <c r="R52" s="10">
        <v>0.15836644848339959</v>
      </c>
      <c r="S52" s="10">
        <v>0.1054659413951138</v>
      </c>
      <c r="T52" s="10">
        <v>-0.10072789968834051</v>
      </c>
      <c r="U52" s="10">
        <v>6.1836983193976243E-2</v>
      </c>
      <c r="V52" s="10">
        <v>0.32441929727058427</v>
      </c>
      <c r="W52" s="10">
        <v>7.1547701881016335E-2</v>
      </c>
      <c r="X52" s="10">
        <v>0.2047172533351205</v>
      </c>
      <c r="Y52" s="10">
        <v>0.11192108032800729</v>
      </c>
      <c r="Z52" s="7">
        <v>0.93754680619887754</v>
      </c>
      <c r="AA52" s="7">
        <v>0.53555238207119993</v>
      </c>
    </row>
    <row r="53" spans="1:27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8">
        <v>-1</v>
      </c>
      <c r="I53" s="8">
        <v>1</v>
      </c>
      <c r="J53" s="9">
        <v>0</v>
      </c>
      <c r="K53" s="9">
        <v>6.1377970568798901E-4</v>
      </c>
      <c r="L53" s="9">
        <v>0</v>
      </c>
      <c r="M53" s="9">
        <v>1.3454984350713789E-2</v>
      </c>
      <c r="N53" s="9">
        <v>6.0279551769139017E-3</v>
      </c>
      <c r="O53" s="9">
        <v>0</v>
      </c>
      <c r="P53" s="9">
        <v>2.8571816324607369E-3</v>
      </c>
      <c r="Q53" s="9">
        <v>0</v>
      </c>
      <c r="R53" s="10">
        <v>0.15836644848339959</v>
      </c>
      <c r="S53" s="10">
        <v>0.1060797211008018</v>
      </c>
      <c r="T53" s="10">
        <v>-0.10072789968834051</v>
      </c>
      <c r="U53" s="10">
        <v>7.5291967544690031E-2</v>
      </c>
      <c r="V53" s="10">
        <v>0.33044725244749817</v>
      </c>
      <c r="W53" s="10">
        <v>7.1547701881016335E-2</v>
      </c>
      <c r="X53" s="10">
        <v>0.20757443496758121</v>
      </c>
      <c r="Y53" s="10">
        <v>0.11192108032800729</v>
      </c>
      <c r="Z53" s="7">
        <v>0.96050070706465396</v>
      </c>
      <c r="AA53" s="7">
        <v>0.55556204509355556</v>
      </c>
    </row>
    <row r="54" spans="1:27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8">
        <v>-1</v>
      </c>
      <c r="I54" s="8">
        <v>1</v>
      </c>
      <c r="J54" s="9">
        <v>0</v>
      </c>
      <c r="K54" s="9">
        <v>-6.8599264193114351E-5</v>
      </c>
      <c r="L54" s="9">
        <v>0</v>
      </c>
      <c r="M54" s="9">
        <v>-1.503746284739216E-2</v>
      </c>
      <c r="N54" s="9">
        <v>4.5236298135979958E-3</v>
      </c>
      <c r="O54" s="9">
        <v>0</v>
      </c>
      <c r="P54" s="9">
        <v>3.1450182151202539E-3</v>
      </c>
      <c r="Q54" s="9">
        <v>0</v>
      </c>
      <c r="R54" s="10">
        <v>0.15836644848339959</v>
      </c>
      <c r="S54" s="10">
        <v>0.1060111218366087</v>
      </c>
      <c r="T54" s="10">
        <v>-0.10072789968834051</v>
      </c>
      <c r="U54" s="10">
        <v>6.0254504697297873E-2</v>
      </c>
      <c r="V54" s="10">
        <v>0.33497088226109623</v>
      </c>
      <c r="W54" s="10">
        <v>7.1547701881016335E-2</v>
      </c>
      <c r="X54" s="10">
        <v>0.21071945318270149</v>
      </c>
      <c r="Y54" s="10">
        <v>0.11192108032800729</v>
      </c>
      <c r="Z54" s="7">
        <v>0.95306329298178694</v>
      </c>
      <c r="AA54" s="7">
        <v>0.569021674729556</v>
      </c>
    </row>
    <row r="55" spans="1:27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8">
        <v>-1</v>
      </c>
      <c r="I55" s="8">
        <v>1</v>
      </c>
      <c r="J55" s="9">
        <v>0</v>
      </c>
      <c r="K55" s="9">
        <v>1.284332244556152E-3</v>
      </c>
      <c r="L55" s="9">
        <v>0</v>
      </c>
      <c r="M55" s="9">
        <v>-6.21051548451379E-4</v>
      </c>
      <c r="N55" s="9">
        <v>-3.8441757076947969E-3</v>
      </c>
      <c r="O55" s="9">
        <v>0</v>
      </c>
      <c r="P55" s="9">
        <v>-1.062802967530729E-2</v>
      </c>
      <c r="Q55" s="9">
        <v>0</v>
      </c>
      <c r="R55" s="10">
        <v>0.15836644848339959</v>
      </c>
      <c r="S55" s="10">
        <v>0.1072954540811648</v>
      </c>
      <c r="T55" s="10">
        <v>-0.10072789968834051</v>
      </c>
      <c r="U55" s="10">
        <v>5.9633453148846487E-2</v>
      </c>
      <c r="V55" s="10">
        <v>0.33112670655340137</v>
      </c>
      <c r="W55" s="10">
        <v>7.1547701881016335E-2</v>
      </c>
      <c r="X55" s="10">
        <v>0.2000914235073942</v>
      </c>
      <c r="Y55" s="10">
        <v>0.11192108032800729</v>
      </c>
      <c r="Z55" s="7">
        <v>0.93925436829488962</v>
      </c>
      <c r="AA55" s="7">
        <v>0.58419714150073609</v>
      </c>
    </row>
    <row r="56" spans="1:27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8">
        <v>-1</v>
      </c>
      <c r="I56" s="8">
        <v>1</v>
      </c>
      <c r="J56" s="9">
        <v>0</v>
      </c>
      <c r="K56" s="9">
        <v>3.3609754446328077E-2</v>
      </c>
      <c r="L56" s="9">
        <v>0</v>
      </c>
      <c r="M56" s="9">
        <v>2.1890740124195229E-2</v>
      </c>
      <c r="N56" s="9">
        <v>1.012701941498295E-2</v>
      </c>
      <c r="O56" s="9">
        <v>0</v>
      </c>
      <c r="P56" s="9">
        <v>-9.8932463255863023E-3</v>
      </c>
      <c r="Q56" s="9">
        <v>0</v>
      </c>
      <c r="R56" s="10">
        <v>0.15836644848339959</v>
      </c>
      <c r="S56" s="10">
        <v>0.14090520852749289</v>
      </c>
      <c r="T56" s="10">
        <v>-0.10072789968834051</v>
      </c>
      <c r="U56" s="10">
        <v>8.1524193273041723E-2</v>
      </c>
      <c r="V56" s="10">
        <v>0.34125372596838432</v>
      </c>
      <c r="W56" s="10">
        <v>7.1547701881016335E-2</v>
      </c>
      <c r="X56" s="10">
        <v>0.1901981771818079</v>
      </c>
      <c r="Y56" s="10">
        <v>0.11192108032800729</v>
      </c>
      <c r="Z56" s="7">
        <v>0.99498863595480957</v>
      </c>
      <c r="AA56" s="7">
        <v>0.56534460873587966</v>
      </c>
    </row>
    <row r="57" spans="1:27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8">
        <v>-1</v>
      </c>
      <c r="I57" s="8">
        <v>1</v>
      </c>
      <c r="J57" s="9">
        <v>0</v>
      </c>
      <c r="K57" s="9">
        <v>9.011396355272927E-3</v>
      </c>
      <c r="L57" s="9">
        <v>0</v>
      </c>
      <c r="M57" s="9">
        <v>-1.647253380803371E-2</v>
      </c>
      <c r="N57" s="9">
        <v>-9.4865546170606052E-3</v>
      </c>
      <c r="O57" s="9">
        <v>0</v>
      </c>
      <c r="P57" s="9">
        <v>-6.9403261677417616E-3</v>
      </c>
      <c r="Q57" s="9">
        <v>0</v>
      </c>
      <c r="R57" s="10">
        <v>0.15836644848339959</v>
      </c>
      <c r="S57" s="10">
        <v>0.14991660488276581</v>
      </c>
      <c r="T57" s="10">
        <v>-0.10072789968834051</v>
      </c>
      <c r="U57" s="10">
        <v>6.5051659465008016E-2</v>
      </c>
      <c r="V57" s="10">
        <v>0.33176717135132372</v>
      </c>
      <c r="W57" s="10">
        <v>7.1547701881016335E-2</v>
      </c>
      <c r="X57" s="10">
        <v>0.18325785101406611</v>
      </c>
      <c r="Y57" s="10">
        <v>0.11192108032800729</v>
      </c>
      <c r="Z57" s="7">
        <v>0.97110061771724643</v>
      </c>
      <c r="AA57" s="7">
        <v>0.57766265089555746</v>
      </c>
    </row>
    <row r="58" spans="1:27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8">
        <v>-1</v>
      </c>
      <c r="I58" s="8">
        <v>1</v>
      </c>
      <c r="J58" s="9">
        <v>0</v>
      </c>
      <c r="K58" s="9">
        <v>-1.6302069550870879E-3</v>
      </c>
      <c r="L58" s="9">
        <v>0</v>
      </c>
      <c r="M58" s="9">
        <v>3.2532336885998658E-3</v>
      </c>
      <c r="N58" s="9">
        <v>1.7100449573474119E-2</v>
      </c>
      <c r="O58" s="9">
        <v>0</v>
      </c>
      <c r="P58" s="9">
        <v>8.9216703105197137E-3</v>
      </c>
      <c r="Q58" s="9">
        <v>0</v>
      </c>
      <c r="R58" s="10">
        <v>0.15836644848339959</v>
      </c>
      <c r="S58" s="10">
        <v>0.1482863979276787</v>
      </c>
      <c r="T58" s="10">
        <v>-0.10072789968834051</v>
      </c>
      <c r="U58" s="10">
        <v>6.8304893153607882E-2</v>
      </c>
      <c r="V58" s="10">
        <v>0.34886762092479778</v>
      </c>
      <c r="W58" s="10">
        <v>7.1547701881016335E-2</v>
      </c>
      <c r="X58" s="10">
        <v>0.19217952132458579</v>
      </c>
      <c r="Y58" s="10">
        <v>0.11192108032800729</v>
      </c>
      <c r="Z58" s="7">
        <v>0.99874576433475304</v>
      </c>
      <c r="AA58" s="7">
        <v>0.6212765395112968</v>
      </c>
    </row>
    <row r="59" spans="1:27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8">
        <v>-1</v>
      </c>
      <c r="I59" s="8">
        <v>1</v>
      </c>
      <c r="J59" s="9">
        <v>0</v>
      </c>
      <c r="K59" s="9">
        <v>-5.1911934823870576E-3</v>
      </c>
      <c r="L59" s="9">
        <v>0</v>
      </c>
      <c r="M59" s="9">
        <v>-9.3088948040344066E-3</v>
      </c>
      <c r="N59" s="9">
        <v>1.7820497241849639E-2</v>
      </c>
      <c r="O59" s="9">
        <v>0</v>
      </c>
      <c r="P59" s="9">
        <v>-4.6862011004042969E-3</v>
      </c>
      <c r="Q59" s="9">
        <v>0</v>
      </c>
      <c r="R59" s="10">
        <v>0.15836644848339959</v>
      </c>
      <c r="S59" s="10">
        <v>0.1430952044452917</v>
      </c>
      <c r="T59" s="10">
        <v>-0.10072789968834051</v>
      </c>
      <c r="U59" s="10">
        <v>5.8995998349573482E-2</v>
      </c>
      <c r="V59" s="10">
        <v>0.36668811816664748</v>
      </c>
      <c r="W59" s="10">
        <v>7.1547701881016335E-2</v>
      </c>
      <c r="X59" s="10">
        <v>0.1874933202241815</v>
      </c>
      <c r="Y59" s="10">
        <v>0.11192108032800729</v>
      </c>
      <c r="Z59" s="7">
        <v>0.99737997218977692</v>
      </c>
      <c r="AA59" s="7">
        <v>0.65492782138832939</v>
      </c>
    </row>
    <row r="60" spans="1:27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8">
        <v>-1</v>
      </c>
      <c r="I60" s="8">
        <v>1</v>
      </c>
      <c r="J60" s="9">
        <v>0</v>
      </c>
      <c r="K60" s="9">
        <v>1.0041474830769779E-2</v>
      </c>
      <c r="L60" s="9">
        <v>0</v>
      </c>
      <c r="M60" s="9">
        <v>2.3251804754761411E-2</v>
      </c>
      <c r="N60" s="9">
        <v>-2.766709161470382E-2</v>
      </c>
      <c r="O60" s="9">
        <v>0</v>
      </c>
      <c r="P60" s="9">
        <v>2.5360973008513591E-2</v>
      </c>
      <c r="Q60" s="9">
        <v>0</v>
      </c>
      <c r="R60" s="10">
        <v>0.15836644848339959</v>
      </c>
      <c r="S60" s="10">
        <v>0.15313667927606139</v>
      </c>
      <c r="T60" s="10">
        <v>-0.10072789968834051</v>
      </c>
      <c r="U60" s="10">
        <v>8.2247803104334882E-2</v>
      </c>
      <c r="V60" s="10">
        <v>0.33902102655194372</v>
      </c>
      <c r="W60" s="10">
        <v>7.1547701881016335E-2</v>
      </c>
      <c r="X60" s="10">
        <v>0.21285429323269511</v>
      </c>
      <c r="Y60" s="10">
        <v>0.11192108032800729</v>
      </c>
      <c r="Z60" s="7">
        <v>1.028367133169118</v>
      </c>
      <c r="AA60" s="7">
        <v>0.64106106008477548</v>
      </c>
    </row>
    <row r="61" spans="1:27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8">
        <v>-1</v>
      </c>
      <c r="I61" s="8">
        <v>1</v>
      </c>
      <c r="J61" s="9">
        <v>0</v>
      </c>
      <c r="K61" s="9">
        <v>5.425121853899173E-2</v>
      </c>
      <c r="L61" s="9">
        <v>0</v>
      </c>
      <c r="M61" s="9">
        <v>2.1290770437722761E-2</v>
      </c>
      <c r="N61" s="9">
        <v>1.765465344645167E-2</v>
      </c>
      <c r="O61" s="9">
        <v>0</v>
      </c>
      <c r="P61" s="9">
        <v>1.251041096378847E-2</v>
      </c>
      <c r="Q61" s="9">
        <v>0</v>
      </c>
      <c r="R61" s="10">
        <v>0.15836644848339959</v>
      </c>
      <c r="S61" s="10">
        <v>0.20738789781505321</v>
      </c>
      <c r="T61" s="10">
        <v>-0.10072789968834051</v>
      </c>
      <c r="U61" s="10">
        <v>0.1035385735420576</v>
      </c>
      <c r="V61" s="10">
        <v>0.35667567999839528</v>
      </c>
      <c r="W61" s="10">
        <v>7.1547701881016335E-2</v>
      </c>
      <c r="X61" s="10">
        <v>0.22536470419648361</v>
      </c>
      <c r="Y61" s="10">
        <v>0.11192108032800729</v>
      </c>
      <c r="Z61" s="7">
        <v>1.134074186556072</v>
      </c>
      <c r="AA61" s="7">
        <v>0.61045261307473153</v>
      </c>
    </row>
    <row r="62" spans="1:27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8">
        <v>1</v>
      </c>
      <c r="I62" s="8">
        <v>-1</v>
      </c>
      <c r="J62" s="9">
        <v>1.886349029587242E-2</v>
      </c>
      <c r="K62" s="9">
        <v>0</v>
      </c>
      <c r="L62" s="9">
        <v>-1.8455264577928791E-2</v>
      </c>
      <c r="M62" s="9">
        <v>0</v>
      </c>
      <c r="N62" s="9">
        <v>0</v>
      </c>
      <c r="O62" s="9">
        <v>-1.454629168941224E-2</v>
      </c>
      <c r="P62" s="9">
        <v>0</v>
      </c>
      <c r="Q62" s="9">
        <v>-1.0792632245183449E-3</v>
      </c>
      <c r="R62" s="10">
        <v>0.17722993877927209</v>
      </c>
      <c r="S62" s="10">
        <v>0.20738789781505321</v>
      </c>
      <c r="T62" s="10">
        <v>-0.11918316426626931</v>
      </c>
      <c r="U62" s="10">
        <v>0.1035385735420576</v>
      </c>
      <c r="V62" s="10">
        <v>0.35667567999839528</v>
      </c>
      <c r="W62" s="10">
        <v>5.7001410191604103E-2</v>
      </c>
      <c r="X62" s="10">
        <v>0.22536470419648361</v>
      </c>
      <c r="Y62" s="10">
        <v>0.11084181710348889</v>
      </c>
      <c r="Z62" s="7">
        <v>1.118856857360085</v>
      </c>
      <c r="AA62" s="7">
        <v>0.62542826298602383</v>
      </c>
    </row>
    <row r="63" spans="1:27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8">
        <v>-1</v>
      </c>
      <c r="I63" s="8">
        <v>1</v>
      </c>
      <c r="J63" s="9">
        <v>0</v>
      </c>
      <c r="K63" s="9">
        <v>-5.8891676542460747E-3</v>
      </c>
      <c r="L63" s="9">
        <v>0</v>
      </c>
      <c r="M63" s="9">
        <v>6.5922870617832752E-3</v>
      </c>
      <c r="N63" s="9">
        <v>-1.208025752725317E-2</v>
      </c>
      <c r="O63" s="9">
        <v>0</v>
      </c>
      <c r="P63" s="9">
        <v>-2.7817590772610031E-2</v>
      </c>
      <c r="Q63" s="9">
        <v>0</v>
      </c>
      <c r="R63" s="10">
        <v>0.17722993877927209</v>
      </c>
      <c r="S63" s="10">
        <v>0.2014987301608071</v>
      </c>
      <c r="T63" s="10">
        <v>-0.11918316426626931</v>
      </c>
      <c r="U63" s="10">
        <v>0.1101308606038409</v>
      </c>
      <c r="V63" s="10">
        <v>0.34459542247114222</v>
      </c>
      <c r="W63" s="10">
        <v>5.7001410191604103E-2</v>
      </c>
      <c r="X63" s="10">
        <v>0.19754711342387349</v>
      </c>
      <c r="Y63" s="10">
        <v>0.11084181710348889</v>
      </c>
      <c r="Z63" s="7">
        <v>1.079662128467759</v>
      </c>
      <c r="AA63" s="7">
        <v>0.66422422972306139</v>
      </c>
    </row>
    <row r="64" spans="1:27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8">
        <v>1</v>
      </c>
      <c r="I64" s="8">
        <v>-1</v>
      </c>
      <c r="J64" s="9">
        <v>3.293690866686183E-2</v>
      </c>
      <c r="K64" s="9">
        <v>0</v>
      </c>
      <c r="L64" s="9">
        <v>5.2356919299942914E-3</v>
      </c>
      <c r="M64" s="9">
        <v>0</v>
      </c>
      <c r="N64" s="9">
        <v>0</v>
      </c>
      <c r="O64" s="9">
        <v>-2.134214033313464E-2</v>
      </c>
      <c r="P64" s="9">
        <v>0</v>
      </c>
      <c r="Q64" s="9">
        <v>-9.8457132955098725E-4</v>
      </c>
      <c r="R64" s="10">
        <v>0.2101668474461339</v>
      </c>
      <c r="S64" s="10">
        <v>0.2014987301608071</v>
      </c>
      <c r="T64" s="10">
        <v>-0.113947472336275</v>
      </c>
      <c r="U64" s="10">
        <v>0.1101308606038409</v>
      </c>
      <c r="V64" s="10">
        <v>0.34459542247114222</v>
      </c>
      <c r="W64" s="10">
        <v>3.5659269858469463E-2</v>
      </c>
      <c r="X64" s="10">
        <v>0.19754711342387349</v>
      </c>
      <c r="Y64" s="10">
        <v>0.109857245773938</v>
      </c>
      <c r="Z64" s="7">
        <v>1.09550801740193</v>
      </c>
      <c r="AA64" s="7">
        <v>0.6785560433197646</v>
      </c>
    </row>
    <row r="65" spans="1:27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8">
        <v>1</v>
      </c>
      <c r="I65" s="8">
        <v>-1</v>
      </c>
      <c r="J65" s="9">
        <v>4.9102356439569173E-2</v>
      </c>
      <c r="K65" s="9">
        <v>0</v>
      </c>
      <c r="L65" s="9">
        <v>-1.0217238085820091E-2</v>
      </c>
      <c r="M65" s="9">
        <v>0</v>
      </c>
      <c r="N65" s="9">
        <v>0</v>
      </c>
      <c r="O65" s="9">
        <v>4.3781927750352723E-2</v>
      </c>
      <c r="P65" s="9">
        <v>0</v>
      </c>
      <c r="Q65" s="9">
        <v>1.268138576408673E-2</v>
      </c>
      <c r="R65" s="10">
        <v>0.25926920388570313</v>
      </c>
      <c r="S65" s="10">
        <v>0.2014987301608071</v>
      </c>
      <c r="T65" s="10">
        <v>-0.12416471042209511</v>
      </c>
      <c r="U65" s="10">
        <v>0.1101308606038409</v>
      </c>
      <c r="V65" s="10">
        <v>0.34459542247114222</v>
      </c>
      <c r="W65" s="10">
        <v>7.9441197608822178E-2</v>
      </c>
      <c r="X65" s="10">
        <v>0.19754711342387349</v>
      </c>
      <c r="Y65" s="10">
        <v>0.1225386315380247</v>
      </c>
      <c r="Z65" s="7">
        <v>1.1908564492701179</v>
      </c>
      <c r="AA65" s="7">
        <v>0.64189571467319917</v>
      </c>
    </row>
    <row r="66" spans="1:27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8">
        <v>-1</v>
      </c>
      <c r="I66" s="8">
        <v>1</v>
      </c>
      <c r="J66" s="9">
        <v>0</v>
      </c>
      <c r="K66" s="9">
        <v>1.290665167643801E-2</v>
      </c>
      <c r="L66" s="9">
        <v>0</v>
      </c>
      <c r="M66" s="9">
        <v>1.909186852489653E-2</v>
      </c>
      <c r="N66" s="9">
        <v>1.53237439125119E-2</v>
      </c>
      <c r="O66" s="9">
        <v>0</v>
      </c>
      <c r="P66" s="9">
        <v>2.4066562922770651E-2</v>
      </c>
      <c r="Q66" s="9">
        <v>0</v>
      </c>
      <c r="R66" s="10">
        <v>0.25926920388570313</v>
      </c>
      <c r="S66" s="10">
        <v>0.21440538183724511</v>
      </c>
      <c r="T66" s="10">
        <v>-0.12416471042209511</v>
      </c>
      <c r="U66" s="10">
        <v>0.12922272912873739</v>
      </c>
      <c r="V66" s="10">
        <v>0.35991916638365412</v>
      </c>
      <c r="W66" s="10">
        <v>7.9441197608822178E-2</v>
      </c>
      <c r="X66" s="10">
        <v>0.2216136763466442</v>
      </c>
      <c r="Y66" s="10">
        <v>0.1225386315380247</v>
      </c>
      <c r="Z66" s="7">
        <v>1.2622452763067351</v>
      </c>
      <c r="AA66" s="7">
        <v>0.63179887386201317</v>
      </c>
    </row>
    <row r="67" spans="1:27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8">
        <v>1</v>
      </c>
      <c r="I67" s="8">
        <v>-1</v>
      </c>
      <c r="J67" s="9">
        <v>2.6363391013461971E-2</v>
      </c>
      <c r="K67" s="9">
        <v>0</v>
      </c>
      <c r="L67" s="9">
        <v>1.317107702125675E-2</v>
      </c>
      <c r="M67" s="9">
        <v>0</v>
      </c>
      <c r="N67" s="9">
        <v>0</v>
      </c>
      <c r="O67" s="9">
        <v>5.0741651228619067E-2</v>
      </c>
      <c r="P67" s="9">
        <v>0</v>
      </c>
      <c r="Q67" s="9">
        <v>1.6425582349984699E-2</v>
      </c>
      <c r="R67" s="10">
        <v>0.28563259489916498</v>
      </c>
      <c r="S67" s="10">
        <v>0.21440538183724511</v>
      </c>
      <c r="T67" s="10">
        <v>-0.1109936334008383</v>
      </c>
      <c r="U67" s="10">
        <v>0.12922272912873739</v>
      </c>
      <c r="V67" s="10">
        <v>0.35991916638365412</v>
      </c>
      <c r="W67" s="10">
        <v>0.13018284883744119</v>
      </c>
      <c r="X67" s="10">
        <v>0.2216136763466442</v>
      </c>
      <c r="Y67" s="10">
        <v>0.13896421388800939</v>
      </c>
      <c r="Z67" s="7">
        <v>1.368946977920058</v>
      </c>
      <c r="AA67" s="7">
        <v>0.57154380599767662</v>
      </c>
    </row>
    <row r="68" spans="1:27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8">
        <v>-1</v>
      </c>
      <c r="I68" s="8">
        <v>1</v>
      </c>
      <c r="J68" s="9">
        <v>0</v>
      </c>
      <c r="K68" s="9">
        <v>1.295359154683318E-2</v>
      </c>
      <c r="L68" s="9">
        <v>0</v>
      </c>
      <c r="M68" s="9">
        <v>2.4058146654731379E-2</v>
      </c>
      <c r="N68" s="9">
        <v>-2.4733629724777662E-2</v>
      </c>
      <c r="O68" s="9">
        <v>0</v>
      </c>
      <c r="P68" s="9">
        <v>2.1242657861257341E-2</v>
      </c>
      <c r="Q68" s="9">
        <v>0</v>
      </c>
      <c r="R68" s="10">
        <v>0.28563259489916498</v>
      </c>
      <c r="S68" s="10">
        <v>0.22735897338407829</v>
      </c>
      <c r="T68" s="10">
        <v>-0.1109936334008383</v>
      </c>
      <c r="U68" s="10">
        <v>0.1532808757834688</v>
      </c>
      <c r="V68" s="10">
        <v>0.3351855366588764</v>
      </c>
      <c r="W68" s="10">
        <v>0.13018284883744119</v>
      </c>
      <c r="X68" s="10">
        <v>0.24285633420790151</v>
      </c>
      <c r="Y68" s="10">
        <v>0.13896421388800939</v>
      </c>
      <c r="Z68" s="7">
        <v>1.4024677442581019</v>
      </c>
      <c r="AA68" s="7">
        <v>0.54662531932467462</v>
      </c>
    </row>
    <row r="69" spans="1:27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8">
        <v>1</v>
      </c>
      <c r="I69" s="8">
        <v>-1</v>
      </c>
      <c r="J69" s="9">
        <v>-2.049086896211905E-2</v>
      </c>
      <c r="K69" s="9">
        <v>0</v>
      </c>
      <c r="L69" s="9">
        <v>-6.267309853198233E-3</v>
      </c>
      <c r="M69" s="9">
        <v>0</v>
      </c>
      <c r="N69" s="9">
        <v>0</v>
      </c>
      <c r="O69" s="9">
        <v>3.089347531705644E-2</v>
      </c>
      <c r="P69" s="9">
        <v>0</v>
      </c>
      <c r="Q69" s="9">
        <v>-1.761573334376065E-2</v>
      </c>
      <c r="R69" s="10">
        <v>0.26514172593704599</v>
      </c>
      <c r="S69" s="10">
        <v>0.22735897338407829</v>
      </c>
      <c r="T69" s="10">
        <v>-0.1172609432540366</v>
      </c>
      <c r="U69" s="10">
        <v>0.1532808757834688</v>
      </c>
      <c r="V69" s="10">
        <v>0.3351855366588764</v>
      </c>
      <c r="W69" s="10">
        <v>0.16107632415449771</v>
      </c>
      <c r="X69" s="10">
        <v>0.24285633420790151</v>
      </c>
      <c r="Y69" s="10">
        <v>0.1213484805442487</v>
      </c>
      <c r="Z69" s="7">
        <v>1.3889873074160799</v>
      </c>
      <c r="AA69" s="7">
        <v>0.54053253086568753</v>
      </c>
    </row>
    <row r="70" spans="1:27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8">
        <v>-1</v>
      </c>
      <c r="I70" s="8">
        <v>1</v>
      </c>
      <c r="J70" s="9">
        <v>0</v>
      </c>
      <c r="K70" s="9">
        <v>2.0072994852474708E-3</v>
      </c>
      <c r="L70" s="9">
        <v>0</v>
      </c>
      <c r="M70" s="9">
        <v>-2.2026535917929471E-4</v>
      </c>
      <c r="N70" s="9">
        <v>3.7722013373681418E-2</v>
      </c>
      <c r="O70" s="9">
        <v>0</v>
      </c>
      <c r="P70" s="9">
        <v>8.050873079287868E-3</v>
      </c>
      <c r="Q70" s="9">
        <v>0</v>
      </c>
      <c r="R70" s="10">
        <v>0.26514172593704599</v>
      </c>
      <c r="S70" s="10">
        <v>0.22936627286932579</v>
      </c>
      <c r="T70" s="10">
        <v>-0.1172609432540366</v>
      </c>
      <c r="U70" s="10">
        <v>0.15306061042428951</v>
      </c>
      <c r="V70" s="10">
        <v>0.37290755003255782</v>
      </c>
      <c r="W70" s="10">
        <v>0.16107632415449771</v>
      </c>
      <c r="X70" s="10">
        <v>0.2509072072871894</v>
      </c>
      <c r="Y70" s="10">
        <v>0.1213484805442487</v>
      </c>
      <c r="Z70" s="7">
        <v>1.4365472279951179</v>
      </c>
      <c r="AA70" s="7">
        <v>0.58843255332646882</v>
      </c>
    </row>
    <row r="71" spans="1:27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8">
        <v>-1</v>
      </c>
      <c r="I71" s="8">
        <v>1</v>
      </c>
      <c r="J71" s="9">
        <v>0</v>
      </c>
      <c r="K71" s="9">
        <v>-6.2905598640223834E-3</v>
      </c>
      <c r="L71" s="9">
        <v>0</v>
      </c>
      <c r="M71" s="9">
        <v>-2.3671050236772181E-2</v>
      </c>
      <c r="N71" s="9">
        <v>9.4964849146609298E-3</v>
      </c>
      <c r="O71" s="9">
        <v>0</v>
      </c>
      <c r="P71" s="9">
        <v>1.5462046360015471E-2</v>
      </c>
      <c r="Q71" s="9">
        <v>0</v>
      </c>
      <c r="R71" s="10">
        <v>0.26514172593704599</v>
      </c>
      <c r="S71" s="10">
        <v>0.22307571300530341</v>
      </c>
      <c r="T71" s="10">
        <v>-0.1172609432540366</v>
      </c>
      <c r="U71" s="10">
        <v>0.12938956018751729</v>
      </c>
      <c r="V71" s="10">
        <v>0.38240403494721881</v>
      </c>
      <c r="W71" s="10">
        <v>0.16107632415449771</v>
      </c>
      <c r="X71" s="10">
        <v>0.26636925364720487</v>
      </c>
      <c r="Y71" s="10">
        <v>0.1213484805442487</v>
      </c>
      <c r="Z71" s="7">
        <v>1.431544149169</v>
      </c>
      <c r="AA71" s="7">
        <v>0.60433384460287154</v>
      </c>
    </row>
    <row r="72" spans="1:27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8">
        <v>1</v>
      </c>
      <c r="I72" s="8">
        <v>-1</v>
      </c>
      <c r="J72" s="9">
        <v>-2.733020299140199E-2</v>
      </c>
      <c r="K72" s="9">
        <v>0</v>
      </c>
      <c r="L72" s="9">
        <v>-2.789601485088045E-2</v>
      </c>
      <c r="M72" s="9">
        <v>0</v>
      </c>
      <c r="N72" s="9">
        <v>0</v>
      </c>
      <c r="O72" s="9">
        <v>2.856638548452772E-2</v>
      </c>
      <c r="P72" s="9">
        <v>0</v>
      </c>
      <c r="Q72" s="9">
        <v>9.1063023756273731E-3</v>
      </c>
      <c r="R72" s="10">
        <v>0.237811522945644</v>
      </c>
      <c r="S72" s="10">
        <v>0.22307571300530341</v>
      </c>
      <c r="T72" s="10">
        <v>-0.14515695810491699</v>
      </c>
      <c r="U72" s="10">
        <v>0.12938956018751729</v>
      </c>
      <c r="V72" s="10">
        <v>0.38240403494721881</v>
      </c>
      <c r="W72" s="10">
        <v>0.18964270963902541</v>
      </c>
      <c r="X72" s="10">
        <v>0.26636925364720487</v>
      </c>
      <c r="Y72" s="10">
        <v>0.13045478291987611</v>
      </c>
      <c r="Z72" s="7">
        <v>1.413990619186873</v>
      </c>
      <c r="AA72" s="7">
        <v>0.51866161883654571</v>
      </c>
    </row>
    <row r="73" spans="1:27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8">
        <v>-1</v>
      </c>
      <c r="I73" s="8">
        <v>1</v>
      </c>
      <c r="J73" s="9">
        <v>0</v>
      </c>
      <c r="K73" s="9">
        <v>4.3006930684579281E-3</v>
      </c>
      <c r="L73" s="9">
        <v>0</v>
      </c>
      <c r="M73" s="9">
        <v>1.4712372207237871E-2</v>
      </c>
      <c r="N73" s="9">
        <v>-5.4371724093247309E-3</v>
      </c>
      <c r="O73" s="9">
        <v>0</v>
      </c>
      <c r="P73" s="9">
        <v>-1.1741278938509739E-2</v>
      </c>
      <c r="Q73" s="9">
        <v>0</v>
      </c>
      <c r="R73" s="10">
        <v>0.237811522945644</v>
      </c>
      <c r="S73" s="10">
        <v>0.22737640607376131</v>
      </c>
      <c r="T73" s="10">
        <v>-0.14515695810491699</v>
      </c>
      <c r="U73" s="10">
        <v>0.14410193239475519</v>
      </c>
      <c r="V73" s="10">
        <v>0.37696686253789402</v>
      </c>
      <c r="W73" s="10">
        <v>0.18964270963902541</v>
      </c>
      <c r="X73" s="10">
        <v>0.25462797470869508</v>
      </c>
      <c r="Y73" s="10">
        <v>0.13045478291987611</v>
      </c>
      <c r="Z73" s="7">
        <v>1.4158252331147341</v>
      </c>
      <c r="AA73" s="7">
        <v>0.51164397699438369</v>
      </c>
    </row>
    <row r="74" spans="1:27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8">
        <v>1</v>
      </c>
      <c r="I74" s="8">
        <v>-1</v>
      </c>
      <c r="J74" s="9">
        <v>8.2112144585057001E-3</v>
      </c>
      <c r="K74" s="9">
        <v>0</v>
      </c>
      <c r="L74" s="9">
        <v>-7.5486851000283739E-3</v>
      </c>
      <c r="M74" s="9">
        <v>0</v>
      </c>
      <c r="N74" s="9">
        <v>0</v>
      </c>
      <c r="O74" s="9">
        <v>-1.954646840344521E-3</v>
      </c>
      <c r="P74" s="9">
        <v>0</v>
      </c>
      <c r="Q74" s="9">
        <v>4.6726904210331321E-3</v>
      </c>
      <c r="R74" s="10">
        <v>0.24602273740414971</v>
      </c>
      <c r="S74" s="10">
        <v>0.22737640607376131</v>
      </c>
      <c r="T74" s="10">
        <v>-0.1527056432049454</v>
      </c>
      <c r="U74" s="10">
        <v>0.14410193239475519</v>
      </c>
      <c r="V74" s="10">
        <v>0.37696686253789402</v>
      </c>
      <c r="W74" s="10">
        <v>0.18768806279868089</v>
      </c>
      <c r="X74" s="10">
        <v>0.25462797470869508</v>
      </c>
      <c r="Y74" s="10">
        <v>0.13512747334090919</v>
      </c>
      <c r="Z74" s="7">
        <v>1.4192058060538999</v>
      </c>
      <c r="AA74" s="7">
        <v>0.528513567727945</v>
      </c>
    </row>
    <row r="75" spans="1:27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8">
        <v>1</v>
      </c>
      <c r="I75" s="8">
        <v>-1</v>
      </c>
      <c r="J75" s="9">
        <v>-4.0381679180580887E-2</v>
      </c>
      <c r="K75" s="9">
        <v>0</v>
      </c>
      <c r="L75" s="9">
        <v>-1.05061330802646E-2</v>
      </c>
      <c r="M75" s="9">
        <v>0</v>
      </c>
      <c r="N75" s="9">
        <v>0</v>
      </c>
      <c r="O75" s="9">
        <v>1.33766415721801E-2</v>
      </c>
      <c r="P75" s="9">
        <v>0</v>
      </c>
      <c r="Q75" s="9">
        <v>2.5228590374348211E-2</v>
      </c>
      <c r="R75" s="10">
        <v>0.20564105822356879</v>
      </c>
      <c r="S75" s="10">
        <v>0.22737640607376131</v>
      </c>
      <c r="T75" s="10">
        <v>-0.16321177628521</v>
      </c>
      <c r="U75" s="10">
        <v>0.14410193239475519</v>
      </c>
      <c r="V75" s="10">
        <v>0.37696686253789402</v>
      </c>
      <c r="W75" s="10">
        <v>0.20106470437086099</v>
      </c>
      <c r="X75" s="10">
        <v>0.25462797470869508</v>
      </c>
      <c r="Y75" s="10">
        <v>0.16035606371525751</v>
      </c>
      <c r="Z75" s="7">
        <v>1.4069232257395829</v>
      </c>
      <c r="AA75" s="7">
        <v>0.4391498026503835</v>
      </c>
    </row>
    <row r="76" spans="1:27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8">
        <v>1</v>
      </c>
      <c r="I76" s="8">
        <v>-1</v>
      </c>
      <c r="J76" s="9">
        <v>2.0614681242287491E-2</v>
      </c>
      <c r="K76" s="9">
        <v>0</v>
      </c>
      <c r="L76" s="9">
        <v>2.3835432990195419E-2</v>
      </c>
      <c r="M76" s="9">
        <v>0</v>
      </c>
      <c r="N76" s="9">
        <v>0</v>
      </c>
      <c r="O76" s="9">
        <v>0.1448908688971601</v>
      </c>
      <c r="P76" s="9">
        <v>0</v>
      </c>
      <c r="Q76" s="9">
        <v>4.4570129663613622E-2</v>
      </c>
      <c r="R76" s="10">
        <v>0.22625573946585631</v>
      </c>
      <c r="S76" s="10">
        <v>0.22737640607376131</v>
      </c>
      <c r="T76" s="10">
        <v>-0.13937634329501461</v>
      </c>
      <c r="U76" s="10">
        <v>0.14410193239475519</v>
      </c>
      <c r="V76" s="10">
        <v>0.37696686253789402</v>
      </c>
      <c r="W76" s="10">
        <v>0.34595557326802112</v>
      </c>
      <c r="X76" s="10">
        <v>0.25462797470869508</v>
      </c>
      <c r="Y76" s="10">
        <v>0.20492619337887111</v>
      </c>
      <c r="Z76" s="7">
        <v>1.640834338532839</v>
      </c>
      <c r="AA76" s="7">
        <v>0.29344567057534449</v>
      </c>
    </row>
    <row r="77" spans="1:27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8">
        <v>1</v>
      </c>
      <c r="I77" s="8">
        <v>-1</v>
      </c>
      <c r="J77" s="9">
        <v>0.12792914896507249</v>
      </c>
      <c r="K77" s="9">
        <v>0</v>
      </c>
      <c r="L77" s="9">
        <v>-2.7467418618786651E-2</v>
      </c>
      <c r="M77" s="9">
        <v>0</v>
      </c>
      <c r="N77" s="9">
        <v>0</v>
      </c>
      <c r="O77" s="9">
        <v>2.7547214869506401E-2</v>
      </c>
      <c r="P77" s="9">
        <v>0</v>
      </c>
      <c r="Q77" s="9">
        <v>1.957608314798542E-2</v>
      </c>
      <c r="R77" s="10">
        <v>0.35418488843092882</v>
      </c>
      <c r="S77" s="10">
        <v>0.22737640607376131</v>
      </c>
      <c r="T77" s="10">
        <v>-0.16684376191380121</v>
      </c>
      <c r="U77" s="10">
        <v>0.14410193239475519</v>
      </c>
      <c r="V77" s="10">
        <v>0.37696686253789402</v>
      </c>
      <c r="W77" s="10">
        <v>0.37350278813752752</v>
      </c>
      <c r="X77" s="10">
        <v>0.25462797470869508</v>
      </c>
      <c r="Y77" s="10">
        <v>0.2245022765268565</v>
      </c>
      <c r="Z77" s="7">
        <v>1.7884193668966171</v>
      </c>
      <c r="AA77" s="7">
        <v>0.23947101210538729</v>
      </c>
    </row>
    <row r="78" spans="1:27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8">
        <v>1</v>
      </c>
      <c r="I78" s="8">
        <v>-1</v>
      </c>
      <c r="J78" s="9">
        <v>2.3530380839905659E-2</v>
      </c>
      <c r="K78" s="9">
        <v>0</v>
      </c>
      <c r="L78" s="9">
        <v>2.0439188547375031E-2</v>
      </c>
      <c r="M78" s="9">
        <v>0</v>
      </c>
      <c r="N78" s="9">
        <v>0</v>
      </c>
      <c r="O78" s="9">
        <v>1.835274626979877E-2</v>
      </c>
      <c r="P78" s="9">
        <v>0</v>
      </c>
      <c r="Q78" s="9">
        <v>4.845540224551248E-2</v>
      </c>
      <c r="R78" s="10">
        <v>0.37771526927083438</v>
      </c>
      <c r="S78" s="10">
        <v>0.22737640607376131</v>
      </c>
      <c r="T78" s="10">
        <v>-0.14640457336642621</v>
      </c>
      <c r="U78" s="10">
        <v>0.14410193239475519</v>
      </c>
      <c r="V78" s="10">
        <v>0.37696686253789402</v>
      </c>
      <c r="W78" s="10">
        <v>0.39185553440732618</v>
      </c>
      <c r="X78" s="10">
        <v>0.25462797470869508</v>
      </c>
      <c r="Y78" s="10">
        <v>0.27295767877236898</v>
      </c>
      <c r="Z78" s="7">
        <v>1.899197084799209</v>
      </c>
      <c r="AA78" s="7">
        <v>0.25821304401159489</v>
      </c>
    </row>
    <row r="79" spans="1:27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8">
        <v>-1</v>
      </c>
      <c r="I79" s="8">
        <v>1</v>
      </c>
      <c r="J79" s="9">
        <v>0</v>
      </c>
      <c r="K79" s="9">
        <v>1.9905661305834599E-3</v>
      </c>
      <c r="L79" s="9">
        <v>0</v>
      </c>
      <c r="M79" s="9">
        <v>-3.6371146237892497E-2</v>
      </c>
      <c r="N79" s="9">
        <v>9.7613569844824388E-3</v>
      </c>
      <c r="O79" s="9">
        <v>0</v>
      </c>
      <c r="P79" s="9">
        <v>5.7855746218261388E-2</v>
      </c>
      <c r="Q79" s="9">
        <v>0</v>
      </c>
      <c r="R79" s="10">
        <v>0.37771526927083438</v>
      </c>
      <c r="S79" s="10">
        <v>0.22936697220434479</v>
      </c>
      <c r="T79" s="10">
        <v>-0.14640457336642621</v>
      </c>
      <c r="U79" s="10">
        <v>0.1077307861568627</v>
      </c>
      <c r="V79" s="10">
        <v>0.38672821952237652</v>
      </c>
      <c r="W79" s="10">
        <v>0.39185553440732618</v>
      </c>
      <c r="X79" s="10">
        <v>0.31248372092695648</v>
      </c>
      <c r="Y79" s="10">
        <v>0.27295767877236898</v>
      </c>
      <c r="Z79" s="7">
        <v>1.932433607894644</v>
      </c>
      <c r="AA79" s="7">
        <v>0.17839426761156441</v>
      </c>
    </row>
    <row r="80" spans="1:27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8">
        <v>1</v>
      </c>
      <c r="I80" s="8">
        <v>-1</v>
      </c>
      <c r="J80" s="9">
        <v>-8.5724016159275385E-3</v>
      </c>
      <c r="K80" s="9">
        <v>0</v>
      </c>
      <c r="L80" s="9">
        <v>2.8880358899958439E-2</v>
      </c>
      <c r="M80" s="9">
        <v>0</v>
      </c>
      <c r="N80" s="9">
        <v>0</v>
      </c>
      <c r="O80" s="9">
        <v>-4.9510470024054509E-2</v>
      </c>
      <c r="P80" s="9">
        <v>0</v>
      </c>
      <c r="Q80" s="9">
        <v>-1.095184187889175E-2</v>
      </c>
      <c r="R80" s="10">
        <v>0.36914286765490689</v>
      </c>
      <c r="S80" s="10">
        <v>0.22936697220434479</v>
      </c>
      <c r="T80" s="10">
        <v>-0.1175242144664678</v>
      </c>
      <c r="U80" s="10">
        <v>0.1077307861568627</v>
      </c>
      <c r="V80" s="10">
        <v>0.38672821952237652</v>
      </c>
      <c r="W80" s="10">
        <v>0.34234506438327172</v>
      </c>
      <c r="X80" s="10">
        <v>0.31248372092695648</v>
      </c>
      <c r="Y80" s="10">
        <v>0.26200583689347717</v>
      </c>
      <c r="Z80" s="7">
        <v>1.892279253275728</v>
      </c>
      <c r="AA80" s="7">
        <v>6.9329975239351027E-2</v>
      </c>
    </row>
    <row r="81" spans="1:27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8">
        <v>-1</v>
      </c>
      <c r="I81" s="8">
        <v>1</v>
      </c>
      <c r="J81" s="9">
        <v>0</v>
      </c>
      <c r="K81" s="9">
        <v>-3.9714469920009272E-2</v>
      </c>
      <c r="L81" s="9">
        <v>0</v>
      </c>
      <c r="M81" s="9">
        <v>1.7379348294892741E-2</v>
      </c>
      <c r="N81" s="9">
        <v>-6.7962672189040507E-2</v>
      </c>
      <c r="O81" s="9">
        <v>0</v>
      </c>
      <c r="P81" s="9">
        <v>-2.6434018511824361E-2</v>
      </c>
      <c r="Q81" s="9">
        <v>0</v>
      </c>
      <c r="R81" s="10">
        <v>0.36914286765490689</v>
      </c>
      <c r="S81" s="10">
        <v>0.1896525022843355</v>
      </c>
      <c r="T81" s="10">
        <v>-0.1175242144664678</v>
      </c>
      <c r="U81" s="10">
        <v>0.12511013445175551</v>
      </c>
      <c r="V81" s="10">
        <v>0.31876554733333601</v>
      </c>
      <c r="W81" s="10">
        <v>0.34234506438327172</v>
      </c>
      <c r="X81" s="10">
        <v>0.28604970241513222</v>
      </c>
      <c r="Y81" s="10">
        <v>0.26200583689347717</v>
      </c>
      <c r="Z81" s="7">
        <v>1.7755474409497469</v>
      </c>
      <c r="AA81" s="7">
        <v>0.15890209923143339</v>
      </c>
    </row>
    <row r="82" spans="1:27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8">
        <v>-1</v>
      </c>
      <c r="I82" s="8">
        <v>1</v>
      </c>
      <c r="J82" s="9">
        <v>0</v>
      </c>
      <c r="K82" s="9">
        <v>-3.3933429598343327E-2</v>
      </c>
      <c r="L82" s="9">
        <v>0</v>
      </c>
      <c r="M82" s="9">
        <v>-3.5016451376242097E-2</v>
      </c>
      <c r="N82" s="9">
        <v>2.739369441695072E-2</v>
      </c>
      <c r="O82" s="9">
        <v>0</v>
      </c>
      <c r="P82" s="9">
        <v>2.5295945271269219E-2</v>
      </c>
      <c r="Q82" s="9">
        <v>0</v>
      </c>
      <c r="R82" s="10">
        <v>0.36914286765490689</v>
      </c>
      <c r="S82" s="10">
        <v>0.15571907268599219</v>
      </c>
      <c r="T82" s="10">
        <v>-0.1175242144664678</v>
      </c>
      <c r="U82" s="10">
        <v>9.0093683075513353E-2</v>
      </c>
      <c r="V82" s="10">
        <v>0.34615924175028667</v>
      </c>
      <c r="W82" s="10">
        <v>0.34234506438327172</v>
      </c>
      <c r="X82" s="10">
        <v>0.31134564768640138</v>
      </c>
      <c r="Y82" s="10">
        <v>0.26200583689347717</v>
      </c>
      <c r="Z82" s="7">
        <v>1.759287199663381</v>
      </c>
      <c r="AA82" s="7">
        <v>0.25728616310347802</v>
      </c>
    </row>
    <row r="83" spans="1:27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8">
        <v>-1</v>
      </c>
      <c r="I83" s="8">
        <v>1</v>
      </c>
      <c r="J83" s="9">
        <v>0</v>
      </c>
      <c r="K83" s="9">
        <v>-3.7276745372446192E-2</v>
      </c>
      <c r="L83" s="9">
        <v>0</v>
      </c>
      <c r="M83" s="9">
        <v>-3.5771461720889301E-3</v>
      </c>
      <c r="N83" s="9">
        <v>3.9427661095328033E-2</v>
      </c>
      <c r="O83" s="9">
        <v>0</v>
      </c>
      <c r="P83" s="9">
        <v>3.1596843501349607E-2</v>
      </c>
      <c r="Q83" s="9">
        <v>0</v>
      </c>
      <c r="R83" s="10">
        <v>0.36914286765490689</v>
      </c>
      <c r="S83" s="10">
        <v>0.11844232731354599</v>
      </c>
      <c r="T83" s="10">
        <v>-0.1175242144664678</v>
      </c>
      <c r="U83" s="10">
        <v>8.6516536903424424E-2</v>
      </c>
      <c r="V83" s="10">
        <v>0.3855869028456147</v>
      </c>
      <c r="W83" s="10">
        <v>0.34234506438327172</v>
      </c>
      <c r="X83" s="10">
        <v>0.342942491187751</v>
      </c>
      <c r="Y83" s="10">
        <v>0.26200583689347717</v>
      </c>
      <c r="Z83" s="7">
        <v>1.7894578127155241</v>
      </c>
      <c r="AA83" s="7">
        <v>0.31702967772106361</v>
      </c>
    </row>
    <row r="84" spans="1:27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8">
        <v>-1</v>
      </c>
      <c r="I84" s="8">
        <v>1</v>
      </c>
      <c r="J84" s="9">
        <v>0</v>
      </c>
      <c r="K84" s="9">
        <v>1.6904021416241921E-4</v>
      </c>
      <c r="L84" s="9">
        <v>0</v>
      </c>
      <c r="M84" s="9">
        <v>3.1264166454139541E-2</v>
      </c>
      <c r="N84" s="9">
        <v>2.200910553779856E-2</v>
      </c>
      <c r="O84" s="9">
        <v>0</v>
      </c>
      <c r="P84" s="9">
        <v>4.3077912124769302E-2</v>
      </c>
      <c r="Q84" s="9">
        <v>0</v>
      </c>
      <c r="R84" s="10">
        <v>0.36914286765490689</v>
      </c>
      <c r="S84" s="10">
        <v>0.1186113675277084</v>
      </c>
      <c r="T84" s="10">
        <v>-0.1175242144664678</v>
      </c>
      <c r="U84" s="10">
        <v>0.11778070335756401</v>
      </c>
      <c r="V84" s="10">
        <v>0.40759600838341331</v>
      </c>
      <c r="W84" s="10">
        <v>0.34234506438327172</v>
      </c>
      <c r="X84" s="10">
        <v>0.3860204033125203</v>
      </c>
      <c r="Y84" s="10">
        <v>0.26200583689347717</v>
      </c>
      <c r="Z84" s="7">
        <v>1.8859780370463941</v>
      </c>
      <c r="AA84" s="7">
        <v>0.31802884341737281</v>
      </c>
    </row>
    <row r="85" spans="1:27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8">
        <v>-1</v>
      </c>
      <c r="I85" s="8">
        <v>1</v>
      </c>
      <c r="J85" s="9">
        <v>0</v>
      </c>
      <c r="K85" s="9">
        <v>-3.3870868820203848E-2</v>
      </c>
      <c r="L85" s="9">
        <v>0</v>
      </c>
      <c r="M85" s="9">
        <v>2.298695640891513E-2</v>
      </c>
      <c r="N85" s="9">
        <v>-4.3330083383508973E-2</v>
      </c>
      <c r="O85" s="9">
        <v>0</v>
      </c>
      <c r="P85" s="9">
        <v>-2.3607621759027309E-2</v>
      </c>
      <c r="Q85" s="9">
        <v>0</v>
      </c>
      <c r="R85" s="10">
        <v>0.36914286765490689</v>
      </c>
      <c r="S85" s="10">
        <v>8.4740498707504552E-2</v>
      </c>
      <c r="T85" s="10">
        <v>-0.1175242144664678</v>
      </c>
      <c r="U85" s="10">
        <v>0.14076765976647909</v>
      </c>
      <c r="V85" s="10">
        <v>0.36426592499990429</v>
      </c>
      <c r="W85" s="10">
        <v>0.34234506438327172</v>
      </c>
      <c r="X85" s="10">
        <v>0.36241278155349299</v>
      </c>
      <c r="Y85" s="10">
        <v>0.26200583689347717</v>
      </c>
      <c r="Z85" s="7">
        <v>1.808156419492569</v>
      </c>
      <c r="AA85" s="7">
        <v>0.39174213920396078</v>
      </c>
    </row>
    <row r="86" spans="1:27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8">
        <v>-1</v>
      </c>
      <c r="I86" s="8">
        <v>1</v>
      </c>
      <c r="J86" s="9">
        <v>0</v>
      </c>
      <c r="K86" s="9">
        <v>4.9206132855534879E-3</v>
      </c>
      <c r="L86" s="9">
        <v>0</v>
      </c>
      <c r="M86" s="9">
        <v>2.9940695062022019E-2</v>
      </c>
      <c r="N86" s="9">
        <v>2.4140895162283679E-2</v>
      </c>
      <c r="O86" s="9">
        <v>0</v>
      </c>
      <c r="P86" s="9">
        <v>4.2974910925534397E-2</v>
      </c>
      <c r="Q86" s="9">
        <v>0</v>
      </c>
      <c r="R86" s="10">
        <v>0.36914286765490689</v>
      </c>
      <c r="S86" s="10">
        <v>8.966111199305804E-2</v>
      </c>
      <c r="T86" s="10">
        <v>-0.1175242144664678</v>
      </c>
      <c r="U86" s="10">
        <v>0.17070835482850111</v>
      </c>
      <c r="V86" s="10">
        <v>0.38840682016218803</v>
      </c>
      <c r="W86" s="10">
        <v>0.34234506438327172</v>
      </c>
      <c r="X86" s="10">
        <v>0.4053876924790274</v>
      </c>
      <c r="Y86" s="10">
        <v>0.26200583689347717</v>
      </c>
      <c r="Z86" s="7">
        <v>1.9101335339279619</v>
      </c>
      <c r="AA86" s="7">
        <v>0.42911737494667129</v>
      </c>
    </row>
    <row r="87" spans="1:27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8">
        <v>-1</v>
      </c>
      <c r="I87" s="8">
        <v>1</v>
      </c>
      <c r="J87" s="9">
        <v>0</v>
      </c>
      <c r="K87" s="9">
        <v>1.3638821985546329E-2</v>
      </c>
      <c r="L87" s="9">
        <v>0</v>
      </c>
      <c r="M87" s="9">
        <v>2.5586219501963159E-2</v>
      </c>
      <c r="N87" s="9">
        <v>5.0966240374167304E-3</v>
      </c>
      <c r="O87" s="9">
        <v>0</v>
      </c>
      <c r="P87" s="9">
        <v>1.8073954955455721E-2</v>
      </c>
      <c r="Q87" s="9">
        <v>0</v>
      </c>
      <c r="R87" s="10">
        <v>0.36914286765490689</v>
      </c>
      <c r="S87" s="10">
        <v>0.1032999339786044</v>
      </c>
      <c r="T87" s="10">
        <v>-0.1175242144664678</v>
      </c>
      <c r="U87" s="10">
        <v>0.19629457433046429</v>
      </c>
      <c r="V87" s="10">
        <v>0.3935034441996047</v>
      </c>
      <c r="W87" s="10">
        <v>0.34234506438327172</v>
      </c>
      <c r="X87" s="10">
        <v>0.42346164743448311</v>
      </c>
      <c r="Y87" s="10">
        <v>0.26200583689347717</v>
      </c>
      <c r="Z87" s="7">
        <v>1.9725291544083441</v>
      </c>
      <c r="AA87" s="7">
        <v>0.46489984531036982</v>
      </c>
    </row>
    <row r="88" spans="1:27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8">
        <v>-1</v>
      </c>
      <c r="I88" s="8">
        <v>1</v>
      </c>
      <c r="J88" s="9">
        <v>0</v>
      </c>
      <c r="K88" s="9">
        <v>4.308525226800175E-2</v>
      </c>
      <c r="L88" s="9">
        <v>0</v>
      </c>
      <c r="M88" s="9">
        <v>-3.358903625060528E-3</v>
      </c>
      <c r="N88" s="9">
        <v>2.5266409483466479E-3</v>
      </c>
      <c r="O88" s="9">
        <v>0</v>
      </c>
      <c r="P88" s="9">
        <v>-8.7092855603934094E-3</v>
      </c>
      <c r="Q88" s="9">
        <v>0</v>
      </c>
      <c r="R88" s="10">
        <v>0.36914286765490689</v>
      </c>
      <c r="S88" s="10">
        <v>0.1463851862466061</v>
      </c>
      <c r="T88" s="10">
        <v>-0.1175242144664678</v>
      </c>
      <c r="U88" s="10">
        <v>0.19293567070540371</v>
      </c>
      <c r="V88" s="10">
        <v>0.39603008514795129</v>
      </c>
      <c r="W88" s="10">
        <v>0.34234506438327172</v>
      </c>
      <c r="X88" s="10">
        <v>0.4147523618740897</v>
      </c>
      <c r="Y88" s="10">
        <v>0.26200583689347717</v>
      </c>
      <c r="Z88" s="7">
        <v>2.006072858439238</v>
      </c>
      <c r="AA88" s="7">
        <v>0.44737664518418369</v>
      </c>
    </row>
    <row r="89" spans="1:27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8">
        <v>-1</v>
      </c>
      <c r="I89" s="8">
        <v>1</v>
      </c>
      <c r="J89" s="9">
        <v>0</v>
      </c>
      <c r="K89" s="9">
        <v>-4.8764891546986266E-3</v>
      </c>
      <c r="L89" s="9">
        <v>0</v>
      </c>
      <c r="M89" s="9">
        <v>1.5790483099045179E-2</v>
      </c>
      <c r="N89" s="9">
        <v>3.4097587039318533E-2</v>
      </c>
      <c r="O89" s="9">
        <v>0</v>
      </c>
      <c r="P89" s="9">
        <v>2.2589069124618E-2</v>
      </c>
      <c r="Q89" s="9">
        <v>0</v>
      </c>
      <c r="R89" s="10">
        <v>0.36914286765490689</v>
      </c>
      <c r="S89" s="10">
        <v>0.1415086970919075</v>
      </c>
      <c r="T89" s="10">
        <v>-0.1175242144664678</v>
      </c>
      <c r="U89" s="10">
        <v>0.20872615380444889</v>
      </c>
      <c r="V89" s="10">
        <v>0.43012767218726988</v>
      </c>
      <c r="W89" s="10">
        <v>0.34234506438327172</v>
      </c>
      <c r="X89" s="10">
        <v>0.4373414309987077</v>
      </c>
      <c r="Y89" s="10">
        <v>0.26200583689347717</v>
      </c>
      <c r="Z89" s="7">
        <v>2.0736735085475222</v>
      </c>
      <c r="AA89" s="7">
        <v>0.50812505477479653</v>
      </c>
    </row>
    <row r="90" spans="1:27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8">
        <v>-1</v>
      </c>
      <c r="I90" s="8">
        <v>1</v>
      </c>
      <c r="J90" s="9">
        <v>0</v>
      </c>
      <c r="K90" s="9">
        <v>-1.0572474053984759E-3</v>
      </c>
      <c r="L90" s="9">
        <v>0</v>
      </c>
      <c r="M90" s="9">
        <v>-1.0121531200303459E-2</v>
      </c>
      <c r="N90" s="9">
        <v>8.2766618055040153E-3</v>
      </c>
      <c r="O90" s="9">
        <v>0</v>
      </c>
      <c r="P90" s="9">
        <v>2.9998343475997721E-2</v>
      </c>
      <c r="Q90" s="9">
        <v>0</v>
      </c>
      <c r="R90" s="10">
        <v>0.36914286765490689</v>
      </c>
      <c r="S90" s="10">
        <v>0.14045144968650899</v>
      </c>
      <c r="T90" s="10">
        <v>-0.1175242144664678</v>
      </c>
      <c r="U90" s="10">
        <v>0.19860462260414549</v>
      </c>
      <c r="V90" s="10">
        <v>0.4384043339927739</v>
      </c>
      <c r="W90" s="10">
        <v>0.34234506438327172</v>
      </c>
      <c r="X90" s="10">
        <v>0.46733977447470543</v>
      </c>
      <c r="Y90" s="10">
        <v>0.26200583689347717</v>
      </c>
      <c r="Z90" s="7">
        <v>2.100769735223321</v>
      </c>
      <c r="AA90" s="7">
        <v>0.52750814274802582</v>
      </c>
    </row>
    <row r="91" spans="1:27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8">
        <v>1</v>
      </c>
      <c r="I91" s="8">
        <v>-1</v>
      </c>
      <c r="J91" s="9">
        <v>-2.1774215815850258E-2</v>
      </c>
      <c r="K91" s="9">
        <v>0</v>
      </c>
      <c r="L91" s="9">
        <v>-7.97830739722305E-3</v>
      </c>
      <c r="M91" s="9">
        <v>0</v>
      </c>
      <c r="N91" s="9">
        <v>0</v>
      </c>
      <c r="O91" s="9">
        <v>-2.785981521645442E-2</v>
      </c>
      <c r="P91" s="9">
        <v>0</v>
      </c>
      <c r="Q91" s="9">
        <v>-6.5839058472845213E-3</v>
      </c>
      <c r="R91" s="10">
        <v>0.34736865183905657</v>
      </c>
      <c r="S91" s="10">
        <v>0.14045144968650899</v>
      </c>
      <c r="T91" s="10">
        <v>-0.12550252186369079</v>
      </c>
      <c r="U91" s="10">
        <v>0.19860462260414549</v>
      </c>
      <c r="V91" s="10">
        <v>0.4384043339927739</v>
      </c>
      <c r="W91" s="10">
        <v>0.3144852491668173</v>
      </c>
      <c r="X91" s="10">
        <v>0.46733977447470543</v>
      </c>
      <c r="Y91" s="10">
        <v>0.25542193104619271</v>
      </c>
      <c r="Z91" s="7">
        <v>2.036573490946509</v>
      </c>
      <c r="AA91" s="7">
        <v>0.49152443385029132</v>
      </c>
    </row>
    <row r="92" spans="1:27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8">
        <v>-1</v>
      </c>
      <c r="I92" s="8">
        <v>1</v>
      </c>
      <c r="J92" s="9">
        <v>0</v>
      </c>
      <c r="K92" s="9">
        <v>3.6679436318350911E-3</v>
      </c>
      <c r="L92" s="9">
        <v>0</v>
      </c>
      <c r="M92" s="9">
        <v>2.8813313910169391E-2</v>
      </c>
      <c r="N92" s="9">
        <v>-6.1278702151450481E-3</v>
      </c>
      <c r="O92" s="9">
        <v>0</v>
      </c>
      <c r="P92" s="9">
        <v>-1.8509374894981609E-4</v>
      </c>
      <c r="Q92" s="9">
        <v>0</v>
      </c>
      <c r="R92" s="10">
        <v>0.34736865183905657</v>
      </c>
      <c r="S92" s="10">
        <v>0.14411939331834411</v>
      </c>
      <c r="T92" s="10">
        <v>-0.12550252186369079</v>
      </c>
      <c r="U92" s="10">
        <v>0.22741793651431491</v>
      </c>
      <c r="V92" s="10">
        <v>0.43227646377762879</v>
      </c>
      <c r="W92" s="10">
        <v>0.3144852491668173</v>
      </c>
      <c r="X92" s="10">
        <v>0.46715468072575561</v>
      </c>
      <c r="Y92" s="10">
        <v>0.25542193104619271</v>
      </c>
      <c r="Z92" s="7">
        <v>2.0627417845244191</v>
      </c>
      <c r="AA92" s="7">
        <v>0.52336744737123875</v>
      </c>
    </row>
    <row r="93" spans="1:27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8">
        <v>-1</v>
      </c>
      <c r="I93" s="8">
        <v>1</v>
      </c>
      <c r="J93" s="9">
        <v>0</v>
      </c>
      <c r="K93" s="9">
        <v>-8.92086015876703E-3</v>
      </c>
      <c r="L93" s="9">
        <v>0</v>
      </c>
      <c r="M93" s="9">
        <v>-1.92345637026109E-2</v>
      </c>
      <c r="N93" s="9">
        <v>3.1367671260531298E-2</v>
      </c>
      <c r="O93" s="9">
        <v>0</v>
      </c>
      <c r="P93" s="9">
        <v>1.211743193415005E-2</v>
      </c>
      <c r="Q93" s="9">
        <v>0</v>
      </c>
      <c r="R93" s="10">
        <v>0.34736865183905657</v>
      </c>
      <c r="S93" s="10">
        <v>0.13519853315957711</v>
      </c>
      <c r="T93" s="10">
        <v>-0.12550252186369079</v>
      </c>
      <c r="U93" s="10">
        <v>0.20818337281170399</v>
      </c>
      <c r="V93" s="10">
        <v>0.46364413503816021</v>
      </c>
      <c r="W93" s="10">
        <v>0.3144852491668173</v>
      </c>
      <c r="X93" s="10">
        <v>0.47927211265990571</v>
      </c>
      <c r="Y93" s="10">
        <v>0.25542193104619271</v>
      </c>
      <c r="Z93" s="7">
        <v>2.078071463857722</v>
      </c>
      <c r="AA93" s="7">
        <v>0.58278988741933513</v>
      </c>
    </row>
    <row r="94" spans="1:27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8">
        <v>-1</v>
      </c>
      <c r="I94" s="8">
        <v>1</v>
      </c>
      <c r="J94" s="9">
        <v>0</v>
      </c>
      <c r="K94" s="9">
        <v>1.7867176265855319E-2</v>
      </c>
      <c r="L94" s="9">
        <v>0</v>
      </c>
      <c r="M94" s="9">
        <v>1.8840573236939769E-2</v>
      </c>
      <c r="N94" s="9">
        <v>1.509637913450435E-2</v>
      </c>
      <c r="O94" s="9">
        <v>0</v>
      </c>
      <c r="P94" s="9">
        <v>4.2479074500810787E-3</v>
      </c>
      <c r="Q94" s="9">
        <v>0</v>
      </c>
      <c r="R94" s="10">
        <v>0.34736865183905657</v>
      </c>
      <c r="S94" s="10">
        <v>0.15306570942543241</v>
      </c>
      <c r="T94" s="10">
        <v>-0.12550252186369079</v>
      </c>
      <c r="U94" s="10">
        <v>0.2270239460486437</v>
      </c>
      <c r="V94" s="10">
        <v>0.4787405141726645</v>
      </c>
      <c r="W94" s="10">
        <v>0.3144852491668173</v>
      </c>
      <c r="X94" s="10">
        <v>0.48352002010998668</v>
      </c>
      <c r="Y94" s="10">
        <v>0.25542193104619271</v>
      </c>
      <c r="Z94" s="7">
        <v>2.134123499945102</v>
      </c>
      <c r="AA94" s="7">
        <v>0.59905381298461358</v>
      </c>
    </row>
    <row r="95" spans="1:27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8">
        <v>1</v>
      </c>
      <c r="I95" s="8">
        <v>-1</v>
      </c>
      <c r="J95" s="9">
        <v>3.1097438791128922E-3</v>
      </c>
      <c r="K95" s="9">
        <v>0</v>
      </c>
      <c r="L95" s="9">
        <v>1.9509097371035788E-2</v>
      </c>
      <c r="M95" s="9">
        <v>0</v>
      </c>
      <c r="N95" s="9">
        <v>0</v>
      </c>
      <c r="O95" s="9">
        <v>6.4597808714520366E-2</v>
      </c>
      <c r="P95" s="9">
        <v>0</v>
      </c>
      <c r="Q95" s="9">
        <v>4.0966885421971688E-2</v>
      </c>
      <c r="R95" s="10">
        <v>0.35047839571816952</v>
      </c>
      <c r="S95" s="10">
        <v>0.15306570942543241</v>
      </c>
      <c r="T95" s="10">
        <v>-0.105993424492655</v>
      </c>
      <c r="U95" s="10">
        <v>0.2270239460486437</v>
      </c>
      <c r="V95" s="10">
        <v>0.4787405141726645</v>
      </c>
      <c r="W95" s="10">
        <v>0.37908305788133773</v>
      </c>
      <c r="X95" s="10">
        <v>0.48352002010998668</v>
      </c>
      <c r="Y95" s="10">
        <v>0.2963888164681644</v>
      </c>
      <c r="Z95" s="7">
        <v>2.2623070353317432</v>
      </c>
      <c r="AA95" s="7">
        <v>0.52028618544984651</v>
      </c>
    </row>
    <row r="96" spans="1:27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8">
        <v>-1</v>
      </c>
      <c r="I96" s="8">
        <v>1</v>
      </c>
      <c r="J96" s="9">
        <v>0</v>
      </c>
      <c r="K96" s="9">
        <v>7.5527018574801486E-2</v>
      </c>
      <c r="L96" s="9">
        <v>0</v>
      </c>
      <c r="M96" s="9">
        <v>4.383463837468371E-2</v>
      </c>
      <c r="N96" s="9">
        <v>-3.4927264468736841E-2</v>
      </c>
      <c r="O96" s="9">
        <v>0</v>
      </c>
      <c r="P96" s="9">
        <v>-2.478433907354893E-2</v>
      </c>
      <c r="Q96" s="9">
        <v>0</v>
      </c>
      <c r="R96" s="10">
        <v>0.35047839571816952</v>
      </c>
      <c r="S96" s="10">
        <v>0.22859272800023389</v>
      </c>
      <c r="T96" s="10">
        <v>-0.105993424492655</v>
      </c>
      <c r="U96" s="10">
        <v>0.27085858442332739</v>
      </c>
      <c r="V96" s="10">
        <v>0.44381324970392771</v>
      </c>
      <c r="W96" s="10">
        <v>0.37908305788133773</v>
      </c>
      <c r="X96" s="10">
        <v>0.4587356810364378</v>
      </c>
      <c r="Y96" s="10">
        <v>0.2963888164681644</v>
      </c>
      <c r="Z96" s="7">
        <v>2.3219570887389431</v>
      </c>
      <c r="AA96" s="7">
        <v>0.46994305422448762</v>
      </c>
    </row>
    <row r="97" spans="1:27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8">
        <v>-1</v>
      </c>
      <c r="I97" s="8">
        <v>1</v>
      </c>
      <c r="J97" s="9">
        <v>0</v>
      </c>
      <c r="K97" s="9">
        <v>-7.4968061133581232E-3</v>
      </c>
      <c r="L97" s="9">
        <v>0</v>
      </c>
      <c r="M97" s="9">
        <v>-3.4454944330239989E-3</v>
      </c>
      <c r="N97" s="9">
        <v>3.8041024159712E-2</v>
      </c>
      <c r="O97" s="9">
        <v>0</v>
      </c>
      <c r="P97" s="9">
        <v>1.624303950197303E-2</v>
      </c>
      <c r="Q97" s="9">
        <v>0</v>
      </c>
      <c r="R97" s="10">
        <v>0.35047839571816952</v>
      </c>
      <c r="S97" s="10">
        <v>0.2210959218868758</v>
      </c>
      <c r="T97" s="10">
        <v>-0.105993424492655</v>
      </c>
      <c r="U97" s="10">
        <v>0.26741308999030339</v>
      </c>
      <c r="V97" s="10">
        <v>0.48185427386363971</v>
      </c>
      <c r="W97" s="10">
        <v>0.37908305788133773</v>
      </c>
      <c r="X97" s="10">
        <v>0.47497872053841078</v>
      </c>
      <c r="Y97" s="10">
        <v>0.2963888164681644</v>
      </c>
      <c r="Z97" s="7">
        <v>2.365298851854245</v>
      </c>
      <c r="AA97" s="7">
        <v>0.53765296972452159</v>
      </c>
    </row>
    <row r="98" spans="1:27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8">
        <v>1</v>
      </c>
      <c r="I98" s="8">
        <v>-1</v>
      </c>
      <c r="J98" s="9">
        <v>-2.0488181131885889E-2</v>
      </c>
      <c r="K98" s="9">
        <v>0</v>
      </c>
      <c r="L98" s="9">
        <v>-2.4313808508036661E-2</v>
      </c>
      <c r="M98" s="9">
        <v>0</v>
      </c>
      <c r="N98" s="9">
        <v>0</v>
      </c>
      <c r="O98" s="9">
        <v>-1.9336855217963019E-2</v>
      </c>
      <c r="P98" s="9">
        <v>0</v>
      </c>
      <c r="Q98" s="9">
        <v>-3.4490747662363491E-4</v>
      </c>
      <c r="R98" s="10">
        <v>0.32999021458628358</v>
      </c>
      <c r="S98" s="10">
        <v>0.2210959218868758</v>
      </c>
      <c r="T98" s="10">
        <v>-0.13030723300069169</v>
      </c>
      <c r="U98" s="10">
        <v>0.26741308999030339</v>
      </c>
      <c r="V98" s="10">
        <v>0.48185427386363971</v>
      </c>
      <c r="W98" s="10">
        <v>0.35974620266337459</v>
      </c>
      <c r="X98" s="10">
        <v>0.47497872053841078</v>
      </c>
      <c r="Y98" s="10">
        <v>0.29604390899154082</v>
      </c>
      <c r="Z98" s="7">
        <v>2.300815099519737</v>
      </c>
      <c r="AA98" s="7">
        <v>0.49296642897440651</v>
      </c>
    </row>
    <row r="99" spans="1:27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8">
        <v>-1</v>
      </c>
      <c r="I99" s="8">
        <v>1</v>
      </c>
      <c r="J99" s="9">
        <v>0</v>
      </c>
      <c r="K99" s="9">
        <v>-6.506948185740602E-3</v>
      </c>
      <c r="L99" s="9">
        <v>0</v>
      </c>
      <c r="M99" s="9">
        <v>8.8439347519244649E-3</v>
      </c>
      <c r="N99" s="9">
        <v>4.7946265329462452E-2</v>
      </c>
      <c r="O99" s="9">
        <v>0</v>
      </c>
      <c r="P99" s="9">
        <v>3.1116992128874092E-2</v>
      </c>
      <c r="Q99" s="9">
        <v>0</v>
      </c>
      <c r="R99" s="10">
        <v>0.32999021458628358</v>
      </c>
      <c r="S99" s="10">
        <v>0.21458897370113519</v>
      </c>
      <c r="T99" s="10">
        <v>-0.13030723300069169</v>
      </c>
      <c r="U99" s="10">
        <v>0.27625702474222791</v>
      </c>
      <c r="V99" s="10">
        <v>0.5298005391931021</v>
      </c>
      <c r="W99" s="10">
        <v>0.35974620266337459</v>
      </c>
      <c r="X99" s="10">
        <v>0.50609571266728492</v>
      </c>
      <c r="Y99" s="10">
        <v>0.29604390899154082</v>
      </c>
      <c r="Z99" s="7">
        <v>2.382215343544257</v>
      </c>
      <c r="AA99" s="7">
        <v>0.57987773586595648</v>
      </c>
    </row>
    <row r="100" spans="1:27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8">
        <v>-1</v>
      </c>
      <c r="I100" s="8">
        <v>1</v>
      </c>
      <c r="J100" s="9">
        <v>0</v>
      </c>
      <c r="K100" s="9">
        <v>-3.053093443202259E-3</v>
      </c>
      <c r="L100" s="9">
        <v>0</v>
      </c>
      <c r="M100" s="9">
        <v>-2.5521022222826368E-3</v>
      </c>
      <c r="N100" s="9">
        <v>1.5541453141797E-2</v>
      </c>
      <c r="O100" s="9">
        <v>0</v>
      </c>
      <c r="P100" s="9">
        <v>4.0292878528163101E-3</v>
      </c>
      <c r="Q100" s="9">
        <v>0</v>
      </c>
      <c r="R100" s="10">
        <v>0.32999021458628358</v>
      </c>
      <c r="S100" s="10">
        <v>0.21153588025793291</v>
      </c>
      <c r="T100" s="10">
        <v>-0.13030723300069169</v>
      </c>
      <c r="U100" s="10">
        <v>0.27370492251994533</v>
      </c>
      <c r="V100" s="10">
        <v>0.54534199233489911</v>
      </c>
      <c r="W100" s="10">
        <v>0.35974620266337459</v>
      </c>
      <c r="X100" s="10">
        <v>0.51012500052010123</v>
      </c>
      <c r="Y100" s="10">
        <v>0.29604390899154082</v>
      </c>
      <c r="Z100" s="7">
        <v>2.3961808888733849</v>
      </c>
      <c r="AA100" s="7">
        <v>0.61782561805483138</v>
      </c>
    </row>
    <row r="101" spans="1:27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8">
        <v>-1</v>
      </c>
      <c r="I101" s="8">
        <v>1</v>
      </c>
      <c r="J101" s="9">
        <v>0</v>
      </c>
      <c r="K101" s="9">
        <v>1.4774148729976511E-2</v>
      </c>
      <c r="L101" s="9">
        <v>0</v>
      </c>
      <c r="M101" s="9">
        <v>1.899562522835507E-2</v>
      </c>
      <c r="N101" s="9">
        <v>3.5306751267559562E-2</v>
      </c>
      <c r="O101" s="9">
        <v>0</v>
      </c>
      <c r="P101" s="9">
        <v>2.0931563253640761E-2</v>
      </c>
      <c r="Q101" s="9">
        <v>0</v>
      </c>
      <c r="R101" s="10">
        <v>0.32999021458628358</v>
      </c>
      <c r="S101" s="10">
        <v>0.22631002898790939</v>
      </c>
      <c r="T101" s="10">
        <v>-0.13030723300069169</v>
      </c>
      <c r="U101" s="10">
        <v>0.29270054774830029</v>
      </c>
      <c r="V101" s="10">
        <v>0.58064874360245866</v>
      </c>
      <c r="W101" s="10">
        <v>0.35974620266337459</v>
      </c>
      <c r="X101" s="10">
        <v>0.531056563773742</v>
      </c>
      <c r="Y101" s="10">
        <v>0.29604390899154082</v>
      </c>
      <c r="Z101" s="7">
        <v>2.4861889773529171</v>
      </c>
      <c r="AA101" s="7">
        <v>0.61870653554193833</v>
      </c>
    </row>
    <row r="102" spans="1:27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8">
        <v>-1</v>
      </c>
      <c r="I102" s="8">
        <v>1</v>
      </c>
      <c r="J102" s="9">
        <v>0</v>
      </c>
      <c r="K102" s="9">
        <v>-2.875213803400944E-3</v>
      </c>
      <c r="L102" s="9">
        <v>0</v>
      </c>
      <c r="M102" s="9">
        <v>7.3950875545023553E-3</v>
      </c>
      <c r="N102" s="9">
        <v>3.628181362629368E-2</v>
      </c>
      <c r="O102" s="9">
        <v>0</v>
      </c>
      <c r="P102" s="9">
        <v>3.9963850340755107E-2</v>
      </c>
      <c r="Q102" s="9">
        <v>0</v>
      </c>
      <c r="R102" s="10">
        <v>0.32999021458628358</v>
      </c>
      <c r="S102" s="10">
        <v>0.2234348151845085</v>
      </c>
      <c r="T102" s="10">
        <v>-0.13030723300069169</v>
      </c>
      <c r="U102" s="10">
        <v>0.3000956353028027</v>
      </c>
      <c r="V102" s="10">
        <v>0.61693055722875234</v>
      </c>
      <c r="W102" s="10">
        <v>0.35974620266337459</v>
      </c>
      <c r="X102" s="10">
        <v>0.57102041411449711</v>
      </c>
      <c r="Y102" s="10">
        <v>0.29604390899154082</v>
      </c>
      <c r="Z102" s="7">
        <v>2.566954515071068</v>
      </c>
      <c r="AA102" s="7">
        <v>0.68381891049544297</v>
      </c>
    </row>
    <row r="103" spans="1:27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8">
        <v>-1</v>
      </c>
      <c r="I103" s="8">
        <v>1</v>
      </c>
      <c r="J103" s="9">
        <v>0</v>
      </c>
      <c r="K103" s="9">
        <v>3.0658043550980669E-3</v>
      </c>
      <c r="L103" s="9">
        <v>0</v>
      </c>
      <c r="M103" s="9">
        <v>-3.5063178132811461E-3</v>
      </c>
      <c r="N103" s="9">
        <v>1.106374106729446E-2</v>
      </c>
      <c r="O103" s="9">
        <v>0</v>
      </c>
      <c r="P103" s="9">
        <v>1.8685616543382411E-2</v>
      </c>
      <c r="Q103" s="9">
        <v>0</v>
      </c>
      <c r="R103" s="10">
        <v>0.32999021458628358</v>
      </c>
      <c r="S103" s="10">
        <v>0.22650061953960651</v>
      </c>
      <c r="T103" s="10">
        <v>-0.13030723300069169</v>
      </c>
      <c r="U103" s="10">
        <v>0.29658931748952161</v>
      </c>
      <c r="V103" s="10">
        <v>0.6279942982960468</v>
      </c>
      <c r="W103" s="10">
        <v>0.35974620266337459</v>
      </c>
      <c r="X103" s="10">
        <v>0.58970603065787952</v>
      </c>
      <c r="Y103" s="10">
        <v>0.29604390899154082</v>
      </c>
      <c r="Z103" s="7">
        <v>2.596263359223562</v>
      </c>
      <c r="AA103" s="7">
        <v>0.70725956608540319</v>
      </c>
    </row>
    <row r="104" spans="1:27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8">
        <v>-1</v>
      </c>
      <c r="I104" s="8">
        <v>1</v>
      </c>
      <c r="J104" s="9">
        <v>0</v>
      </c>
      <c r="K104" s="9">
        <v>-1.005808878577874E-2</v>
      </c>
      <c r="L104" s="9">
        <v>0</v>
      </c>
      <c r="M104" s="9">
        <v>1.7183129655892859E-2</v>
      </c>
      <c r="N104" s="9">
        <v>2.540084508438201E-2</v>
      </c>
      <c r="O104" s="9">
        <v>0</v>
      </c>
      <c r="P104" s="9">
        <v>1.7983074266329831E-2</v>
      </c>
      <c r="Q104" s="9">
        <v>0</v>
      </c>
      <c r="R104" s="10">
        <v>0.32999021458628358</v>
      </c>
      <c r="S104" s="10">
        <v>0.2164425307538278</v>
      </c>
      <c r="T104" s="10">
        <v>-0.13030723300069169</v>
      </c>
      <c r="U104" s="10">
        <v>0.31377244714541441</v>
      </c>
      <c r="V104" s="10">
        <v>0.65339514338042881</v>
      </c>
      <c r="W104" s="10">
        <v>0.35974620266337459</v>
      </c>
      <c r="X104" s="10">
        <v>0.60768910492420936</v>
      </c>
      <c r="Y104" s="10">
        <v>0.29604390899154082</v>
      </c>
      <c r="Z104" s="7">
        <v>2.6467723194443882</v>
      </c>
      <c r="AA104" s="7">
        <v>0.74192619173960661</v>
      </c>
    </row>
    <row r="105" spans="1:27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8">
        <v>1</v>
      </c>
      <c r="I105" s="8">
        <v>-1</v>
      </c>
      <c r="J105" s="9">
        <v>2.1839555187624819E-2</v>
      </c>
      <c r="K105" s="9">
        <v>0</v>
      </c>
      <c r="L105" s="9">
        <v>8.3279577216403E-3</v>
      </c>
      <c r="M105" s="9">
        <v>0</v>
      </c>
      <c r="N105" s="9">
        <v>0</v>
      </c>
      <c r="O105" s="9">
        <v>1.265349245007652E-2</v>
      </c>
      <c r="P105" s="9">
        <v>0</v>
      </c>
      <c r="Q105" s="9">
        <v>-2.031981196226396E-2</v>
      </c>
      <c r="R105" s="10">
        <v>0.35182976977390851</v>
      </c>
      <c r="S105" s="10">
        <v>0.2164425307538278</v>
      </c>
      <c r="T105" s="10">
        <v>-0.12197927527905141</v>
      </c>
      <c r="U105" s="10">
        <v>0.31377244714541441</v>
      </c>
      <c r="V105" s="10">
        <v>0.65339514338042881</v>
      </c>
      <c r="W105" s="10">
        <v>0.37239969511345122</v>
      </c>
      <c r="X105" s="10">
        <v>0.60768910492420936</v>
      </c>
      <c r="Y105" s="10">
        <v>0.2757240970292768</v>
      </c>
      <c r="Z105" s="7">
        <v>2.6692735128414649</v>
      </c>
      <c r="AA105" s="7">
        <v>0.74321206219355218</v>
      </c>
    </row>
    <row r="106" spans="1:27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8">
        <v>1</v>
      </c>
      <c r="I106" s="8">
        <v>-1</v>
      </c>
      <c r="J106" s="9">
        <v>1.9681546292944829E-2</v>
      </c>
      <c r="K106" s="9">
        <v>0</v>
      </c>
      <c r="L106" s="9">
        <v>-1.3976148507365621E-2</v>
      </c>
      <c r="M106" s="9">
        <v>0</v>
      </c>
      <c r="N106" s="9">
        <v>0</v>
      </c>
      <c r="O106" s="9">
        <v>-5.5075839404019611E-3</v>
      </c>
      <c r="P106" s="9">
        <v>0</v>
      </c>
      <c r="Q106" s="9">
        <v>-1.5064740721673849E-2</v>
      </c>
      <c r="R106" s="10">
        <v>0.37151131606685328</v>
      </c>
      <c r="S106" s="10">
        <v>0.2164425307538278</v>
      </c>
      <c r="T106" s="10">
        <v>-0.13595542378641701</v>
      </c>
      <c r="U106" s="10">
        <v>0.31377244714541441</v>
      </c>
      <c r="V106" s="10">
        <v>0.65339514338042881</v>
      </c>
      <c r="W106" s="10">
        <v>0.36689211117304921</v>
      </c>
      <c r="X106" s="10">
        <v>0.60768910492420936</v>
      </c>
      <c r="Y106" s="10">
        <v>0.26065935630760301</v>
      </c>
      <c r="Z106" s="7">
        <v>2.6544065859649688</v>
      </c>
      <c r="AA106" s="7">
        <v>0.77207627870613438</v>
      </c>
    </row>
    <row r="107" spans="1:27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8">
        <v>1</v>
      </c>
      <c r="I107" s="8">
        <v>-1</v>
      </c>
      <c r="J107" s="9">
        <v>9.7536821874453228E-3</v>
      </c>
      <c r="K107" s="9">
        <v>0</v>
      </c>
      <c r="L107" s="9">
        <v>-1.433877544824114E-2</v>
      </c>
      <c r="M107" s="9">
        <v>0</v>
      </c>
      <c r="N107" s="9">
        <v>0</v>
      </c>
      <c r="O107" s="9">
        <v>1.6399602816304371E-2</v>
      </c>
      <c r="P107" s="9">
        <v>0</v>
      </c>
      <c r="Q107" s="9">
        <v>1.68406054595025E-2</v>
      </c>
      <c r="R107" s="10">
        <v>0.3812649982542986</v>
      </c>
      <c r="S107" s="10">
        <v>0.2164425307538278</v>
      </c>
      <c r="T107" s="10">
        <v>-0.15029419923465809</v>
      </c>
      <c r="U107" s="10">
        <v>0.31377244714541441</v>
      </c>
      <c r="V107" s="10">
        <v>0.65339514338042881</v>
      </c>
      <c r="W107" s="10">
        <v>0.38329171398935358</v>
      </c>
      <c r="X107" s="10">
        <v>0.60768910492420936</v>
      </c>
      <c r="Y107" s="10">
        <v>0.27749996176710551</v>
      </c>
      <c r="Z107" s="7">
        <v>2.6830617009799802</v>
      </c>
      <c r="AA107" s="7">
        <v>0.76125917277680133</v>
      </c>
    </row>
    <row r="108" spans="1:27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8">
        <v>1</v>
      </c>
      <c r="I108" s="8">
        <v>-1</v>
      </c>
      <c r="J108" s="9">
        <v>1.9576589886227121E-2</v>
      </c>
      <c r="K108" s="9">
        <v>0</v>
      </c>
      <c r="L108" s="9">
        <v>2.5927329772757472E-2</v>
      </c>
      <c r="M108" s="9">
        <v>0</v>
      </c>
      <c r="N108" s="9">
        <v>0</v>
      </c>
      <c r="O108" s="9">
        <v>4.4668335779919799E-2</v>
      </c>
      <c r="P108" s="9">
        <v>0</v>
      </c>
      <c r="Q108" s="9">
        <v>-2.7679943885867701E-3</v>
      </c>
      <c r="R108" s="10">
        <v>0.40084158814052567</v>
      </c>
      <c r="S108" s="10">
        <v>0.2164425307538278</v>
      </c>
      <c r="T108" s="10">
        <v>-0.1243668694619007</v>
      </c>
      <c r="U108" s="10">
        <v>0.31377244714541441</v>
      </c>
      <c r="V108" s="10">
        <v>0.65339514338042881</v>
      </c>
      <c r="W108" s="10">
        <v>0.42796004976927338</v>
      </c>
      <c r="X108" s="10">
        <v>0.60768910492420936</v>
      </c>
      <c r="Y108" s="10">
        <v>0.27473196737851868</v>
      </c>
      <c r="Z108" s="7">
        <v>2.7704659620302969</v>
      </c>
      <c r="AA108" s="7">
        <v>0.74539366444177635</v>
      </c>
    </row>
    <row r="109" spans="1:27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8">
        <v>1</v>
      </c>
      <c r="I109" s="8">
        <v>-1</v>
      </c>
      <c r="J109" s="9">
        <v>-3.9528426274924922E-2</v>
      </c>
      <c r="K109" s="9">
        <v>0</v>
      </c>
      <c r="L109" s="9">
        <v>-1.9565489991610559E-2</v>
      </c>
      <c r="M109" s="9">
        <v>0</v>
      </c>
      <c r="N109" s="9">
        <v>0</v>
      </c>
      <c r="O109" s="9">
        <v>-1.843369921447147E-2</v>
      </c>
      <c r="P109" s="9">
        <v>0</v>
      </c>
      <c r="Q109" s="9">
        <v>1.6932542304664011E-2</v>
      </c>
      <c r="R109" s="10">
        <v>0.36131316186560081</v>
      </c>
      <c r="S109" s="10">
        <v>0.2164425307538278</v>
      </c>
      <c r="T109" s="10">
        <v>-0.14393235945351121</v>
      </c>
      <c r="U109" s="10">
        <v>0.31377244714541441</v>
      </c>
      <c r="V109" s="10">
        <v>0.65339514338042881</v>
      </c>
      <c r="W109" s="10">
        <v>0.40952635055480191</v>
      </c>
      <c r="X109" s="10">
        <v>0.60768910492420936</v>
      </c>
      <c r="Y109" s="10">
        <v>0.29166450968318269</v>
      </c>
      <c r="Z109" s="7">
        <v>2.709870888853954</v>
      </c>
      <c r="AA109" s="7">
        <v>0.72611803319983881</v>
      </c>
    </row>
    <row r="110" spans="1:27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8">
        <v>1</v>
      </c>
      <c r="I110" s="8">
        <v>-1</v>
      </c>
      <c r="J110" s="9">
        <v>8.2894492520989904E-2</v>
      </c>
      <c r="K110" s="9">
        <v>0</v>
      </c>
      <c r="L110" s="9">
        <v>3.7258111853094363E-2</v>
      </c>
      <c r="M110" s="9">
        <v>0</v>
      </c>
      <c r="N110" s="9">
        <v>0</v>
      </c>
      <c r="O110" s="9">
        <v>7.2719953971707163E-2</v>
      </c>
      <c r="P110" s="9">
        <v>0</v>
      </c>
      <c r="Q110" s="9">
        <v>4.8816885225864359E-2</v>
      </c>
      <c r="R110" s="10">
        <v>0.44420765438659071</v>
      </c>
      <c r="S110" s="10">
        <v>0.2164425307538278</v>
      </c>
      <c r="T110" s="10">
        <v>-0.1066742476004169</v>
      </c>
      <c r="U110" s="10">
        <v>0.31377244714541441</v>
      </c>
      <c r="V110" s="10">
        <v>0.65339514338042881</v>
      </c>
      <c r="W110" s="10">
        <v>0.48224630452650907</v>
      </c>
      <c r="X110" s="10">
        <v>0.60768910492420936</v>
      </c>
      <c r="Y110" s="10">
        <v>0.34048139490904711</v>
      </c>
      <c r="Z110" s="7">
        <v>2.9515603324256099</v>
      </c>
      <c r="AA110" s="7">
        <v>0.67895343479714498</v>
      </c>
    </row>
    <row r="111" spans="1:27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8">
        <v>1</v>
      </c>
      <c r="I111" s="8">
        <v>-1</v>
      </c>
      <c r="J111" s="9">
        <v>3.4845106398282422E-3</v>
      </c>
      <c r="K111" s="9">
        <v>0</v>
      </c>
      <c r="L111" s="9">
        <v>1.8264435141549521E-2</v>
      </c>
      <c r="M111" s="9">
        <v>0</v>
      </c>
      <c r="N111" s="9">
        <v>0</v>
      </c>
      <c r="O111" s="9">
        <v>2.550400529244801E-2</v>
      </c>
      <c r="P111" s="9">
        <v>0</v>
      </c>
      <c r="Q111" s="9">
        <v>5.3961352687872943E-2</v>
      </c>
      <c r="R111" s="10">
        <v>0.44769216502641901</v>
      </c>
      <c r="S111" s="10">
        <v>0.2164425307538278</v>
      </c>
      <c r="T111" s="10">
        <v>-8.8409812458867365E-2</v>
      </c>
      <c r="U111" s="10">
        <v>0.31377244714541441</v>
      </c>
      <c r="V111" s="10">
        <v>0.65339514338042881</v>
      </c>
      <c r="W111" s="10">
        <v>0.50775030981895708</v>
      </c>
      <c r="X111" s="10">
        <v>0.60768910492420936</v>
      </c>
      <c r="Y111" s="10">
        <v>0.39444274759692</v>
      </c>
      <c r="Z111" s="7">
        <v>3.0527746361873089</v>
      </c>
      <c r="AA111" s="7">
        <v>0.61048167656388042</v>
      </c>
    </row>
    <row r="112" spans="1:27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8">
        <v>-1</v>
      </c>
      <c r="I112" s="8">
        <v>1</v>
      </c>
      <c r="J112" s="9">
        <v>0</v>
      </c>
      <c r="K112" s="9">
        <v>-1.347157187948911E-2</v>
      </c>
      <c r="L112" s="9">
        <v>0</v>
      </c>
      <c r="M112" s="9">
        <v>2.5899482378262121E-2</v>
      </c>
      <c r="N112" s="9">
        <v>2.3375811161540638E-2</v>
      </c>
      <c r="O112" s="9">
        <v>0</v>
      </c>
      <c r="P112" s="9">
        <v>1.8205118410135172E-2</v>
      </c>
      <c r="Q112" s="9">
        <v>0</v>
      </c>
      <c r="R112" s="10">
        <v>0.44769216502641901</v>
      </c>
      <c r="S112" s="10">
        <v>0.20297095887433869</v>
      </c>
      <c r="T112" s="10">
        <v>-8.8409812458867365E-2</v>
      </c>
      <c r="U112" s="10">
        <v>0.33967192952367647</v>
      </c>
      <c r="V112" s="10">
        <v>0.67677095454196945</v>
      </c>
      <c r="W112" s="10">
        <v>0.50775030981895708</v>
      </c>
      <c r="X112" s="10">
        <v>0.62589422333434452</v>
      </c>
      <c r="Y112" s="10">
        <v>0.39444274759692</v>
      </c>
      <c r="Z112" s="7">
        <v>3.1067834762577582</v>
      </c>
      <c r="AA112" s="7">
        <v>0.71764554481044274</v>
      </c>
    </row>
    <row r="113" spans="1:27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8">
        <v>1</v>
      </c>
      <c r="I113" s="8">
        <v>-1</v>
      </c>
      <c r="J113" s="9">
        <v>4.5075342684113513E-2</v>
      </c>
      <c r="K113" s="9">
        <v>0</v>
      </c>
      <c r="L113" s="9">
        <v>1.7867556485685051E-2</v>
      </c>
      <c r="M113" s="9">
        <v>0</v>
      </c>
      <c r="N113" s="9">
        <v>0</v>
      </c>
      <c r="O113" s="9">
        <v>-6.7675756013161337E-3</v>
      </c>
      <c r="P113" s="9">
        <v>0</v>
      </c>
      <c r="Q113" s="9">
        <v>1.482424860008813E-2</v>
      </c>
      <c r="R113" s="10">
        <v>0.49276750771053252</v>
      </c>
      <c r="S113" s="10">
        <v>0.20297095887433869</v>
      </c>
      <c r="T113" s="10">
        <v>-7.0542255973182311E-2</v>
      </c>
      <c r="U113" s="10">
        <v>0.33967192952367647</v>
      </c>
      <c r="V113" s="10">
        <v>0.67677095454196945</v>
      </c>
      <c r="W113" s="10">
        <v>0.50098273421764095</v>
      </c>
      <c r="X113" s="10">
        <v>0.62589422333434452</v>
      </c>
      <c r="Y113" s="10">
        <v>0.40926699619700813</v>
      </c>
      <c r="Z113" s="7">
        <v>3.177783048426329</v>
      </c>
      <c r="AA113" s="7">
        <v>0.71729463695148776</v>
      </c>
    </row>
    <row r="114" spans="1:27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8">
        <v>1</v>
      </c>
      <c r="I114" s="8">
        <v>-1</v>
      </c>
      <c r="J114" s="9">
        <v>1.088518048012033E-2</v>
      </c>
      <c r="K114" s="9">
        <v>0</v>
      </c>
      <c r="L114" s="9">
        <v>-2.1366490350528181E-2</v>
      </c>
      <c r="M114" s="9">
        <v>0</v>
      </c>
      <c r="N114" s="9">
        <v>0</v>
      </c>
      <c r="O114" s="9">
        <v>-1.38912821579279E-2</v>
      </c>
      <c r="P114" s="9">
        <v>0</v>
      </c>
      <c r="Q114" s="9">
        <v>1.0143372532660511E-3</v>
      </c>
      <c r="R114" s="10">
        <v>0.50365268819065279</v>
      </c>
      <c r="S114" s="10">
        <v>0.20297095887433869</v>
      </c>
      <c r="T114" s="10">
        <v>-9.1908746323710488E-2</v>
      </c>
      <c r="U114" s="10">
        <v>0.33967192952367647</v>
      </c>
      <c r="V114" s="10">
        <v>0.67677095454196945</v>
      </c>
      <c r="W114" s="10">
        <v>0.48709145205971299</v>
      </c>
      <c r="X114" s="10">
        <v>0.62589422333434452</v>
      </c>
      <c r="Y114" s="10">
        <v>0.41028133345027418</v>
      </c>
      <c r="Z114" s="7">
        <v>3.1544247936512591</v>
      </c>
      <c r="AA114" s="7">
        <v>0.72909649707832913</v>
      </c>
    </row>
    <row r="115" spans="1:27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8">
        <v>-1</v>
      </c>
      <c r="I115" s="8">
        <v>1</v>
      </c>
      <c r="J115" s="9">
        <v>0</v>
      </c>
      <c r="K115" s="9">
        <v>1.0115263608377889E-3</v>
      </c>
      <c r="L115" s="9">
        <v>0</v>
      </c>
      <c r="M115" s="9">
        <v>3.7318147531354318E-2</v>
      </c>
      <c r="N115" s="9">
        <v>2.0017882973261129E-2</v>
      </c>
      <c r="O115" s="9">
        <v>0</v>
      </c>
      <c r="P115" s="9">
        <v>2.2553778341347971E-2</v>
      </c>
      <c r="Q115" s="9">
        <v>0</v>
      </c>
      <c r="R115" s="10">
        <v>0.50365268819065279</v>
      </c>
      <c r="S115" s="10">
        <v>0.20398248523517651</v>
      </c>
      <c r="T115" s="10">
        <v>-9.1908746323710488E-2</v>
      </c>
      <c r="U115" s="10">
        <v>0.37699007705503079</v>
      </c>
      <c r="V115" s="10">
        <v>0.69678883751523057</v>
      </c>
      <c r="W115" s="10">
        <v>0.48709145205971299</v>
      </c>
      <c r="X115" s="10">
        <v>0.6484480016756925</v>
      </c>
      <c r="Y115" s="10">
        <v>0.41028133345027418</v>
      </c>
      <c r="Z115" s="7">
        <v>3.2353261288580599</v>
      </c>
      <c r="AA115" s="7">
        <v>0.77476546181557937</v>
      </c>
    </row>
    <row r="116" spans="1:27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8">
        <v>-1</v>
      </c>
      <c r="I116" s="8">
        <v>1</v>
      </c>
      <c r="J116" s="9">
        <v>0</v>
      </c>
      <c r="K116" s="9">
        <v>-7.2772189390528652E-3</v>
      </c>
      <c r="L116" s="9">
        <v>0</v>
      </c>
      <c r="M116" s="9">
        <v>5.9779435558354743E-3</v>
      </c>
      <c r="N116" s="9">
        <v>2.6221192813614121E-2</v>
      </c>
      <c r="O116" s="9">
        <v>0</v>
      </c>
      <c r="P116" s="9">
        <v>3.5813702023577809E-2</v>
      </c>
      <c r="Q116" s="9">
        <v>0</v>
      </c>
      <c r="R116" s="10">
        <v>0.50365268819065279</v>
      </c>
      <c r="S116" s="10">
        <v>0.19670526629612359</v>
      </c>
      <c r="T116" s="10">
        <v>-9.1908746323710488E-2</v>
      </c>
      <c r="U116" s="10">
        <v>0.38296802061086632</v>
      </c>
      <c r="V116" s="10">
        <v>0.7230100303288447</v>
      </c>
      <c r="W116" s="10">
        <v>0.48709145205971299</v>
      </c>
      <c r="X116" s="10">
        <v>0.68426170369927031</v>
      </c>
      <c r="Y116" s="10">
        <v>0.41028133345027418</v>
      </c>
      <c r="Z116" s="7">
        <v>3.2960617483120349</v>
      </c>
      <c r="AA116" s="7">
        <v>0.81756238687363458</v>
      </c>
    </row>
    <row r="117" spans="1:27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8">
        <v>-1</v>
      </c>
      <c r="I117" s="8">
        <v>1</v>
      </c>
      <c r="J117" s="9">
        <v>0</v>
      </c>
      <c r="K117" s="9">
        <v>-4.4259570448217378E-3</v>
      </c>
      <c r="L117" s="9">
        <v>0</v>
      </c>
      <c r="M117" s="9">
        <v>3.9230791147519817E-3</v>
      </c>
      <c r="N117" s="9">
        <v>-9.5954388945616031E-3</v>
      </c>
      <c r="O117" s="9">
        <v>0</v>
      </c>
      <c r="P117" s="9">
        <v>1.950120039259096E-3</v>
      </c>
      <c r="Q117" s="9">
        <v>0</v>
      </c>
      <c r="R117" s="10">
        <v>0.50365268819065279</v>
      </c>
      <c r="S117" s="10">
        <v>0.19227930925130191</v>
      </c>
      <c r="T117" s="10">
        <v>-9.1908746323710488E-2</v>
      </c>
      <c r="U117" s="10">
        <v>0.3868910997256183</v>
      </c>
      <c r="V117" s="10">
        <v>0.7134145914342831</v>
      </c>
      <c r="W117" s="10">
        <v>0.48709145205971299</v>
      </c>
      <c r="X117" s="10">
        <v>0.6862118237385294</v>
      </c>
      <c r="Y117" s="10">
        <v>0.41028133345027418</v>
      </c>
      <c r="Z117" s="7">
        <v>3.2879135515266631</v>
      </c>
      <c r="AA117" s="7">
        <v>0.84978303526100751</v>
      </c>
    </row>
    <row r="118" spans="1:27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8">
        <v>1</v>
      </c>
      <c r="I118" s="8">
        <v>-1</v>
      </c>
      <c r="J118" s="9">
        <v>2.2398409440053221E-2</v>
      </c>
      <c r="K118" s="9">
        <v>0</v>
      </c>
      <c r="L118" s="9">
        <v>5.0446636684776669E-3</v>
      </c>
      <c r="M118" s="9">
        <v>0</v>
      </c>
      <c r="N118" s="9">
        <v>0</v>
      </c>
      <c r="O118" s="9">
        <v>1.8416806744192771E-2</v>
      </c>
      <c r="P118" s="9">
        <v>0</v>
      </c>
      <c r="Q118" s="9">
        <v>3.2564629301492072E-2</v>
      </c>
      <c r="R118" s="10">
        <v>0.52605109763070601</v>
      </c>
      <c r="S118" s="10">
        <v>0.19227930925130191</v>
      </c>
      <c r="T118" s="10">
        <v>-8.6864082655232822E-2</v>
      </c>
      <c r="U118" s="10">
        <v>0.3868910997256183</v>
      </c>
      <c r="V118" s="10">
        <v>0.7134145914342831</v>
      </c>
      <c r="W118" s="10">
        <v>0.50550825880390582</v>
      </c>
      <c r="X118" s="10">
        <v>0.6862118237385294</v>
      </c>
      <c r="Y118" s="10">
        <v>0.44284596275176619</v>
      </c>
      <c r="Z118" s="7">
        <v>3.3663380606808779</v>
      </c>
      <c r="AA118" s="7">
        <v>0.84386836634224693</v>
      </c>
    </row>
    <row r="119" spans="1:27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8">
        <v>1</v>
      </c>
      <c r="I119" s="8">
        <v>-1</v>
      </c>
      <c r="J119" s="9">
        <v>-3.6056630659992979E-3</v>
      </c>
      <c r="K119" s="9">
        <v>0</v>
      </c>
      <c r="L119" s="9">
        <v>-2.959100809988191E-2</v>
      </c>
      <c r="M119" s="9">
        <v>0</v>
      </c>
      <c r="N119" s="9">
        <v>0</v>
      </c>
      <c r="O119" s="9">
        <v>1.9816924051218709E-2</v>
      </c>
      <c r="P119" s="9">
        <v>0</v>
      </c>
      <c r="Q119" s="9">
        <v>9.6175007479728514E-3</v>
      </c>
      <c r="R119" s="10">
        <v>0.52244543456470671</v>
      </c>
      <c r="S119" s="10">
        <v>0.19227930925130191</v>
      </c>
      <c r="T119" s="10">
        <v>-0.1164550907551147</v>
      </c>
      <c r="U119" s="10">
        <v>0.3868910997256183</v>
      </c>
      <c r="V119" s="10">
        <v>0.7134145914342831</v>
      </c>
      <c r="W119" s="10">
        <v>0.52532518285512453</v>
      </c>
      <c r="X119" s="10">
        <v>0.6862118237385294</v>
      </c>
      <c r="Y119" s="10">
        <v>0.45246346349973909</v>
      </c>
      <c r="Z119" s="7">
        <v>3.3625758143141891</v>
      </c>
      <c r="AA119" s="7">
        <v>0.78272136711892559</v>
      </c>
    </row>
    <row r="120" spans="1:27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8">
        <v>-1</v>
      </c>
      <c r="I120" s="8">
        <v>1</v>
      </c>
      <c r="J120" s="9">
        <v>0</v>
      </c>
      <c r="K120" s="9">
        <v>-2.778239714532782E-2</v>
      </c>
      <c r="L120" s="9">
        <v>0</v>
      </c>
      <c r="M120" s="9">
        <v>-1.1696513778884031E-2</v>
      </c>
      <c r="N120" s="9">
        <v>5.0017537319737571E-3</v>
      </c>
      <c r="O120" s="9">
        <v>0</v>
      </c>
      <c r="P120" s="9">
        <v>1.6002579762017691E-2</v>
      </c>
      <c r="Q120" s="9">
        <v>0</v>
      </c>
      <c r="R120" s="10">
        <v>0.52244543456470671</v>
      </c>
      <c r="S120" s="10">
        <v>0.16449691210597411</v>
      </c>
      <c r="T120" s="10">
        <v>-0.1164550907551147</v>
      </c>
      <c r="U120" s="10">
        <v>0.37519458594673433</v>
      </c>
      <c r="V120" s="10">
        <v>0.71841634516625685</v>
      </c>
      <c r="W120" s="10">
        <v>0.52532518285512453</v>
      </c>
      <c r="X120" s="10">
        <v>0.70221440350054709</v>
      </c>
      <c r="Y120" s="10">
        <v>0.45246346349973909</v>
      </c>
      <c r="Z120" s="7">
        <v>3.3441012368839682</v>
      </c>
      <c r="AA120" s="7">
        <v>0.82423457221858953</v>
      </c>
    </row>
    <row r="121" spans="1:27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8">
        <v>1</v>
      </c>
      <c r="I121" s="8">
        <v>-1</v>
      </c>
      <c r="J121" s="9">
        <v>1.9573077326752619E-2</v>
      </c>
      <c r="K121" s="9">
        <v>0</v>
      </c>
      <c r="L121" s="9">
        <v>8.0819510267572392E-3</v>
      </c>
      <c r="M121" s="9">
        <v>0</v>
      </c>
      <c r="N121" s="9">
        <v>0</v>
      </c>
      <c r="O121" s="9">
        <v>5.6646054141751279E-3</v>
      </c>
      <c r="P121" s="9">
        <v>0</v>
      </c>
      <c r="Q121" s="9">
        <v>2.5851074543071451E-2</v>
      </c>
      <c r="R121" s="10">
        <v>0.54201851189145933</v>
      </c>
      <c r="S121" s="10">
        <v>0.16449691210597411</v>
      </c>
      <c r="T121" s="10">
        <v>-0.10837313972835751</v>
      </c>
      <c r="U121" s="10">
        <v>0.37519458594673433</v>
      </c>
      <c r="V121" s="10">
        <v>0.71841634516625685</v>
      </c>
      <c r="W121" s="10">
        <v>0.53098978826929966</v>
      </c>
      <c r="X121" s="10">
        <v>0.70221440350054709</v>
      </c>
      <c r="Y121" s="10">
        <v>0.47831453804281049</v>
      </c>
      <c r="Z121" s="7">
        <v>3.403271945194724</v>
      </c>
      <c r="AA121" s="7">
        <v>0.83678097677323093</v>
      </c>
    </row>
    <row r="122" spans="1:27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8">
        <v>-1</v>
      </c>
      <c r="I122" s="8">
        <v>1</v>
      </c>
      <c r="J122" s="9">
        <v>0</v>
      </c>
      <c r="K122" s="9">
        <v>4.1513148228764507E-3</v>
      </c>
      <c r="L122" s="9">
        <v>0</v>
      </c>
      <c r="M122" s="9">
        <v>4.2913232093258147E-2</v>
      </c>
      <c r="N122" s="9">
        <v>1.9008424479750149E-2</v>
      </c>
      <c r="O122" s="9">
        <v>0</v>
      </c>
      <c r="P122" s="9">
        <v>2.794189183946327E-2</v>
      </c>
      <c r="Q122" s="9">
        <v>0</v>
      </c>
      <c r="R122" s="10">
        <v>0.54201851189145933</v>
      </c>
      <c r="S122" s="10">
        <v>0.16864822692885051</v>
      </c>
      <c r="T122" s="10">
        <v>-0.10837313972835751</v>
      </c>
      <c r="U122" s="10">
        <v>0.41810781803999242</v>
      </c>
      <c r="V122" s="10">
        <v>0.73742476964600701</v>
      </c>
      <c r="W122" s="10">
        <v>0.53098978826929966</v>
      </c>
      <c r="X122" s="10">
        <v>0.73015629534001036</v>
      </c>
      <c r="Y122" s="10">
        <v>0.47831453804281049</v>
      </c>
      <c r="Z122" s="7">
        <v>3.497286808430073</v>
      </c>
      <c r="AA122" s="7">
        <v>0.86188412478712573</v>
      </c>
    </row>
    <row r="123" spans="1:27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8">
        <v>-1</v>
      </c>
      <c r="I123" s="8">
        <v>1</v>
      </c>
      <c r="J123" s="9">
        <v>0</v>
      </c>
      <c r="K123" s="9">
        <v>1.1473873402932931E-2</v>
      </c>
      <c r="L123" s="9">
        <v>0</v>
      </c>
      <c r="M123" s="9">
        <v>1.407417004567979E-2</v>
      </c>
      <c r="N123" s="9">
        <v>1.67381533987121E-2</v>
      </c>
      <c r="O123" s="9">
        <v>0</v>
      </c>
      <c r="P123" s="9">
        <v>2.4604005325445599E-2</v>
      </c>
      <c r="Q123" s="9">
        <v>0</v>
      </c>
      <c r="R123" s="10">
        <v>0.54201851189145933</v>
      </c>
      <c r="S123" s="10">
        <v>0.18012210033178341</v>
      </c>
      <c r="T123" s="10">
        <v>-0.10837313972835751</v>
      </c>
      <c r="U123" s="10">
        <v>0.43218198808567221</v>
      </c>
      <c r="V123" s="10">
        <v>0.7541629230447191</v>
      </c>
      <c r="W123" s="10">
        <v>0.53098978826929966</v>
      </c>
      <c r="X123" s="10">
        <v>0.75476030066545596</v>
      </c>
      <c r="Y123" s="10">
        <v>0.47831453804281049</v>
      </c>
      <c r="Z123" s="7">
        <v>3.564177010602843</v>
      </c>
      <c r="AA123" s="7">
        <v>0.88741557660100889</v>
      </c>
    </row>
    <row r="124" spans="1:27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8">
        <v>-1</v>
      </c>
      <c r="I124" s="8">
        <v>1</v>
      </c>
      <c r="J124" s="9">
        <v>0</v>
      </c>
      <c r="K124" s="9">
        <v>1.422323488915833E-2</v>
      </c>
      <c r="L124" s="9">
        <v>0</v>
      </c>
      <c r="M124" s="9">
        <v>1.3527727202809261E-2</v>
      </c>
      <c r="N124" s="9">
        <v>1.499840539520458E-2</v>
      </c>
      <c r="O124" s="9">
        <v>0</v>
      </c>
      <c r="P124" s="9">
        <v>2.2758089908562429E-2</v>
      </c>
      <c r="Q124" s="9">
        <v>0</v>
      </c>
      <c r="R124" s="10">
        <v>0.54201851189145933</v>
      </c>
      <c r="S124" s="10">
        <v>0.1943453352209418</v>
      </c>
      <c r="T124" s="10">
        <v>-0.10837313972835751</v>
      </c>
      <c r="U124" s="10">
        <v>0.44570971528848152</v>
      </c>
      <c r="V124" s="10">
        <v>0.76916132843992369</v>
      </c>
      <c r="W124" s="10">
        <v>0.53098978826929966</v>
      </c>
      <c r="X124" s="10">
        <v>0.77751839057401839</v>
      </c>
      <c r="Y124" s="10">
        <v>0.47831453804281049</v>
      </c>
      <c r="Z124" s="7">
        <v>3.6296844679985778</v>
      </c>
      <c r="AA124" s="7">
        <v>0.86951425739555355</v>
      </c>
    </row>
    <row r="125" spans="1:27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8">
        <v>1</v>
      </c>
      <c r="I125" s="8">
        <v>-1</v>
      </c>
      <c r="J125" s="9">
        <v>1.9326932096521591E-2</v>
      </c>
      <c r="K125" s="9">
        <v>0</v>
      </c>
      <c r="L125" s="9">
        <v>-3.717232166651097E-3</v>
      </c>
      <c r="M125" s="9">
        <v>0</v>
      </c>
      <c r="N125" s="9">
        <v>0</v>
      </c>
      <c r="O125" s="9">
        <v>1.12112150279865E-2</v>
      </c>
      <c r="P125" s="9">
        <v>0</v>
      </c>
      <c r="Q125" s="9">
        <v>5.4320599035690984E-3</v>
      </c>
      <c r="R125" s="10">
        <v>0.56134544398798092</v>
      </c>
      <c r="S125" s="10">
        <v>0.1943453352209418</v>
      </c>
      <c r="T125" s="10">
        <v>-0.1120903718950086</v>
      </c>
      <c r="U125" s="10">
        <v>0.44570971528848152</v>
      </c>
      <c r="V125" s="10">
        <v>0.76916132843992369</v>
      </c>
      <c r="W125" s="10">
        <v>0.54220100329728615</v>
      </c>
      <c r="X125" s="10">
        <v>0.77751839057401839</v>
      </c>
      <c r="Y125" s="10">
        <v>0.48374659794637959</v>
      </c>
      <c r="Z125" s="7">
        <v>3.6619374428600042</v>
      </c>
      <c r="AA125" s="7">
        <v>0.87608462368905504</v>
      </c>
    </row>
    <row r="126" spans="1:27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8">
        <v>-1</v>
      </c>
      <c r="I126" s="8">
        <v>1</v>
      </c>
      <c r="J126" s="9">
        <v>0</v>
      </c>
      <c r="K126" s="9">
        <v>2.4482430351016049E-3</v>
      </c>
      <c r="L126" s="9">
        <v>0</v>
      </c>
      <c r="M126" s="9">
        <v>-6.4120347138925124E-3</v>
      </c>
      <c r="N126" s="9">
        <v>1.8527991565052691E-3</v>
      </c>
      <c r="O126" s="9">
        <v>0</v>
      </c>
      <c r="P126" s="9">
        <v>8.6125446374762937E-4</v>
      </c>
      <c r="Q126" s="9">
        <v>0</v>
      </c>
      <c r="R126" s="10">
        <v>0.56134544398798092</v>
      </c>
      <c r="S126" s="10">
        <v>0.19679357825604341</v>
      </c>
      <c r="T126" s="10">
        <v>-0.1120903718950086</v>
      </c>
      <c r="U126" s="10">
        <v>0.43929768057458901</v>
      </c>
      <c r="V126" s="10">
        <v>0.77101412759642896</v>
      </c>
      <c r="W126" s="10">
        <v>0.54220100329728615</v>
      </c>
      <c r="X126" s="10">
        <v>0.77837964503776602</v>
      </c>
      <c r="Y126" s="10">
        <v>0.48374659794637959</v>
      </c>
      <c r="Z126" s="7">
        <v>3.6606877048014659</v>
      </c>
      <c r="AA126" s="7">
        <v>0.88548569751078399</v>
      </c>
    </row>
    <row r="127" spans="1:27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8">
        <v>-1</v>
      </c>
      <c r="I127" s="8">
        <v>1</v>
      </c>
      <c r="J127" s="9">
        <v>0</v>
      </c>
      <c r="K127" s="9">
        <v>-2.241633564037282E-3</v>
      </c>
      <c r="L127" s="9">
        <v>0</v>
      </c>
      <c r="M127" s="9">
        <v>-2.319886733437948E-2</v>
      </c>
      <c r="N127" s="9">
        <v>2.215239622234055E-2</v>
      </c>
      <c r="O127" s="9">
        <v>0</v>
      </c>
      <c r="P127" s="9">
        <v>1.6010043768026949E-2</v>
      </c>
      <c r="Q127" s="9">
        <v>0</v>
      </c>
      <c r="R127" s="10">
        <v>0.56134544398798092</v>
      </c>
      <c r="S127" s="10">
        <v>0.1945519446920061</v>
      </c>
      <c r="T127" s="10">
        <v>-0.1120903718950086</v>
      </c>
      <c r="U127" s="10">
        <v>0.41609881324020948</v>
      </c>
      <c r="V127" s="10">
        <v>0.79316652381876951</v>
      </c>
      <c r="W127" s="10">
        <v>0.54220100329728615</v>
      </c>
      <c r="X127" s="10">
        <v>0.79438968880579297</v>
      </c>
      <c r="Y127" s="10">
        <v>0.48374659794637959</v>
      </c>
      <c r="Z127" s="7">
        <v>3.6734096438934172</v>
      </c>
      <c r="AA127" s="7">
        <v>0.93586081319784464</v>
      </c>
    </row>
    <row r="128" spans="1:27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8">
        <v>-1</v>
      </c>
      <c r="I128" s="8">
        <v>1</v>
      </c>
      <c r="J128" s="9">
        <v>0</v>
      </c>
      <c r="K128" s="9">
        <v>1.5574667500634081E-3</v>
      </c>
      <c r="L128" s="9">
        <v>0</v>
      </c>
      <c r="M128" s="9">
        <v>1.278013025673308E-2</v>
      </c>
      <c r="N128" s="9">
        <v>8.5496423782238651E-3</v>
      </c>
      <c r="O128" s="9">
        <v>0</v>
      </c>
      <c r="P128" s="9">
        <v>3.0962290518459219E-3</v>
      </c>
      <c r="Q128" s="9">
        <v>0</v>
      </c>
      <c r="R128" s="10">
        <v>0.56134544398798092</v>
      </c>
      <c r="S128" s="10">
        <v>0.1961094114420695</v>
      </c>
      <c r="T128" s="10">
        <v>-0.1120903718950086</v>
      </c>
      <c r="U128" s="10">
        <v>0.42887894349694261</v>
      </c>
      <c r="V128" s="10">
        <v>0.80171616619699337</v>
      </c>
      <c r="W128" s="10">
        <v>0.54220100329728615</v>
      </c>
      <c r="X128" s="10">
        <v>0.79748591785763889</v>
      </c>
      <c r="Y128" s="10">
        <v>0.48374659794637959</v>
      </c>
      <c r="Z128" s="7">
        <v>3.699393112330283</v>
      </c>
      <c r="AA128" s="7">
        <v>0.94918508406489688</v>
      </c>
    </row>
    <row r="129" spans="1:27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8">
        <v>-1</v>
      </c>
      <c r="I129" s="8">
        <v>1</v>
      </c>
      <c r="J129" s="9">
        <v>0</v>
      </c>
      <c r="K129" s="9">
        <v>-1.4931685828961091E-2</v>
      </c>
      <c r="L129" s="9">
        <v>0</v>
      </c>
      <c r="M129" s="9">
        <v>4.4757288646212201E-3</v>
      </c>
      <c r="N129" s="9">
        <v>2.0755155750476591E-2</v>
      </c>
      <c r="O129" s="9">
        <v>0</v>
      </c>
      <c r="P129" s="9">
        <v>1.950225947070228E-2</v>
      </c>
      <c r="Q129" s="9">
        <v>0</v>
      </c>
      <c r="R129" s="10">
        <v>0.56134544398798092</v>
      </c>
      <c r="S129" s="10">
        <v>0.18117772561310841</v>
      </c>
      <c r="T129" s="10">
        <v>-0.1120903718950086</v>
      </c>
      <c r="U129" s="10">
        <v>0.43335467236156378</v>
      </c>
      <c r="V129" s="10">
        <v>0.82247132194746997</v>
      </c>
      <c r="W129" s="10">
        <v>0.54220100329728615</v>
      </c>
      <c r="X129" s="10">
        <v>0.81698817732834117</v>
      </c>
      <c r="Y129" s="10">
        <v>0.48374659794637959</v>
      </c>
      <c r="Z129" s="7">
        <v>3.7291945705871221</v>
      </c>
      <c r="AA129" s="7">
        <v>0.98670623069497021</v>
      </c>
    </row>
    <row r="130" spans="1:27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8">
        <v>1</v>
      </c>
      <c r="I130" s="8">
        <v>-1</v>
      </c>
      <c r="J130" s="9">
        <v>2.6752532889311679E-2</v>
      </c>
      <c r="K130" s="9">
        <v>0</v>
      </c>
      <c r="L130" s="9">
        <v>-1.5318044248833209E-3</v>
      </c>
      <c r="M130" s="9">
        <v>0</v>
      </c>
      <c r="N130" s="9">
        <v>0</v>
      </c>
      <c r="O130" s="9">
        <v>9.5949999830765575E-3</v>
      </c>
      <c r="P130" s="9">
        <v>0</v>
      </c>
      <c r="Q130" s="9">
        <v>4.4586951583965639E-2</v>
      </c>
      <c r="R130" s="10">
        <v>0.58809797687729259</v>
      </c>
      <c r="S130" s="10">
        <v>0.18117772561310841</v>
      </c>
      <c r="T130" s="10">
        <v>-0.1136221763198919</v>
      </c>
      <c r="U130" s="10">
        <v>0.43335467236156378</v>
      </c>
      <c r="V130" s="10">
        <v>0.82247132194746997</v>
      </c>
      <c r="W130" s="10">
        <v>0.55179600328036271</v>
      </c>
      <c r="X130" s="10">
        <v>0.81698817732834117</v>
      </c>
      <c r="Y130" s="10">
        <v>0.52833354953034528</v>
      </c>
      <c r="Z130" s="7">
        <v>3.8085972506185932</v>
      </c>
      <c r="AA130" s="7">
        <v>1.0065809434769011</v>
      </c>
    </row>
    <row r="131" spans="1:27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8">
        <v>-1</v>
      </c>
      <c r="I131" s="8">
        <v>1</v>
      </c>
      <c r="J131" s="9">
        <v>0</v>
      </c>
      <c r="K131" s="9">
        <v>2.232266078521716E-2</v>
      </c>
      <c r="L131" s="9">
        <v>0</v>
      </c>
      <c r="M131" s="9">
        <v>-2.8668033920763111E-2</v>
      </c>
      <c r="N131" s="9">
        <v>1.8270437263955389E-2</v>
      </c>
      <c r="O131" s="9">
        <v>0</v>
      </c>
      <c r="P131" s="9">
        <v>2.097047554788822E-2</v>
      </c>
      <c r="Q131" s="9">
        <v>0</v>
      </c>
      <c r="R131" s="10">
        <v>0.58809797687729259</v>
      </c>
      <c r="S131" s="10">
        <v>0.2035003863983256</v>
      </c>
      <c r="T131" s="10">
        <v>-0.1136221763198919</v>
      </c>
      <c r="U131" s="10">
        <v>0.40468663844080072</v>
      </c>
      <c r="V131" s="10">
        <v>0.84074175921142535</v>
      </c>
      <c r="W131" s="10">
        <v>0.55179600328036271</v>
      </c>
      <c r="X131" s="10">
        <v>0.83795865287622939</v>
      </c>
      <c r="Y131" s="10">
        <v>0.52833354953034528</v>
      </c>
      <c r="Z131" s="7">
        <v>3.841492790294891</v>
      </c>
      <c r="AA131" s="7">
        <v>1.030392622981529</v>
      </c>
    </row>
    <row r="132" spans="1:27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8">
        <v>-1</v>
      </c>
      <c r="I132" s="8">
        <v>1</v>
      </c>
      <c r="J132" s="9">
        <v>0</v>
      </c>
      <c r="K132" s="9">
        <v>-8.6516615786813578E-3</v>
      </c>
      <c r="L132" s="9">
        <v>0</v>
      </c>
      <c r="M132" s="9">
        <v>1.8789339880801E-2</v>
      </c>
      <c r="N132" s="9">
        <v>8.4728810845677849E-3</v>
      </c>
      <c r="O132" s="9">
        <v>0</v>
      </c>
      <c r="P132" s="9">
        <v>8.6164033288086417E-3</v>
      </c>
      <c r="Q132" s="9">
        <v>0</v>
      </c>
      <c r="R132" s="10">
        <v>0.58809797687729259</v>
      </c>
      <c r="S132" s="10">
        <v>0.19484872481964419</v>
      </c>
      <c r="T132" s="10">
        <v>-0.1136221763198919</v>
      </c>
      <c r="U132" s="10">
        <v>0.42347597832160172</v>
      </c>
      <c r="V132" s="10">
        <v>0.84921464029599314</v>
      </c>
      <c r="W132" s="10">
        <v>0.55179600328036271</v>
      </c>
      <c r="X132" s="10">
        <v>0.84657505620503803</v>
      </c>
      <c r="Y132" s="10">
        <v>0.52833354953034528</v>
      </c>
      <c r="Z132" s="7">
        <v>3.868719753010387</v>
      </c>
      <c r="AA132" s="7">
        <v>1.01810273735165</v>
      </c>
    </row>
    <row r="133" spans="1:27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8">
        <v>-1</v>
      </c>
      <c r="I133" s="8">
        <v>1</v>
      </c>
      <c r="J133" s="9">
        <v>0</v>
      </c>
      <c r="K133" s="9">
        <v>4.654155338221444E-3</v>
      </c>
      <c r="L133" s="9">
        <v>0</v>
      </c>
      <c r="M133" s="9">
        <v>-1.5153481683465969E-2</v>
      </c>
      <c r="N133" s="9">
        <v>2.1857772377859019E-2</v>
      </c>
      <c r="O133" s="9">
        <v>0</v>
      </c>
      <c r="P133" s="9">
        <v>2.6004472158590919E-2</v>
      </c>
      <c r="Q133" s="9">
        <v>0</v>
      </c>
      <c r="R133" s="10">
        <v>0.58809797687729259</v>
      </c>
      <c r="S133" s="10">
        <v>0.19950288015786569</v>
      </c>
      <c r="T133" s="10">
        <v>-0.1136221763198919</v>
      </c>
      <c r="U133" s="10">
        <v>0.40832249663813569</v>
      </c>
      <c r="V133" s="10">
        <v>0.87107241267385216</v>
      </c>
      <c r="W133" s="10">
        <v>0.55179600328036271</v>
      </c>
      <c r="X133" s="10">
        <v>0.87257952836362895</v>
      </c>
      <c r="Y133" s="10">
        <v>0.52833354953034528</v>
      </c>
      <c r="Z133" s="7">
        <v>3.9060826712015921</v>
      </c>
      <c r="AA133" s="7">
        <v>1.068751808181662</v>
      </c>
    </row>
    <row r="134" spans="1:27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8">
        <v>-1</v>
      </c>
      <c r="I134" s="8">
        <v>1</v>
      </c>
      <c r="J134" s="9">
        <v>0</v>
      </c>
      <c r="K134" s="9">
        <v>5.3475942096892224E-3</v>
      </c>
      <c r="L134" s="9">
        <v>0</v>
      </c>
      <c r="M134" s="9">
        <v>3.7364376806102717E-2</v>
      </c>
      <c r="N134" s="9">
        <v>2.871942946102712E-3</v>
      </c>
      <c r="O134" s="9">
        <v>0</v>
      </c>
      <c r="P134" s="9">
        <v>5.5714775492026192E-3</v>
      </c>
      <c r="Q134" s="9">
        <v>0</v>
      </c>
      <c r="R134" s="10">
        <v>0.58809797687729259</v>
      </c>
      <c r="S134" s="10">
        <v>0.20485047436755491</v>
      </c>
      <c r="T134" s="10">
        <v>-0.1136221763198919</v>
      </c>
      <c r="U134" s="10">
        <v>0.44568687344423841</v>
      </c>
      <c r="V134" s="10">
        <v>0.87394435561995487</v>
      </c>
      <c r="W134" s="10">
        <v>0.55179600328036271</v>
      </c>
      <c r="X134" s="10">
        <v>0.87815100591283157</v>
      </c>
      <c r="Y134" s="10">
        <v>0.52833354953034528</v>
      </c>
      <c r="Z134" s="7">
        <v>3.9572380627126891</v>
      </c>
      <c r="AA134" s="7">
        <v>1.03877292466042</v>
      </c>
    </row>
    <row r="135" spans="1:27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8">
        <v>-1</v>
      </c>
      <c r="I135" s="8">
        <v>1</v>
      </c>
      <c r="J135" s="9">
        <v>0</v>
      </c>
      <c r="K135" s="9">
        <v>1.1324016410558911E-2</v>
      </c>
      <c r="L135" s="9">
        <v>0</v>
      </c>
      <c r="M135" s="9">
        <v>6.7841889411413003E-3</v>
      </c>
      <c r="N135" s="9">
        <v>2.4119681570262012E-2</v>
      </c>
      <c r="O135" s="9">
        <v>0</v>
      </c>
      <c r="P135" s="9">
        <v>2.4796394983245259E-2</v>
      </c>
      <c r="Q135" s="9">
        <v>0</v>
      </c>
      <c r="R135" s="10">
        <v>0.58809797687729259</v>
      </c>
      <c r="S135" s="10">
        <v>0.21617449077811379</v>
      </c>
      <c r="T135" s="10">
        <v>-0.1136221763198919</v>
      </c>
      <c r="U135" s="10">
        <v>0.45247106238537971</v>
      </c>
      <c r="V135" s="10">
        <v>0.89806403719021688</v>
      </c>
      <c r="W135" s="10">
        <v>0.55179600328036271</v>
      </c>
      <c r="X135" s="10">
        <v>0.90294740089607683</v>
      </c>
      <c r="Y135" s="10">
        <v>0.52833354953034528</v>
      </c>
      <c r="Z135" s="7">
        <v>4.0242623446178962</v>
      </c>
      <c r="AA135" s="7">
        <v>1.0702267039551521</v>
      </c>
    </row>
    <row r="136" spans="1:27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8">
        <v>-1</v>
      </c>
      <c r="I136" s="8">
        <v>1</v>
      </c>
      <c r="J136" s="9">
        <v>0</v>
      </c>
      <c r="K136" s="9">
        <v>-8.0143197384061615E-3</v>
      </c>
      <c r="L136" s="9">
        <v>0</v>
      </c>
      <c r="M136" s="9">
        <v>8.8820288039440642E-3</v>
      </c>
      <c r="N136" s="9">
        <v>-3.3174854106400309E-3</v>
      </c>
      <c r="O136" s="9">
        <v>0</v>
      </c>
      <c r="P136" s="9">
        <v>-1.854146153398295E-4</v>
      </c>
      <c r="Q136" s="9">
        <v>0</v>
      </c>
      <c r="R136" s="10">
        <v>0.58809797687729259</v>
      </c>
      <c r="S136" s="10">
        <v>0.2081601710397076</v>
      </c>
      <c r="T136" s="10">
        <v>-0.1136221763198919</v>
      </c>
      <c r="U136" s="10">
        <v>0.46135309118932383</v>
      </c>
      <c r="V136" s="10">
        <v>0.89474655177957685</v>
      </c>
      <c r="W136" s="10">
        <v>0.55179600328036271</v>
      </c>
      <c r="X136" s="10">
        <v>0.90276198628073701</v>
      </c>
      <c r="Y136" s="10">
        <v>0.52833354953034528</v>
      </c>
      <c r="Z136" s="7">
        <v>4.0216271536574544</v>
      </c>
      <c r="AA136" s="7">
        <v>1.116203946677649</v>
      </c>
    </row>
    <row r="137" spans="1:27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8">
        <v>-1</v>
      </c>
      <c r="I137" s="8">
        <v>1</v>
      </c>
      <c r="J137" s="9">
        <v>0</v>
      </c>
      <c r="K137" s="9">
        <v>-6.0568972637203844E-3</v>
      </c>
      <c r="L137" s="9">
        <v>0</v>
      </c>
      <c r="M137" s="9">
        <v>1.452120195619633E-2</v>
      </c>
      <c r="N137" s="9">
        <v>-4.7965258664273147E-3</v>
      </c>
      <c r="O137" s="9">
        <v>0</v>
      </c>
      <c r="P137" s="9">
        <v>1.288388210594171E-2</v>
      </c>
      <c r="Q137" s="9">
        <v>0</v>
      </c>
      <c r="R137" s="10">
        <v>0.58809797687729259</v>
      </c>
      <c r="S137" s="10">
        <v>0.20210327377598719</v>
      </c>
      <c r="T137" s="10">
        <v>-0.1136221763198919</v>
      </c>
      <c r="U137" s="10">
        <v>0.4758742931455201</v>
      </c>
      <c r="V137" s="10">
        <v>0.88995002591314953</v>
      </c>
      <c r="W137" s="10">
        <v>0.55179600328036271</v>
      </c>
      <c r="X137" s="10">
        <v>0.91564586838667872</v>
      </c>
      <c r="Y137" s="10">
        <v>0.52833354953034528</v>
      </c>
      <c r="Z137" s="7">
        <v>4.0381788145894451</v>
      </c>
      <c r="AA137" s="7">
        <v>1.145727015298041</v>
      </c>
    </row>
    <row r="138" spans="1:27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8">
        <v>-1</v>
      </c>
      <c r="I138" s="8">
        <v>1</v>
      </c>
      <c r="J138" s="9">
        <v>0</v>
      </c>
      <c r="K138" s="9">
        <v>-1.7133596207307141E-2</v>
      </c>
      <c r="L138" s="9">
        <v>0</v>
      </c>
      <c r="M138" s="9">
        <v>-1.9825893016152341E-2</v>
      </c>
      <c r="N138" s="9">
        <v>-2.4755557456235261E-4</v>
      </c>
      <c r="O138" s="9">
        <v>0</v>
      </c>
      <c r="P138" s="9">
        <v>1.168517068156194E-2</v>
      </c>
      <c r="Q138" s="9">
        <v>0</v>
      </c>
      <c r="R138" s="10">
        <v>0.58809797687729259</v>
      </c>
      <c r="S138" s="10">
        <v>0.1849696775686801</v>
      </c>
      <c r="T138" s="10">
        <v>-0.1136221763198919</v>
      </c>
      <c r="U138" s="10">
        <v>0.45604840012936781</v>
      </c>
      <c r="V138" s="10">
        <v>0.88970247033858718</v>
      </c>
      <c r="W138" s="10">
        <v>0.55179600328036271</v>
      </c>
      <c r="X138" s="10">
        <v>0.92733103906824066</v>
      </c>
      <c r="Y138" s="10">
        <v>0.52833354953034528</v>
      </c>
      <c r="Z138" s="7">
        <v>4.0126569404729846</v>
      </c>
      <c r="AA138" s="7">
        <v>1.1717126616377569</v>
      </c>
    </row>
    <row r="139" spans="1:27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8">
        <v>1</v>
      </c>
      <c r="I139" s="8">
        <v>-1</v>
      </c>
      <c r="J139" s="9">
        <v>-2.5163653603307301E-2</v>
      </c>
      <c r="K139" s="9">
        <v>0</v>
      </c>
      <c r="L139" s="9">
        <v>-1.3964375323716079E-2</v>
      </c>
      <c r="M139" s="9">
        <v>0</v>
      </c>
      <c r="N139" s="9">
        <v>0</v>
      </c>
      <c r="O139" s="9">
        <v>6.2857331855802334E-3</v>
      </c>
      <c r="P139" s="9">
        <v>0</v>
      </c>
      <c r="Q139" s="9">
        <v>7.0642386467322238E-3</v>
      </c>
      <c r="R139" s="10">
        <v>0.56293432327398529</v>
      </c>
      <c r="S139" s="10">
        <v>0.1849696775686801</v>
      </c>
      <c r="T139" s="10">
        <v>-0.12758655164360799</v>
      </c>
      <c r="U139" s="10">
        <v>0.45604840012936781</v>
      </c>
      <c r="V139" s="10">
        <v>0.88970247033858718</v>
      </c>
      <c r="W139" s="10">
        <v>0.55808173646594295</v>
      </c>
      <c r="X139" s="10">
        <v>0.92733103906824066</v>
      </c>
      <c r="Y139" s="10">
        <v>0.5353977881770775</v>
      </c>
      <c r="Z139" s="7">
        <v>3.986878883378274</v>
      </c>
      <c r="AA139" s="7">
        <v>1.136492121761004</v>
      </c>
    </row>
    <row r="140" spans="1:27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8">
        <v>-1</v>
      </c>
      <c r="I140" s="8">
        <v>1</v>
      </c>
      <c r="J140" s="9">
        <v>0</v>
      </c>
      <c r="K140" s="9">
        <v>-7.4521989522108312E-3</v>
      </c>
      <c r="L140" s="9">
        <v>0</v>
      </c>
      <c r="M140" s="9">
        <v>2.025869826653692E-2</v>
      </c>
      <c r="N140" s="9">
        <v>8.8278178612829494E-3</v>
      </c>
      <c r="O140" s="9">
        <v>0</v>
      </c>
      <c r="P140" s="9">
        <v>1.112118711004639E-2</v>
      </c>
      <c r="Q140" s="9">
        <v>0</v>
      </c>
      <c r="R140" s="10">
        <v>0.56293432327398529</v>
      </c>
      <c r="S140" s="10">
        <v>0.1775174786164693</v>
      </c>
      <c r="T140" s="10">
        <v>-0.12758655164360799</v>
      </c>
      <c r="U140" s="10">
        <v>0.47630709839590468</v>
      </c>
      <c r="V140" s="10">
        <v>0.89853028819987013</v>
      </c>
      <c r="W140" s="10">
        <v>0.55808173646594295</v>
      </c>
      <c r="X140" s="10">
        <v>0.93845222617828705</v>
      </c>
      <c r="Y140" s="10">
        <v>0.5353977881770775</v>
      </c>
      <c r="Z140" s="7">
        <v>4.0196343876639302</v>
      </c>
      <c r="AA140" s="7">
        <v>1.1816101418950999</v>
      </c>
    </row>
    <row r="141" spans="1:27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8">
        <v>-1</v>
      </c>
      <c r="I141" s="8">
        <v>1</v>
      </c>
      <c r="J141" s="9">
        <v>0</v>
      </c>
      <c r="K141" s="9">
        <v>-4.4340930826007874E-3</v>
      </c>
      <c r="L141" s="9">
        <v>0</v>
      </c>
      <c r="M141" s="9">
        <v>8.100513363080708E-3</v>
      </c>
      <c r="N141" s="9">
        <v>1.0644825529634749E-2</v>
      </c>
      <c r="O141" s="9">
        <v>0</v>
      </c>
      <c r="P141" s="9">
        <v>2.236153091956683E-2</v>
      </c>
      <c r="Q141" s="9">
        <v>0</v>
      </c>
      <c r="R141" s="10">
        <v>0.56293432327398529</v>
      </c>
      <c r="S141" s="10">
        <v>0.17308338553386851</v>
      </c>
      <c r="T141" s="10">
        <v>-0.12758655164360799</v>
      </c>
      <c r="U141" s="10">
        <v>0.48440761175898539</v>
      </c>
      <c r="V141" s="10">
        <v>0.90917511372950488</v>
      </c>
      <c r="W141" s="10">
        <v>0.55808173646594295</v>
      </c>
      <c r="X141" s="10">
        <v>0.96081375709785388</v>
      </c>
      <c r="Y141" s="10">
        <v>0.5353977881770775</v>
      </c>
      <c r="Z141" s="7">
        <v>4.0563071643936119</v>
      </c>
      <c r="AA141" s="7">
        <v>1.190274887085558</v>
      </c>
    </row>
    <row r="142" spans="1:27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8">
        <v>1</v>
      </c>
      <c r="I142" s="8">
        <v>-1</v>
      </c>
      <c r="J142" s="9">
        <v>2.291760836418244E-3</v>
      </c>
      <c r="K142" s="9">
        <v>0</v>
      </c>
      <c r="L142" s="9">
        <v>-6.9943052072904974E-3</v>
      </c>
      <c r="M142" s="9">
        <v>0</v>
      </c>
      <c r="N142" s="9">
        <v>0</v>
      </c>
      <c r="O142" s="9">
        <v>1.4219609822165521E-2</v>
      </c>
      <c r="P142" s="9">
        <v>0</v>
      </c>
      <c r="Q142" s="9">
        <v>2.7638850317002191E-3</v>
      </c>
      <c r="R142" s="10">
        <v>0.56522608411040354</v>
      </c>
      <c r="S142" s="10">
        <v>0.17308338553386851</v>
      </c>
      <c r="T142" s="10">
        <v>-0.13458085685089849</v>
      </c>
      <c r="U142" s="10">
        <v>0.48440761175898539</v>
      </c>
      <c r="V142" s="10">
        <v>0.90917511372950488</v>
      </c>
      <c r="W142" s="10">
        <v>0.57230134628810847</v>
      </c>
      <c r="X142" s="10">
        <v>0.96081375709785388</v>
      </c>
      <c r="Y142" s="10">
        <v>0.53816167320877772</v>
      </c>
      <c r="Z142" s="7">
        <v>4.0685881148766052</v>
      </c>
      <c r="AA142" s="7">
        <v>1.1978784623429839</v>
      </c>
    </row>
    <row r="143" spans="1:27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8">
        <v>1</v>
      </c>
      <c r="I143" s="8">
        <v>-1</v>
      </c>
      <c r="J143" s="9">
        <v>1.864070301857668E-2</v>
      </c>
      <c r="K143" s="9">
        <v>0</v>
      </c>
      <c r="L143" s="9">
        <v>-1.6379483740435411E-2</v>
      </c>
      <c r="M143" s="9">
        <v>0</v>
      </c>
      <c r="N143" s="9">
        <v>0</v>
      </c>
      <c r="O143" s="9">
        <v>2.227729657524824E-3</v>
      </c>
      <c r="P143" s="9">
        <v>0</v>
      </c>
      <c r="Q143" s="9">
        <v>1.131503072260753E-2</v>
      </c>
      <c r="R143" s="10">
        <v>0.58386678712898021</v>
      </c>
      <c r="S143" s="10">
        <v>0.17308338553386851</v>
      </c>
      <c r="T143" s="10">
        <v>-0.1509603405913339</v>
      </c>
      <c r="U143" s="10">
        <v>0.48440761175898539</v>
      </c>
      <c r="V143" s="10">
        <v>0.90917511372950488</v>
      </c>
      <c r="W143" s="10">
        <v>0.57452907594563329</v>
      </c>
      <c r="X143" s="10">
        <v>0.96081375709785388</v>
      </c>
      <c r="Y143" s="10">
        <v>0.54947670393138526</v>
      </c>
      <c r="Z143" s="7">
        <v>4.0843920945348788</v>
      </c>
      <c r="AA143" s="7">
        <v>1.2210899184365991</v>
      </c>
    </row>
    <row r="144" spans="1:27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8">
        <v>-1</v>
      </c>
      <c r="I144" s="8">
        <v>1</v>
      </c>
      <c r="J144" s="9">
        <v>0</v>
      </c>
      <c r="K144" s="9">
        <v>1.092174037342186E-3</v>
      </c>
      <c r="L144" s="9">
        <v>0</v>
      </c>
      <c r="M144" s="9">
        <v>1.534273973649314E-2</v>
      </c>
      <c r="N144" s="9">
        <v>1.3951284776894E-2</v>
      </c>
      <c r="O144" s="9">
        <v>0</v>
      </c>
      <c r="P144" s="9">
        <v>1.9559122386950682E-2</v>
      </c>
      <c r="Q144" s="9">
        <v>0</v>
      </c>
      <c r="R144" s="10">
        <v>0.58386678712898021</v>
      </c>
      <c r="S144" s="10">
        <v>0.1741755595712107</v>
      </c>
      <c r="T144" s="10">
        <v>-0.1509603405913339</v>
      </c>
      <c r="U144" s="10">
        <v>0.49975035149547847</v>
      </c>
      <c r="V144" s="10">
        <v>0.92312639850639888</v>
      </c>
      <c r="W144" s="10">
        <v>0.57452907594563329</v>
      </c>
      <c r="X144" s="10">
        <v>0.98037287948480456</v>
      </c>
      <c r="Y144" s="10">
        <v>0.54947670393138526</v>
      </c>
      <c r="Z144" s="7">
        <v>4.134337415472559</v>
      </c>
      <c r="AA144" s="7">
        <v>1.241661060006694</v>
      </c>
    </row>
    <row r="145" spans="1:27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8">
        <v>1</v>
      </c>
      <c r="I145" s="8">
        <v>-1</v>
      </c>
      <c r="J145" s="9">
        <v>-2.58996289745963E-2</v>
      </c>
      <c r="K145" s="9">
        <v>0</v>
      </c>
      <c r="L145" s="9">
        <v>1.1567401108059211E-2</v>
      </c>
      <c r="M145" s="9">
        <v>0</v>
      </c>
      <c r="N145" s="9">
        <v>0</v>
      </c>
      <c r="O145" s="9">
        <v>-2.7146073305900349E-3</v>
      </c>
      <c r="P145" s="9">
        <v>0</v>
      </c>
      <c r="Q145" s="9">
        <v>-4.1306501846437582E-3</v>
      </c>
      <c r="R145" s="10">
        <v>0.55796715815438391</v>
      </c>
      <c r="S145" s="10">
        <v>0.1741755595712107</v>
      </c>
      <c r="T145" s="10">
        <v>-0.13939293948327469</v>
      </c>
      <c r="U145" s="10">
        <v>0.49975035149547847</v>
      </c>
      <c r="V145" s="10">
        <v>0.92312639850639888</v>
      </c>
      <c r="W145" s="10">
        <v>0.57181446861504326</v>
      </c>
      <c r="X145" s="10">
        <v>0.98037287948480456</v>
      </c>
      <c r="Y145" s="10">
        <v>0.5453460537467415</v>
      </c>
      <c r="Z145" s="7">
        <v>4.113159930090788</v>
      </c>
      <c r="AA145" s="7">
        <v>1.228582508041314</v>
      </c>
    </row>
    <row r="146" spans="1:27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8">
        <v>-1</v>
      </c>
      <c r="I146" s="8">
        <v>1</v>
      </c>
      <c r="J146" s="9">
        <v>0</v>
      </c>
      <c r="K146" s="9">
        <v>-6.0652427983942658E-3</v>
      </c>
      <c r="L146" s="9">
        <v>0</v>
      </c>
      <c r="M146" s="9">
        <v>2.052935467639927E-2</v>
      </c>
      <c r="N146" s="9">
        <v>-1.0633161360758869E-2</v>
      </c>
      <c r="O146" s="9">
        <v>0</v>
      </c>
      <c r="P146" s="9">
        <v>-1.8299990599899289E-2</v>
      </c>
      <c r="Q146" s="9">
        <v>0</v>
      </c>
      <c r="R146" s="10">
        <v>0.55796715815438391</v>
      </c>
      <c r="S146" s="10">
        <v>0.1681103167728164</v>
      </c>
      <c r="T146" s="10">
        <v>-0.13939293948327469</v>
      </c>
      <c r="U146" s="10">
        <v>0.5202797061718778</v>
      </c>
      <c r="V146" s="10">
        <v>0.91249323714564001</v>
      </c>
      <c r="W146" s="10">
        <v>0.57181446861504326</v>
      </c>
      <c r="X146" s="10">
        <v>0.96207288888490528</v>
      </c>
      <c r="Y146" s="10">
        <v>0.5453460537467415</v>
      </c>
      <c r="Z146" s="7">
        <v>4.0986908900081351</v>
      </c>
      <c r="AA146" s="7">
        <v>1.267559998337485</v>
      </c>
    </row>
    <row r="147" spans="1:27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8">
        <v>-1</v>
      </c>
      <c r="I147" s="8">
        <v>1</v>
      </c>
      <c r="J147" s="9">
        <v>0</v>
      </c>
      <c r="K147" s="9">
        <v>1.053813416587179E-2</v>
      </c>
      <c r="L147" s="9">
        <v>0</v>
      </c>
      <c r="M147" s="9">
        <v>1.3399801247993779E-2</v>
      </c>
      <c r="N147" s="9">
        <v>-5.8325810528370159E-4</v>
      </c>
      <c r="O147" s="9">
        <v>0</v>
      </c>
      <c r="P147" s="9">
        <v>2.533031629839444E-2</v>
      </c>
      <c r="Q147" s="9">
        <v>0</v>
      </c>
      <c r="R147" s="10">
        <v>0.55796715815438391</v>
      </c>
      <c r="S147" s="10">
        <v>0.1786484509386882</v>
      </c>
      <c r="T147" s="10">
        <v>-0.13939293948327469</v>
      </c>
      <c r="U147" s="10">
        <v>0.53367950741987158</v>
      </c>
      <c r="V147" s="10">
        <v>0.91190997904035631</v>
      </c>
      <c r="W147" s="10">
        <v>0.57181446861504326</v>
      </c>
      <c r="X147" s="10">
        <v>0.98740320518329971</v>
      </c>
      <c r="Y147" s="10">
        <v>0.5453460537467415</v>
      </c>
      <c r="Z147" s="7">
        <v>4.1473758836151111</v>
      </c>
      <c r="AA147" s="7">
        <v>1.2540166764367211</v>
      </c>
    </row>
    <row r="148" spans="1:27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8">
        <v>1</v>
      </c>
      <c r="I148" s="8">
        <v>-1</v>
      </c>
      <c r="J148" s="9">
        <v>3.8639470819564758E-2</v>
      </c>
      <c r="K148" s="9">
        <v>0</v>
      </c>
      <c r="L148" s="9">
        <v>1.069169108731882E-2</v>
      </c>
      <c r="M148" s="9">
        <v>0</v>
      </c>
      <c r="N148" s="9">
        <v>0</v>
      </c>
      <c r="O148" s="9">
        <v>1.8995085924645268E-2</v>
      </c>
      <c r="P148" s="9">
        <v>0</v>
      </c>
      <c r="Q148" s="9">
        <v>2.90405762209901E-2</v>
      </c>
      <c r="R148" s="10">
        <v>0.59660662897394867</v>
      </c>
      <c r="S148" s="10">
        <v>0.1786484509386882</v>
      </c>
      <c r="T148" s="10">
        <v>-0.1287012483959559</v>
      </c>
      <c r="U148" s="10">
        <v>0.53367950741987158</v>
      </c>
      <c r="V148" s="10">
        <v>0.91190997904035631</v>
      </c>
      <c r="W148" s="10">
        <v>0.59080955453968853</v>
      </c>
      <c r="X148" s="10">
        <v>0.98740320518329971</v>
      </c>
      <c r="Y148" s="10">
        <v>0.5743866299677316</v>
      </c>
      <c r="Z148" s="7">
        <v>4.2447427076676298</v>
      </c>
      <c r="AA148" s="7">
        <v>1.2787301093368211</v>
      </c>
    </row>
    <row r="149" spans="1:27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8">
        <v>-1</v>
      </c>
      <c r="I149" s="8">
        <v>1</v>
      </c>
      <c r="J149" s="9">
        <v>0</v>
      </c>
      <c r="K149" s="9">
        <v>-2.522615843149723E-3</v>
      </c>
      <c r="L149" s="9">
        <v>0</v>
      </c>
      <c r="M149" s="9">
        <v>1.9774460115345342E-2</v>
      </c>
      <c r="N149" s="9">
        <v>8.3304892872689829E-3</v>
      </c>
      <c r="O149" s="9">
        <v>0</v>
      </c>
      <c r="P149" s="9">
        <v>-6.7110661294434992E-3</v>
      </c>
      <c r="Q149" s="9">
        <v>0</v>
      </c>
      <c r="R149" s="10">
        <v>0.59660662897394867</v>
      </c>
      <c r="S149" s="10">
        <v>0.1761258350955385</v>
      </c>
      <c r="T149" s="10">
        <v>-0.1287012483959559</v>
      </c>
      <c r="U149" s="10">
        <v>0.55345396753521692</v>
      </c>
      <c r="V149" s="10">
        <v>0.92024046832762529</v>
      </c>
      <c r="W149" s="10">
        <v>0.59080955453968853</v>
      </c>
      <c r="X149" s="10">
        <v>0.98069213905385622</v>
      </c>
      <c r="Y149" s="10">
        <v>0.5743866299677316</v>
      </c>
      <c r="Z149" s="7">
        <v>4.2636139750976509</v>
      </c>
      <c r="AA149" s="7">
        <v>1.305915988652709</v>
      </c>
    </row>
    <row r="150" spans="1:27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8">
        <v>1</v>
      </c>
      <c r="I150" s="8">
        <v>-1</v>
      </c>
      <c r="J150" s="9">
        <v>-4.6751749219930971E-3</v>
      </c>
      <c r="K150" s="9">
        <v>0</v>
      </c>
      <c r="L150" s="9">
        <v>-2.7676063416177681E-3</v>
      </c>
      <c r="M150" s="9">
        <v>0</v>
      </c>
      <c r="N150" s="9">
        <v>0</v>
      </c>
      <c r="O150" s="9">
        <v>-3.9076762214195204E-3</v>
      </c>
      <c r="P150" s="9">
        <v>0</v>
      </c>
      <c r="Q150" s="9">
        <v>-9.1080389351869684E-3</v>
      </c>
      <c r="R150" s="10">
        <v>0.59193145405195557</v>
      </c>
      <c r="S150" s="10">
        <v>0.1761258350955385</v>
      </c>
      <c r="T150" s="10">
        <v>-0.13146885473757361</v>
      </c>
      <c r="U150" s="10">
        <v>0.55345396753521692</v>
      </c>
      <c r="V150" s="10">
        <v>0.92024046832762529</v>
      </c>
      <c r="W150" s="10">
        <v>0.58690187831826901</v>
      </c>
      <c r="X150" s="10">
        <v>0.98069213905385622</v>
      </c>
      <c r="Y150" s="10">
        <v>0.56527859103254463</v>
      </c>
      <c r="Z150" s="7">
        <v>4.2431554786774326</v>
      </c>
      <c r="AA150" s="7">
        <v>1.304364953963709</v>
      </c>
    </row>
    <row r="151" spans="1:27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8">
        <v>1</v>
      </c>
      <c r="I151" s="8">
        <v>-1</v>
      </c>
      <c r="J151" s="9">
        <v>-2.7004044786983931E-2</v>
      </c>
      <c r="K151" s="9">
        <v>0</v>
      </c>
      <c r="L151" s="9">
        <v>-2.6025957946319459E-2</v>
      </c>
      <c r="M151" s="9">
        <v>0</v>
      </c>
      <c r="N151" s="9">
        <v>0</v>
      </c>
      <c r="O151" s="9">
        <v>-2.1927168014087561E-3</v>
      </c>
      <c r="P151" s="9">
        <v>0</v>
      </c>
      <c r="Q151" s="9">
        <v>2.9626147888701659E-2</v>
      </c>
      <c r="R151" s="10">
        <v>0.56492740926497165</v>
      </c>
      <c r="S151" s="10">
        <v>0.1761258350955385</v>
      </c>
      <c r="T151" s="10">
        <v>-0.15749481268389309</v>
      </c>
      <c r="U151" s="10">
        <v>0.55345396753521692</v>
      </c>
      <c r="V151" s="10">
        <v>0.92024046832762529</v>
      </c>
      <c r="W151" s="10">
        <v>0.58470916151686025</v>
      </c>
      <c r="X151" s="10">
        <v>0.98069213905385622</v>
      </c>
      <c r="Y151" s="10">
        <v>0.59490473892124629</v>
      </c>
      <c r="Z151" s="7">
        <v>4.2175589070314228</v>
      </c>
      <c r="AA151" s="7">
        <v>1.2753787917021839</v>
      </c>
    </row>
    <row r="152" spans="1:27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8">
        <v>-1</v>
      </c>
      <c r="I152" s="8">
        <v>1</v>
      </c>
      <c r="J152" s="9">
        <v>0</v>
      </c>
      <c r="K152" s="9">
        <v>2.5968736338612959E-3</v>
      </c>
      <c r="L152" s="9">
        <v>0</v>
      </c>
      <c r="M152" s="9">
        <v>1.2184992418145749E-2</v>
      </c>
      <c r="N152" s="9">
        <v>3.0366822928186599E-2</v>
      </c>
      <c r="O152" s="9">
        <v>0</v>
      </c>
      <c r="P152" s="9">
        <v>5.1913458692761982E-2</v>
      </c>
      <c r="Q152" s="9">
        <v>0</v>
      </c>
      <c r="R152" s="10">
        <v>0.56492740926497165</v>
      </c>
      <c r="S152" s="10">
        <v>0.1787227087293998</v>
      </c>
      <c r="T152" s="10">
        <v>-0.15749481268389309</v>
      </c>
      <c r="U152" s="10">
        <v>0.56563895995336266</v>
      </c>
      <c r="V152" s="10">
        <v>0.95060729125581189</v>
      </c>
      <c r="W152" s="10">
        <v>0.58470916151686025</v>
      </c>
      <c r="X152" s="10">
        <v>1.032605597746618</v>
      </c>
      <c r="Y152" s="10">
        <v>0.59490473892124629</v>
      </c>
      <c r="Z152" s="7">
        <v>4.3146210547043786</v>
      </c>
      <c r="AA152" s="7">
        <v>1.3304529367518789</v>
      </c>
    </row>
    <row r="153" spans="1:27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8">
        <v>1</v>
      </c>
      <c r="I153" s="8">
        <v>-1</v>
      </c>
      <c r="J153" s="9">
        <v>-1.8852567206092741E-2</v>
      </c>
      <c r="K153" s="9">
        <v>0</v>
      </c>
      <c r="L153" s="9">
        <v>5.9580708239866942E-3</v>
      </c>
      <c r="M153" s="9">
        <v>0</v>
      </c>
      <c r="N153" s="9">
        <v>0</v>
      </c>
      <c r="O153" s="9">
        <v>1.497653460899684E-2</v>
      </c>
      <c r="P153" s="9">
        <v>0</v>
      </c>
      <c r="Q153" s="9">
        <v>-4.5293446848099217E-2</v>
      </c>
      <c r="R153" s="10">
        <v>0.54607484205887891</v>
      </c>
      <c r="S153" s="10">
        <v>0.1787227087293998</v>
      </c>
      <c r="T153" s="10">
        <v>-0.1515367418599064</v>
      </c>
      <c r="U153" s="10">
        <v>0.56563895995336266</v>
      </c>
      <c r="V153" s="10">
        <v>0.95060729125581189</v>
      </c>
      <c r="W153" s="10">
        <v>0.59968569612585709</v>
      </c>
      <c r="X153" s="10">
        <v>1.032605597746618</v>
      </c>
      <c r="Y153" s="10">
        <v>0.54961129207314707</v>
      </c>
      <c r="Z153" s="7">
        <v>4.2714096460831703</v>
      </c>
      <c r="AA153" s="7">
        <v>1.3154614679970931</v>
      </c>
    </row>
    <row r="154" spans="1:27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8">
        <v>-1</v>
      </c>
      <c r="I154" s="8">
        <v>1</v>
      </c>
      <c r="J154" s="9">
        <v>0</v>
      </c>
      <c r="K154" s="9">
        <v>1.02772913772029E-2</v>
      </c>
      <c r="L154" s="9">
        <v>0</v>
      </c>
      <c r="M154" s="9">
        <v>-1.375434119785468E-2</v>
      </c>
      <c r="N154" s="9">
        <v>7.5247846378144736E-3</v>
      </c>
      <c r="O154" s="9">
        <v>0</v>
      </c>
      <c r="P154" s="9">
        <v>-5.6446482600114312E-3</v>
      </c>
      <c r="Q154" s="9">
        <v>0</v>
      </c>
      <c r="R154" s="10">
        <v>0.54607484205887891</v>
      </c>
      <c r="S154" s="10">
        <v>0.1890000001066027</v>
      </c>
      <c r="T154" s="10">
        <v>-0.1515367418599064</v>
      </c>
      <c r="U154" s="10">
        <v>0.55188461875550798</v>
      </c>
      <c r="V154" s="10">
        <v>0.95813207589362637</v>
      </c>
      <c r="W154" s="10">
        <v>0.59968569612585709</v>
      </c>
      <c r="X154" s="10">
        <v>1.026960949486607</v>
      </c>
      <c r="Y154" s="10">
        <v>0.54961129207314707</v>
      </c>
      <c r="Z154" s="7">
        <v>4.2698127326403217</v>
      </c>
      <c r="AA154" s="7">
        <v>1.325537907995324</v>
      </c>
    </row>
    <row r="155" spans="1:27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8">
        <v>-1</v>
      </c>
      <c r="I155" s="8">
        <v>1</v>
      </c>
      <c r="J155" s="9">
        <v>0</v>
      </c>
      <c r="K155" s="9">
        <v>1.0989403091400731E-2</v>
      </c>
      <c r="L155" s="9">
        <v>0</v>
      </c>
      <c r="M155" s="9">
        <v>1.9572630201509119E-2</v>
      </c>
      <c r="N155" s="9">
        <v>2.1098173458458098E-3</v>
      </c>
      <c r="O155" s="9">
        <v>0</v>
      </c>
      <c r="P155" s="9">
        <v>2.7963484076485409E-2</v>
      </c>
      <c r="Q155" s="9">
        <v>0</v>
      </c>
      <c r="R155" s="10">
        <v>0.54607484205887891</v>
      </c>
      <c r="S155" s="10">
        <v>0.1999894031980034</v>
      </c>
      <c r="T155" s="10">
        <v>-0.1515367418599064</v>
      </c>
      <c r="U155" s="10">
        <v>0.57145724895701711</v>
      </c>
      <c r="V155" s="10">
        <v>0.96024189323947218</v>
      </c>
      <c r="W155" s="10">
        <v>0.59968569612585709</v>
      </c>
      <c r="X155" s="10">
        <v>1.0549244335630921</v>
      </c>
      <c r="Y155" s="10">
        <v>0.54961129207314707</v>
      </c>
      <c r="Z155" s="7">
        <v>4.3304480673555634</v>
      </c>
      <c r="AA155" s="7">
        <v>1.3387488677839821</v>
      </c>
    </row>
    <row r="156" spans="1:27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8">
        <v>-1</v>
      </c>
      <c r="I156" s="8">
        <v>1</v>
      </c>
      <c r="J156" s="9">
        <v>0</v>
      </c>
      <c r="K156" s="9">
        <v>2.3539797459635969E-2</v>
      </c>
      <c r="L156" s="9">
        <v>0</v>
      </c>
      <c r="M156" s="9">
        <v>-1.299328467325067E-2</v>
      </c>
      <c r="N156" s="9">
        <v>-6.4662059204348976E-3</v>
      </c>
      <c r="O156" s="9">
        <v>0</v>
      </c>
      <c r="P156" s="9">
        <v>3.9935359516292679E-2</v>
      </c>
      <c r="Q156" s="9">
        <v>0</v>
      </c>
      <c r="R156" s="10">
        <v>0.54607484205887891</v>
      </c>
      <c r="S156" s="10">
        <v>0.2235292006576394</v>
      </c>
      <c r="T156" s="10">
        <v>-0.1515367418599064</v>
      </c>
      <c r="U156" s="10">
        <v>0.55846396428376643</v>
      </c>
      <c r="V156" s="10">
        <v>0.95377568731903728</v>
      </c>
      <c r="W156" s="10">
        <v>0.59968569612585709</v>
      </c>
      <c r="X156" s="10">
        <v>1.0948597930793851</v>
      </c>
      <c r="Y156" s="10">
        <v>0.54961129207314707</v>
      </c>
      <c r="Z156" s="7">
        <v>4.3744637337378052</v>
      </c>
      <c r="AA156" s="7">
        <v>1.3187544363003301</v>
      </c>
    </row>
    <row r="157" spans="1:27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8">
        <v>-1</v>
      </c>
      <c r="I157" s="8">
        <v>1</v>
      </c>
      <c r="J157" s="9">
        <v>0</v>
      </c>
      <c r="K157" s="9">
        <v>3.9377647304792429E-3</v>
      </c>
      <c r="L157" s="9">
        <v>0</v>
      </c>
      <c r="M157" s="9">
        <v>2.4387677244413371E-2</v>
      </c>
      <c r="N157" s="9">
        <v>-6.2347198448615693E-3</v>
      </c>
      <c r="O157" s="9">
        <v>0</v>
      </c>
      <c r="P157" s="9">
        <v>-2.6354104450608928E-2</v>
      </c>
      <c r="Q157" s="9">
        <v>0</v>
      </c>
      <c r="R157" s="10">
        <v>0.54607484205887891</v>
      </c>
      <c r="S157" s="10">
        <v>0.22746696538811861</v>
      </c>
      <c r="T157" s="10">
        <v>-0.1515367418599064</v>
      </c>
      <c r="U157" s="10">
        <v>0.58285164152817981</v>
      </c>
      <c r="V157" s="10">
        <v>0.94754096747417571</v>
      </c>
      <c r="W157" s="10">
        <v>0.59968569612585709</v>
      </c>
      <c r="X157" s="10">
        <v>1.068505688628776</v>
      </c>
      <c r="Y157" s="10">
        <v>0.54961129207314707</v>
      </c>
      <c r="Z157" s="7">
        <v>4.3702003514172274</v>
      </c>
      <c r="AA157" s="7">
        <v>1.3416696328260129</v>
      </c>
    </row>
    <row r="158" spans="1:27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8">
        <v>1</v>
      </c>
      <c r="I158" s="8">
        <v>-1</v>
      </c>
      <c r="J158" s="9">
        <v>1.2256986516175909E-3</v>
      </c>
      <c r="K158" s="9">
        <v>0</v>
      </c>
      <c r="L158" s="9">
        <v>3.9842418925482903E-2</v>
      </c>
      <c r="M158" s="9">
        <v>0</v>
      </c>
      <c r="N158" s="9">
        <v>0</v>
      </c>
      <c r="O158" s="9">
        <v>1.2139613932236389E-2</v>
      </c>
      <c r="P158" s="9">
        <v>0</v>
      </c>
      <c r="Q158" s="9">
        <v>1.7084596687859999E-2</v>
      </c>
      <c r="R158" s="10">
        <v>0.5473005407104965</v>
      </c>
      <c r="S158" s="10">
        <v>0.22746696538811861</v>
      </c>
      <c r="T158" s="10">
        <v>-0.1116943229344235</v>
      </c>
      <c r="U158" s="10">
        <v>0.58285164152817981</v>
      </c>
      <c r="V158" s="10">
        <v>0.94754096747417571</v>
      </c>
      <c r="W158" s="10">
        <v>0.61182531005809349</v>
      </c>
      <c r="X158" s="10">
        <v>1.068505688628776</v>
      </c>
      <c r="Y158" s="10">
        <v>0.56669588876100707</v>
      </c>
      <c r="Z158" s="7">
        <v>4.4404926796144242</v>
      </c>
      <c r="AA158" s="7">
        <v>1.2817285655563391</v>
      </c>
    </row>
    <row r="159" spans="1:27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8">
        <v>1</v>
      </c>
      <c r="I159" s="8">
        <v>-1</v>
      </c>
      <c r="J159" s="9">
        <v>-1.132755944735753E-2</v>
      </c>
      <c r="K159" s="9">
        <v>0</v>
      </c>
      <c r="L159" s="9">
        <v>-1.456386985989111E-2</v>
      </c>
      <c r="M159" s="9">
        <v>0</v>
      </c>
      <c r="N159" s="9">
        <v>0</v>
      </c>
      <c r="O159" s="9">
        <v>1.5604871417507221E-4</v>
      </c>
      <c r="P159" s="9">
        <v>0</v>
      </c>
      <c r="Q159" s="9">
        <v>-2.1452623970372731E-3</v>
      </c>
      <c r="R159" s="10">
        <v>0.53597298126313897</v>
      </c>
      <c r="S159" s="10">
        <v>0.22746696538811861</v>
      </c>
      <c r="T159" s="10">
        <v>-0.12625819279431461</v>
      </c>
      <c r="U159" s="10">
        <v>0.58285164152817981</v>
      </c>
      <c r="V159" s="10">
        <v>0.94754096747417571</v>
      </c>
      <c r="W159" s="10">
        <v>0.61198135877226856</v>
      </c>
      <c r="X159" s="10">
        <v>1.068505688628776</v>
      </c>
      <c r="Y159" s="10">
        <v>0.5645506263639698</v>
      </c>
      <c r="Z159" s="7">
        <v>4.4126120366243136</v>
      </c>
      <c r="AA159" s="7">
        <v>1.257913158857128</v>
      </c>
    </row>
    <row r="160" spans="1:27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8">
        <v>-1</v>
      </c>
      <c r="I160" s="8">
        <v>1</v>
      </c>
      <c r="J160" s="9">
        <v>0</v>
      </c>
      <c r="K160" s="9">
        <v>-2.9955780458010062E-2</v>
      </c>
      <c r="L160" s="9">
        <v>0</v>
      </c>
      <c r="M160" s="9">
        <v>-1.0063631861960579E-2</v>
      </c>
      <c r="N160" s="9">
        <v>4.0106236160467823E-2</v>
      </c>
      <c r="O160" s="9">
        <v>0</v>
      </c>
      <c r="P160" s="9">
        <v>2.252146416927725E-3</v>
      </c>
      <c r="Q160" s="9">
        <v>0</v>
      </c>
      <c r="R160" s="10">
        <v>0.53597298126313897</v>
      </c>
      <c r="S160" s="10">
        <v>0.19751118493010861</v>
      </c>
      <c r="T160" s="10">
        <v>-0.12625819279431461</v>
      </c>
      <c r="U160" s="10">
        <v>0.57278800966621923</v>
      </c>
      <c r="V160" s="10">
        <v>0.98764720363464353</v>
      </c>
      <c r="W160" s="10">
        <v>0.61198135877226856</v>
      </c>
      <c r="X160" s="10">
        <v>1.0707578350457041</v>
      </c>
      <c r="Y160" s="10">
        <v>0.5645506263639698</v>
      </c>
      <c r="Z160" s="7">
        <v>4.4149510068817381</v>
      </c>
      <c r="AA160" s="7">
        <v>1.340356917822078</v>
      </c>
    </row>
    <row r="161" spans="1:27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8">
        <v>-1</v>
      </c>
      <c r="I161" s="8">
        <v>1</v>
      </c>
      <c r="J161" s="9">
        <v>0</v>
      </c>
      <c r="K161" s="9">
        <v>2.9554862496583571E-3</v>
      </c>
      <c r="L161" s="9">
        <v>0</v>
      </c>
      <c r="M161" s="9">
        <v>8.2840483726148717E-3</v>
      </c>
      <c r="N161" s="9">
        <v>1.017544296332662E-2</v>
      </c>
      <c r="O161" s="9">
        <v>0</v>
      </c>
      <c r="P161" s="9">
        <v>2.893646186995524E-2</v>
      </c>
      <c r="Q161" s="9">
        <v>0</v>
      </c>
      <c r="R161" s="10">
        <v>0.53597298126313897</v>
      </c>
      <c r="S161" s="10">
        <v>0.20046667117976691</v>
      </c>
      <c r="T161" s="10">
        <v>-0.12625819279431461</v>
      </c>
      <c r="U161" s="10">
        <v>0.5810720580388341</v>
      </c>
      <c r="V161" s="10">
        <v>0.99782264659797015</v>
      </c>
      <c r="W161" s="10">
        <v>0.61198135877226856</v>
      </c>
      <c r="X161" s="10">
        <v>1.0996942969156589</v>
      </c>
      <c r="Y161" s="10">
        <v>0.5645506263639698</v>
      </c>
      <c r="Z161" s="7">
        <v>4.4653024463372937</v>
      </c>
      <c r="AA161" s="7">
        <v>1.344557445249996</v>
      </c>
    </row>
    <row r="162" spans="1:27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8">
        <v>1</v>
      </c>
      <c r="I162" s="8">
        <v>-1</v>
      </c>
      <c r="J162" s="9">
        <v>1.110289197179193E-2</v>
      </c>
      <c r="K162" s="9">
        <v>0</v>
      </c>
      <c r="L162" s="9">
        <v>1.917576938613685E-2</v>
      </c>
      <c r="M162" s="9">
        <v>0</v>
      </c>
      <c r="N162" s="9">
        <v>0</v>
      </c>
      <c r="O162" s="9">
        <v>1.2277230473923819E-3</v>
      </c>
      <c r="P162" s="9">
        <v>0</v>
      </c>
      <c r="Q162" s="9">
        <v>5.1370013121722069E-3</v>
      </c>
      <c r="R162" s="10">
        <v>0.5470758732349309</v>
      </c>
      <c r="S162" s="10">
        <v>0.20046667117976691</v>
      </c>
      <c r="T162" s="10">
        <v>-0.10708242340817779</v>
      </c>
      <c r="U162" s="10">
        <v>0.5810720580388341</v>
      </c>
      <c r="V162" s="10">
        <v>0.99782264659797015</v>
      </c>
      <c r="W162" s="10">
        <v>0.61320908181966094</v>
      </c>
      <c r="X162" s="10">
        <v>1.0996942969156589</v>
      </c>
      <c r="Y162" s="10">
        <v>0.56968762767614201</v>
      </c>
      <c r="Z162" s="7">
        <v>4.5019458320547869</v>
      </c>
      <c r="AA162" s="7">
        <v>1.328511757294925</v>
      </c>
    </row>
    <row r="163" spans="1:27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8">
        <v>1</v>
      </c>
      <c r="I163" s="8">
        <v>-1</v>
      </c>
      <c r="J163" s="9">
        <v>3.2346172411818697E-2</v>
      </c>
      <c r="K163" s="9">
        <v>0</v>
      </c>
      <c r="L163" s="9">
        <v>-1.0142799497257941E-2</v>
      </c>
      <c r="M163" s="9">
        <v>0</v>
      </c>
      <c r="N163" s="9">
        <v>0</v>
      </c>
      <c r="O163" s="9">
        <v>5.9870587702059892E-2</v>
      </c>
      <c r="P163" s="9">
        <v>0</v>
      </c>
      <c r="Q163" s="9">
        <v>2.2928751948025131E-2</v>
      </c>
      <c r="R163" s="10">
        <v>0.57942204564674959</v>
      </c>
      <c r="S163" s="10">
        <v>0.20046667117976691</v>
      </c>
      <c r="T163" s="10">
        <v>-0.1172252229054357</v>
      </c>
      <c r="U163" s="10">
        <v>0.5810720580388341</v>
      </c>
      <c r="V163" s="10">
        <v>0.99782264659797015</v>
      </c>
      <c r="W163" s="10">
        <v>0.67307966952172082</v>
      </c>
      <c r="X163" s="10">
        <v>1.0996942969156589</v>
      </c>
      <c r="Y163" s="10">
        <v>0.59261637962416713</v>
      </c>
      <c r="Z163" s="7">
        <v>4.6069485446194332</v>
      </c>
      <c r="AA163" s="7">
        <v>1.279572789102752</v>
      </c>
    </row>
    <row r="164" spans="1:27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8">
        <v>1</v>
      </c>
      <c r="I164" s="8">
        <v>-1</v>
      </c>
      <c r="J164" s="9">
        <v>-6.0867819742838059E-3</v>
      </c>
      <c r="K164" s="9">
        <v>0</v>
      </c>
      <c r="L164" s="9">
        <v>-3.7787520955612219E-4</v>
      </c>
      <c r="M164" s="9">
        <v>0</v>
      </c>
      <c r="N164" s="9">
        <v>0</v>
      </c>
      <c r="O164" s="9">
        <v>2.9870443812911481E-2</v>
      </c>
      <c r="P164" s="9">
        <v>0</v>
      </c>
      <c r="Q164" s="9">
        <v>1.320936436187858E-2</v>
      </c>
      <c r="R164" s="10">
        <v>0.57333526367246579</v>
      </c>
      <c r="S164" s="10">
        <v>0.20046667117976691</v>
      </c>
      <c r="T164" s="10">
        <v>-0.1176030981149918</v>
      </c>
      <c r="U164" s="10">
        <v>0.5810720580388341</v>
      </c>
      <c r="V164" s="10">
        <v>0.99782264659797015</v>
      </c>
      <c r="W164" s="10">
        <v>0.70295011333463231</v>
      </c>
      <c r="X164" s="10">
        <v>1.0996942969156589</v>
      </c>
      <c r="Y164" s="10">
        <v>0.60582574398604572</v>
      </c>
      <c r="Z164" s="7">
        <v>4.643563695610383</v>
      </c>
      <c r="AA164" s="7">
        <v>1.280082525647023</v>
      </c>
    </row>
    <row r="165" spans="1:27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8">
        <v>-1</v>
      </c>
      <c r="I165" s="8">
        <v>1</v>
      </c>
      <c r="J165" s="9">
        <v>0</v>
      </c>
      <c r="K165" s="9">
        <v>-4.2222733110776067E-3</v>
      </c>
      <c r="L165" s="9">
        <v>0</v>
      </c>
      <c r="M165" s="9">
        <v>1.983888334525696E-2</v>
      </c>
      <c r="N165" s="9">
        <v>3.597166866950019E-2</v>
      </c>
      <c r="O165" s="9">
        <v>0</v>
      </c>
      <c r="P165" s="9">
        <v>1.6560875635107889E-2</v>
      </c>
      <c r="Q165" s="9">
        <v>0</v>
      </c>
      <c r="R165" s="10">
        <v>0.57333526367246579</v>
      </c>
      <c r="S165" s="10">
        <v>0.1962443978686893</v>
      </c>
      <c r="T165" s="10">
        <v>-0.1176030981149918</v>
      </c>
      <c r="U165" s="10">
        <v>0.60091094138409107</v>
      </c>
      <c r="V165" s="10">
        <v>1.03379431526747</v>
      </c>
      <c r="W165" s="10">
        <v>0.70295011333463231</v>
      </c>
      <c r="X165" s="10">
        <v>1.116255172550767</v>
      </c>
      <c r="Y165" s="10">
        <v>0.60582574398604572</v>
      </c>
      <c r="Z165" s="7">
        <v>4.7117128499491701</v>
      </c>
      <c r="AA165" s="7">
        <v>1.34580516019536</v>
      </c>
    </row>
    <row r="166" spans="1:27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8">
        <v>-1</v>
      </c>
      <c r="I166" s="8">
        <v>1</v>
      </c>
      <c r="J166" s="9">
        <v>0</v>
      </c>
      <c r="K166" s="9">
        <v>1.265304430357372E-2</v>
      </c>
      <c r="L166" s="9">
        <v>0</v>
      </c>
      <c r="M166" s="9">
        <v>5.4310578217547922E-3</v>
      </c>
      <c r="N166" s="9">
        <v>-7.4587903043831227E-3</v>
      </c>
      <c r="O166" s="9">
        <v>0</v>
      </c>
      <c r="P166" s="9">
        <v>-1.9238963613289028E-2</v>
      </c>
      <c r="Q166" s="9">
        <v>0</v>
      </c>
      <c r="R166" s="10">
        <v>0.57333526367246579</v>
      </c>
      <c r="S166" s="10">
        <v>0.208897442172263</v>
      </c>
      <c r="T166" s="10">
        <v>-0.1176030981149918</v>
      </c>
      <c r="U166" s="10">
        <v>0.60634199920584586</v>
      </c>
      <c r="V166" s="10">
        <v>1.026335524963087</v>
      </c>
      <c r="W166" s="10">
        <v>0.70295011333463231</v>
      </c>
      <c r="X166" s="10">
        <v>1.097016208937478</v>
      </c>
      <c r="Y166" s="10">
        <v>0.60582574398604572</v>
      </c>
      <c r="Z166" s="7">
        <v>4.703099198156826</v>
      </c>
      <c r="AA166" s="7">
        <v>1.3501542181477191</v>
      </c>
    </row>
    <row r="167" spans="1:27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8">
        <v>1</v>
      </c>
      <c r="I167" s="8">
        <v>-1</v>
      </c>
      <c r="J167" s="9">
        <v>2.106612089009496E-2</v>
      </c>
      <c r="K167" s="9">
        <v>0</v>
      </c>
      <c r="L167" s="9">
        <v>-1.13567959260763E-4</v>
      </c>
      <c r="M167" s="9">
        <v>0</v>
      </c>
      <c r="N167" s="9">
        <v>0</v>
      </c>
      <c r="O167" s="9">
        <v>2.868858305555833E-3</v>
      </c>
      <c r="P167" s="9">
        <v>0</v>
      </c>
      <c r="Q167" s="9">
        <v>1.0423757096097001E-2</v>
      </c>
      <c r="R167" s="10">
        <v>0.59440138456256075</v>
      </c>
      <c r="S167" s="10">
        <v>0.208897442172263</v>
      </c>
      <c r="T167" s="10">
        <v>-0.1177166660742526</v>
      </c>
      <c r="U167" s="10">
        <v>0.60634199920584586</v>
      </c>
      <c r="V167" s="10">
        <v>1.026335524963087</v>
      </c>
      <c r="W167" s="10">
        <v>0.70581897164018814</v>
      </c>
      <c r="X167" s="10">
        <v>1.097016208937478</v>
      </c>
      <c r="Y167" s="10">
        <v>0.61624950108214271</v>
      </c>
      <c r="Z167" s="7">
        <v>4.7373443664893129</v>
      </c>
      <c r="AA167" s="7">
        <v>1.36751029179655</v>
      </c>
    </row>
    <row r="168" spans="1:27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8">
        <v>1</v>
      </c>
      <c r="I168" s="8">
        <v>-1</v>
      </c>
      <c r="J168" s="9">
        <v>6.2817121259411968E-3</v>
      </c>
      <c r="K168" s="9">
        <v>0</v>
      </c>
      <c r="L168" s="9">
        <v>-4.0119449549675612E-2</v>
      </c>
      <c r="M168" s="9">
        <v>0</v>
      </c>
      <c r="N168" s="9">
        <v>0</v>
      </c>
      <c r="O168" s="9">
        <v>-8.7554909606043507E-3</v>
      </c>
      <c r="P168" s="9">
        <v>0</v>
      </c>
      <c r="Q168" s="9">
        <v>2.0489683877083501E-2</v>
      </c>
      <c r="R168" s="10">
        <v>0.60068309668850195</v>
      </c>
      <c r="S168" s="10">
        <v>0.208897442172263</v>
      </c>
      <c r="T168" s="10">
        <v>-0.15783611562392821</v>
      </c>
      <c r="U168" s="10">
        <v>0.60634199920584586</v>
      </c>
      <c r="V168" s="10">
        <v>1.026335524963087</v>
      </c>
      <c r="W168" s="10">
        <v>0.69706348067958379</v>
      </c>
      <c r="X168" s="10">
        <v>1.097016208937478</v>
      </c>
      <c r="Y168" s="10">
        <v>0.63673918495922621</v>
      </c>
      <c r="Z168" s="7">
        <v>4.7152408219820572</v>
      </c>
      <c r="AA168" s="7">
        <v>1.372430447132581</v>
      </c>
    </row>
    <row r="169" spans="1:27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8">
        <v>-1</v>
      </c>
      <c r="I169" s="8">
        <v>1</v>
      </c>
      <c r="J169" s="9">
        <v>0</v>
      </c>
      <c r="K169" s="9">
        <v>5.4633164049966432E-4</v>
      </c>
      <c r="L169" s="9">
        <v>0</v>
      </c>
      <c r="M169" s="9">
        <v>1.9804518498064749E-2</v>
      </c>
      <c r="N169" s="9">
        <v>1.51754701382486E-2</v>
      </c>
      <c r="O169" s="9">
        <v>0</v>
      </c>
      <c r="P169" s="9">
        <v>-3.5317115666249177E-2</v>
      </c>
      <c r="Q169" s="9">
        <v>0</v>
      </c>
      <c r="R169" s="10">
        <v>0.60068309668850195</v>
      </c>
      <c r="S169" s="10">
        <v>0.20944377381276269</v>
      </c>
      <c r="T169" s="10">
        <v>-0.15783611562392821</v>
      </c>
      <c r="U169" s="10">
        <v>0.62614651770391061</v>
      </c>
      <c r="V169" s="10">
        <v>1.0415109951013359</v>
      </c>
      <c r="W169" s="10">
        <v>0.69706348067958379</v>
      </c>
      <c r="X169" s="10">
        <v>1.061699093271228</v>
      </c>
      <c r="Y169" s="10">
        <v>0.63673918495922621</v>
      </c>
      <c r="Z169" s="7">
        <v>4.7154500265926211</v>
      </c>
      <c r="AA169" s="7">
        <v>1.4084936161394259</v>
      </c>
    </row>
    <row r="170" spans="1:27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8">
        <v>-1</v>
      </c>
      <c r="I170" s="8">
        <v>1</v>
      </c>
      <c r="J170" s="9">
        <v>0</v>
      </c>
      <c r="K170" s="9">
        <v>5.2871165644816642E-3</v>
      </c>
      <c r="L170" s="9">
        <v>0</v>
      </c>
      <c r="M170" s="9">
        <v>8.4876349859683842E-3</v>
      </c>
      <c r="N170" s="9">
        <v>4.9292530344248187E-3</v>
      </c>
      <c r="O170" s="9">
        <v>0</v>
      </c>
      <c r="P170" s="9">
        <v>2.3450319077065521E-2</v>
      </c>
      <c r="Q170" s="9">
        <v>0</v>
      </c>
      <c r="R170" s="10">
        <v>0.60068309668850195</v>
      </c>
      <c r="S170" s="10">
        <v>0.21473089037724441</v>
      </c>
      <c r="T170" s="10">
        <v>-0.15783611562392821</v>
      </c>
      <c r="U170" s="10">
        <v>0.63463415268987899</v>
      </c>
      <c r="V170" s="10">
        <v>1.04644024813576</v>
      </c>
      <c r="W170" s="10">
        <v>0.69706348067958379</v>
      </c>
      <c r="X170" s="10">
        <v>1.0851494123482941</v>
      </c>
      <c r="Y170" s="10">
        <v>0.63673918495922621</v>
      </c>
      <c r="Z170" s="7">
        <v>4.757604350254562</v>
      </c>
      <c r="AA170" s="7">
        <v>1.409821605004087</v>
      </c>
    </row>
    <row r="171" spans="1:27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8">
        <v>-1</v>
      </c>
      <c r="I171" s="8">
        <v>1</v>
      </c>
      <c r="J171" s="9">
        <v>0</v>
      </c>
      <c r="K171" s="9">
        <v>3.9110735098819571E-3</v>
      </c>
      <c r="L171" s="9">
        <v>0</v>
      </c>
      <c r="M171" s="9">
        <v>4.1738659614304341E-3</v>
      </c>
      <c r="N171" s="9">
        <v>5.2016034544544176E-3</v>
      </c>
      <c r="O171" s="9">
        <v>0</v>
      </c>
      <c r="P171" s="9">
        <v>1.302495633778589E-2</v>
      </c>
      <c r="Q171" s="9">
        <v>0</v>
      </c>
      <c r="R171" s="10">
        <v>0.60068309668850195</v>
      </c>
      <c r="S171" s="10">
        <v>0.21864196388712631</v>
      </c>
      <c r="T171" s="10">
        <v>-0.15783611562392821</v>
      </c>
      <c r="U171" s="10">
        <v>0.63880801865130943</v>
      </c>
      <c r="V171" s="10">
        <v>1.0516418515902151</v>
      </c>
      <c r="W171" s="10">
        <v>0.69706348067958379</v>
      </c>
      <c r="X171" s="10">
        <v>1.0981743686860801</v>
      </c>
      <c r="Y171" s="10">
        <v>0.63673918495922621</v>
      </c>
      <c r="Z171" s="7">
        <v>4.7839158495181149</v>
      </c>
      <c r="AA171" s="7">
        <v>1.4106827889705349</v>
      </c>
    </row>
    <row r="172" spans="1:27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8">
        <v>-1</v>
      </c>
      <c r="I172" s="8">
        <v>1</v>
      </c>
      <c r="J172" s="9">
        <v>0</v>
      </c>
      <c r="K172" s="9">
        <v>6.6807915872998391E-3</v>
      </c>
      <c r="L172" s="9">
        <v>0</v>
      </c>
      <c r="M172" s="9">
        <v>-1.545608214240257E-2</v>
      </c>
      <c r="N172" s="9">
        <v>-5.8106249618687933E-3</v>
      </c>
      <c r="O172" s="9">
        <v>0</v>
      </c>
      <c r="P172" s="9">
        <v>2.455506134075669E-2</v>
      </c>
      <c r="Q172" s="9">
        <v>0</v>
      </c>
      <c r="R172" s="10">
        <v>0.60068309668850195</v>
      </c>
      <c r="S172" s="10">
        <v>0.22532275547442621</v>
      </c>
      <c r="T172" s="10">
        <v>-0.15783611562392821</v>
      </c>
      <c r="U172" s="10">
        <v>0.62335193650890686</v>
      </c>
      <c r="V172" s="10">
        <v>1.045831226628346</v>
      </c>
      <c r="W172" s="10">
        <v>0.69706348067958379</v>
      </c>
      <c r="X172" s="10">
        <v>1.1227294300268369</v>
      </c>
      <c r="Y172" s="10">
        <v>0.63673918495922621</v>
      </c>
      <c r="Z172" s="7">
        <v>4.7938849953418998</v>
      </c>
      <c r="AA172" s="7">
        <v>1.393381451405278</v>
      </c>
    </row>
    <row r="173" spans="1:27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8">
        <v>-1</v>
      </c>
      <c r="I173" s="8">
        <v>1</v>
      </c>
      <c r="J173" s="9">
        <v>0</v>
      </c>
      <c r="K173" s="9">
        <v>-1.0687822630213171E-3</v>
      </c>
      <c r="L173" s="9">
        <v>0</v>
      </c>
      <c r="M173" s="9">
        <v>-7.362822759828358E-3</v>
      </c>
      <c r="N173" s="9">
        <v>3.1143198898775371E-3</v>
      </c>
      <c r="O173" s="9">
        <v>0</v>
      </c>
      <c r="P173" s="9">
        <v>2.7898768710785671E-3</v>
      </c>
      <c r="Q173" s="9">
        <v>0</v>
      </c>
      <c r="R173" s="10">
        <v>0.60068309668850195</v>
      </c>
      <c r="S173" s="10">
        <v>0.22425397321140481</v>
      </c>
      <c r="T173" s="10">
        <v>-0.15783611562392821</v>
      </c>
      <c r="U173" s="10">
        <v>0.6159891137490785</v>
      </c>
      <c r="V173" s="10">
        <v>1.048945546518224</v>
      </c>
      <c r="W173" s="10">
        <v>0.69706348067958379</v>
      </c>
      <c r="X173" s="10">
        <v>1.125519306897915</v>
      </c>
      <c r="Y173" s="10">
        <v>0.63673918495922621</v>
      </c>
      <c r="Z173" s="7">
        <v>4.7913575870800056</v>
      </c>
      <c r="AA173" s="7">
        <v>1.430025731455393</v>
      </c>
    </row>
    <row r="174" spans="1:27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8">
        <v>-1</v>
      </c>
      <c r="I174" s="8">
        <v>1</v>
      </c>
      <c r="J174" s="9">
        <v>0</v>
      </c>
      <c r="K174" s="9">
        <v>9.924179175015535E-3</v>
      </c>
      <c r="L174" s="9">
        <v>0</v>
      </c>
      <c r="M174" s="9">
        <v>9.3956542307194191E-3</v>
      </c>
      <c r="N174" s="9">
        <v>1.9082515787233412E-2</v>
      </c>
      <c r="O174" s="9">
        <v>0</v>
      </c>
      <c r="P174" s="9">
        <v>-3.472957598629645E-3</v>
      </c>
      <c r="Q174" s="9">
        <v>0</v>
      </c>
      <c r="R174" s="10">
        <v>0.60068309668850195</v>
      </c>
      <c r="S174" s="10">
        <v>0.2341781523864204</v>
      </c>
      <c r="T174" s="10">
        <v>-0.15783611562392821</v>
      </c>
      <c r="U174" s="10">
        <v>0.62538476797979792</v>
      </c>
      <c r="V174" s="10">
        <v>1.068028062305457</v>
      </c>
      <c r="W174" s="10">
        <v>0.69706348067958379</v>
      </c>
      <c r="X174" s="10">
        <v>1.122046349299286</v>
      </c>
      <c r="Y174" s="10">
        <v>0.63673918495922621</v>
      </c>
      <c r="Z174" s="7">
        <v>4.8262869786743448</v>
      </c>
      <c r="AA174" s="7">
        <v>1.450358473838179</v>
      </c>
    </row>
    <row r="175" spans="1:27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8">
        <v>-1</v>
      </c>
      <c r="I175" s="8">
        <v>1</v>
      </c>
      <c r="J175" s="9">
        <v>0</v>
      </c>
      <c r="K175" s="9">
        <v>2.4923827839817841E-4</v>
      </c>
      <c r="L175" s="9">
        <v>0</v>
      </c>
      <c r="M175" s="9">
        <v>-1.626381046712644E-3</v>
      </c>
      <c r="N175" s="9">
        <v>1.308177553893897E-2</v>
      </c>
      <c r="O175" s="9">
        <v>0</v>
      </c>
      <c r="P175" s="9">
        <v>-2.2623204059827321E-2</v>
      </c>
      <c r="Q175" s="9">
        <v>0</v>
      </c>
      <c r="R175" s="10">
        <v>0.60068309668850195</v>
      </c>
      <c r="S175" s="10">
        <v>0.23442739066481849</v>
      </c>
      <c r="T175" s="10">
        <v>-0.15783611562392821</v>
      </c>
      <c r="U175" s="10">
        <v>0.62375838693308527</v>
      </c>
      <c r="V175" s="10">
        <v>1.081109837844396</v>
      </c>
      <c r="W175" s="10">
        <v>0.69706348067958379</v>
      </c>
      <c r="X175" s="10">
        <v>1.0994231452394581</v>
      </c>
      <c r="Y175" s="10">
        <v>0.63673918495922621</v>
      </c>
      <c r="Z175" s="7">
        <v>4.8153684073851419</v>
      </c>
      <c r="AA175" s="7">
        <v>1.468268261402808</v>
      </c>
    </row>
    <row r="176" spans="1:27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8">
        <v>-1</v>
      </c>
      <c r="I176" s="8">
        <v>1</v>
      </c>
      <c r="J176" s="9">
        <v>0</v>
      </c>
      <c r="K176" s="9">
        <v>-8.1001466830965541E-4</v>
      </c>
      <c r="L176" s="9">
        <v>0</v>
      </c>
      <c r="M176" s="9">
        <v>1.190613000962293E-2</v>
      </c>
      <c r="N176" s="9">
        <v>6.2035128732260691E-3</v>
      </c>
      <c r="O176" s="9">
        <v>0</v>
      </c>
      <c r="P176" s="9">
        <v>-6.3781037094839954E-3</v>
      </c>
      <c r="Q176" s="9">
        <v>0</v>
      </c>
      <c r="R176" s="10">
        <v>0.60068309668850195</v>
      </c>
      <c r="S176" s="10">
        <v>0.23361737599650889</v>
      </c>
      <c r="T176" s="10">
        <v>-0.15783611562392821</v>
      </c>
      <c r="U176" s="10">
        <v>0.6356645169427082</v>
      </c>
      <c r="V176" s="10">
        <v>1.087313350717622</v>
      </c>
      <c r="W176" s="10">
        <v>0.69706348067958379</v>
      </c>
      <c r="X176" s="10">
        <v>1.0930450415299751</v>
      </c>
      <c r="Y176" s="10">
        <v>0.63673918495922621</v>
      </c>
      <c r="Z176" s="7">
        <v>4.8262899318901971</v>
      </c>
      <c r="AA176" s="7">
        <v>1.5069212223870081</v>
      </c>
    </row>
    <row r="177" spans="1:27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8">
        <v>-1</v>
      </c>
      <c r="I177" s="8">
        <v>1</v>
      </c>
      <c r="J177" s="9">
        <v>0</v>
      </c>
      <c r="K177" s="9">
        <v>-8.6017252817170986E-3</v>
      </c>
      <c r="L177" s="9">
        <v>0</v>
      </c>
      <c r="M177" s="9">
        <v>4.8361162221480791E-3</v>
      </c>
      <c r="N177" s="9">
        <v>2.3646124910285948E-3</v>
      </c>
      <c r="O177" s="9">
        <v>0</v>
      </c>
      <c r="P177" s="9">
        <v>2.555827505283292E-2</v>
      </c>
      <c r="Q177" s="9">
        <v>0</v>
      </c>
      <c r="R177" s="10">
        <v>0.60068309668850195</v>
      </c>
      <c r="S177" s="10">
        <v>0.22501565071479179</v>
      </c>
      <c r="T177" s="10">
        <v>-0.15783611562392821</v>
      </c>
      <c r="U177" s="10">
        <v>0.64050063316485628</v>
      </c>
      <c r="V177" s="10">
        <v>1.0896779632086511</v>
      </c>
      <c r="W177" s="10">
        <v>0.69706348067958379</v>
      </c>
      <c r="X177" s="10">
        <v>1.118603316582808</v>
      </c>
      <c r="Y177" s="10">
        <v>0.63673918495922621</v>
      </c>
      <c r="Z177" s="7">
        <v>4.8504472103744893</v>
      </c>
      <c r="AA177" s="7">
        <v>1.5084756711374241</v>
      </c>
    </row>
    <row r="178" spans="1:27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8">
        <v>1</v>
      </c>
      <c r="I178" s="8">
        <v>-1</v>
      </c>
      <c r="J178" s="9">
        <v>3.8493924675357949E-3</v>
      </c>
      <c r="K178" s="9">
        <v>0</v>
      </c>
      <c r="L178" s="9">
        <v>4.638654928052599E-3</v>
      </c>
      <c r="M178" s="9">
        <v>0</v>
      </c>
      <c r="N178" s="9">
        <v>0</v>
      </c>
      <c r="O178" s="9">
        <v>2.282884690280151E-3</v>
      </c>
      <c r="P178" s="9">
        <v>0</v>
      </c>
      <c r="Q178" s="9">
        <v>2.193934401015452E-3</v>
      </c>
      <c r="R178" s="10">
        <v>0.60453248915603774</v>
      </c>
      <c r="S178" s="10">
        <v>0.22501565071479179</v>
      </c>
      <c r="T178" s="10">
        <v>-0.15319746069587559</v>
      </c>
      <c r="U178" s="10">
        <v>0.64050063316485628</v>
      </c>
      <c r="V178" s="10">
        <v>1.0896779632086511</v>
      </c>
      <c r="W178" s="10">
        <v>0.69934636536986394</v>
      </c>
      <c r="X178" s="10">
        <v>1.118603316582808</v>
      </c>
      <c r="Y178" s="10">
        <v>0.63893311936024166</v>
      </c>
      <c r="Z178" s="7">
        <v>4.8634120768613736</v>
      </c>
      <c r="AA178" s="7">
        <v>1.5185580865139461</v>
      </c>
    </row>
    <row r="179" spans="1:27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8">
        <v>1</v>
      </c>
      <c r="I179" s="8">
        <v>-1</v>
      </c>
      <c r="J179" s="9">
        <v>1.307813747545516E-2</v>
      </c>
      <c r="K179" s="9">
        <v>0</v>
      </c>
      <c r="L179" s="9">
        <v>-5.62119711219633E-3</v>
      </c>
      <c r="M179" s="9">
        <v>0</v>
      </c>
      <c r="N179" s="9">
        <v>0</v>
      </c>
      <c r="O179" s="9">
        <v>-6.7938139638688E-3</v>
      </c>
      <c r="P179" s="9">
        <v>0</v>
      </c>
      <c r="Q179" s="9">
        <v>-6.5541642530732016E-3</v>
      </c>
      <c r="R179" s="10">
        <v>0.61761062663149291</v>
      </c>
      <c r="S179" s="10">
        <v>0.22501565071479179</v>
      </c>
      <c r="T179" s="10">
        <v>-0.15881865780807189</v>
      </c>
      <c r="U179" s="10">
        <v>0.64050063316485628</v>
      </c>
      <c r="V179" s="10">
        <v>1.0896779632086511</v>
      </c>
      <c r="W179" s="10">
        <v>0.69255255140599514</v>
      </c>
      <c r="X179" s="10">
        <v>1.118603316582808</v>
      </c>
      <c r="Y179" s="10">
        <v>0.63237895510716846</v>
      </c>
      <c r="Z179" s="7">
        <v>4.8575210390076906</v>
      </c>
      <c r="AA179" s="7">
        <v>1.5328241321079361</v>
      </c>
    </row>
    <row r="180" spans="1:27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8">
        <v>1</v>
      </c>
      <c r="I180" s="8">
        <v>-1</v>
      </c>
      <c r="J180" s="9">
        <v>-4.6306885245674936E-3</v>
      </c>
      <c r="K180" s="9">
        <v>0</v>
      </c>
      <c r="L180" s="9">
        <v>1.9203089975543541E-2</v>
      </c>
      <c r="M180" s="9">
        <v>0</v>
      </c>
      <c r="N180" s="9">
        <v>0</v>
      </c>
      <c r="O180" s="9">
        <v>-9.1969690142181815E-3</v>
      </c>
      <c r="P180" s="9">
        <v>0</v>
      </c>
      <c r="Q180" s="9">
        <v>6.4026271203848628E-3</v>
      </c>
      <c r="R180" s="10">
        <v>0.61297993810692541</v>
      </c>
      <c r="S180" s="10">
        <v>0.22501565071479179</v>
      </c>
      <c r="T180" s="10">
        <v>-0.1396155678325284</v>
      </c>
      <c r="U180" s="10">
        <v>0.64050063316485628</v>
      </c>
      <c r="V180" s="10">
        <v>1.0896779632086511</v>
      </c>
      <c r="W180" s="10">
        <v>0.68335558239177696</v>
      </c>
      <c r="X180" s="10">
        <v>1.118603316582808</v>
      </c>
      <c r="Y180" s="10">
        <v>0.63878158222755332</v>
      </c>
      <c r="Z180" s="7">
        <v>4.8692990985648326</v>
      </c>
      <c r="AA180" s="7">
        <v>1.5394102331105159</v>
      </c>
    </row>
    <row r="181" spans="1:27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8">
        <v>-1</v>
      </c>
      <c r="I181" s="8">
        <v>1</v>
      </c>
      <c r="J181" s="9">
        <v>0</v>
      </c>
      <c r="K181" s="9">
        <v>1.9832641239647669E-4</v>
      </c>
      <c r="L181" s="9">
        <v>0</v>
      </c>
      <c r="M181" s="9">
        <v>-9.190819958692531E-3</v>
      </c>
      <c r="N181" s="9">
        <v>2.42211354882782E-3</v>
      </c>
      <c r="O181" s="9">
        <v>0</v>
      </c>
      <c r="P181" s="9">
        <v>1.5779489312161551E-2</v>
      </c>
      <c r="Q181" s="9">
        <v>0</v>
      </c>
      <c r="R181" s="10">
        <v>0.61297993810692541</v>
      </c>
      <c r="S181" s="10">
        <v>0.2252139771271883</v>
      </c>
      <c r="T181" s="10">
        <v>-0.1396155678325284</v>
      </c>
      <c r="U181" s="10">
        <v>0.63130981320616375</v>
      </c>
      <c r="V181" s="10">
        <v>1.092100076757478</v>
      </c>
      <c r="W181" s="10">
        <v>0.68335558239177696</v>
      </c>
      <c r="X181" s="10">
        <v>1.134382805894969</v>
      </c>
      <c r="Y181" s="10">
        <v>0.63878158222755332</v>
      </c>
      <c r="Z181" s="7">
        <v>4.878508207879527</v>
      </c>
      <c r="AA181" s="7">
        <v>1.55988392126522</v>
      </c>
    </row>
    <row r="182" spans="1:27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8">
        <v>1</v>
      </c>
      <c r="I182" s="8">
        <v>-1</v>
      </c>
      <c r="J182" s="9">
        <v>1.881645695014145E-2</v>
      </c>
      <c r="K182" s="9">
        <v>0</v>
      </c>
      <c r="L182" s="9">
        <v>-8.3707388784715064E-3</v>
      </c>
      <c r="M182" s="9">
        <v>0</v>
      </c>
      <c r="N182" s="9">
        <v>0</v>
      </c>
      <c r="O182" s="9">
        <v>-4.4554779546983614E-3</v>
      </c>
      <c r="P182" s="9">
        <v>0</v>
      </c>
      <c r="Q182" s="9">
        <v>1.0555123209628481E-2</v>
      </c>
      <c r="R182" s="10">
        <v>0.63179639505706686</v>
      </c>
      <c r="S182" s="10">
        <v>0.2252139771271883</v>
      </c>
      <c r="T182" s="10">
        <v>-0.14798630671099991</v>
      </c>
      <c r="U182" s="10">
        <v>0.63130981320616375</v>
      </c>
      <c r="V182" s="10">
        <v>1.092100076757478</v>
      </c>
      <c r="W182" s="10">
        <v>0.6789001044370786</v>
      </c>
      <c r="X182" s="10">
        <v>1.134382805894969</v>
      </c>
      <c r="Y182" s="10">
        <v>0.6493367054371818</v>
      </c>
      <c r="Z182" s="7">
        <v>4.8950535712061267</v>
      </c>
      <c r="AA182" s="7">
        <v>1.563180641953438</v>
      </c>
    </row>
    <row r="183" spans="1:27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8">
        <v>-1</v>
      </c>
      <c r="I183" s="8">
        <v>1</v>
      </c>
      <c r="J183" s="9">
        <v>0</v>
      </c>
      <c r="K183" s="9">
        <v>-7.1674059653247246E-3</v>
      </c>
      <c r="L183" s="9">
        <v>0</v>
      </c>
      <c r="M183" s="9">
        <v>-1.1333056816163371E-2</v>
      </c>
      <c r="N183" s="9">
        <v>-3.650324776223846E-3</v>
      </c>
      <c r="O183" s="9">
        <v>0</v>
      </c>
      <c r="P183" s="9">
        <v>-1.0144759813917161E-2</v>
      </c>
      <c r="Q183" s="9">
        <v>0</v>
      </c>
      <c r="R183" s="10">
        <v>0.63179639505706686</v>
      </c>
      <c r="S183" s="10">
        <v>0.21804657116186349</v>
      </c>
      <c r="T183" s="10">
        <v>-0.14798630671099991</v>
      </c>
      <c r="U183" s="10">
        <v>0.61997675639000038</v>
      </c>
      <c r="V183" s="10">
        <v>1.088449751981255</v>
      </c>
      <c r="W183" s="10">
        <v>0.6789001044370786</v>
      </c>
      <c r="X183" s="10">
        <v>1.1242380460810519</v>
      </c>
      <c r="Y183" s="10">
        <v>0.6493367054371818</v>
      </c>
      <c r="Z183" s="7">
        <v>4.8627580238344974</v>
      </c>
      <c r="AA183" s="7">
        <v>1.583249654920539</v>
      </c>
    </row>
    <row r="184" spans="1:27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8">
        <v>-1</v>
      </c>
      <c r="I184" s="8">
        <v>1</v>
      </c>
      <c r="J184" s="9">
        <v>0</v>
      </c>
      <c r="K184" s="9">
        <v>-2.193858495006529E-4</v>
      </c>
      <c r="L184" s="9">
        <v>0</v>
      </c>
      <c r="M184" s="9">
        <v>3.969901101559925E-3</v>
      </c>
      <c r="N184" s="9">
        <v>1.245147295176363E-2</v>
      </c>
      <c r="O184" s="9">
        <v>0</v>
      </c>
      <c r="P184" s="9">
        <v>7.3872469920807093E-3</v>
      </c>
      <c r="Q184" s="9">
        <v>0</v>
      </c>
      <c r="R184" s="10">
        <v>0.63179639505706686</v>
      </c>
      <c r="S184" s="10">
        <v>0.21782718531236289</v>
      </c>
      <c r="T184" s="10">
        <v>-0.14798630671099991</v>
      </c>
      <c r="U184" s="10">
        <v>0.62394665749156031</v>
      </c>
      <c r="V184" s="10">
        <v>1.1009012249330179</v>
      </c>
      <c r="W184" s="10">
        <v>0.6789001044370786</v>
      </c>
      <c r="X184" s="10">
        <v>1.131625293073133</v>
      </c>
      <c r="Y184" s="10">
        <v>0.6493367054371818</v>
      </c>
      <c r="Z184" s="7">
        <v>4.8863472590304013</v>
      </c>
      <c r="AA184" s="7">
        <v>1.606657415561507</v>
      </c>
    </row>
    <row r="185" spans="1:27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8">
        <v>1</v>
      </c>
      <c r="I185" s="8">
        <v>-1</v>
      </c>
      <c r="J185" s="9">
        <v>1.9216956464672471E-2</v>
      </c>
      <c r="K185" s="9">
        <v>0</v>
      </c>
      <c r="L185" s="9">
        <v>1.2799047923051751E-2</v>
      </c>
      <c r="M185" s="9">
        <v>0</v>
      </c>
      <c r="N185" s="9">
        <v>0</v>
      </c>
      <c r="O185" s="9">
        <v>-5.901474264317752E-3</v>
      </c>
      <c r="P185" s="9">
        <v>0</v>
      </c>
      <c r="Q185" s="9">
        <v>1.951821174299195E-2</v>
      </c>
      <c r="R185" s="10">
        <v>0.65101335152173934</v>
      </c>
      <c r="S185" s="10">
        <v>0.21782718531236289</v>
      </c>
      <c r="T185" s="10">
        <v>-0.1351872587879481</v>
      </c>
      <c r="U185" s="10">
        <v>0.62394665749156031</v>
      </c>
      <c r="V185" s="10">
        <v>1.1009012249330179</v>
      </c>
      <c r="W185" s="10">
        <v>0.67299863017276085</v>
      </c>
      <c r="X185" s="10">
        <v>1.131625293073133</v>
      </c>
      <c r="Y185" s="10">
        <v>0.66885491718017376</v>
      </c>
      <c r="Z185" s="7">
        <v>4.9319800008968002</v>
      </c>
      <c r="AA185" s="7">
        <v>1.636952568145525</v>
      </c>
    </row>
    <row r="186" spans="1:27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8">
        <v>-1</v>
      </c>
      <c r="I186" s="8">
        <v>1</v>
      </c>
      <c r="J186" s="9">
        <v>0</v>
      </c>
      <c r="K186" s="9">
        <v>2.6841790251385111E-3</v>
      </c>
      <c r="L186" s="9">
        <v>0</v>
      </c>
      <c r="M186" s="9">
        <v>1.8066681161298059E-2</v>
      </c>
      <c r="N186" s="9">
        <v>-3.5388565890582808E-3</v>
      </c>
      <c r="O186" s="9">
        <v>0</v>
      </c>
      <c r="P186" s="9">
        <v>-1.4570343918542511E-2</v>
      </c>
      <c r="Q186" s="9">
        <v>0</v>
      </c>
      <c r="R186" s="10">
        <v>0.65101335152173934</v>
      </c>
      <c r="S186" s="10">
        <v>0.2205113643375014</v>
      </c>
      <c r="T186" s="10">
        <v>-0.1351872587879481</v>
      </c>
      <c r="U186" s="10">
        <v>0.64201333865285837</v>
      </c>
      <c r="V186" s="10">
        <v>1.0973623683439599</v>
      </c>
      <c r="W186" s="10">
        <v>0.67299863017276085</v>
      </c>
      <c r="X186" s="10">
        <v>1.11705494915459</v>
      </c>
      <c r="Y186" s="10">
        <v>0.66885491718017376</v>
      </c>
      <c r="Z186" s="7">
        <v>4.9346216605756359</v>
      </c>
      <c r="AA186" s="7">
        <v>1.6491255346172371</v>
      </c>
    </row>
    <row r="187" spans="1:27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8">
        <v>-1</v>
      </c>
      <c r="I187" s="8">
        <v>1</v>
      </c>
      <c r="J187" s="9">
        <v>0</v>
      </c>
      <c r="K187" s="9">
        <v>4.777033424082977E-3</v>
      </c>
      <c r="L187" s="9">
        <v>0</v>
      </c>
      <c r="M187" s="9">
        <v>-7.8391667020806244E-3</v>
      </c>
      <c r="N187" s="9">
        <v>2.6190367026323269E-2</v>
      </c>
      <c r="O187" s="9">
        <v>0</v>
      </c>
      <c r="P187" s="9">
        <v>9.6684004642371146E-3</v>
      </c>
      <c r="Q187" s="9">
        <v>0</v>
      </c>
      <c r="R187" s="10">
        <v>0.65101335152173934</v>
      </c>
      <c r="S187" s="10">
        <v>0.22528839776158441</v>
      </c>
      <c r="T187" s="10">
        <v>-0.1351872587879481</v>
      </c>
      <c r="U187" s="10">
        <v>0.63417417195077774</v>
      </c>
      <c r="V187" s="10">
        <v>1.123552735370283</v>
      </c>
      <c r="W187" s="10">
        <v>0.67299863017276085</v>
      </c>
      <c r="X187" s="10">
        <v>1.1267233496188269</v>
      </c>
      <c r="Y187" s="10">
        <v>0.66885491718017376</v>
      </c>
      <c r="Z187" s="7">
        <v>4.9674182947881986</v>
      </c>
      <c r="AA187" s="7">
        <v>1.7043224906798771</v>
      </c>
    </row>
    <row r="188" spans="1:27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8">
        <v>-1</v>
      </c>
      <c r="I188" s="8">
        <v>1</v>
      </c>
      <c r="J188" s="9">
        <v>0</v>
      </c>
      <c r="K188" s="9">
        <v>-4.9350165201832441E-3</v>
      </c>
      <c r="L188" s="9">
        <v>0</v>
      </c>
      <c r="M188" s="9">
        <v>1.4138227736990141E-2</v>
      </c>
      <c r="N188" s="9">
        <v>-5.0449819458576413E-2</v>
      </c>
      <c r="O188" s="9">
        <v>0</v>
      </c>
      <c r="P188" s="9">
        <v>3.003850712879896E-2</v>
      </c>
      <c r="Q188" s="9">
        <v>0</v>
      </c>
      <c r="R188" s="10">
        <v>0.65101335152173934</v>
      </c>
      <c r="S188" s="10">
        <v>0.22035338124140111</v>
      </c>
      <c r="T188" s="10">
        <v>-0.1351872587879481</v>
      </c>
      <c r="U188" s="10">
        <v>0.64831239968776788</v>
      </c>
      <c r="V188" s="10">
        <v>1.0731029159117069</v>
      </c>
      <c r="W188" s="10">
        <v>0.67299863017276085</v>
      </c>
      <c r="X188" s="10">
        <v>1.1567618567476261</v>
      </c>
      <c r="Y188" s="10">
        <v>0.66885491718017376</v>
      </c>
      <c r="Z188" s="7">
        <v>4.9562101936752283</v>
      </c>
      <c r="AA188" s="7">
        <v>1.6701021810892289</v>
      </c>
    </row>
    <row r="189" spans="1:27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8">
        <v>1</v>
      </c>
      <c r="I189" s="8">
        <v>-1</v>
      </c>
      <c r="J189" s="9">
        <v>-2.6141547801387551E-2</v>
      </c>
      <c r="K189" s="9">
        <v>0</v>
      </c>
      <c r="L189" s="9">
        <v>-2.3534069137912561E-2</v>
      </c>
      <c r="M189" s="9">
        <v>0</v>
      </c>
      <c r="N189" s="9">
        <v>0</v>
      </c>
      <c r="O189" s="9">
        <v>-4.340725483261143E-3</v>
      </c>
      <c r="P189" s="9">
        <v>0</v>
      </c>
      <c r="Q189" s="9">
        <v>-4.1755245512954398E-3</v>
      </c>
      <c r="R189" s="10">
        <v>0.62487180372035178</v>
      </c>
      <c r="S189" s="10">
        <v>0.22035338124140111</v>
      </c>
      <c r="T189" s="10">
        <v>-0.15872132792586069</v>
      </c>
      <c r="U189" s="10">
        <v>0.64831239968776788</v>
      </c>
      <c r="V189" s="10">
        <v>1.0731029159117069</v>
      </c>
      <c r="W189" s="10">
        <v>0.6686579046894997</v>
      </c>
      <c r="X189" s="10">
        <v>1.1567618567476261</v>
      </c>
      <c r="Y189" s="10">
        <v>0.66467939262887832</v>
      </c>
      <c r="Z189" s="7">
        <v>4.8980183267013713</v>
      </c>
      <c r="AA189" s="7">
        <v>1.643939055562357</v>
      </c>
    </row>
    <row r="190" spans="1:27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8">
        <v>-1</v>
      </c>
      <c r="I190" s="8">
        <v>1</v>
      </c>
      <c r="J190" s="9">
        <v>0</v>
      </c>
      <c r="K190" s="9">
        <v>7.7319381982361426E-3</v>
      </c>
      <c r="L190" s="9">
        <v>0</v>
      </c>
      <c r="M190" s="9">
        <v>5.4768428301287253E-3</v>
      </c>
      <c r="N190" s="9">
        <v>-1.2462232344846219E-2</v>
      </c>
      <c r="O190" s="9">
        <v>0</v>
      </c>
      <c r="P190" s="9">
        <v>4.3276809433729913E-3</v>
      </c>
      <c r="Q190" s="9">
        <v>0</v>
      </c>
      <c r="R190" s="10">
        <v>0.62487180372035178</v>
      </c>
      <c r="S190" s="10">
        <v>0.22808531943963731</v>
      </c>
      <c r="T190" s="10">
        <v>-0.15872132792586069</v>
      </c>
      <c r="U190" s="10">
        <v>0.65378924251789661</v>
      </c>
      <c r="V190" s="10">
        <v>1.0606406835668609</v>
      </c>
      <c r="W190" s="10">
        <v>0.6686579046894997</v>
      </c>
      <c r="X190" s="10">
        <v>1.1610895376909991</v>
      </c>
      <c r="Y190" s="10">
        <v>0.66467939262887832</v>
      </c>
      <c r="Z190" s="7">
        <v>4.9030925563282626</v>
      </c>
      <c r="AA190" s="7">
        <v>1.650258701604213</v>
      </c>
    </row>
    <row r="191" spans="1:27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8">
        <v>-1</v>
      </c>
      <c r="I191" s="8">
        <v>1</v>
      </c>
      <c r="J191" s="9">
        <v>0</v>
      </c>
      <c r="K191" s="9">
        <v>8.7428792215901163E-3</v>
      </c>
      <c r="L191" s="9">
        <v>0</v>
      </c>
      <c r="M191" s="9">
        <v>3.3467073488942178E-2</v>
      </c>
      <c r="N191" s="9">
        <v>9.1856954528783952E-3</v>
      </c>
      <c r="O191" s="9">
        <v>0</v>
      </c>
      <c r="P191" s="9">
        <v>3.0007123855568812E-4</v>
      </c>
      <c r="Q191" s="9">
        <v>0</v>
      </c>
      <c r="R191" s="10">
        <v>0.62487180372035178</v>
      </c>
      <c r="S191" s="10">
        <v>0.2368281986612274</v>
      </c>
      <c r="T191" s="10">
        <v>-0.15872132792586069</v>
      </c>
      <c r="U191" s="10">
        <v>0.68725631600683879</v>
      </c>
      <c r="V191" s="10">
        <v>1.0698263790197391</v>
      </c>
      <c r="W191" s="10">
        <v>0.6686579046894997</v>
      </c>
      <c r="X191" s="10">
        <v>1.161389608929555</v>
      </c>
      <c r="Y191" s="10">
        <v>0.66467939262887832</v>
      </c>
      <c r="Z191" s="7">
        <v>4.9547882757302286</v>
      </c>
      <c r="AA191" s="7">
        <v>1.6747376882157949</v>
      </c>
    </row>
    <row r="192" spans="1:27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8">
        <v>-1</v>
      </c>
      <c r="I192" s="8">
        <v>1</v>
      </c>
      <c r="J192" s="9">
        <v>0</v>
      </c>
      <c r="K192" s="9">
        <v>1.0702613697867069E-2</v>
      </c>
      <c r="L192" s="9">
        <v>0</v>
      </c>
      <c r="M192" s="9">
        <v>9.7952395698687189E-3</v>
      </c>
      <c r="N192" s="9">
        <v>2.3549466685563462E-2</v>
      </c>
      <c r="O192" s="9">
        <v>0</v>
      </c>
      <c r="P192" s="9">
        <v>8.5889618971205506E-3</v>
      </c>
      <c r="Q192" s="9">
        <v>0</v>
      </c>
      <c r="R192" s="10">
        <v>0.62487180372035178</v>
      </c>
      <c r="S192" s="10">
        <v>0.24753081235909449</v>
      </c>
      <c r="T192" s="10">
        <v>-0.15872132792586069</v>
      </c>
      <c r="U192" s="10">
        <v>0.6970515555767075</v>
      </c>
      <c r="V192" s="10">
        <v>1.0933758457053031</v>
      </c>
      <c r="W192" s="10">
        <v>0.6686579046894997</v>
      </c>
      <c r="X192" s="10">
        <v>1.169978570826675</v>
      </c>
      <c r="Y192" s="10">
        <v>0.66467939262887832</v>
      </c>
      <c r="Z192" s="7">
        <v>5.0074245575806486</v>
      </c>
      <c r="AA192" s="7">
        <v>1.6807619383345951</v>
      </c>
    </row>
    <row r="193" spans="1:27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8">
        <v>-1</v>
      </c>
      <c r="I193" s="8">
        <v>1</v>
      </c>
      <c r="J193" s="9">
        <v>0</v>
      </c>
      <c r="K193" s="9">
        <v>-4.1249514738249671E-3</v>
      </c>
      <c r="L193" s="9">
        <v>0</v>
      </c>
      <c r="M193" s="9">
        <v>3.6298995730215111E-3</v>
      </c>
      <c r="N193" s="9">
        <v>2.4226884761957331E-2</v>
      </c>
      <c r="O193" s="9">
        <v>0</v>
      </c>
      <c r="P193" s="9">
        <v>-4.2765384918614924E-3</v>
      </c>
      <c r="Q193" s="9">
        <v>0</v>
      </c>
      <c r="R193" s="10">
        <v>0.62487180372035178</v>
      </c>
      <c r="S193" s="10">
        <v>0.2434058608852695</v>
      </c>
      <c r="T193" s="10">
        <v>-0.15872132792586069</v>
      </c>
      <c r="U193" s="10">
        <v>0.70068145514972902</v>
      </c>
      <c r="V193" s="10">
        <v>1.11760273046726</v>
      </c>
      <c r="W193" s="10">
        <v>0.6686579046894997</v>
      </c>
      <c r="X193" s="10">
        <v>1.165702032334814</v>
      </c>
      <c r="Y193" s="10">
        <v>0.66467939262887832</v>
      </c>
      <c r="Z193" s="7">
        <v>5.0268798519499409</v>
      </c>
      <c r="AA193" s="7">
        <v>1.717451453865074</v>
      </c>
    </row>
    <row r="194" spans="1:27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8">
        <v>-1</v>
      </c>
      <c r="I194" s="8">
        <v>1</v>
      </c>
      <c r="J194" s="9">
        <v>0</v>
      </c>
      <c r="K194" s="9">
        <v>-1.384171078120244E-2</v>
      </c>
      <c r="L194" s="9">
        <v>0</v>
      </c>
      <c r="M194" s="9">
        <v>-3.0840974975054891E-3</v>
      </c>
      <c r="N194" s="9">
        <v>1.503110523891704E-2</v>
      </c>
      <c r="O194" s="9">
        <v>0</v>
      </c>
      <c r="P194" s="9">
        <v>6.3484758985974388E-3</v>
      </c>
      <c r="Q194" s="9">
        <v>0</v>
      </c>
      <c r="R194" s="10">
        <v>0.62487180372035178</v>
      </c>
      <c r="S194" s="10">
        <v>0.22956415010406711</v>
      </c>
      <c r="T194" s="10">
        <v>-0.15872132792586069</v>
      </c>
      <c r="U194" s="10">
        <v>0.69759735765222353</v>
      </c>
      <c r="V194" s="10">
        <v>1.1326338357061769</v>
      </c>
      <c r="W194" s="10">
        <v>0.6686579046894997</v>
      </c>
      <c r="X194" s="10">
        <v>1.1720505082334109</v>
      </c>
      <c r="Y194" s="10">
        <v>0.66467939262887832</v>
      </c>
      <c r="Z194" s="7">
        <v>5.031333624808747</v>
      </c>
      <c r="AA194" s="7">
        <v>1.7491051419325521</v>
      </c>
    </row>
    <row r="195" spans="1:27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8">
        <v>-1</v>
      </c>
      <c r="I195" s="8">
        <v>1</v>
      </c>
      <c r="J195" s="9">
        <v>0</v>
      </c>
      <c r="K195" s="9">
        <v>1.0222833276981591E-3</v>
      </c>
      <c r="L195" s="9">
        <v>0</v>
      </c>
      <c r="M195" s="9">
        <v>4.0446510873923813E-3</v>
      </c>
      <c r="N195" s="9">
        <v>-7.6287586864474122E-3</v>
      </c>
      <c r="O195" s="9">
        <v>0</v>
      </c>
      <c r="P195" s="9">
        <v>9.5678913511735297E-3</v>
      </c>
      <c r="Q195" s="9">
        <v>0</v>
      </c>
      <c r="R195" s="10">
        <v>0.62487180372035178</v>
      </c>
      <c r="S195" s="10">
        <v>0.23058643343176519</v>
      </c>
      <c r="T195" s="10">
        <v>-0.15872132792586069</v>
      </c>
      <c r="U195" s="10">
        <v>0.70164200873961591</v>
      </c>
      <c r="V195" s="10">
        <v>1.12500507701973</v>
      </c>
      <c r="W195" s="10">
        <v>0.6686579046894997</v>
      </c>
      <c r="X195" s="10">
        <v>1.181618399584585</v>
      </c>
      <c r="Y195" s="10">
        <v>0.66467939262887832</v>
      </c>
      <c r="Z195" s="7">
        <v>5.0383396918885639</v>
      </c>
      <c r="AA195" s="7">
        <v>1.7551460809381929</v>
      </c>
    </row>
    <row r="196" spans="1:27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8">
        <v>1</v>
      </c>
      <c r="I196" s="8">
        <v>-1</v>
      </c>
      <c r="J196" s="9">
        <v>-1.9565506686919368E-2</v>
      </c>
      <c r="K196" s="9">
        <v>0</v>
      </c>
      <c r="L196" s="9">
        <v>1.0546934301961519E-3</v>
      </c>
      <c r="M196" s="9">
        <v>0</v>
      </c>
      <c r="N196" s="9">
        <v>0</v>
      </c>
      <c r="O196" s="9">
        <v>9.9729013807206002E-3</v>
      </c>
      <c r="P196" s="9">
        <v>0</v>
      </c>
      <c r="Q196" s="9">
        <v>-3.4248514611155738E-2</v>
      </c>
      <c r="R196" s="10">
        <v>0.60530629703343242</v>
      </c>
      <c r="S196" s="10">
        <v>0.23058643343176519</v>
      </c>
      <c r="T196" s="10">
        <v>-0.15766663449566451</v>
      </c>
      <c r="U196" s="10">
        <v>0.70164200873961591</v>
      </c>
      <c r="V196" s="10">
        <v>1.12500507701973</v>
      </c>
      <c r="W196" s="10">
        <v>0.6786308060702203</v>
      </c>
      <c r="X196" s="10">
        <v>1.181618399584585</v>
      </c>
      <c r="Y196" s="10">
        <v>0.63043087801772257</v>
      </c>
      <c r="Z196" s="7">
        <v>4.9955532654014059</v>
      </c>
      <c r="AA196" s="7">
        <v>1.685790543672034</v>
      </c>
    </row>
    <row r="197" spans="1:27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8">
        <v>1</v>
      </c>
      <c r="I197" s="8">
        <v>-1</v>
      </c>
      <c r="J197" s="9">
        <v>3.9765351056806453E-2</v>
      </c>
      <c r="K197" s="9">
        <v>0</v>
      </c>
      <c r="L197" s="9">
        <v>-2.7214346531511109E-3</v>
      </c>
      <c r="M197" s="9">
        <v>0</v>
      </c>
      <c r="N197" s="9">
        <v>0</v>
      </c>
      <c r="O197" s="9">
        <v>-3.7972407459660913E-2</v>
      </c>
      <c r="P197" s="9">
        <v>0</v>
      </c>
      <c r="Q197" s="9">
        <v>-6.8653726069091148E-3</v>
      </c>
      <c r="R197" s="10">
        <v>0.64507164809023887</v>
      </c>
      <c r="S197" s="10">
        <v>0.23058643343176519</v>
      </c>
      <c r="T197" s="10">
        <v>-0.16038806914881559</v>
      </c>
      <c r="U197" s="10">
        <v>0.70164200873961591</v>
      </c>
      <c r="V197" s="10">
        <v>1.12500507701973</v>
      </c>
      <c r="W197" s="10">
        <v>0.6406583986105594</v>
      </c>
      <c r="X197" s="10">
        <v>1.181618399584585</v>
      </c>
      <c r="Y197" s="10">
        <v>0.62356550541081346</v>
      </c>
      <c r="Z197" s="7">
        <v>4.987759401738491</v>
      </c>
      <c r="AA197" s="7">
        <v>1.7055763730136171</v>
      </c>
    </row>
    <row r="198" spans="1:27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8">
        <v>1</v>
      </c>
      <c r="I198" s="8">
        <v>-1</v>
      </c>
      <c r="J198" s="9">
        <v>6.5670846543383843E-2</v>
      </c>
      <c r="K198" s="9">
        <v>0</v>
      </c>
      <c r="L198" s="9">
        <v>-1.6650503075373859E-3</v>
      </c>
      <c r="M198" s="9">
        <v>0</v>
      </c>
      <c r="N198" s="9">
        <v>0</v>
      </c>
      <c r="O198" s="9">
        <v>4.2016884652981153E-2</v>
      </c>
      <c r="P198" s="9">
        <v>0</v>
      </c>
      <c r="Q198" s="9">
        <v>3.2982113652943353E-2</v>
      </c>
      <c r="R198" s="10">
        <v>0.71074249463362271</v>
      </c>
      <c r="S198" s="10">
        <v>0.23058643343176519</v>
      </c>
      <c r="T198" s="10">
        <v>-0.16205311945635301</v>
      </c>
      <c r="U198" s="10">
        <v>0.70164200873961591</v>
      </c>
      <c r="V198" s="10">
        <v>1.12500507701973</v>
      </c>
      <c r="W198" s="10">
        <v>0.68267528326354054</v>
      </c>
      <c r="X198" s="10">
        <v>1.181618399584585</v>
      </c>
      <c r="Y198" s="10">
        <v>0.6565476190637568</v>
      </c>
      <c r="Z198" s="7">
        <v>5.1267641962802619</v>
      </c>
      <c r="AA198" s="7">
        <v>1.6168082161034929</v>
      </c>
    </row>
    <row r="199" spans="1:27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8">
        <v>-1</v>
      </c>
      <c r="I199" s="8">
        <v>1</v>
      </c>
      <c r="J199" s="9">
        <v>0</v>
      </c>
      <c r="K199" s="9">
        <v>-2.4678704072346069E-2</v>
      </c>
      <c r="L199" s="9">
        <v>0</v>
      </c>
      <c r="M199" s="9">
        <v>1.37038599729189E-2</v>
      </c>
      <c r="N199" s="9">
        <v>2.7953196449690521E-2</v>
      </c>
      <c r="O199" s="9">
        <v>0</v>
      </c>
      <c r="P199" s="9">
        <v>5.0542967941247241E-4</v>
      </c>
      <c r="Q199" s="9">
        <v>0</v>
      </c>
      <c r="R199" s="10">
        <v>0.71074249463362271</v>
      </c>
      <c r="S199" s="10">
        <v>0.20590772935941909</v>
      </c>
      <c r="T199" s="10">
        <v>-0.16205311945635301</v>
      </c>
      <c r="U199" s="10">
        <v>0.7153458687125348</v>
      </c>
      <c r="V199" s="10">
        <v>1.1529582734694199</v>
      </c>
      <c r="W199" s="10">
        <v>0.68267528326354054</v>
      </c>
      <c r="X199" s="10">
        <v>1.1821238292639971</v>
      </c>
      <c r="Y199" s="10">
        <v>0.6565476190637568</v>
      </c>
      <c r="Z199" s="7">
        <v>5.144247978309938</v>
      </c>
      <c r="AA199" s="7">
        <v>1.6952860253908739</v>
      </c>
    </row>
    <row r="200" spans="1:27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8">
        <v>-1</v>
      </c>
      <c r="I200" s="8">
        <v>1</v>
      </c>
      <c r="J200" s="9">
        <v>0</v>
      </c>
      <c r="K200" s="9">
        <v>1.6460889887104371E-3</v>
      </c>
      <c r="L200" s="9">
        <v>0</v>
      </c>
      <c r="M200" s="9">
        <v>-1.2744780484765791E-2</v>
      </c>
      <c r="N200" s="9">
        <v>8.5786419607747355E-4</v>
      </c>
      <c r="O200" s="9">
        <v>0</v>
      </c>
      <c r="P200" s="9">
        <v>-1.1692946403970561E-3</v>
      </c>
      <c r="Q200" s="9">
        <v>0</v>
      </c>
      <c r="R200" s="10">
        <v>0.71074249463362271</v>
      </c>
      <c r="S200" s="10">
        <v>0.20755381834812961</v>
      </c>
      <c r="T200" s="10">
        <v>-0.16205311945635301</v>
      </c>
      <c r="U200" s="10">
        <v>0.70260108822776901</v>
      </c>
      <c r="V200" s="10">
        <v>1.153816137665497</v>
      </c>
      <c r="W200" s="10">
        <v>0.68267528326354054</v>
      </c>
      <c r="X200" s="10">
        <v>1.1809545346235999</v>
      </c>
      <c r="Y200" s="10">
        <v>0.6565476190637568</v>
      </c>
      <c r="Z200" s="7">
        <v>5.1328378563695631</v>
      </c>
      <c r="AA200" s="7">
        <v>1.727449271643505</v>
      </c>
    </row>
    <row r="201" spans="1:27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8">
        <v>1</v>
      </c>
      <c r="I201" s="8">
        <v>-1</v>
      </c>
      <c r="J201" s="9">
        <v>-7.6770919622154432E-3</v>
      </c>
      <c r="K201" s="9">
        <v>0</v>
      </c>
      <c r="L201" s="9">
        <v>-2.8159385034979612E-2</v>
      </c>
      <c r="M201" s="9">
        <v>0</v>
      </c>
      <c r="N201" s="9">
        <v>0</v>
      </c>
      <c r="O201" s="9">
        <v>1.31757476410046E-2</v>
      </c>
      <c r="P201" s="9">
        <v>0</v>
      </c>
      <c r="Q201" s="9">
        <v>1.0841284476416409E-2</v>
      </c>
      <c r="R201" s="10">
        <v>0.70306540267140727</v>
      </c>
      <c r="S201" s="10">
        <v>0.20755381834812961</v>
      </c>
      <c r="T201" s="10">
        <v>-0.19021250449133259</v>
      </c>
      <c r="U201" s="10">
        <v>0.70260108822776901</v>
      </c>
      <c r="V201" s="10">
        <v>1.153816137665497</v>
      </c>
      <c r="W201" s="10">
        <v>0.69585103090454514</v>
      </c>
      <c r="X201" s="10">
        <v>1.1809545346235999</v>
      </c>
      <c r="Y201" s="10">
        <v>0.66738890354017322</v>
      </c>
      <c r="Z201" s="7">
        <v>5.1210184114897892</v>
      </c>
      <c r="AA201" s="7">
        <v>1.745946795327026</v>
      </c>
    </row>
    <row r="202" spans="1:27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8">
        <v>-1</v>
      </c>
      <c r="I202" s="8">
        <v>1</v>
      </c>
      <c r="J202" s="9">
        <v>0</v>
      </c>
      <c r="K202" s="9">
        <v>-1.2891173176882381E-2</v>
      </c>
      <c r="L202" s="9">
        <v>0</v>
      </c>
      <c r="M202" s="9">
        <v>1.0971627800424599E-2</v>
      </c>
      <c r="N202" s="9">
        <v>2.1416237895486079E-2</v>
      </c>
      <c r="O202" s="9">
        <v>0</v>
      </c>
      <c r="P202" s="9">
        <v>1.6896744269112252E-2</v>
      </c>
      <c r="Q202" s="9">
        <v>0</v>
      </c>
      <c r="R202" s="10">
        <v>0.70306540267140727</v>
      </c>
      <c r="S202" s="10">
        <v>0.19466264517124721</v>
      </c>
      <c r="T202" s="10">
        <v>-0.19021250449133259</v>
      </c>
      <c r="U202" s="10">
        <v>0.71357271602819361</v>
      </c>
      <c r="V202" s="10">
        <v>1.175232375560983</v>
      </c>
      <c r="W202" s="10">
        <v>0.69585103090454514</v>
      </c>
      <c r="X202" s="10">
        <v>1.197851278892712</v>
      </c>
      <c r="Y202" s="10">
        <v>0.66738890354017322</v>
      </c>
      <c r="Z202" s="7">
        <v>5.1574118482779294</v>
      </c>
      <c r="AA202" s="7">
        <v>1.78617583793178</v>
      </c>
    </row>
    <row r="203" spans="1:27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8">
        <v>1</v>
      </c>
      <c r="I203" s="8">
        <v>-1</v>
      </c>
      <c r="J203" s="9">
        <v>-3.9777113255939467E-2</v>
      </c>
      <c r="K203" s="9">
        <v>0</v>
      </c>
      <c r="L203" s="9">
        <v>-4.9192841503328921E-2</v>
      </c>
      <c r="M203" s="9">
        <v>0</v>
      </c>
      <c r="N203" s="9">
        <v>0</v>
      </c>
      <c r="O203" s="9">
        <v>2.0702850534254139E-2</v>
      </c>
      <c r="P203" s="9">
        <v>0</v>
      </c>
      <c r="Q203" s="9">
        <v>1.2612244871415429E-2</v>
      </c>
      <c r="R203" s="10">
        <v>0.6632882894154678</v>
      </c>
      <c r="S203" s="10">
        <v>0.19466264517124721</v>
      </c>
      <c r="T203" s="10">
        <v>-0.23940534599466159</v>
      </c>
      <c r="U203" s="10">
        <v>0.71357271602819361</v>
      </c>
      <c r="V203" s="10">
        <v>1.175232375560983</v>
      </c>
      <c r="W203" s="10">
        <v>0.71655388143879928</v>
      </c>
      <c r="X203" s="10">
        <v>1.197851278892712</v>
      </c>
      <c r="Y203" s="10">
        <v>0.68000114841158865</v>
      </c>
      <c r="Z203" s="7">
        <v>5.1017569889243308</v>
      </c>
      <c r="AA203" s="7">
        <v>1.7212753840628769</v>
      </c>
    </row>
    <row r="204" spans="1:27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8">
        <v>-1</v>
      </c>
      <c r="I204" s="8">
        <v>1</v>
      </c>
      <c r="J204" s="9">
        <v>0</v>
      </c>
      <c r="K204" s="9">
        <v>3.338140846534277E-3</v>
      </c>
      <c r="L204" s="9">
        <v>0</v>
      </c>
      <c r="M204" s="9">
        <v>1.0523285845390419E-2</v>
      </c>
      <c r="N204" s="9">
        <v>4.4335285985562238E-2</v>
      </c>
      <c r="O204" s="9">
        <v>0</v>
      </c>
      <c r="P204" s="9">
        <v>-1.513213958655335E-3</v>
      </c>
      <c r="Q204" s="9">
        <v>0</v>
      </c>
      <c r="R204" s="10">
        <v>0.6632882894154678</v>
      </c>
      <c r="S204" s="10">
        <v>0.19800078601778151</v>
      </c>
      <c r="T204" s="10">
        <v>-0.23940534599466159</v>
      </c>
      <c r="U204" s="10">
        <v>0.72409600187358403</v>
      </c>
      <c r="V204" s="10">
        <v>1.2195676615465461</v>
      </c>
      <c r="W204" s="10">
        <v>0.71655388143879928</v>
      </c>
      <c r="X204" s="10">
        <v>1.1963380649340569</v>
      </c>
      <c r="Y204" s="10">
        <v>0.68000114841158865</v>
      </c>
      <c r="Z204" s="7">
        <v>5.158440487643162</v>
      </c>
      <c r="AA204" s="7">
        <v>1.789084767299141</v>
      </c>
    </row>
    <row r="205" spans="1:27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8">
        <v>-1</v>
      </c>
      <c r="I205" s="8">
        <v>1</v>
      </c>
      <c r="J205" s="9">
        <v>0</v>
      </c>
      <c r="K205" s="9">
        <v>1.4442548038223759E-3</v>
      </c>
      <c r="L205" s="9">
        <v>0</v>
      </c>
      <c r="M205" s="9">
        <v>7.248268766894439E-3</v>
      </c>
      <c r="N205" s="9">
        <v>1.304516870355954E-2</v>
      </c>
      <c r="O205" s="9">
        <v>0</v>
      </c>
      <c r="P205" s="9">
        <v>-5.9978496275592263E-4</v>
      </c>
      <c r="Q205" s="9">
        <v>0</v>
      </c>
      <c r="R205" s="10">
        <v>0.6632882894154678</v>
      </c>
      <c r="S205" s="10">
        <v>0.19944504082160389</v>
      </c>
      <c r="T205" s="10">
        <v>-0.23940534599466159</v>
      </c>
      <c r="U205" s="10">
        <v>0.73134427064047847</v>
      </c>
      <c r="V205" s="10">
        <v>1.2326128302501049</v>
      </c>
      <c r="W205" s="10">
        <v>0.71655388143879928</v>
      </c>
      <c r="X205" s="10">
        <v>1.195738279971301</v>
      </c>
      <c r="Y205" s="10">
        <v>0.68000114841158865</v>
      </c>
      <c r="Z205" s="7">
        <v>5.1795783949546834</v>
      </c>
      <c r="AA205" s="7">
        <v>1.804396528437638</v>
      </c>
    </row>
    <row r="206" spans="1:27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8">
        <v>1</v>
      </c>
      <c r="I206" s="8">
        <v>-1</v>
      </c>
      <c r="J206" s="9">
        <v>5.0981081936363193E-4</v>
      </c>
      <c r="K206" s="9">
        <v>0</v>
      </c>
      <c r="L206" s="9">
        <v>-1.8930473888803308E-2</v>
      </c>
      <c r="M206" s="9">
        <v>0</v>
      </c>
      <c r="N206" s="9">
        <v>0</v>
      </c>
      <c r="O206" s="9">
        <v>3.1696625135023908E-2</v>
      </c>
      <c r="P206" s="9">
        <v>0</v>
      </c>
      <c r="Q206" s="9">
        <v>5.4739950815384741E-2</v>
      </c>
      <c r="R206" s="10">
        <v>0.66379810023483143</v>
      </c>
      <c r="S206" s="10">
        <v>0.19944504082160389</v>
      </c>
      <c r="T206" s="10">
        <v>-0.25833581988346488</v>
      </c>
      <c r="U206" s="10">
        <v>0.73134427064047847</v>
      </c>
      <c r="V206" s="10">
        <v>1.2326128302501049</v>
      </c>
      <c r="W206" s="10">
        <v>0.74825050657382319</v>
      </c>
      <c r="X206" s="10">
        <v>1.195738279971301</v>
      </c>
      <c r="Y206" s="10">
        <v>0.73474109922697339</v>
      </c>
      <c r="Z206" s="7">
        <v>5.2475943078356524</v>
      </c>
      <c r="AA206" s="7">
        <v>1.7897466705676519</v>
      </c>
    </row>
    <row r="207" spans="1:27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8">
        <v>-1</v>
      </c>
      <c r="I207" s="8">
        <v>1</v>
      </c>
      <c r="J207" s="9">
        <v>0</v>
      </c>
      <c r="K207" s="9">
        <v>4.7651219580187032E-3</v>
      </c>
      <c r="L207" s="9">
        <v>0</v>
      </c>
      <c r="M207" s="9">
        <v>8.7705058723580587E-3</v>
      </c>
      <c r="N207" s="9">
        <v>1.963398090446267E-2</v>
      </c>
      <c r="O207" s="9">
        <v>0</v>
      </c>
      <c r="P207" s="9">
        <v>2.5973440993995789E-2</v>
      </c>
      <c r="Q207" s="9">
        <v>0</v>
      </c>
      <c r="R207" s="10">
        <v>0.66379810023483143</v>
      </c>
      <c r="S207" s="10">
        <v>0.20421016277962259</v>
      </c>
      <c r="T207" s="10">
        <v>-0.25833581988346488</v>
      </c>
      <c r="U207" s="10">
        <v>0.74011477651283653</v>
      </c>
      <c r="V207" s="10">
        <v>1.2522468111545679</v>
      </c>
      <c r="W207" s="10">
        <v>0.74825050657382319</v>
      </c>
      <c r="X207" s="10">
        <v>1.221711720965297</v>
      </c>
      <c r="Y207" s="10">
        <v>0.73474109922697339</v>
      </c>
      <c r="Z207" s="7">
        <v>5.3067373575644874</v>
      </c>
      <c r="AA207" s="7">
        <v>1.809307259758058</v>
      </c>
    </row>
    <row r="208" spans="1:27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8">
        <v>-1</v>
      </c>
      <c r="I208" s="8">
        <v>1</v>
      </c>
      <c r="J208" s="9">
        <v>0</v>
      </c>
      <c r="K208" s="9">
        <v>-1.1115374898164051E-2</v>
      </c>
      <c r="L208" s="9">
        <v>0</v>
      </c>
      <c r="M208" s="9">
        <v>1.9643933721634092E-2</v>
      </c>
      <c r="N208" s="9">
        <v>-1.2148748134702351E-2</v>
      </c>
      <c r="O208" s="9">
        <v>0</v>
      </c>
      <c r="P208" s="9">
        <v>-1.3670190245649531E-2</v>
      </c>
      <c r="Q208" s="9">
        <v>0</v>
      </c>
      <c r="R208" s="10">
        <v>0.66379810023483143</v>
      </c>
      <c r="S208" s="10">
        <v>0.19309478788145851</v>
      </c>
      <c r="T208" s="10">
        <v>-0.25833581988346488</v>
      </c>
      <c r="U208" s="10">
        <v>0.75975871023447061</v>
      </c>
      <c r="V208" s="10">
        <v>1.240098063019865</v>
      </c>
      <c r="W208" s="10">
        <v>0.74825050657382319</v>
      </c>
      <c r="X208" s="10">
        <v>1.208041530719647</v>
      </c>
      <c r="Y208" s="10">
        <v>0.73474109922697339</v>
      </c>
      <c r="Z208" s="7">
        <v>5.2894469780076054</v>
      </c>
      <c r="AA208" s="7">
        <v>1.8319075275220931</v>
      </c>
    </row>
    <row r="209" spans="1:27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8">
        <v>-1</v>
      </c>
      <c r="I209" s="8">
        <v>1</v>
      </c>
      <c r="J209" s="9">
        <v>0</v>
      </c>
      <c r="K209" s="9">
        <v>-1.298848792926977E-2</v>
      </c>
      <c r="L209" s="9">
        <v>0</v>
      </c>
      <c r="M209" s="9">
        <v>5.02572900614906E-3</v>
      </c>
      <c r="N209" s="9">
        <v>1.591992993951008E-2</v>
      </c>
      <c r="O209" s="9">
        <v>0</v>
      </c>
      <c r="P209" s="9">
        <v>3.9553651120680773E-2</v>
      </c>
      <c r="Q209" s="9">
        <v>0</v>
      </c>
      <c r="R209" s="10">
        <v>0.66379810023483143</v>
      </c>
      <c r="S209" s="10">
        <v>0.18010629995218869</v>
      </c>
      <c r="T209" s="10">
        <v>-0.25833581988346488</v>
      </c>
      <c r="U209" s="10">
        <v>0.76478443924061967</v>
      </c>
      <c r="V209" s="10">
        <v>1.256017992959376</v>
      </c>
      <c r="W209" s="10">
        <v>0.74825050657382319</v>
      </c>
      <c r="X209" s="10">
        <v>1.2475951818403279</v>
      </c>
      <c r="Y209" s="10">
        <v>0.73474109922697339</v>
      </c>
      <c r="Z209" s="7">
        <v>5.3369578001446749</v>
      </c>
      <c r="AA209" s="7">
        <v>1.8676180512986811</v>
      </c>
    </row>
    <row r="210" spans="1:27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8">
        <v>-1</v>
      </c>
      <c r="I210" s="8">
        <v>1</v>
      </c>
      <c r="J210" s="9">
        <v>0</v>
      </c>
      <c r="K210" s="9">
        <v>-3.550513197692617E-3</v>
      </c>
      <c r="L210" s="9">
        <v>0</v>
      </c>
      <c r="M210" s="9">
        <v>-8.5348301612558908E-3</v>
      </c>
      <c r="N210" s="9">
        <v>1.90126907208954E-3</v>
      </c>
      <c r="O210" s="9">
        <v>0</v>
      </c>
      <c r="P210" s="9">
        <v>1.274941130473051E-2</v>
      </c>
      <c r="Q210" s="9">
        <v>0</v>
      </c>
      <c r="R210" s="10">
        <v>0.66379810023483143</v>
      </c>
      <c r="S210" s="10">
        <v>0.1765557867544961</v>
      </c>
      <c r="T210" s="10">
        <v>-0.25833581988346488</v>
      </c>
      <c r="U210" s="10">
        <v>0.75624960907936378</v>
      </c>
      <c r="V210" s="10">
        <v>1.257919262031465</v>
      </c>
      <c r="W210" s="10">
        <v>0.74825050657382319</v>
      </c>
      <c r="X210" s="10">
        <v>1.260344593145059</v>
      </c>
      <c r="Y210" s="10">
        <v>0.73474109922697339</v>
      </c>
      <c r="Z210" s="7">
        <v>5.339523137162546</v>
      </c>
      <c r="AA210" s="7">
        <v>1.8965020601716569</v>
      </c>
    </row>
    <row r="211" spans="1:27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8">
        <v>1</v>
      </c>
      <c r="I211" s="8">
        <v>-1</v>
      </c>
      <c r="J211" s="9">
        <v>-3.0181610082432479E-2</v>
      </c>
      <c r="K211" s="9">
        <v>0</v>
      </c>
      <c r="L211" s="9">
        <v>-3.4859425718876902E-2</v>
      </c>
      <c r="M211" s="9">
        <v>0</v>
      </c>
      <c r="N211" s="9">
        <v>0</v>
      </c>
      <c r="O211" s="9">
        <v>-8.1123348560113717E-3</v>
      </c>
      <c r="P211" s="9">
        <v>0</v>
      </c>
      <c r="Q211" s="9">
        <v>9.4881148586170028E-3</v>
      </c>
      <c r="R211" s="10">
        <v>0.63361649015239896</v>
      </c>
      <c r="S211" s="10">
        <v>0.1765557867544961</v>
      </c>
      <c r="T211" s="10">
        <v>-0.29319524560234178</v>
      </c>
      <c r="U211" s="10">
        <v>0.75624960907936378</v>
      </c>
      <c r="V211" s="10">
        <v>1.257919262031465</v>
      </c>
      <c r="W211" s="10">
        <v>0.74013817171781182</v>
      </c>
      <c r="X211" s="10">
        <v>1.260344593145059</v>
      </c>
      <c r="Y211" s="10">
        <v>0.7442292140855904</v>
      </c>
      <c r="Z211" s="7">
        <v>5.2758578813638426</v>
      </c>
      <c r="AA211" s="7">
        <v>1.8966885767057611</v>
      </c>
    </row>
    <row r="212" spans="1:27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8">
        <v>1</v>
      </c>
      <c r="I212" s="8">
        <v>-1</v>
      </c>
      <c r="J212" s="9">
        <v>-8.309359927727189E-2</v>
      </c>
      <c r="K212" s="9">
        <v>0</v>
      </c>
      <c r="L212" s="9">
        <v>-3.3460520555865243E-2</v>
      </c>
      <c r="M212" s="9">
        <v>0</v>
      </c>
      <c r="N212" s="9">
        <v>0</v>
      </c>
      <c r="O212" s="9">
        <v>-3.2252934734914973E-2</v>
      </c>
      <c r="P212" s="9">
        <v>0</v>
      </c>
      <c r="Q212" s="9">
        <v>-8.2273142414228673E-3</v>
      </c>
      <c r="R212" s="10">
        <v>0.55052289087512707</v>
      </c>
      <c r="S212" s="10">
        <v>0.1765557867544961</v>
      </c>
      <c r="T212" s="10">
        <v>-0.32665576615820702</v>
      </c>
      <c r="U212" s="10">
        <v>0.75624960907936378</v>
      </c>
      <c r="V212" s="10">
        <v>1.257919262031465</v>
      </c>
      <c r="W212" s="10">
        <v>0.70788523698289685</v>
      </c>
      <c r="X212" s="10">
        <v>1.260344593145059</v>
      </c>
      <c r="Y212" s="10">
        <v>0.73600189984416753</v>
      </c>
      <c r="Z212" s="7">
        <v>5.1188235125543677</v>
      </c>
      <c r="AA212" s="7">
        <v>1.8166565954725951</v>
      </c>
    </row>
    <row r="213" spans="1:27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8">
        <v>1</v>
      </c>
      <c r="I213" s="8">
        <v>-1</v>
      </c>
      <c r="J213" s="9">
        <v>0.12617956872831779</v>
      </c>
      <c r="K213" s="9">
        <v>0</v>
      </c>
      <c r="L213" s="9">
        <v>-3.5592340462273893E-2</v>
      </c>
      <c r="M213" s="9">
        <v>0</v>
      </c>
      <c r="N213" s="9">
        <v>0</v>
      </c>
      <c r="O213" s="9">
        <v>-6.9343987070509261E-3</v>
      </c>
      <c r="P213" s="9">
        <v>0</v>
      </c>
      <c r="Q213" s="9">
        <v>7.4484902258363017E-2</v>
      </c>
      <c r="R213" s="10">
        <v>0.67670245960344488</v>
      </c>
      <c r="S213" s="10">
        <v>0.1765557867544961</v>
      </c>
      <c r="T213" s="10">
        <v>-0.3622481066204809</v>
      </c>
      <c r="U213" s="10">
        <v>0.75624960907936378</v>
      </c>
      <c r="V213" s="10">
        <v>1.257919262031465</v>
      </c>
      <c r="W213" s="10">
        <v>0.70095083827584592</v>
      </c>
      <c r="X213" s="10">
        <v>1.260344593145059</v>
      </c>
      <c r="Y213" s="10">
        <v>0.81048680210253055</v>
      </c>
      <c r="Z213" s="7">
        <v>5.2769612443717238</v>
      </c>
      <c r="AA213" s="7">
        <v>1.717447693203626</v>
      </c>
    </row>
    <row r="214" spans="1:27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8">
        <v>-1</v>
      </c>
      <c r="I214" s="8">
        <v>1</v>
      </c>
      <c r="J214" s="9">
        <v>0</v>
      </c>
      <c r="K214" s="9">
        <v>-4.055448493089564E-2</v>
      </c>
      <c r="L214" s="9">
        <v>0</v>
      </c>
      <c r="M214" s="9">
        <v>-1.631271156349301E-2</v>
      </c>
      <c r="N214" s="9">
        <v>3.180206779905681E-2</v>
      </c>
      <c r="O214" s="9">
        <v>0</v>
      </c>
      <c r="P214" s="9">
        <v>-9.6529723659157796E-3</v>
      </c>
      <c r="Q214" s="9">
        <v>0</v>
      </c>
      <c r="R214" s="10">
        <v>0.67670245960344488</v>
      </c>
      <c r="S214" s="10">
        <v>0.13600130182360051</v>
      </c>
      <c r="T214" s="10">
        <v>-0.3622481066204809</v>
      </c>
      <c r="U214" s="10">
        <v>0.73993689751587077</v>
      </c>
      <c r="V214" s="10">
        <v>1.2897213298305219</v>
      </c>
      <c r="W214" s="10">
        <v>0.70095083827584592</v>
      </c>
      <c r="X214" s="10">
        <v>1.250691620779143</v>
      </c>
      <c r="Y214" s="10">
        <v>0.81048680210253055</v>
      </c>
      <c r="Z214" s="7">
        <v>5.2422431433104766</v>
      </c>
      <c r="AA214" s="7">
        <v>1.8437579022913879</v>
      </c>
    </row>
    <row r="215" spans="1:27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8">
        <v>-1</v>
      </c>
      <c r="I215" s="8">
        <v>1</v>
      </c>
      <c r="J215" s="9">
        <v>0</v>
      </c>
      <c r="K215" s="9">
        <v>-3.1709685465570632E-2</v>
      </c>
      <c r="L215" s="9">
        <v>0</v>
      </c>
      <c r="M215" s="9">
        <v>-5.7689029307027573E-3</v>
      </c>
      <c r="N215" s="9">
        <v>-9.187622288678976E-3</v>
      </c>
      <c r="O215" s="9">
        <v>0</v>
      </c>
      <c r="P215" s="9">
        <v>1.9708953585391149E-3</v>
      </c>
      <c r="Q215" s="9">
        <v>0</v>
      </c>
      <c r="R215" s="10">
        <v>0.67670245960344488</v>
      </c>
      <c r="S215" s="10">
        <v>0.1042916163580299</v>
      </c>
      <c r="T215" s="10">
        <v>-0.3622481066204809</v>
      </c>
      <c r="U215" s="10">
        <v>0.73416799458516802</v>
      </c>
      <c r="V215" s="10">
        <v>1.280533707541843</v>
      </c>
      <c r="W215" s="10">
        <v>0.70095083827584592</v>
      </c>
      <c r="X215" s="10">
        <v>1.2526625161376821</v>
      </c>
      <c r="Y215" s="10">
        <v>0.81048680210253055</v>
      </c>
      <c r="Z215" s="7">
        <v>5.1975478279840637</v>
      </c>
      <c r="AA215" s="7">
        <v>1.892250775572428</v>
      </c>
    </row>
    <row r="216" spans="1:27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8">
        <v>-1</v>
      </c>
      <c r="I216" s="8">
        <v>1</v>
      </c>
      <c r="J216" s="9">
        <v>0</v>
      </c>
      <c r="K216" s="9">
        <v>1.364660738711887E-5</v>
      </c>
      <c r="L216" s="9">
        <v>0</v>
      </c>
      <c r="M216" s="9">
        <v>9.5973114134728643E-3</v>
      </c>
      <c r="N216" s="9">
        <v>4.8632860728509808E-2</v>
      </c>
      <c r="O216" s="9">
        <v>0</v>
      </c>
      <c r="P216" s="9">
        <v>4.5268534154147673E-2</v>
      </c>
      <c r="Q216" s="9">
        <v>0</v>
      </c>
      <c r="R216" s="10">
        <v>0.67670245960344488</v>
      </c>
      <c r="S216" s="10">
        <v>0.10430526296541701</v>
      </c>
      <c r="T216" s="10">
        <v>-0.3622481066204809</v>
      </c>
      <c r="U216" s="10">
        <v>0.74376530599864088</v>
      </c>
      <c r="V216" s="10">
        <v>1.3291665682703531</v>
      </c>
      <c r="W216" s="10">
        <v>0.70095083827584592</v>
      </c>
      <c r="X216" s="10">
        <v>1.29793105029183</v>
      </c>
      <c r="Y216" s="10">
        <v>0.81048680210253055</v>
      </c>
      <c r="Z216" s="7">
        <v>5.301060180887581</v>
      </c>
      <c r="AA216" s="7">
        <v>1.913347088120136</v>
      </c>
    </row>
    <row r="217" spans="1:27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8">
        <v>-1</v>
      </c>
      <c r="I217" s="8">
        <v>1</v>
      </c>
      <c r="J217" s="9">
        <v>0</v>
      </c>
      <c r="K217" s="9">
        <v>7.8944200111852325E-4</v>
      </c>
      <c r="L217" s="9">
        <v>0</v>
      </c>
      <c r="M217" s="9">
        <v>1.907180820279453E-2</v>
      </c>
      <c r="N217" s="9">
        <v>2.5283718016310349E-2</v>
      </c>
      <c r="O217" s="9">
        <v>0</v>
      </c>
      <c r="P217" s="9">
        <v>-5.0631606300178822E-3</v>
      </c>
      <c r="Q217" s="9">
        <v>0</v>
      </c>
      <c r="R217" s="10">
        <v>0.67670245960344488</v>
      </c>
      <c r="S217" s="10">
        <v>0.1050947049665355</v>
      </c>
      <c r="T217" s="10">
        <v>-0.3622481066204809</v>
      </c>
      <c r="U217" s="10">
        <v>0.76283711420143541</v>
      </c>
      <c r="V217" s="10">
        <v>1.354450286286663</v>
      </c>
      <c r="W217" s="10">
        <v>0.70095083827584592</v>
      </c>
      <c r="X217" s="10">
        <v>1.292867889661812</v>
      </c>
      <c r="Y217" s="10">
        <v>0.81048680210253055</v>
      </c>
      <c r="Z217" s="7">
        <v>5.3411419884777862</v>
      </c>
      <c r="AA217" s="7">
        <v>1.9713533680124891</v>
      </c>
    </row>
    <row r="218" spans="1:27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8">
        <v>-1</v>
      </c>
      <c r="I218" s="8">
        <v>1</v>
      </c>
      <c r="J218" s="9">
        <v>0</v>
      </c>
      <c r="K218" s="9">
        <v>-2.868134432505753E-2</v>
      </c>
      <c r="L218" s="9">
        <v>0</v>
      </c>
      <c r="M218" s="9">
        <v>-2.4216499146975878E-2</v>
      </c>
      <c r="N218" s="9">
        <v>2.4428279126085251E-2</v>
      </c>
      <c r="O218" s="9">
        <v>0</v>
      </c>
      <c r="P218" s="9">
        <v>5.3254987525561681E-3</v>
      </c>
      <c r="Q218" s="9">
        <v>0</v>
      </c>
      <c r="R218" s="10">
        <v>0.67670245960344488</v>
      </c>
      <c r="S218" s="10">
        <v>7.6413360641477968E-2</v>
      </c>
      <c r="T218" s="10">
        <v>-0.3622481066204809</v>
      </c>
      <c r="U218" s="10">
        <v>0.73862061505445953</v>
      </c>
      <c r="V218" s="10">
        <v>1.378878565412748</v>
      </c>
      <c r="W218" s="10">
        <v>0.70095083827584592</v>
      </c>
      <c r="X218" s="10">
        <v>1.2981933884143679</v>
      </c>
      <c r="Y218" s="10">
        <v>0.81048680210253055</v>
      </c>
      <c r="Z218" s="7">
        <v>5.3179979228843939</v>
      </c>
      <c r="AA218" s="7">
        <v>2.039195901888454</v>
      </c>
    </row>
    <row r="219" spans="1:27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8">
        <v>1</v>
      </c>
      <c r="I219" s="8">
        <v>-1</v>
      </c>
      <c r="J219" s="9">
        <v>1.438680298905215E-2</v>
      </c>
      <c r="K219" s="9">
        <v>0</v>
      </c>
      <c r="L219" s="9">
        <v>6.1083737294953533E-3</v>
      </c>
      <c r="M219" s="9">
        <v>0</v>
      </c>
      <c r="N219" s="9">
        <v>0</v>
      </c>
      <c r="O219" s="9">
        <v>4.6019132277675068E-2</v>
      </c>
      <c r="P219" s="9">
        <v>0</v>
      </c>
      <c r="Q219" s="9">
        <v>1.0955425996189261E-2</v>
      </c>
      <c r="R219" s="10">
        <v>0.69108926259249703</v>
      </c>
      <c r="S219" s="10">
        <v>7.6413360641477968E-2</v>
      </c>
      <c r="T219" s="10">
        <v>-0.35613973289098549</v>
      </c>
      <c r="U219" s="10">
        <v>0.73862061505445953</v>
      </c>
      <c r="V219" s="10">
        <v>1.378878565412748</v>
      </c>
      <c r="W219" s="10">
        <v>0.74696997055352099</v>
      </c>
      <c r="X219" s="10">
        <v>1.2981933884143679</v>
      </c>
      <c r="Y219" s="10">
        <v>0.82144222809871981</v>
      </c>
      <c r="Z219" s="7">
        <v>5.3954676578768046</v>
      </c>
      <c r="AA219" s="7">
        <v>2.0034582422280822</v>
      </c>
    </row>
    <row r="220" spans="1:27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8">
        <v>-1</v>
      </c>
      <c r="I220" s="8">
        <v>1</v>
      </c>
      <c r="J220" s="9">
        <v>0</v>
      </c>
      <c r="K220" s="9">
        <v>4.7487023436683207E-2</v>
      </c>
      <c r="L220" s="9">
        <v>0</v>
      </c>
      <c r="M220" s="9">
        <v>-6.9108277296058276E-3</v>
      </c>
      <c r="N220" s="9">
        <v>1.7849188571451902E-2</v>
      </c>
      <c r="O220" s="9">
        <v>0</v>
      </c>
      <c r="P220" s="9">
        <v>2.3527418399633349E-2</v>
      </c>
      <c r="Q220" s="9">
        <v>0</v>
      </c>
      <c r="R220" s="10">
        <v>0.69108926259249703</v>
      </c>
      <c r="S220" s="10">
        <v>0.1239003840781612</v>
      </c>
      <c r="T220" s="10">
        <v>-0.35613973289098549</v>
      </c>
      <c r="U220" s="10">
        <v>0.7317097873248537</v>
      </c>
      <c r="V220" s="10">
        <v>1.3967277539842</v>
      </c>
      <c r="W220" s="10">
        <v>0.74696997055352099</v>
      </c>
      <c r="X220" s="10">
        <v>1.3217208068140009</v>
      </c>
      <c r="Y220" s="10">
        <v>0.82144222809871981</v>
      </c>
      <c r="Z220" s="7">
        <v>5.4774204605549679</v>
      </c>
      <c r="AA220" s="7">
        <v>1.979960266834802</v>
      </c>
    </row>
    <row r="221" spans="1:27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8">
        <v>-1</v>
      </c>
      <c r="I221" s="8">
        <v>1</v>
      </c>
      <c r="J221" s="9">
        <v>0</v>
      </c>
      <c r="K221" s="9">
        <v>-1.8924314016548701E-2</v>
      </c>
      <c r="L221" s="9">
        <v>0</v>
      </c>
      <c r="M221" s="9">
        <v>-9.1553067599295934E-3</v>
      </c>
      <c r="N221" s="9">
        <v>7.0487960096269675E-2</v>
      </c>
      <c r="O221" s="9">
        <v>0</v>
      </c>
      <c r="P221" s="9">
        <v>-1.3034763491055481E-2</v>
      </c>
      <c r="Q221" s="9">
        <v>0</v>
      </c>
      <c r="R221" s="10">
        <v>0.69108926259249703</v>
      </c>
      <c r="S221" s="10">
        <v>0.1049760700616125</v>
      </c>
      <c r="T221" s="10">
        <v>-0.35613973289098549</v>
      </c>
      <c r="U221" s="10">
        <v>0.72255448056492411</v>
      </c>
      <c r="V221" s="10">
        <v>1.46721571408047</v>
      </c>
      <c r="W221" s="10">
        <v>0.74696997055352099</v>
      </c>
      <c r="X221" s="10">
        <v>1.3086860433229459</v>
      </c>
      <c r="Y221" s="10">
        <v>0.82144222809871981</v>
      </c>
      <c r="Z221" s="7">
        <v>5.5067940363837042</v>
      </c>
      <c r="AA221" s="7">
        <v>2.0844755370235371</v>
      </c>
    </row>
    <row r="222" spans="1:27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8">
        <v>-1</v>
      </c>
      <c r="I222" s="8">
        <v>1</v>
      </c>
      <c r="J222" s="9">
        <v>0</v>
      </c>
      <c r="K222" s="9">
        <v>-1.6294423489302771E-2</v>
      </c>
      <c r="L222" s="9">
        <v>0</v>
      </c>
      <c r="M222" s="9">
        <v>5.0074395225220281E-3</v>
      </c>
      <c r="N222" s="9">
        <v>1.933126192782153E-2</v>
      </c>
      <c r="O222" s="9">
        <v>0</v>
      </c>
      <c r="P222" s="9">
        <v>2.02624603100422E-2</v>
      </c>
      <c r="Q222" s="9">
        <v>0</v>
      </c>
      <c r="R222" s="10">
        <v>0.69108926259249703</v>
      </c>
      <c r="S222" s="10">
        <v>8.8681646572309702E-2</v>
      </c>
      <c r="T222" s="10">
        <v>-0.35613973289098549</v>
      </c>
      <c r="U222" s="10">
        <v>0.72756192008744613</v>
      </c>
      <c r="V222" s="10">
        <v>1.486546976008291</v>
      </c>
      <c r="W222" s="10">
        <v>0.74696997055352099</v>
      </c>
      <c r="X222" s="10">
        <v>1.328948503632988</v>
      </c>
      <c r="Y222" s="10">
        <v>0.82144222809871981</v>
      </c>
      <c r="Z222" s="7">
        <v>5.5351007746547873</v>
      </c>
      <c r="AA222" s="7">
        <v>2.1211937600999859</v>
      </c>
    </row>
    <row r="223" spans="1:27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8">
        <v>-1</v>
      </c>
      <c r="I223" s="8">
        <v>1</v>
      </c>
      <c r="J223" s="9">
        <v>0</v>
      </c>
      <c r="K223" s="9">
        <v>3.7420615465962648E-2</v>
      </c>
      <c r="L223" s="9">
        <v>0</v>
      </c>
      <c r="M223" s="9">
        <v>-1.0888397416708551E-2</v>
      </c>
      <c r="N223" s="9">
        <v>1.980734870681267E-2</v>
      </c>
      <c r="O223" s="9">
        <v>0</v>
      </c>
      <c r="P223" s="9">
        <v>4.1201806283726272E-2</v>
      </c>
      <c r="Q223" s="9">
        <v>0</v>
      </c>
      <c r="R223" s="10">
        <v>0.69108926259249703</v>
      </c>
      <c r="S223" s="10">
        <v>0.12610226203827241</v>
      </c>
      <c r="T223" s="10">
        <v>-0.35613973289098549</v>
      </c>
      <c r="U223" s="10">
        <v>0.71667352267073758</v>
      </c>
      <c r="V223" s="10">
        <v>1.5063543247151041</v>
      </c>
      <c r="W223" s="10">
        <v>0.74696997055352099</v>
      </c>
      <c r="X223" s="10">
        <v>1.370150309916714</v>
      </c>
      <c r="Y223" s="10">
        <v>0.82144222809871981</v>
      </c>
      <c r="Z223" s="7">
        <v>5.62264214769458</v>
      </c>
      <c r="AA223" s="7">
        <v>2.1119556023219759</v>
      </c>
    </row>
    <row r="224" spans="1:27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8">
        <v>-1</v>
      </c>
      <c r="I224" s="8">
        <v>1</v>
      </c>
      <c r="J224" s="9">
        <v>0</v>
      </c>
      <c r="K224" s="9">
        <v>1.7014929599760031E-2</v>
      </c>
      <c r="L224" s="9">
        <v>0</v>
      </c>
      <c r="M224" s="9">
        <v>7.2848360068952234E-3</v>
      </c>
      <c r="N224" s="9">
        <v>4.6873706956129579E-2</v>
      </c>
      <c r="O224" s="9">
        <v>0</v>
      </c>
      <c r="P224" s="9">
        <v>2.5207127953274729E-2</v>
      </c>
      <c r="Q224" s="9">
        <v>0</v>
      </c>
      <c r="R224" s="10">
        <v>0.69108926259249703</v>
      </c>
      <c r="S224" s="10">
        <v>0.14311719163803241</v>
      </c>
      <c r="T224" s="10">
        <v>-0.35613973289098549</v>
      </c>
      <c r="U224" s="10">
        <v>0.72395835867763281</v>
      </c>
      <c r="V224" s="10">
        <v>1.553228031671233</v>
      </c>
      <c r="W224" s="10">
        <v>0.74696997055352099</v>
      </c>
      <c r="X224" s="10">
        <v>1.3953574378699889</v>
      </c>
      <c r="Y224" s="10">
        <v>0.82144222809871981</v>
      </c>
      <c r="Z224" s="7">
        <v>5.7190227482106399</v>
      </c>
      <c r="AA224" s="7">
        <v>2.1401394952476371</v>
      </c>
    </row>
    <row r="225" spans="1:27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8">
        <v>-1</v>
      </c>
      <c r="I225" s="8">
        <v>1</v>
      </c>
      <c r="J225" s="9">
        <v>0</v>
      </c>
      <c r="K225" s="9">
        <v>-1.7666221233699101E-2</v>
      </c>
      <c r="L225" s="9">
        <v>0</v>
      </c>
      <c r="M225" s="9">
        <v>5.4014789331912061E-3</v>
      </c>
      <c r="N225" s="9">
        <v>9.2130963252262665E-3</v>
      </c>
      <c r="O225" s="9">
        <v>0</v>
      </c>
      <c r="P225" s="9">
        <v>2.8484816159702438E-2</v>
      </c>
      <c r="Q225" s="9">
        <v>0</v>
      </c>
      <c r="R225" s="10">
        <v>0.69108926259249703</v>
      </c>
      <c r="S225" s="10">
        <v>0.12545097040433331</v>
      </c>
      <c r="T225" s="10">
        <v>-0.35613973289098549</v>
      </c>
      <c r="U225" s="10">
        <v>0.72935983761082401</v>
      </c>
      <c r="V225" s="10">
        <v>1.5624411279964601</v>
      </c>
      <c r="W225" s="10">
        <v>0.74696997055352099</v>
      </c>
      <c r="X225" s="10">
        <v>1.423842254029692</v>
      </c>
      <c r="Y225" s="10">
        <v>0.82144222809871981</v>
      </c>
      <c r="Z225" s="7">
        <v>5.7444559183950608</v>
      </c>
      <c r="AA225" s="7">
        <v>2.1857403806222049</v>
      </c>
    </row>
    <row r="226" spans="1:27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8">
        <v>-1</v>
      </c>
      <c r="I226" s="8">
        <v>1</v>
      </c>
      <c r="J226" s="9">
        <v>0</v>
      </c>
      <c r="K226" s="9">
        <v>-1.2229061609691391E-2</v>
      </c>
      <c r="L226" s="9">
        <v>0</v>
      </c>
      <c r="M226" s="9">
        <v>-1.249457119786801E-2</v>
      </c>
      <c r="N226" s="9">
        <v>3.0465744343403101E-2</v>
      </c>
      <c r="O226" s="9">
        <v>0</v>
      </c>
      <c r="P226" s="9">
        <v>-2.0317351346829549E-2</v>
      </c>
      <c r="Q226" s="9">
        <v>0</v>
      </c>
      <c r="R226" s="10">
        <v>0.69108926259249703</v>
      </c>
      <c r="S226" s="10">
        <v>0.1132219087946419</v>
      </c>
      <c r="T226" s="10">
        <v>-0.35613973289098549</v>
      </c>
      <c r="U226" s="10">
        <v>0.716865266412956</v>
      </c>
      <c r="V226" s="10">
        <v>1.5929068723398629</v>
      </c>
      <c r="W226" s="10">
        <v>0.74696997055352099</v>
      </c>
      <c r="X226" s="10">
        <v>1.403524902682862</v>
      </c>
      <c r="Y226" s="10">
        <v>0.82144222809871981</v>
      </c>
      <c r="Z226" s="7">
        <v>5.7298806785840748</v>
      </c>
      <c r="AA226" s="7">
        <v>2.2377981040202211</v>
      </c>
    </row>
    <row r="227" spans="1:27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8">
        <v>-1</v>
      </c>
      <c r="I227" s="8">
        <v>1</v>
      </c>
      <c r="J227" s="9">
        <v>0</v>
      </c>
      <c r="K227" s="9">
        <v>-1.227379600930156E-2</v>
      </c>
      <c r="L227" s="9">
        <v>0</v>
      </c>
      <c r="M227" s="9">
        <v>5.6375877342584868E-3</v>
      </c>
      <c r="N227" s="9">
        <v>1.1564042957680321E-2</v>
      </c>
      <c r="O227" s="9">
        <v>0</v>
      </c>
      <c r="P227" s="9">
        <v>-5.7501109537363426E-3</v>
      </c>
      <c r="Q227" s="9">
        <v>0</v>
      </c>
      <c r="R227" s="10">
        <v>0.69108926259249703</v>
      </c>
      <c r="S227" s="10">
        <v>0.1009481127853403</v>
      </c>
      <c r="T227" s="10">
        <v>-0.35613973289098549</v>
      </c>
      <c r="U227" s="10">
        <v>0.72250285414721449</v>
      </c>
      <c r="V227" s="10">
        <v>1.6044709152975429</v>
      </c>
      <c r="W227" s="10">
        <v>0.74696997055352099</v>
      </c>
      <c r="X227" s="10">
        <v>1.3977747917291261</v>
      </c>
      <c r="Y227" s="10">
        <v>0.82144222809871981</v>
      </c>
      <c r="Z227" s="7">
        <v>5.729058402312976</v>
      </c>
      <c r="AA227" s="7">
        <v>2.2450884700186791</v>
      </c>
    </row>
    <row r="228" spans="1:27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8">
        <v>1</v>
      </c>
      <c r="I228" s="8">
        <v>-1</v>
      </c>
      <c r="J228" s="9">
        <v>1.700435905875286E-2</v>
      </c>
      <c r="K228" s="9">
        <v>0</v>
      </c>
      <c r="L228" s="9">
        <v>-7.4960514795694433E-3</v>
      </c>
      <c r="M228" s="9">
        <v>0</v>
      </c>
      <c r="N228" s="9">
        <v>0</v>
      </c>
      <c r="O228" s="9">
        <v>-5.156312301881294E-3</v>
      </c>
      <c r="P228" s="9">
        <v>0</v>
      </c>
      <c r="Q228" s="9">
        <v>8.9587629810524705E-3</v>
      </c>
      <c r="R228" s="10">
        <v>0.70809362165124989</v>
      </c>
      <c r="S228" s="10">
        <v>0.1009481127853403</v>
      </c>
      <c r="T228" s="10">
        <v>-0.36363578437055499</v>
      </c>
      <c r="U228" s="10">
        <v>0.72250285414721449</v>
      </c>
      <c r="V228" s="10">
        <v>1.6044709152975429</v>
      </c>
      <c r="W228" s="10">
        <v>0.7418136582516397</v>
      </c>
      <c r="X228" s="10">
        <v>1.3977747917291261</v>
      </c>
      <c r="Y228" s="10">
        <v>0.83040099107977228</v>
      </c>
      <c r="Z228" s="7">
        <v>5.7423691605713314</v>
      </c>
      <c r="AA228" s="7">
        <v>2.2675865147296488</v>
      </c>
    </row>
    <row r="229" spans="1:27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8">
        <v>1</v>
      </c>
      <c r="I229" s="8">
        <v>-1</v>
      </c>
      <c r="J229" s="9">
        <v>7.0662182858713951E-3</v>
      </c>
      <c r="K229" s="9">
        <v>0</v>
      </c>
      <c r="L229" s="9">
        <v>-2.4350113479276739E-4</v>
      </c>
      <c r="M229" s="9">
        <v>0</v>
      </c>
      <c r="N229" s="9">
        <v>0</v>
      </c>
      <c r="O229" s="9">
        <v>-6.7446904977427344E-3</v>
      </c>
      <c r="P229" s="9">
        <v>0</v>
      </c>
      <c r="Q229" s="9">
        <v>3.0587779075669671E-2</v>
      </c>
      <c r="R229" s="10">
        <v>0.71515983993712129</v>
      </c>
      <c r="S229" s="10">
        <v>0.1009481127853403</v>
      </c>
      <c r="T229" s="10">
        <v>-0.36387928550534782</v>
      </c>
      <c r="U229" s="10">
        <v>0.72250285414721449</v>
      </c>
      <c r="V229" s="10">
        <v>1.6044709152975429</v>
      </c>
      <c r="W229" s="10">
        <v>0.73506896775389696</v>
      </c>
      <c r="X229" s="10">
        <v>1.3977747917291261</v>
      </c>
      <c r="Y229" s="10">
        <v>0.86098877015544195</v>
      </c>
      <c r="Z229" s="7">
        <v>5.7730349663003357</v>
      </c>
      <c r="AA229" s="7">
        <v>2.292231150394064</v>
      </c>
    </row>
    <row r="230" spans="1:27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8">
        <v>-1</v>
      </c>
      <c r="I230" s="8">
        <v>1</v>
      </c>
      <c r="J230" s="9">
        <v>0</v>
      </c>
      <c r="K230" s="9">
        <v>-1.8436080966524489E-2</v>
      </c>
      <c r="L230" s="9">
        <v>0</v>
      </c>
      <c r="M230" s="9">
        <v>-1.13725154964901E-2</v>
      </c>
      <c r="N230" s="9">
        <v>9.1038204296556291E-3</v>
      </c>
      <c r="O230" s="9">
        <v>0</v>
      </c>
      <c r="P230" s="9">
        <v>1.0291238347372561E-2</v>
      </c>
      <c r="Q230" s="9">
        <v>0</v>
      </c>
      <c r="R230" s="10">
        <v>0.71515983993712129</v>
      </c>
      <c r="S230" s="10">
        <v>8.2512031818815834E-2</v>
      </c>
      <c r="T230" s="10">
        <v>-0.36387928550534782</v>
      </c>
      <c r="U230" s="10">
        <v>0.71113033865072439</v>
      </c>
      <c r="V230" s="10">
        <v>1.613574735727199</v>
      </c>
      <c r="W230" s="10">
        <v>0.73506896775389696</v>
      </c>
      <c r="X230" s="10">
        <v>1.408066030076498</v>
      </c>
      <c r="Y230" s="10">
        <v>0.86098877015544195</v>
      </c>
      <c r="Z230" s="7">
        <v>5.7626214286143496</v>
      </c>
      <c r="AA230" s="7">
        <v>2.3218630100492912</v>
      </c>
    </row>
    <row r="231" spans="1:27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8">
        <v>1</v>
      </c>
      <c r="I231" s="8">
        <v>-1</v>
      </c>
      <c r="J231" s="9">
        <v>-1.975489700036304E-2</v>
      </c>
      <c r="K231" s="9">
        <v>0</v>
      </c>
      <c r="L231" s="9">
        <v>5.0026237131217788E-2</v>
      </c>
      <c r="M231" s="9">
        <v>0</v>
      </c>
      <c r="N231" s="9">
        <v>0</v>
      </c>
      <c r="O231" s="9">
        <v>1.4286043815575631E-3</v>
      </c>
      <c r="P231" s="9">
        <v>0</v>
      </c>
      <c r="Q231" s="9">
        <v>-4.6828538599169578E-3</v>
      </c>
      <c r="R231" s="10">
        <v>0.69540494293675825</v>
      </c>
      <c r="S231" s="10">
        <v>8.2512031818815834E-2</v>
      </c>
      <c r="T231" s="10">
        <v>-0.31385304837412997</v>
      </c>
      <c r="U231" s="10">
        <v>0.71113033865072439</v>
      </c>
      <c r="V231" s="10">
        <v>1.613574735727199</v>
      </c>
      <c r="W231" s="10">
        <v>0.73649757213545453</v>
      </c>
      <c r="X231" s="10">
        <v>1.408066030076498</v>
      </c>
      <c r="Y231" s="10">
        <v>0.85630591629552499</v>
      </c>
      <c r="Z231" s="7">
        <v>5.7896385192668447</v>
      </c>
      <c r="AA231" s="7">
        <v>2.2748400124431329</v>
      </c>
    </row>
    <row r="232" spans="1:27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8">
        <v>-1</v>
      </c>
      <c r="I232" s="8">
        <v>1</v>
      </c>
      <c r="J232" s="9">
        <v>0</v>
      </c>
      <c r="K232" s="9">
        <v>-1.2474433735060851E-2</v>
      </c>
      <c r="L232" s="9">
        <v>0</v>
      </c>
      <c r="M232" s="9">
        <v>3.5622372828651223E-2</v>
      </c>
      <c r="N232" s="9">
        <v>2.219491727057743E-2</v>
      </c>
      <c r="O232" s="9">
        <v>0</v>
      </c>
      <c r="P232" s="9">
        <v>8.6028695796336319E-3</v>
      </c>
      <c r="Q232" s="9">
        <v>0</v>
      </c>
      <c r="R232" s="10">
        <v>0.69540494293675825</v>
      </c>
      <c r="S232" s="10">
        <v>7.0037598083754982E-2</v>
      </c>
      <c r="T232" s="10">
        <v>-0.31385304837412997</v>
      </c>
      <c r="U232" s="10">
        <v>0.74675271147937561</v>
      </c>
      <c r="V232" s="10">
        <v>1.6357696529977761</v>
      </c>
      <c r="W232" s="10">
        <v>0.73649757213545453</v>
      </c>
      <c r="X232" s="10">
        <v>1.4166688996561321</v>
      </c>
      <c r="Y232" s="10">
        <v>0.85630591629552499</v>
      </c>
      <c r="Z232" s="7">
        <v>5.8435842452106463</v>
      </c>
      <c r="AA232" s="7">
        <v>2.343229678444017</v>
      </c>
    </row>
    <row r="233" spans="1:27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8">
        <v>-1</v>
      </c>
      <c r="I233" s="8">
        <v>1</v>
      </c>
      <c r="J233" s="9">
        <v>0</v>
      </c>
      <c r="K233" s="9">
        <v>2.8313591639895112E-2</v>
      </c>
      <c r="L233" s="9">
        <v>0</v>
      </c>
      <c r="M233" s="9">
        <v>2.2300921522953709E-2</v>
      </c>
      <c r="N233" s="9">
        <v>2.0050690844943819E-2</v>
      </c>
      <c r="O233" s="9">
        <v>0</v>
      </c>
      <c r="P233" s="9">
        <v>-1.2370628388422509E-2</v>
      </c>
      <c r="Q233" s="9">
        <v>0</v>
      </c>
      <c r="R233" s="10">
        <v>0.69540494293675825</v>
      </c>
      <c r="S233" s="10">
        <v>9.835118972365009E-2</v>
      </c>
      <c r="T233" s="10">
        <v>-0.31385304837412997</v>
      </c>
      <c r="U233" s="10">
        <v>0.76905363300232932</v>
      </c>
      <c r="V233" s="10">
        <v>1.6558203438427199</v>
      </c>
      <c r="W233" s="10">
        <v>0.73649757213545453</v>
      </c>
      <c r="X233" s="10">
        <v>1.404298271267709</v>
      </c>
      <c r="Y233" s="10">
        <v>0.85630591629552499</v>
      </c>
      <c r="Z233" s="7">
        <v>5.9018788208300164</v>
      </c>
      <c r="AA233" s="7">
        <v>2.3358199743225319</v>
      </c>
    </row>
    <row r="234" spans="1:27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8">
        <v>-1</v>
      </c>
      <c r="I234" s="8">
        <v>1</v>
      </c>
      <c r="J234" s="9">
        <v>0</v>
      </c>
      <c r="K234" s="9">
        <v>-2.5550259004561319E-2</v>
      </c>
      <c r="L234" s="9">
        <v>0</v>
      </c>
      <c r="M234" s="9">
        <v>-6.1673684027755424E-3</v>
      </c>
      <c r="N234" s="9">
        <v>2.8035968740761859E-2</v>
      </c>
      <c r="O234" s="9">
        <v>0</v>
      </c>
      <c r="P234" s="9">
        <v>2.4667726131479828E-3</v>
      </c>
      <c r="Q234" s="9">
        <v>0</v>
      </c>
      <c r="R234" s="10">
        <v>0.69540494293675825</v>
      </c>
      <c r="S234" s="10">
        <v>7.2800930719088774E-2</v>
      </c>
      <c r="T234" s="10">
        <v>-0.31385304837412997</v>
      </c>
      <c r="U234" s="10">
        <v>0.76288626459955378</v>
      </c>
      <c r="V234" s="10">
        <v>1.683856312583482</v>
      </c>
      <c r="W234" s="10">
        <v>0.73649757213545453</v>
      </c>
      <c r="X234" s="10">
        <v>1.406765043880857</v>
      </c>
      <c r="Y234" s="10">
        <v>0.85630591629552499</v>
      </c>
      <c r="Z234" s="7">
        <v>5.9006639347765892</v>
      </c>
      <c r="AA234" s="7">
        <v>2.3822668812281922</v>
      </c>
    </row>
    <row r="235" spans="1:27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8">
        <v>1</v>
      </c>
      <c r="I235" s="8">
        <v>-1</v>
      </c>
      <c r="J235" s="9">
        <v>2.3190662748362789E-2</v>
      </c>
      <c r="K235" s="9">
        <v>0</v>
      </c>
      <c r="L235" s="9">
        <v>1.662357454088603E-4</v>
      </c>
      <c r="M235" s="9">
        <v>0</v>
      </c>
      <c r="N235" s="9">
        <v>0</v>
      </c>
      <c r="O235" s="9">
        <v>1.8640057655344929E-2</v>
      </c>
      <c r="P235" s="9">
        <v>0</v>
      </c>
      <c r="Q235" s="9">
        <v>-4.0435216481756082E-2</v>
      </c>
      <c r="R235" s="10">
        <v>0.71859560568512104</v>
      </c>
      <c r="S235" s="10">
        <v>7.2800930719088774E-2</v>
      </c>
      <c r="T235" s="10">
        <v>-0.31368681262872111</v>
      </c>
      <c r="U235" s="10">
        <v>0.76288626459955378</v>
      </c>
      <c r="V235" s="10">
        <v>1.683856312583482</v>
      </c>
      <c r="W235" s="10">
        <v>0.75513762979079946</v>
      </c>
      <c r="X235" s="10">
        <v>1.406765043880857</v>
      </c>
      <c r="Y235" s="10">
        <v>0.81587069981376892</v>
      </c>
      <c r="Z235" s="7">
        <v>5.9022256744439501</v>
      </c>
      <c r="AA235" s="7">
        <v>2.3294702444948969</v>
      </c>
    </row>
    <row r="236" spans="1:27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8">
        <v>1</v>
      </c>
      <c r="I236" s="8">
        <v>-1</v>
      </c>
      <c r="J236" s="9">
        <v>1.6815974799750721E-2</v>
      </c>
      <c r="K236" s="9">
        <v>0</v>
      </c>
      <c r="L236" s="9">
        <v>-9.5265295821835849E-3</v>
      </c>
      <c r="M236" s="9">
        <v>0</v>
      </c>
      <c r="N236" s="9">
        <v>0</v>
      </c>
      <c r="O236" s="9">
        <v>5.5409923942915107E-3</v>
      </c>
      <c r="P236" s="9">
        <v>0</v>
      </c>
      <c r="Q236" s="9">
        <v>-2.1833028138984471E-2</v>
      </c>
      <c r="R236" s="10">
        <v>0.73541158048487176</v>
      </c>
      <c r="S236" s="10">
        <v>7.2800930719088774E-2</v>
      </c>
      <c r="T236" s="10">
        <v>-0.3232133422109047</v>
      </c>
      <c r="U236" s="10">
        <v>0.76288626459955378</v>
      </c>
      <c r="V236" s="10">
        <v>1.683856312583482</v>
      </c>
      <c r="W236" s="10">
        <v>0.76067862218509097</v>
      </c>
      <c r="X236" s="10">
        <v>1.406765043880857</v>
      </c>
      <c r="Y236" s="10">
        <v>0.79403767167478445</v>
      </c>
      <c r="Z236" s="7">
        <v>5.8932230839168236</v>
      </c>
      <c r="AA236" s="7">
        <v>2.3013352057379932</v>
      </c>
    </row>
    <row r="237" spans="1:27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8">
        <v>-1</v>
      </c>
      <c r="I237" s="8">
        <v>1</v>
      </c>
      <c r="J237" s="9">
        <v>0</v>
      </c>
      <c r="K237" s="9">
        <v>-1.6698733505068671E-2</v>
      </c>
      <c r="L237" s="9">
        <v>0</v>
      </c>
      <c r="M237" s="9">
        <v>1.3729640052377531E-2</v>
      </c>
      <c r="N237" s="9">
        <v>-3.9416337561247183E-2</v>
      </c>
      <c r="O237" s="9">
        <v>0</v>
      </c>
      <c r="P237" s="9">
        <v>2.8013273551610318E-3</v>
      </c>
      <c r="Q237" s="9">
        <v>0</v>
      </c>
      <c r="R237" s="10">
        <v>0.73541158048487176</v>
      </c>
      <c r="S237" s="10">
        <v>5.61021972140201E-2</v>
      </c>
      <c r="T237" s="10">
        <v>-0.3232133422109047</v>
      </c>
      <c r="U237" s="10">
        <v>0.77661590465193131</v>
      </c>
      <c r="V237" s="10">
        <v>1.6444399750222349</v>
      </c>
      <c r="W237" s="10">
        <v>0.76067862218509097</v>
      </c>
      <c r="X237" s="10">
        <v>1.409566371236018</v>
      </c>
      <c r="Y237" s="10">
        <v>0.79403767167478445</v>
      </c>
      <c r="Z237" s="7">
        <v>5.8536389802580473</v>
      </c>
      <c r="AA237" s="7">
        <v>2.3406435142524669</v>
      </c>
    </row>
    <row r="238" spans="1:27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8">
        <v>-1</v>
      </c>
      <c r="I238" s="8">
        <v>1</v>
      </c>
      <c r="J238" s="9">
        <v>0</v>
      </c>
      <c r="K238" s="9">
        <v>3.2047412684026111E-2</v>
      </c>
      <c r="L238" s="9">
        <v>0</v>
      </c>
      <c r="M238" s="9">
        <v>-4.2417777482451902E-3</v>
      </c>
      <c r="N238" s="9">
        <v>-6.1910252345177552E-3</v>
      </c>
      <c r="O238" s="9">
        <v>0</v>
      </c>
      <c r="P238" s="9">
        <v>4.1361820151712081E-2</v>
      </c>
      <c r="Q238" s="9">
        <v>0</v>
      </c>
      <c r="R238" s="10">
        <v>0.73541158048487176</v>
      </c>
      <c r="S238" s="10">
        <v>8.8149609898046211E-2</v>
      </c>
      <c r="T238" s="10">
        <v>-0.3232133422109047</v>
      </c>
      <c r="U238" s="10">
        <v>0.77237412690368612</v>
      </c>
      <c r="V238" s="10">
        <v>1.6382489497877171</v>
      </c>
      <c r="W238" s="10">
        <v>0.76067862218509097</v>
      </c>
      <c r="X238" s="10">
        <v>1.450928191387731</v>
      </c>
      <c r="Y238" s="10">
        <v>0.79403767167478445</v>
      </c>
      <c r="Z238" s="7">
        <v>5.9166154101110227</v>
      </c>
      <c r="AA238" s="7">
        <v>2.2513549465627349</v>
      </c>
    </row>
    <row r="239" spans="1:27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8">
        <v>1</v>
      </c>
      <c r="I239" s="8">
        <v>-1</v>
      </c>
      <c r="J239" s="9">
        <v>5.8830657322931801E-2</v>
      </c>
      <c r="K239" s="9">
        <v>0</v>
      </c>
      <c r="L239" s="9">
        <v>1.6014090677818341E-2</v>
      </c>
      <c r="M239" s="9">
        <v>0</v>
      </c>
      <c r="N239" s="9">
        <v>0</v>
      </c>
      <c r="O239" s="9">
        <v>4.5558759380792679E-4</v>
      </c>
      <c r="P239" s="9">
        <v>0</v>
      </c>
      <c r="Q239" s="9">
        <v>-4.7215735141017179E-2</v>
      </c>
      <c r="R239" s="10">
        <v>0.79424223780780356</v>
      </c>
      <c r="S239" s="10">
        <v>8.8149609898046211E-2</v>
      </c>
      <c r="T239" s="10">
        <v>-0.30719925153308641</v>
      </c>
      <c r="U239" s="10">
        <v>0.77237412690368612</v>
      </c>
      <c r="V239" s="10">
        <v>1.6382489497877171</v>
      </c>
      <c r="W239" s="10">
        <v>0.7611342097788989</v>
      </c>
      <c r="X239" s="10">
        <v>1.450928191387731</v>
      </c>
      <c r="Y239" s="10">
        <v>0.74682193653376727</v>
      </c>
      <c r="Z239" s="7">
        <v>5.9447000105645644</v>
      </c>
      <c r="AA239" s="7">
        <v>2.2575144409190981</v>
      </c>
    </row>
    <row r="240" spans="1:27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8">
        <v>1</v>
      </c>
      <c r="I240" s="8">
        <v>-1</v>
      </c>
      <c r="J240" s="9">
        <v>8.4049131891030804E-3</v>
      </c>
      <c r="K240" s="9">
        <v>0</v>
      </c>
      <c r="L240" s="9">
        <v>-1.4893244713936051E-2</v>
      </c>
      <c r="M240" s="9">
        <v>0</v>
      </c>
      <c r="N240" s="9">
        <v>0</v>
      </c>
      <c r="O240" s="9">
        <v>-7.180403421903625E-3</v>
      </c>
      <c r="P240" s="9">
        <v>0</v>
      </c>
      <c r="Q240" s="9">
        <v>-1.0420140934120029E-2</v>
      </c>
      <c r="R240" s="10">
        <v>0.80264715099690664</v>
      </c>
      <c r="S240" s="10">
        <v>8.8149609898046211E-2</v>
      </c>
      <c r="T240" s="10">
        <v>-0.32209249624702241</v>
      </c>
      <c r="U240" s="10">
        <v>0.77237412690368612</v>
      </c>
      <c r="V240" s="10">
        <v>1.6382489497877171</v>
      </c>
      <c r="W240" s="10">
        <v>0.75395380635699527</v>
      </c>
      <c r="X240" s="10">
        <v>1.450928191387731</v>
      </c>
      <c r="Y240" s="10">
        <v>0.73640179559964725</v>
      </c>
      <c r="Z240" s="7">
        <v>5.9206111346837069</v>
      </c>
      <c r="AA240" s="7">
        <v>2.1751443478941548</v>
      </c>
    </row>
    <row r="241" spans="1:27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8">
        <v>-1</v>
      </c>
      <c r="I241" s="8">
        <v>1</v>
      </c>
      <c r="J241" s="9">
        <v>0</v>
      </c>
      <c r="K241" s="9">
        <v>-4.2471497343544828E-2</v>
      </c>
      <c r="L241" s="9">
        <v>0</v>
      </c>
      <c r="M241" s="9">
        <v>-9.3929502476586269E-3</v>
      </c>
      <c r="N241" s="9">
        <v>2.9997192599240829E-2</v>
      </c>
      <c r="O241" s="9">
        <v>0</v>
      </c>
      <c r="P241" s="9">
        <v>1.8543533286442981E-2</v>
      </c>
      <c r="Q241" s="9">
        <v>0</v>
      </c>
      <c r="R241" s="10">
        <v>0.80264715099690664</v>
      </c>
      <c r="S241" s="10">
        <v>4.5678112554501382E-2</v>
      </c>
      <c r="T241" s="10">
        <v>-0.32209249624702241</v>
      </c>
      <c r="U241" s="10">
        <v>0.76298117665602749</v>
      </c>
      <c r="V241" s="10">
        <v>1.6682461423869579</v>
      </c>
      <c r="W241" s="10">
        <v>0.75395380635699527</v>
      </c>
      <c r="X241" s="10">
        <v>1.469471724674174</v>
      </c>
      <c r="Y241" s="10">
        <v>0.73640179559964725</v>
      </c>
      <c r="Z241" s="7">
        <v>5.9172874129781876</v>
      </c>
      <c r="AA241" s="7">
        <v>2.2648059588308</v>
      </c>
    </row>
    <row r="242" spans="1:27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8">
        <v>-1</v>
      </c>
      <c r="I242" s="8">
        <v>1</v>
      </c>
      <c r="J242" s="9">
        <v>0</v>
      </c>
      <c r="K242" s="9">
        <v>6.4971228771752432E-2</v>
      </c>
      <c r="L242" s="9">
        <v>0</v>
      </c>
      <c r="M242" s="9">
        <v>-1.0059041115307419E-2</v>
      </c>
      <c r="N242" s="9">
        <v>3.735157250942978E-3</v>
      </c>
      <c r="O242" s="9">
        <v>0</v>
      </c>
      <c r="P242" s="9">
        <v>5.4699785777430074E-3</v>
      </c>
      <c r="Q242" s="9">
        <v>0</v>
      </c>
      <c r="R242" s="10">
        <v>0.80264715099690664</v>
      </c>
      <c r="S242" s="10">
        <v>0.1106493413262538</v>
      </c>
      <c r="T242" s="10">
        <v>-0.32209249624702241</v>
      </c>
      <c r="U242" s="10">
        <v>0.75292213554072007</v>
      </c>
      <c r="V242" s="10">
        <v>1.6719812996379011</v>
      </c>
      <c r="W242" s="10">
        <v>0.75395380635699527</v>
      </c>
      <c r="X242" s="10">
        <v>1.474941703251917</v>
      </c>
      <c r="Y242" s="10">
        <v>0.73640179559964725</v>
      </c>
      <c r="Z242" s="7">
        <v>5.9814047364633183</v>
      </c>
      <c r="AA242" s="7">
        <v>2.2248208031284382</v>
      </c>
    </row>
    <row r="243" spans="1:27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8">
        <v>-1</v>
      </c>
      <c r="I243" s="8">
        <v>1</v>
      </c>
      <c r="J243" s="9">
        <v>0</v>
      </c>
      <c r="K243" s="9">
        <v>4.5876222008975683E-2</v>
      </c>
      <c r="L243" s="9">
        <v>0</v>
      </c>
      <c r="M243" s="9">
        <v>-2.5961489164245118E-2</v>
      </c>
      <c r="N243" s="9">
        <v>1.332145561269671E-2</v>
      </c>
      <c r="O243" s="9">
        <v>0</v>
      </c>
      <c r="P243" s="9">
        <v>3.1861843628926627E-2</v>
      </c>
      <c r="Q243" s="9">
        <v>0</v>
      </c>
      <c r="R243" s="10">
        <v>0.80264715099690664</v>
      </c>
      <c r="S243" s="10">
        <v>0.15652556333522949</v>
      </c>
      <c r="T243" s="10">
        <v>-0.32209249624702241</v>
      </c>
      <c r="U243" s="10">
        <v>0.72696064637647495</v>
      </c>
      <c r="V243" s="10">
        <v>1.685302755250597</v>
      </c>
      <c r="W243" s="10">
        <v>0.75395380635699527</v>
      </c>
      <c r="X243" s="10">
        <v>1.5068035468808429</v>
      </c>
      <c r="Y243" s="10">
        <v>0.73640179559964725</v>
      </c>
      <c r="Z243" s="7">
        <v>6.0465027685496722</v>
      </c>
      <c r="AA243" s="7">
        <v>2.130332819430893</v>
      </c>
    </row>
    <row r="244" spans="1:27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8">
        <v>-1</v>
      </c>
      <c r="I244" s="8">
        <v>1</v>
      </c>
      <c r="J244" s="9">
        <v>0</v>
      </c>
      <c r="K244" s="9">
        <v>-3.1898406646399091E-2</v>
      </c>
      <c r="L244" s="9">
        <v>0</v>
      </c>
      <c r="M244" s="9">
        <v>3.1724303537678411E-2</v>
      </c>
      <c r="N244" s="9">
        <v>1.6849724382092202E-2</v>
      </c>
      <c r="O244" s="9">
        <v>0</v>
      </c>
      <c r="P244" s="9">
        <v>1.1731225164536729E-2</v>
      </c>
      <c r="Q244" s="9">
        <v>0</v>
      </c>
      <c r="R244" s="10">
        <v>0.80264715099690664</v>
      </c>
      <c r="S244" s="10">
        <v>0.1246271566888304</v>
      </c>
      <c r="T244" s="10">
        <v>-0.32209249624702241</v>
      </c>
      <c r="U244" s="10">
        <v>0.75868494991415336</v>
      </c>
      <c r="V244" s="10">
        <v>1.702152479632689</v>
      </c>
      <c r="W244" s="10">
        <v>0.75395380635699527</v>
      </c>
      <c r="X244" s="10">
        <v>1.5185347720453799</v>
      </c>
      <c r="Y244" s="10">
        <v>0.73640179559964725</v>
      </c>
      <c r="Z244" s="7">
        <v>6.0749096149875808</v>
      </c>
      <c r="AA244" s="7">
        <v>2.2116928364247199</v>
      </c>
    </row>
    <row r="245" spans="1:27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8">
        <v>1</v>
      </c>
      <c r="I245" s="8">
        <v>-1</v>
      </c>
      <c r="J245" s="9">
        <v>3.3360830493271321E-2</v>
      </c>
      <c r="K245" s="9">
        <v>0</v>
      </c>
      <c r="L245" s="9">
        <v>-2.6690130762190619E-2</v>
      </c>
      <c r="M245" s="9">
        <v>0</v>
      </c>
      <c r="N245" s="9">
        <v>0</v>
      </c>
      <c r="O245" s="9">
        <v>1.5810211799955679E-2</v>
      </c>
      <c r="P245" s="9">
        <v>0</v>
      </c>
      <c r="Q245" s="9">
        <v>-2.7168956634486489E-2</v>
      </c>
      <c r="R245" s="10">
        <v>0.83600798149017796</v>
      </c>
      <c r="S245" s="10">
        <v>0.1246271566888304</v>
      </c>
      <c r="T245" s="10">
        <v>-0.34878262700921298</v>
      </c>
      <c r="U245" s="10">
        <v>0.75868494991415336</v>
      </c>
      <c r="V245" s="10">
        <v>1.702152479632689</v>
      </c>
      <c r="W245" s="10">
        <v>0.76976401815695095</v>
      </c>
      <c r="X245" s="10">
        <v>1.5185347720453799</v>
      </c>
      <c r="Y245" s="10">
        <v>0.70923283896516076</v>
      </c>
      <c r="Z245" s="7">
        <v>6.0702215698841311</v>
      </c>
      <c r="AA245" s="7">
        <v>2.2689075080125618</v>
      </c>
    </row>
    <row r="246" spans="1:27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8">
        <v>1</v>
      </c>
      <c r="I246" s="8">
        <v>-1</v>
      </c>
      <c r="J246" s="9">
        <v>-9.5189650497244926E-3</v>
      </c>
      <c r="K246" s="9">
        <v>0</v>
      </c>
      <c r="L246" s="9">
        <v>4.029111657519191E-2</v>
      </c>
      <c r="M246" s="9">
        <v>0</v>
      </c>
      <c r="N246" s="9">
        <v>0</v>
      </c>
      <c r="O246" s="9">
        <v>3.5994647823447079E-2</v>
      </c>
      <c r="P246" s="9">
        <v>0</v>
      </c>
      <c r="Q246" s="9">
        <v>6.6956787475849766E-2</v>
      </c>
      <c r="R246" s="10">
        <v>0.82648901644045347</v>
      </c>
      <c r="S246" s="10">
        <v>0.1246271566888304</v>
      </c>
      <c r="T246" s="10">
        <v>-0.30849151043402112</v>
      </c>
      <c r="U246" s="10">
        <v>0.75868494991415336</v>
      </c>
      <c r="V246" s="10">
        <v>1.702152479632689</v>
      </c>
      <c r="W246" s="10">
        <v>0.80575866598039803</v>
      </c>
      <c r="X246" s="10">
        <v>1.5185347720453799</v>
      </c>
      <c r="Y246" s="10">
        <v>0.77618962644101053</v>
      </c>
      <c r="Z246" s="7">
        <v>6.2039451567088957</v>
      </c>
      <c r="AA246" s="7">
        <v>2.210924455325149</v>
      </c>
    </row>
    <row r="247" spans="1:27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8">
        <v>1</v>
      </c>
      <c r="I247" s="8">
        <v>-1</v>
      </c>
      <c r="J247" s="9">
        <v>1.5819258771188841E-2</v>
      </c>
      <c r="K247" s="9">
        <v>0</v>
      </c>
      <c r="L247" s="9">
        <v>4.1089881848044302E-4</v>
      </c>
      <c r="M247" s="9">
        <v>0</v>
      </c>
      <c r="N247" s="9">
        <v>0</v>
      </c>
      <c r="O247" s="9">
        <v>-1.4461935811890149E-2</v>
      </c>
      <c r="P247" s="9">
        <v>0</v>
      </c>
      <c r="Q247" s="9">
        <v>6.0685565794462708E-2</v>
      </c>
      <c r="R247" s="10">
        <v>0.84230827521164231</v>
      </c>
      <c r="S247" s="10">
        <v>0.1246271566888304</v>
      </c>
      <c r="T247" s="10">
        <v>-0.30808061161554068</v>
      </c>
      <c r="U247" s="10">
        <v>0.75868494991415336</v>
      </c>
      <c r="V247" s="10">
        <v>1.702152479632689</v>
      </c>
      <c r="W247" s="10">
        <v>0.79129673016850788</v>
      </c>
      <c r="X247" s="10">
        <v>1.5185347720453799</v>
      </c>
      <c r="Y247" s="10">
        <v>0.83687519223547324</v>
      </c>
      <c r="Z247" s="7">
        <v>6.2663989442811374</v>
      </c>
      <c r="AA247" s="7">
        <v>2.2730414178856519</v>
      </c>
    </row>
    <row r="248" spans="1:27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8">
        <v>-1</v>
      </c>
      <c r="I248" s="8">
        <v>1</v>
      </c>
      <c r="J248" s="9">
        <v>0</v>
      </c>
      <c r="K248" s="9">
        <v>5.6532403693871913E-3</v>
      </c>
      <c r="L248" s="9">
        <v>0</v>
      </c>
      <c r="M248" s="9">
        <v>4.0875296187974364E-3</v>
      </c>
      <c r="N248" s="9">
        <v>2.1522906024489141E-2</v>
      </c>
      <c r="O248" s="9">
        <v>0</v>
      </c>
      <c r="P248" s="9">
        <v>1.7070215998637232E-2</v>
      </c>
      <c r="Q248" s="9">
        <v>0</v>
      </c>
      <c r="R248" s="10">
        <v>0.84230827521164231</v>
      </c>
      <c r="S248" s="10">
        <v>0.13028039705821759</v>
      </c>
      <c r="T248" s="10">
        <v>-0.30808061161554068</v>
      </c>
      <c r="U248" s="10">
        <v>0.7627724795329508</v>
      </c>
      <c r="V248" s="10">
        <v>1.7236753856571789</v>
      </c>
      <c r="W248" s="10">
        <v>0.79129673016850788</v>
      </c>
      <c r="X248" s="10">
        <v>1.535604988044017</v>
      </c>
      <c r="Y248" s="10">
        <v>0.83687519223547324</v>
      </c>
      <c r="Z248" s="7">
        <v>6.314732836292448</v>
      </c>
      <c r="AA248" s="7">
        <v>2.2484610918470529</v>
      </c>
    </row>
    <row r="249" spans="1:27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8">
        <v>1</v>
      </c>
      <c r="I249" s="8">
        <v>-1</v>
      </c>
      <c r="J249" s="9">
        <v>2.6328618187439919E-2</v>
      </c>
      <c r="K249" s="9">
        <v>0</v>
      </c>
      <c r="L249" s="9">
        <v>-1.346620224712947E-2</v>
      </c>
      <c r="M249" s="9">
        <v>0</v>
      </c>
      <c r="N249" s="9">
        <v>0</v>
      </c>
      <c r="O249" s="9">
        <v>-5.3432890843728709E-3</v>
      </c>
      <c r="P249" s="9">
        <v>0</v>
      </c>
      <c r="Q249" s="9">
        <v>2.994600835564909E-3</v>
      </c>
      <c r="R249" s="10">
        <v>0.86863689339908223</v>
      </c>
      <c r="S249" s="10">
        <v>0.13028039705821759</v>
      </c>
      <c r="T249" s="10">
        <v>-0.32154681386267009</v>
      </c>
      <c r="U249" s="10">
        <v>0.7627724795329508</v>
      </c>
      <c r="V249" s="10">
        <v>1.7236753856571789</v>
      </c>
      <c r="W249" s="10">
        <v>0.78595344108413501</v>
      </c>
      <c r="X249" s="10">
        <v>1.535604988044017</v>
      </c>
      <c r="Y249" s="10">
        <v>0.83986979307103815</v>
      </c>
      <c r="Z249" s="7">
        <v>6.3252465639839501</v>
      </c>
      <c r="AA249" s="7">
        <v>2.2863349306304541</v>
      </c>
    </row>
    <row r="250" spans="1:27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8">
        <v>-1</v>
      </c>
      <c r="I250" s="8">
        <v>1</v>
      </c>
      <c r="J250" s="9">
        <v>0</v>
      </c>
      <c r="K250" s="9">
        <v>-8.3338768950933506E-3</v>
      </c>
      <c r="L250" s="9">
        <v>0</v>
      </c>
      <c r="M250" s="9">
        <v>1.0253967038495789E-2</v>
      </c>
      <c r="N250" s="9">
        <v>5.716545940072093E-4</v>
      </c>
      <c r="O250" s="9">
        <v>0</v>
      </c>
      <c r="P250" s="9">
        <v>-6.5914648017916244E-3</v>
      </c>
      <c r="Q250" s="9">
        <v>0</v>
      </c>
      <c r="R250" s="10">
        <v>0.86863689339908223</v>
      </c>
      <c r="S250" s="10">
        <v>0.1219465201631242</v>
      </c>
      <c r="T250" s="10">
        <v>-0.32154681386267009</v>
      </c>
      <c r="U250" s="10">
        <v>0.77302644657144659</v>
      </c>
      <c r="V250" s="10">
        <v>1.724247040251186</v>
      </c>
      <c r="W250" s="10">
        <v>0.78595344108413501</v>
      </c>
      <c r="X250" s="10">
        <v>1.5290135232422259</v>
      </c>
      <c r="Y250" s="10">
        <v>0.83986979307103815</v>
      </c>
      <c r="Z250" s="7">
        <v>6.3211468439195677</v>
      </c>
      <c r="AA250" s="7">
        <v>2.302707483901385</v>
      </c>
    </row>
    <row r="251" spans="1:27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8">
        <v>-1</v>
      </c>
      <c r="I251" s="8">
        <v>1</v>
      </c>
      <c r="J251" s="9">
        <v>0</v>
      </c>
      <c r="K251" s="9">
        <v>1.615198151974973E-3</v>
      </c>
      <c r="L251" s="9">
        <v>0</v>
      </c>
      <c r="M251" s="9">
        <v>1.866718971593662E-2</v>
      </c>
      <c r="N251" s="9">
        <v>-7.6834658899839203E-3</v>
      </c>
      <c r="O251" s="9">
        <v>0</v>
      </c>
      <c r="P251" s="9">
        <v>1.153681931068784E-2</v>
      </c>
      <c r="Q251" s="9">
        <v>0</v>
      </c>
      <c r="R251" s="10">
        <v>0.86863689339908223</v>
      </c>
      <c r="S251" s="10">
        <v>0.1235617183150992</v>
      </c>
      <c r="T251" s="10">
        <v>-0.32154681386267009</v>
      </c>
      <c r="U251" s="10">
        <v>0.79169363628738321</v>
      </c>
      <c r="V251" s="10">
        <v>1.716563574361202</v>
      </c>
      <c r="W251" s="10">
        <v>0.78595344108413501</v>
      </c>
      <c r="X251" s="10">
        <v>1.540550342552913</v>
      </c>
      <c r="Y251" s="10">
        <v>0.83986979307103815</v>
      </c>
      <c r="Z251" s="7">
        <v>6.3452825852081833</v>
      </c>
      <c r="AA251" s="7">
        <v>2.307992643727768</v>
      </c>
    </row>
    <row r="252" spans="1:27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8">
        <v>-1</v>
      </c>
      <c r="I252" s="8">
        <v>1</v>
      </c>
      <c r="J252" s="9">
        <v>0</v>
      </c>
      <c r="K252" s="9">
        <v>-1.556409558544081E-2</v>
      </c>
      <c r="L252" s="9">
        <v>0</v>
      </c>
      <c r="M252" s="9">
        <v>6.4350676354238967E-3</v>
      </c>
      <c r="N252" s="9">
        <v>2.0765485891562241E-2</v>
      </c>
      <c r="O252" s="9">
        <v>0</v>
      </c>
      <c r="P252" s="9">
        <v>1.7847157390907701E-2</v>
      </c>
      <c r="Q252" s="9">
        <v>0</v>
      </c>
      <c r="R252" s="10">
        <v>0.86863689339908223</v>
      </c>
      <c r="S252" s="10">
        <v>0.1079976227296584</v>
      </c>
      <c r="T252" s="10">
        <v>-0.32154681386267009</v>
      </c>
      <c r="U252" s="10">
        <v>0.7981287039228071</v>
      </c>
      <c r="V252" s="10">
        <v>1.737329060252764</v>
      </c>
      <c r="W252" s="10">
        <v>0.78595344108413501</v>
      </c>
      <c r="X252" s="10">
        <v>1.558397499943821</v>
      </c>
      <c r="Y252" s="10">
        <v>0.83986979307103815</v>
      </c>
      <c r="Z252" s="7">
        <v>6.3747662005406367</v>
      </c>
      <c r="AA252" s="7">
        <v>2.3713100896199482</v>
      </c>
    </row>
    <row r="253" spans="1:27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8">
        <v>-1</v>
      </c>
      <c r="I253" s="8">
        <v>1</v>
      </c>
      <c r="J253" s="9">
        <v>0</v>
      </c>
      <c r="K253" s="9">
        <v>-7.9481408337445103E-3</v>
      </c>
      <c r="L253" s="9">
        <v>0</v>
      </c>
      <c r="M253" s="9">
        <v>-1.27983076099466E-2</v>
      </c>
      <c r="N253" s="9">
        <v>-8.1609246464321439E-3</v>
      </c>
      <c r="O253" s="9">
        <v>0</v>
      </c>
      <c r="P253" s="9">
        <v>3.40213912077999E-2</v>
      </c>
      <c r="Q253" s="9">
        <v>0</v>
      </c>
      <c r="R253" s="10">
        <v>0.86863689339908223</v>
      </c>
      <c r="S253" s="10">
        <v>0.10004948189591389</v>
      </c>
      <c r="T253" s="10">
        <v>-0.32154681386267009</v>
      </c>
      <c r="U253" s="10">
        <v>0.7853303963128605</v>
      </c>
      <c r="V253" s="10">
        <v>1.729168135606332</v>
      </c>
      <c r="W253" s="10">
        <v>0.78595344108413501</v>
      </c>
      <c r="X253" s="10">
        <v>1.5924188911516211</v>
      </c>
      <c r="Y253" s="10">
        <v>0.83986979307103815</v>
      </c>
      <c r="Z253" s="7">
        <v>6.3798802186583137</v>
      </c>
      <c r="AA253" s="7">
        <v>2.403785093581412</v>
      </c>
    </row>
    <row r="254" spans="1:27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8">
        <v>-1</v>
      </c>
      <c r="I254" s="8">
        <v>1</v>
      </c>
      <c r="J254" s="9">
        <v>0</v>
      </c>
      <c r="K254" s="9">
        <v>-2.5071299781027179E-2</v>
      </c>
      <c r="L254" s="9">
        <v>0</v>
      </c>
      <c r="M254" s="9">
        <v>4.3990711427028588E-2</v>
      </c>
      <c r="N254" s="9">
        <v>-1.5432315897249469E-2</v>
      </c>
      <c r="O254" s="9">
        <v>0</v>
      </c>
      <c r="P254" s="9">
        <v>4.2286724180821689E-2</v>
      </c>
      <c r="Q254" s="9">
        <v>0</v>
      </c>
      <c r="R254" s="10">
        <v>0.86863689339908223</v>
      </c>
      <c r="S254" s="10">
        <v>7.4978182114886716E-2</v>
      </c>
      <c r="T254" s="10">
        <v>-0.32154681386267009</v>
      </c>
      <c r="U254" s="10">
        <v>0.8293211077398891</v>
      </c>
      <c r="V254" s="10">
        <v>1.7137358197090831</v>
      </c>
      <c r="W254" s="10">
        <v>0.78595344108413501</v>
      </c>
      <c r="X254" s="10">
        <v>1.6347056153324431</v>
      </c>
      <c r="Y254" s="10">
        <v>0.83986979307103815</v>
      </c>
      <c r="Z254" s="7">
        <v>6.4256540385878873</v>
      </c>
      <c r="AA254" s="7">
        <v>2.3880666592149469</v>
      </c>
    </row>
    <row r="255" spans="1:27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8">
        <v>-1</v>
      </c>
      <c r="I255" s="8">
        <v>1</v>
      </c>
      <c r="J255" s="9">
        <v>0</v>
      </c>
      <c r="K255" s="9">
        <v>6.7163377164752847E-3</v>
      </c>
      <c r="L255" s="9">
        <v>0</v>
      </c>
      <c r="M255" s="9">
        <v>-3.0094477680093101E-2</v>
      </c>
      <c r="N255" s="9">
        <v>-1.074320599260503E-2</v>
      </c>
      <c r="O255" s="9">
        <v>0</v>
      </c>
      <c r="P255" s="9">
        <v>2.0538535204485561E-2</v>
      </c>
      <c r="Q255" s="9">
        <v>0</v>
      </c>
      <c r="R255" s="10">
        <v>0.86863689339908223</v>
      </c>
      <c r="S255" s="10">
        <v>8.1694519831362E-2</v>
      </c>
      <c r="T255" s="10">
        <v>-0.32154681386267009</v>
      </c>
      <c r="U255" s="10">
        <v>0.79922663005979599</v>
      </c>
      <c r="V255" s="10">
        <v>1.7029926137164779</v>
      </c>
      <c r="W255" s="10">
        <v>0.78595344108413501</v>
      </c>
      <c r="X255" s="10">
        <v>1.655244150536928</v>
      </c>
      <c r="Y255" s="10">
        <v>0.83986979307103815</v>
      </c>
      <c r="Z255" s="7">
        <v>6.41207122783615</v>
      </c>
      <c r="AA255" s="7">
        <v>2.3399805261025559</v>
      </c>
    </row>
    <row r="256" spans="1:27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8">
        <v>-1</v>
      </c>
      <c r="I256" s="8">
        <v>1</v>
      </c>
      <c r="J256" s="9">
        <v>0</v>
      </c>
      <c r="K256" s="9">
        <v>6.8174303094270527E-3</v>
      </c>
      <c r="L256" s="9">
        <v>0</v>
      </c>
      <c r="M256" s="9">
        <v>4.6329681347054841E-3</v>
      </c>
      <c r="N256" s="9">
        <v>4.9943423282756694E-3</v>
      </c>
      <c r="O256" s="9">
        <v>0</v>
      </c>
      <c r="P256" s="9">
        <v>4.1245821637792002E-2</v>
      </c>
      <c r="Q256" s="9">
        <v>0</v>
      </c>
      <c r="R256" s="10">
        <v>0.86863689339908223</v>
      </c>
      <c r="S256" s="10">
        <v>8.8511950140789053E-2</v>
      </c>
      <c r="T256" s="10">
        <v>-0.32154681386267009</v>
      </c>
      <c r="U256" s="10">
        <v>0.80385959819450148</v>
      </c>
      <c r="V256" s="10">
        <v>1.7079869560447529</v>
      </c>
      <c r="W256" s="10">
        <v>0.78595344108413501</v>
      </c>
      <c r="X256" s="10">
        <v>1.69648997217472</v>
      </c>
      <c r="Y256" s="10">
        <v>0.83986979307103815</v>
      </c>
      <c r="Z256" s="7">
        <v>6.4697617902463502</v>
      </c>
      <c r="AA256" s="7">
        <v>2.318859445155383</v>
      </c>
    </row>
    <row r="257" spans="1:27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8">
        <v>1</v>
      </c>
      <c r="I257" s="8">
        <v>-1</v>
      </c>
      <c r="J257" s="9">
        <v>6.8993651449281712E-3</v>
      </c>
      <c r="K257" s="9">
        <v>0</v>
      </c>
      <c r="L257" s="9">
        <v>-1.1453852266020361E-2</v>
      </c>
      <c r="M257" s="9">
        <v>0</v>
      </c>
      <c r="N257" s="9">
        <v>0</v>
      </c>
      <c r="O257" s="9">
        <v>-4.4098955238720983E-2</v>
      </c>
      <c r="P257" s="9">
        <v>0</v>
      </c>
      <c r="Q257" s="9">
        <v>5.6307560993441141E-2</v>
      </c>
      <c r="R257" s="10">
        <v>0.8755362585440104</v>
      </c>
      <c r="S257" s="10">
        <v>8.8511950140789053E-2</v>
      </c>
      <c r="T257" s="10">
        <v>-0.3330006661286905</v>
      </c>
      <c r="U257" s="10">
        <v>0.80385959819450148</v>
      </c>
      <c r="V257" s="10">
        <v>1.7079869560447529</v>
      </c>
      <c r="W257" s="10">
        <v>0.74185448584541402</v>
      </c>
      <c r="X257" s="10">
        <v>1.69648997217472</v>
      </c>
      <c r="Y257" s="10">
        <v>0.89617735406447929</v>
      </c>
      <c r="Z257" s="7">
        <v>6.4774159088799781</v>
      </c>
      <c r="AA257" s="7">
        <v>2.4069459505138799</v>
      </c>
    </row>
    <row r="258" spans="1:27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8">
        <v>1</v>
      </c>
      <c r="I258" s="8">
        <v>-1</v>
      </c>
      <c r="J258" s="9">
        <v>5.5229063045624249E-3</v>
      </c>
      <c r="K258" s="9">
        <v>0</v>
      </c>
      <c r="L258" s="9">
        <v>2.6845082824344951E-4</v>
      </c>
      <c r="M258" s="9">
        <v>0</v>
      </c>
      <c r="N258" s="9">
        <v>0</v>
      </c>
      <c r="O258" s="9">
        <v>-4.0700255344728884E-3</v>
      </c>
      <c r="P258" s="9">
        <v>0</v>
      </c>
      <c r="Q258" s="9">
        <v>4.3921849325836537E-2</v>
      </c>
      <c r="R258" s="10">
        <v>0.88105916484857283</v>
      </c>
      <c r="S258" s="10">
        <v>8.8511950140789053E-2</v>
      </c>
      <c r="T258" s="10">
        <v>-0.33273221530044711</v>
      </c>
      <c r="U258" s="10">
        <v>0.80385959819450148</v>
      </c>
      <c r="V258" s="10">
        <v>1.7079869560447529</v>
      </c>
      <c r="W258" s="10">
        <v>0.73778446031094114</v>
      </c>
      <c r="X258" s="10">
        <v>1.69648997217472</v>
      </c>
      <c r="Y258" s="10">
        <v>0.94009920339031583</v>
      </c>
      <c r="Z258" s="7">
        <v>6.5230590898041481</v>
      </c>
      <c r="AA258" s="7">
        <v>2.4519785650756538</v>
      </c>
    </row>
    <row r="259" spans="1:27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8">
        <v>-1</v>
      </c>
      <c r="I259" s="8">
        <v>1</v>
      </c>
      <c r="J259" s="9">
        <v>0</v>
      </c>
      <c r="K259" s="9">
        <v>3.9098161767312511E-3</v>
      </c>
      <c r="L259" s="9">
        <v>0</v>
      </c>
      <c r="M259" s="9">
        <v>2.9164599312065609E-2</v>
      </c>
      <c r="N259" s="9">
        <v>-1.3384140943141221E-3</v>
      </c>
      <c r="O259" s="9">
        <v>0</v>
      </c>
      <c r="P259" s="9">
        <v>1.6488545535077059E-2</v>
      </c>
      <c r="Q259" s="9">
        <v>0</v>
      </c>
      <c r="R259" s="10">
        <v>0.88105916484857283</v>
      </c>
      <c r="S259" s="10">
        <v>9.2421766317520304E-2</v>
      </c>
      <c r="T259" s="10">
        <v>-0.33273221530044711</v>
      </c>
      <c r="U259" s="10">
        <v>0.83302419750656709</v>
      </c>
      <c r="V259" s="10">
        <v>1.7066485419504389</v>
      </c>
      <c r="W259" s="10">
        <v>0.73778446031094114</v>
      </c>
      <c r="X259" s="10">
        <v>1.7129785177097969</v>
      </c>
      <c r="Y259" s="10">
        <v>0.94009920339031583</v>
      </c>
      <c r="Z259" s="7">
        <v>6.5712836367337077</v>
      </c>
      <c r="AA259" s="7">
        <v>2.4682806182406329</v>
      </c>
    </row>
    <row r="260" spans="1:27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8">
        <v>-1</v>
      </c>
      <c r="I260" s="8">
        <v>1</v>
      </c>
      <c r="J260" s="9">
        <v>0</v>
      </c>
      <c r="K260" s="9">
        <v>-1.1581644277732779E-3</v>
      </c>
      <c r="L260" s="9">
        <v>0</v>
      </c>
      <c r="M260" s="9">
        <v>1.6757673707675891E-2</v>
      </c>
      <c r="N260" s="9">
        <v>3.121803858747418E-2</v>
      </c>
      <c r="O260" s="9">
        <v>0</v>
      </c>
      <c r="P260" s="9">
        <v>1.7732375378660788E-2</v>
      </c>
      <c r="Q260" s="9">
        <v>0</v>
      </c>
      <c r="R260" s="10">
        <v>0.88105916484857283</v>
      </c>
      <c r="S260" s="10">
        <v>9.1263601889747026E-2</v>
      </c>
      <c r="T260" s="10">
        <v>-0.33273221530044711</v>
      </c>
      <c r="U260" s="10">
        <v>0.84978187121424298</v>
      </c>
      <c r="V260" s="10">
        <v>1.737866580537913</v>
      </c>
      <c r="W260" s="10">
        <v>0.73778446031094114</v>
      </c>
      <c r="X260" s="10">
        <v>1.730710893088458</v>
      </c>
      <c r="Y260" s="10">
        <v>0.94009920339031583</v>
      </c>
      <c r="Z260" s="7">
        <v>6.6358335599797451</v>
      </c>
      <c r="AA260" s="7">
        <v>2.5197693657958391</v>
      </c>
    </row>
    <row r="261" spans="1:27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8">
        <v>-1</v>
      </c>
      <c r="I261" s="8">
        <v>1</v>
      </c>
      <c r="J261" s="9">
        <v>0</v>
      </c>
      <c r="K261" s="9">
        <v>-1.70714707773556E-3</v>
      </c>
      <c r="L261" s="9">
        <v>0</v>
      </c>
      <c r="M261" s="9">
        <v>1.6413090518260901E-2</v>
      </c>
      <c r="N261" s="9">
        <v>1.331547192758142E-2</v>
      </c>
      <c r="O261" s="9">
        <v>0</v>
      </c>
      <c r="P261" s="9">
        <v>-2.138121075597688E-2</v>
      </c>
      <c r="Q261" s="9">
        <v>0</v>
      </c>
      <c r="R261" s="10">
        <v>0.88105916484857283</v>
      </c>
      <c r="S261" s="10">
        <v>8.9556454812011466E-2</v>
      </c>
      <c r="T261" s="10">
        <v>-0.33273221530044711</v>
      </c>
      <c r="U261" s="10">
        <v>0.86619496173250388</v>
      </c>
      <c r="V261" s="10">
        <v>1.7511820524654951</v>
      </c>
      <c r="W261" s="10">
        <v>0.73778446031094114</v>
      </c>
      <c r="X261" s="10">
        <v>1.7093296823324811</v>
      </c>
      <c r="Y261" s="10">
        <v>0.94009920339031583</v>
      </c>
      <c r="Z261" s="7">
        <v>6.642473764591875</v>
      </c>
      <c r="AA261" s="7">
        <v>2.5523305831680339</v>
      </c>
    </row>
    <row r="262" spans="1:27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8">
        <v>-1</v>
      </c>
      <c r="I262" s="8">
        <v>1</v>
      </c>
      <c r="J262" s="9">
        <v>0</v>
      </c>
      <c r="K262" s="9">
        <v>-1.397625858482365E-2</v>
      </c>
      <c r="L262" s="9">
        <v>0</v>
      </c>
      <c r="M262" s="9">
        <v>-1.0349871827254111E-2</v>
      </c>
      <c r="N262" s="9">
        <v>-8.7585502185608677E-3</v>
      </c>
      <c r="O262" s="9">
        <v>0</v>
      </c>
      <c r="P262" s="9">
        <v>3.1115395083889611E-2</v>
      </c>
      <c r="Q262" s="9">
        <v>0</v>
      </c>
      <c r="R262" s="10">
        <v>0.88105916484857283</v>
      </c>
      <c r="S262" s="10">
        <v>7.5580196227187812E-2</v>
      </c>
      <c r="T262" s="10">
        <v>-0.33273221530044711</v>
      </c>
      <c r="U262" s="10">
        <v>0.85584508990524977</v>
      </c>
      <c r="V262" s="10">
        <v>1.7424235022469341</v>
      </c>
      <c r="W262" s="10">
        <v>0.73778446031094114</v>
      </c>
      <c r="X262" s="10">
        <v>1.7404450774163709</v>
      </c>
      <c r="Y262" s="10">
        <v>0.94009920339031583</v>
      </c>
      <c r="Z262" s="7">
        <v>6.6405044790451262</v>
      </c>
      <c r="AA262" s="7">
        <v>2.511938858285073</v>
      </c>
    </row>
    <row r="263" spans="1:27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8">
        <v>-1</v>
      </c>
      <c r="I263" s="8">
        <v>1</v>
      </c>
      <c r="J263" s="9">
        <v>0</v>
      </c>
      <c r="K263" s="9">
        <v>7.396600863248004E-3</v>
      </c>
      <c r="L263" s="9">
        <v>0</v>
      </c>
      <c r="M263" s="9">
        <v>-1.225216155157249E-2</v>
      </c>
      <c r="N263" s="9">
        <v>2.993188164738236E-2</v>
      </c>
      <c r="O263" s="9">
        <v>0</v>
      </c>
      <c r="P263" s="9">
        <v>-3.1774985218491647E-2</v>
      </c>
      <c r="Q263" s="9">
        <v>0</v>
      </c>
      <c r="R263" s="10">
        <v>0.88105916484857283</v>
      </c>
      <c r="S263" s="10">
        <v>8.2976797090435817E-2</v>
      </c>
      <c r="T263" s="10">
        <v>-0.33273221530044711</v>
      </c>
      <c r="U263" s="10">
        <v>0.84359292835367727</v>
      </c>
      <c r="V263" s="10">
        <v>1.772355383894316</v>
      </c>
      <c r="W263" s="10">
        <v>0.73778446031094114</v>
      </c>
      <c r="X263" s="10">
        <v>1.708670092197879</v>
      </c>
      <c r="Y263" s="10">
        <v>0.94009920339031583</v>
      </c>
      <c r="Z263" s="7">
        <v>6.633805814785692</v>
      </c>
      <c r="AA263" s="7">
        <v>2.561711090362885</v>
      </c>
    </row>
    <row r="264" spans="1:27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8">
        <v>1</v>
      </c>
      <c r="I264" s="8">
        <v>-1</v>
      </c>
      <c r="J264" s="9">
        <v>2.7401657752254009E-3</v>
      </c>
      <c r="K264" s="9">
        <v>0</v>
      </c>
      <c r="L264" s="9">
        <v>2.7223292211015829E-2</v>
      </c>
      <c r="M264" s="9">
        <v>0</v>
      </c>
      <c r="N264" s="9">
        <v>0</v>
      </c>
      <c r="O264" s="9">
        <v>-1.258397426519575E-2</v>
      </c>
      <c r="P264" s="9">
        <v>0</v>
      </c>
      <c r="Q264" s="9">
        <v>1.534828494456031E-2</v>
      </c>
      <c r="R264" s="10">
        <v>0.88379933062379823</v>
      </c>
      <c r="S264" s="10">
        <v>8.2976797090435817E-2</v>
      </c>
      <c r="T264" s="10">
        <v>-0.30550892308943117</v>
      </c>
      <c r="U264" s="10">
        <v>0.84359292835367727</v>
      </c>
      <c r="V264" s="10">
        <v>1.772355383894316</v>
      </c>
      <c r="W264" s="10">
        <v>0.72520048604574538</v>
      </c>
      <c r="X264" s="10">
        <v>1.708670092197879</v>
      </c>
      <c r="Y264" s="10">
        <v>0.95544748833487614</v>
      </c>
      <c r="Z264" s="7">
        <v>6.6665335834512973</v>
      </c>
      <c r="AA264" s="7">
        <v>2.5965600661871289</v>
      </c>
    </row>
    <row r="265" spans="1:27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8">
        <v>-1</v>
      </c>
      <c r="I265" s="8">
        <v>1</v>
      </c>
      <c r="J265" s="9">
        <v>0</v>
      </c>
      <c r="K265" s="9">
        <v>6.4659075061866966E-3</v>
      </c>
      <c r="L265" s="9">
        <v>0</v>
      </c>
      <c r="M265" s="9">
        <v>2.324303146473217E-2</v>
      </c>
      <c r="N265" s="9">
        <v>2.0171064671094859E-2</v>
      </c>
      <c r="O265" s="9">
        <v>0</v>
      </c>
      <c r="P265" s="9">
        <v>-1.409946404763862E-2</v>
      </c>
      <c r="Q265" s="9">
        <v>0</v>
      </c>
      <c r="R265" s="10">
        <v>0.88379933062379823</v>
      </c>
      <c r="S265" s="10">
        <v>8.9442704596622513E-2</v>
      </c>
      <c r="T265" s="10">
        <v>-0.30550892308943117</v>
      </c>
      <c r="U265" s="10">
        <v>0.86683595981840944</v>
      </c>
      <c r="V265" s="10">
        <v>1.7925264485654111</v>
      </c>
      <c r="W265" s="10">
        <v>0.72520048604574538</v>
      </c>
      <c r="X265" s="10">
        <v>1.69457062815024</v>
      </c>
      <c r="Y265" s="10">
        <v>0.95544748833487614</v>
      </c>
      <c r="Z265" s="7">
        <v>6.7023141230456726</v>
      </c>
      <c r="AA265" s="7">
        <v>2.6094614250079191</v>
      </c>
    </row>
    <row r="266" spans="1:27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8">
        <v>1</v>
      </c>
      <c r="I266" s="8">
        <v>-1</v>
      </c>
      <c r="J266" s="9">
        <v>5.5964680962656832E-3</v>
      </c>
      <c r="K266" s="9">
        <v>0</v>
      </c>
      <c r="L266" s="9">
        <v>2.2810488295141429E-2</v>
      </c>
      <c r="M266" s="9">
        <v>0</v>
      </c>
      <c r="N266" s="9">
        <v>0</v>
      </c>
      <c r="O266" s="9">
        <v>5.9367354543300777E-2</v>
      </c>
      <c r="P266" s="9">
        <v>0</v>
      </c>
      <c r="Q266" s="9">
        <v>1.5669035716160521E-2</v>
      </c>
      <c r="R266" s="10">
        <v>0.88939579872006391</v>
      </c>
      <c r="S266" s="10">
        <v>8.9442704596622513E-2</v>
      </c>
      <c r="T266" s="10">
        <v>-0.2826984347942898</v>
      </c>
      <c r="U266" s="10">
        <v>0.86683595981840944</v>
      </c>
      <c r="V266" s="10">
        <v>1.7925264485654111</v>
      </c>
      <c r="W266" s="10">
        <v>0.78456784058904616</v>
      </c>
      <c r="X266" s="10">
        <v>1.69457062815024</v>
      </c>
      <c r="Y266" s="10">
        <v>0.97111652405103666</v>
      </c>
      <c r="Z266" s="7">
        <v>6.8057574696965411</v>
      </c>
      <c r="AA266" s="7">
        <v>2.6340973198726969</v>
      </c>
    </row>
    <row r="267" spans="1:27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8">
        <v>1</v>
      </c>
      <c r="I267" s="8">
        <v>-1</v>
      </c>
      <c r="J267" s="9">
        <v>7.1774017959299607E-3</v>
      </c>
      <c r="K267" s="9">
        <v>0</v>
      </c>
      <c r="L267" s="9">
        <v>5.7312763823882404E-3</v>
      </c>
      <c r="M267" s="9">
        <v>0</v>
      </c>
      <c r="N267" s="9">
        <v>0</v>
      </c>
      <c r="O267" s="9">
        <v>3.0692104617247359E-2</v>
      </c>
      <c r="P267" s="9">
        <v>0</v>
      </c>
      <c r="Q267" s="9">
        <v>3.9119909857214252E-2</v>
      </c>
      <c r="R267" s="10">
        <v>0.89657320051599387</v>
      </c>
      <c r="S267" s="10">
        <v>8.9442704596622513E-2</v>
      </c>
      <c r="T267" s="10">
        <v>-0.27696715841190162</v>
      </c>
      <c r="U267" s="10">
        <v>0.86683595981840944</v>
      </c>
      <c r="V267" s="10">
        <v>1.7925264485654111</v>
      </c>
      <c r="W267" s="10">
        <v>0.81525994520629352</v>
      </c>
      <c r="X267" s="10">
        <v>1.69457062815024</v>
      </c>
      <c r="Y267" s="10">
        <v>1.010236433908251</v>
      </c>
      <c r="Z267" s="7">
        <v>6.8884781623493208</v>
      </c>
      <c r="AA267" s="7">
        <v>2.6555976984525032</v>
      </c>
    </row>
    <row r="268" spans="1:27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8">
        <v>-1</v>
      </c>
      <c r="I268" s="8">
        <v>1</v>
      </c>
      <c r="J268" s="9">
        <v>0</v>
      </c>
      <c r="K268" s="9">
        <v>2.5769658325618949E-2</v>
      </c>
      <c r="L268" s="9">
        <v>0</v>
      </c>
      <c r="M268" s="9">
        <v>2.433348415011416E-3</v>
      </c>
      <c r="N268" s="9">
        <v>-1.0317692162005289E-2</v>
      </c>
      <c r="O268" s="9">
        <v>0</v>
      </c>
      <c r="P268" s="9">
        <v>3.0463899180686819E-2</v>
      </c>
      <c r="Q268" s="9">
        <v>0</v>
      </c>
      <c r="R268" s="10">
        <v>0.89657320051599387</v>
      </c>
      <c r="S268" s="10">
        <v>0.1152123629222415</v>
      </c>
      <c r="T268" s="10">
        <v>-0.27696715841190162</v>
      </c>
      <c r="U268" s="10">
        <v>0.86926930823342086</v>
      </c>
      <c r="V268" s="10">
        <v>1.7822087564034059</v>
      </c>
      <c r="W268" s="10">
        <v>0.81525994520629352</v>
      </c>
      <c r="X268" s="10">
        <v>1.7250345273309271</v>
      </c>
      <c r="Y268" s="10">
        <v>1.010236433908251</v>
      </c>
      <c r="Z268" s="7">
        <v>6.9368273761086323</v>
      </c>
      <c r="AA268" s="7">
        <v>2.647177747586118</v>
      </c>
    </row>
    <row r="269" spans="1:27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8">
        <v>-1</v>
      </c>
      <c r="I269" s="8">
        <v>1</v>
      </c>
      <c r="J269" s="9">
        <v>0</v>
      </c>
      <c r="K269" s="9">
        <v>-1.4895143461754251E-2</v>
      </c>
      <c r="L269" s="9">
        <v>0</v>
      </c>
      <c r="M269" s="9">
        <v>3.9809360517639281E-2</v>
      </c>
      <c r="N269" s="9">
        <v>4.6756031294631677E-2</v>
      </c>
      <c r="O269" s="9">
        <v>0</v>
      </c>
      <c r="P269" s="9">
        <v>8.1256053100725589E-3</v>
      </c>
      <c r="Q269" s="9">
        <v>0</v>
      </c>
      <c r="R269" s="10">
        <v>0.89657320051599387</v>
      </c>
      <c r="S269" s="10">
        <v>0.1003172194604872</v>
      </c>
      <c r="T269" s="10">
        <v>-0.27696715841190162</v>
      </c>
      <c r="U269" s="10">
        <v>0.90907866875106014</v>
      </c>
      <c r="V269" s="10">
        <v>1.8289647876980371</v>
      </c>
      <c r="W269" s="10">
        <v>0.81525994520629352</v>
      </c>
      <c r="X269" s="10">
        <v>1.733160132641</v>
      </c>
      <c r="Y269" s="10">
        <v>1.010236433908251</v>
      </c>
      <c r="Z269" s="7">
        <v>7.0166232297692206</v>
      </c>
      <c r="AA269" s="7">
        <v>2.7057140672197342</v>
      </c>
    </row>
    <row r="270" spans="1:27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8">
        <v>-1</v>
      </c>
      <c r="I270" s="8">
        <v>1</v>
      </c>
      <c r="J270" s="9">
        <v>0</v>
      </c>
      <c r="K270" s="9">
        <v>8.4063412140974458E-3</v>
      </c>
      <c r="L270" s="9">
        <v>0</v>
      </c>
      <c r="M270" s="9">
        <v>-1.1027446796406659E-2</v>
      </c>
      <c r="N270" s="9">
        <v>8.7157755752241828E-3</v>
      </c>
      <c r="O270" s="9">
        <v>0</v>
      </c>
      <c r="P270" s="9">
        <v>-8.0247906360200183E-3</v>
      </c>
      <c r="Q270" s="9">
        <v>0</v>
      </c>
      <c r="R270" s="10">
        <v>0.89657320051599387</v>
      </c>
      <c r="S270" s="10">
        <v>0.1087235606745847</v>
      </c>
      <c r="T270" s="10">
        <v>-0.27696715841190162</v>
      </c>
      <c r="U270" s="10">
        <v>0.89805122195465348</v>
      </c>
      <c r="V270" s="10">
        <v>1.837680563273262</v>
      </c>
      <c r="W270" s="10">
        <v>0.81525994520629352</v>
      </c>
      <c r="X270" s="10">
        <v>1.72513534200498</v>
      </c>
      <c r="Y270" s="10">
        <v>1.010236433908251</v>
      </c>
      <c r="Z270" s="7">
        <v>7.0146931091261164</v>
      </c>
      <c r="AA270" s="7">
        <v>2.682194504292216</v>
      </c>
    </row>
    <row r="271" spans="1:27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8">
        <v>-1</v>
      </c>
      <c r="I271" s="8">
        <v>1</v>
      </c>
      <c r="J271" s="9">
        <v>0</v>
      </c>
      <c r="K271" s="9">
        <v>9.9906566732472779E-3</v>
      </c>
      <c r="L271" s="9">
        <v>0</v>
      </c>
      <c r="M271" s="9">
        <v>6.2721624241458551E-3</v>
      </c>
      <c r="N271" s="9">
        <v>5.9639600654837199E-3</v>
      </c>
      <c r="O271" s="9">
        <v>0</v>
      </c>
      <c r="P271" s="9">
        <v>1.491427331194406E-2</v>
      </c>
      <c r="Q271" s="9">
        <v>0</v>
      </c>
      <c r="R271" s="10">
        <v>0.89657320051599387</v>
      </c>
      <c r="S271" s="10">
        <v>0.1187142173478319</v>
      </c>
      <c r="T271" s="10">
        <v>-0.27696715841190162</v>
      </c>
      <c r="U271" s="10">
        <v>0.90432338437879933</v>
      </c>
      <c r="V271" s="10">
        <v>1.8436445233387451</v>
      </c>
      <c r="W271" s="10">
        <v>0.81525994520629352</v>
      </c>
      <c r="X271" s="10">
        <v>1.740049615316924</v>
      </c>
      <c r="Y271" s="10">
        <v>1.010236433908251</v>
      </c>
      <c r="Z271" s="7">
        <v>7.0518341616009366</v>
      </c>
      <c r="AA271" s="7">
        <v>2.7094473207969831</v>
      </c>
    </row>
    <row r="272" spans="1:27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8">
        <v>1</v>
      </c>
      <c r="I272" s="8">
        <v>-1</v>
      </c>
      <c r="J272" s="9">
        <v>-4.8247651784222301E-3</v>
      </c>
      <c r="K272" s="9">
        <v>0</v>
      </c>
      <c r="L272" s="9">
        <v>-2.8351407840832229E-2</v>
      </c>
      <c r="M272" s="9">
        <v>0</v>
      </c>
      <c r="N272" s="9">
        <v>0</v>
      </c>
      <c r="O272" s="9">
        <v>1.644732809261362E-3</v>
      </c>
      <c r="P272" s="9">
        <v>0</v>
      </c>
      <c r="Q272" s="9">
        <v>2.0814652924140531E-2</v>
      </c>
      <c r="R272" s="10">
        <v>0.89174843533757164</v>
      </c>
      <c r="S272" s="10">
        <v>0.1187142173478319</v>
      </c>
      <c r="T272" s="10">
        <v>-0.30531856625273379</v>
      </c>
      <c r="U272" s="10">
        <v>0.90432338437879933</v>
      </c>
      <c r="V272" s="10">
        <v>1.8436445233387451</v>
      </c>
      <c r="W272" s="10">
        <v>0.81690467801555489</v>
      </c>
      <c r="X272" s="10">
        <v>1.740049615316924</v>
      </c>
      <c r="Y272" s="10">
        <v>1.0310510868323921</v>
      </c>
      <c r="Z272" s="7">
        <v>7.0411173743150854</v>
      </c>
      <c r="AA272" s="7">
        <v>2.6972923962901092</v>
      </c>
    </row>
    <row r="273" spans="1:27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8">
        <v>1</v>
      </c>
      <c r="I273" s="8">
        <v>-1</v>
      </c>
      <c r="J273" s="9">
        <v>-7.7071332159225348E-3</v>
      </c>
      <c r="K273" s="9">
        <v>0</v>
      </c>
      <c r="L273" s="9">
        <v>-3.854075532923718E-3</v>
      </c>
      <c r="M273" s="9">
        <v>0</v>
      </c>
      <c r="N273" s="9">
        <v>0</v>
      </c>
      <c r="O273" s="9">
        <v>3.07552886760829E-2</v>
      </c>
      <c r="P273" s="9">
        <v>0</v>
      </c>
      <c r="Q273" s="9">
        <v>-2.21478593016553E-2</v>
      </c>
      <c r="R273" s="10">
        <v>0.88404130212164911</v>
      </c>
      <c r="S273" s="10">
        <v>0.1187142173478319</v>
      </c>
      <c r="T273" s="10">
        <v>-0.30917264178565751</v>
      </c>
      <c r="U273" s="10">
        <v>0.90432338437879933</v>
      </c>
      <c r="V273" s="10">
        <v>1.8436445233387451</v>
      </c>
      <c r="W273" s="10">
        <v>0.84765996669163779</v>
      </c>
      <c r="X273" s="10">
        <v>1.740049615316924</v>
      </c>
      <c r="Y273" s="10">
        <v>1.0089032275307359</v>
      </c>
      <c r="Z273" s="7">
        <v>7.0381635949406656</v>
      </c>
      <c r="AA273" s="7">
        <v>2.641745304078706</v>
      </c>
    </row>
    <row r="274" spans="1:27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8">
        <v>1</v>
      </c>
      <c r="I274" s="8">
        <v>-1</v>
      </c>
      <c r="J274" s="9">
        <v>5.0847313003916213E-2</v>
      </c>
      <c r="K274" s="9">
        <v>0</v>
      </c>
      <c r="L274" s="9">
        <v>-3.4206800895675633E-2</v>
      </c>
      <c r="M274" s="9">
        <v>0</v>
      </c>
      <c r="N274" s="9">
        <v>0</v>
      </c>
      <c r="O274" s="9">
        <v>0.10045214054978201</v>
      </c>
      <c r="P274" s="9">
        <v>0</v>
      </c>
      <c r="Q274" s="9">
        <v>-6.6653040608489764E-3</v>
      </c>
      <c r="R274" s="10">
        <v>0.93488861512556531</v>
      </c>
      <c r="S274" s="10">
        <v>0.1187142173478319</v>
      </c>
      <c r="T274" s="10">
        <v>-0.34337944268133308</v>
      </c>
      <c r="U274" s="10">
        <v>0.90432338437879933</v>
      </c>
      <c r="V274" s="10">
        <v>1.8436445233387451</v>
      </c>
      <c r="W274" s="10">
        <v>0.94811210724141981</v>
      </c>
      <c r="X274" s="10">
        <v>1.740049615316924</v>
      </c>
      <c r="Y274" s="10">
        <v>1.002237923469887</v>
      </c>
      <c r="Z274" s="7">
        <v>7.1485909435378394</v>
      </c>
      <c r="AA274" s="7">
        <v>2.6438352333767021</v>
      </c>
    </row>
    <row r="275" spans="1:27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8">
        <v>-1</v>
      </c>
      <c r="I275" s="8">
        <v>1</v>
      </c>
      <c r="J275" s="9">
        <v>0</v>
      </c>
      <c r="K275" s="9">
        <v>-1.1402910569974001E-2</v>
      </c>
      <c r="L275" s="9">
        <v>0</v>
      </c>
      <c r="M275" s="9">
        <v>2.7302779016475601E-2</v>
      </c>
      <c r="N275" s="9">
        <v>1.204379430636404E-2</v>
      </c>
      <c r="O275" s="9">
        <v>0</v>
      </c>
      <c r="P275" s="9">
        <v>1.3928780902351169E-2</v>
      </c>
      <c r="Q275" s="9">
        <v>0</v>
      </c>
      <c r="R275" s="10">
        <v>0.93488861512556531</v>
      </c>
      <c r="S275" s="10">
        <v>0.1073113067778579</v>
      </c>
      <c r="T275" s="10">
        <v>-0.34337944268133308</v>
      </c>
      <c r="U275" s="10">
        <v>0.93162616339527493</v>
      </c>
      <c r="V275" s="10">
        <v>1.8556883176451091</v>
      </c>
      <c r="W275" s="10">
        <v>0.94811210724141981</v>
      </c>
      <c r="X275" s="10">
        <v>1.753978396219275</v>
      </c>
      <c r="Y275" s="10">
        <v>1.002237923469887</v>
      </c>
      <c r="Z275" s="7">
        <v>7.1904633871930574</v>
      </c>
      <c r="AA275" s="7">
        <v>2.7060042862219729</v>
      </c>
    </row>
    <row r="276" spans="1:27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8">
        <v>-1</v>
      </c>
      <c r="I276" s="8">
        <v>1</v>
      </c>
      <c r="J276" s="9">
        <v>0</v>
      </c>
      <c r="K276" s="9">
        <v>-2.9180958003939491E-2</v>
      </c>
      <c r="L276" s="9">
        <v>0</v>
      </c>
      <c r="M276" s="9">
        <v>1.7020920487673449E-2</v>
      </c>
      <c r="N276" s="9">
        <v>1.6503335429217669E-2</v>
      </c>
      <c r="O276" s="9">
        <v>0</v>
      </c>
      <c r="P276" s="9">
        <v>6.8642460268161232E-3</v>
      </c>
      <c r="Q276" s="9">
        <v>0</v>
      </c>
      <c r="R276" s="10">
        <v>0.93488861512556531</v>
      </c>
      <c r="S276" s="10">
        <v>7.8130348773918445E-2</v>
      </c>
      <c r="T276" s="10">
        <v>-0.34337944268133308</v>
      </c>
      <c r="U276" s="10">
        <v>0.94864708388294838</v>
      </c>
      <c r="V276" s="10">
        <v>1.872191653074327</v>
      </c>
      <c r="W276" s="10">
        <v>0.94811210724141981</v>
      </c>
      <c r="X276" s="10">
        <v>1.760842642246091</v>
      </c>
      <c r="Y276" s="10">
        <v>1.002237923469887</v>
      </c>
      <c r="Z276" s="7">
        <v>7.2016709311328242</v>
      </c>
      <c r="AA276" s="7">
        <v>2.7565490644019581</v>
      </c>
    </row>
    <row r="277" spans="1:27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8">
        <v>-1</v>
      </c>
      <c r="I277" s="8">
        <v>1</v>
      </c>
      <c r="J277" s="9">
        <v>0</v>
      </c>
      <c r="K277" s="9">
        <v>-5.1636496140897714E-3</v>
      </c>
      <c r="L277" s="9">
        <v>0</v>
      </c>
      <c r="M277" s="9">
        <v>4.8247440591927537E-3</v>
      </c>
      <c r="N277" s="9">
        <v>4.0913142780306666E-3</v>
      </c>
      <c r="O277" s="9">
        <v>0</v>
      </c>
      <c r="P277" s="9">
        <v>2.1659567737104309E-2</v>
      </c>
      <c r="Q277" s="9">
        <v>0</v>
      </c>
      <c r="R277" s="10">
        <v>0.93488861512556531</v>
      </c>
      <c r="S277" s="10">
        <v>7.2966699159828674E-2</v>
      </c>
      <c r="T277" s="10">
        <v>-0.34337944268133308</v>
      </c>
      <c r="U277" s="10">
        <v>0.95347182794214114</v>
      </c>
      <c r="V277" s="10">
        <v>1.876282967352358</v>
      </c>
      <c r="W277" s="10">
        <v>0.94811210724141981</v>
      </c>
      <c r="X277" s="10">
        <v>1.782502209983196</v>
      </c>
      <c r="Y277" s="10">
        <v>1.002237923469887</v>
      </c>
      <c r="Z277" s="7">
        <v>7.2270829075930623</v>
      </c>
      <c r="AA277" s="7">
        <v>2.7795102426250078</v>
      </c>
    </row>
    <row r="278" spans="1:27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8">
        <v>-1</v>
      </c>
      <c r="I278" s="8">
        <v>1</v>
      </c>
      <c r="J278" s="9">
        <v>0</v>
      </c>
      <c r="K278" s="9">
        <v>-1.4998977325476731E-2</v>
      </c>
      <c r="L278" s="9">
        <v>0</v>
      </c>
      <c r="M278" s="9">
        <v>2.2755625040031808E-3</v>
      </c>
      <c r="N278" s="9">
        <v>5.6146303123538743E-4</v>
      </c>
      <c r="O278" s="9">
        <v>0</v>
      </c>
      <c r="P278" s="9">
        <v>-1.253367907472969E-2</v>
      </c>
      <c r="Q278" s="9">
        <v>0</v>
      </c>
      <c r="R278" s="13">
        <v>0.93488861512556531</v>
      </c>
      <c r="S278" s="14">
        <v>5.7967721834351948E-2</v>
      </c>
      <c r="T278" s="13">
        <v>-0.34337944268133308</v>
      </c>
      <c r="U278" s="13">
        <v>0.95574739044614432</v>
      </c>
      <c r="V278" s="18">
        <v>1.8768444303835929</v>
      </c>
      <c r="W278" s="18">
        <v>0.94811210724141981</v>
      </c>
      <c r="X278" s="18">
        <v>1.7699685309084661</v>
      </c>
      <c r="Y278" s="18">
        <v>1.002237923469887</v>
      </c>
      <c r="Z278" s="7">
        <v>7.2023872767280954</v>
      </c>
      <c r="AA278" s="7">
        <v>2.8004000561701399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E0AD-BB5A-4E0B-94F3-4089A9BD807C}">
  <dimension ref="A1:AC284"/>
  <sheetViews>
    <sheetView zoomScale="85" zoomScaleNormal="85" workbookViewId="0">
      <pane xSplit="1" ySplit="1" topLeftCell="S252" activePane="bottomRight" state="frozen"/>
      <selection pane="topRight" activeCell="B1" sqref="B1"/>
      <selection pane="bottomLeft" activeCell="A2" sqref="A2"/>
      <selection pane="bottomRight" activeCell="Z295" sqref="Z295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11" bestFit="1" customWidth="1"/>
    <col min="9" max="9" width="15" style="11" bestFit="1" customWidth="1"/>
    <col min="10" max="10" width="14.5703125" style="12" bestFit="1" customWidth="1"/>
    <col min="11" max="11" width="14.42578125" style="12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  <col min="30" max="16384" width="9.140625" style="8"/>
  </cols>
  <sheetData>
    <row r="1" spans="1:2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1" t="s">
        <v>29</v>
      </c>
      <c r="I1" s="11" t="s">
        <v>30</v>
      </c>
      <c r="J1" s="12" t="s">
        <v>28</v>
      </c>
      <c r="K1" s="12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</row>
    <row r="2" spans="1:29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11">
        <v>-1</v>
      </c>
      <c r="I2" s="11">
        <v>0</v>
      </c>
      <c r="J2" s="12">
        <v>-1</v>
      </c>
      <c r="K2" s="12">
        <v>0</v>
      </c>
      <c r="L2" s="9">
        <f>IF(H2=1,D2,0)</f>
        <v>0</v>
      </c>
      <c r="M2" s="9">
        <f>IF(H2=-1,-D2,0)</f>
        <v>4.1722756203997791E-2</v>
      </c>
      <c r="N2" s="9">
        <f>IF(H2=1,-E2,0)</f>
        <v>0</v>
      </c>
      <c r="O2" s="9">
        <f>IF(H2=-1,E2,0)</f>
        <v>1.486144974689496E-2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4.1722756203997791E-2</v>
      </c>
      <c r="V2" s="10">
        <f>N2</f>
        <v>0</v>
      </c>
      <c r="W2" s="10">
        <f>O2</f>
        <v>1.486144974689496E-2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11">
        <v>1</v>
      </c>
      <c r="I3" s="11">
        <v>-1</v>
      </c>
      <c r="J3" s="12">
        <v>1</v>
      </c>
      <c r="K3" s="12">
        <v>1</v>
      </c>
      <c r="L3" s="9">
        <f>IF(H3=1,D3,0)</f>
        <v>-2.1353700696120751E-2</v>
      </c>
      <c r="M3" s="9">
        <f t="shared" ref="M3:M66" si="1">IF(H3=-1,-D3,0)</f>
        <v>0</v>
      </c>
      <c r="N3" s="9">
        <f t="shared" ref="N3:N66" si="2">IF(H3=1,-E3,0)</f>
        <v>-3.458280026252925E-3</v>
      </c>
      <c r="O3" s="9">
        <f t="shared" ref="O3:O66" si="3">IF(H3=-1,E3,0)</f>
        <v>0</v>
      </c>
      <c r="P3" s="9">
        <f t="shared" ref="P3:P66" si="4">IF(I3=1,F3,0)</f>
        <v>0</v>
      </c>
      <c r="Q3" s="9">
        <f t="shared" ref="Q3:Q66" si="5">IF($I3=-1,-$F3,0)</f>
        <v>1.127441942065821E-2</v>
      </c>
      <c r="R3" s="9">
        <f t="shared" ref="R3:R66" si="6">IF($I3=1,-$F3,0)</f>
        <v>0</v>
      </c>
      <c r="S3" s="9">
        <f t="shared" ref="S3:S66" si="7">IF($I3=-1,$F3,0)</f>
        <v>-1.127441942065821E-2</v>
      </c>
      <c r="T3" s="10">
        <f>L3+T2</f>
        <v>-2.1353700696120751E-2</v>
      </c>
      <c r="U3" s="10">
        <f>M3+U2</f>
        <v>4.1722756203997791E-2</v>
      </c>
      <c r="V3" s="10">
        <f t="shared" ref="V3:AA4" si="8">N3+V2</f>
        <v>-3.458280026252925E-3</v>
      </c>
      <c r="W3" s="10">
        <f t="shared" si="8"/>
        <v>1.486144974689496E-2</v>
      </c>
      <c r="X3" s="10">
        <f t="shared" si="8"/>
        <v>0</v>
      </c>
      <c r="Y3" s="10">
        <f t="shared" si="8"/>
        <v>1.127441942065821E-2</v>
      </c>
      <c r="Z3" s="10">
        <f t="shared" si="8"/>
        <v>0</v>
      </c>
      <c r="AA3" s="10">
        <f t="shared" si="8"/>
        <v>-1.127441942065821E-2</v>
      </c>
      <c r="AB3" s="7">
        <f>AB2+SUM(L3:S3)</f>
        <v>3.177222522851908E-2</v>
      </c>
      <c r="AC3" s="7">
        <v>-9.6333951281998287E-2</v>
      </c>
    </row>
    <row r="4" spans="1:29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11">
        <v>-1</v>
      </c>
      <c r="I4" s="11">
        <v>1</v>
      </c>
      <c r="J4" s="12">
        <v>-1</v>
      </c>
      <c r="K4" s="12">
        <v>-1</v>
      </c>
      <c r="L4" s="9">
        <f t="shared" ref="L4:L67" si="9">IF(H4=1,D4,0)</f>
        <v>0</v>
      </c>
      <c r="M4" s="9">
        <f t="shared" si="1"/>
        <v>1.78007468992375E-2</v>
      </c>
      <c r="N4" s="9">
        <f t="shared" si="2"/>
        <v>0</v>
      </c>
      <c r="O4" s="9">
        <f t="shared" si="3"/>
        <v>2.5719946974226079E-2</v>
      </c>
      <c r="P4" s="9">
        <f t="shared" si="4"/>
        <v>-3.1047380250574189E-2</v>
      </c>
      <c r="Q4" s="9">
        <f t="shared" si="5"/>
        <v>0</v>
      </c>
      <c r="R4" s="9">
        <f t="shared" si="6"/>
        <v>3.1047380250574189E-2</v>
      </c>
      <c r="S4" s="9">
        <f t="shared" si="7"/>
        <v>0</v>
      </c>
      <c r="T4" s="10">
        <f>L4+T3</f>
        <v>-2.1353700696120751E-2</v>
      </c>
      <c r="U4" s="10">
        <f t="shared" ref="U4:U13" si="10">M4+U3</f>
        <v>5.9523503103235287E-2</v>
      </c>
      <c r="V4" s="10">
        <f t="shared" si="8"/>
        <v>-3.458280026252925E-3</v>
      </c>
      <c r="W4" s="10">
        <f t="shared" si="8"/>
        <v>4.0581396721121037E-2</v>
      </c>
      <c r="X4" s="10">
        <f t="shared" si="8"/>
        <v>-3.1047380250574189E-2</v>
      </c>
      <c r="Y4" s="10">
        <f t="shared" si="8"/>
        <v>1.127441942065821E-2</v>
      </c>
      <c r="Z4" s="10">
        <f t="shared" si="8"/>
        <v>3.1047380250574189E-2</v>
      </c>
      <c r="AA4" s="10">
        <f t="shared" si="8"/>
        <v>-1.127441942065821E-2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11">
        <v>-1</v>
      </c>
      <c r="I5" s="11">
        <v>1</v>
      </c>
      <c r="J5" s="12">
        <v>-1</v>
      </c>
      <c r="K5" s="12">
        <v>1</v>
      </c>
      <c r="L5" s="9">
        <f t="shared" si="9"/>
        <v>0</v>
      </c>
      <c r="M5" s="9">
        <f t="shared" si="1"/>
        <v>5.6751736528826147E-4</v>
      </c>
      <c r="N5" s="9">
        <f t="shared" si="2"/>
        <v>0</v>
      </c>
      <c r="O5" s="9">
        <f t="shared" si="3"/>
        <v>-6.2806661223496763E-3</v>
      </c>
      <c r="P5" s="9">
        <f t="shared" si="4"/>
        <v>2.5647469094507321E-2</v>
      </c>
      <c r="Q5" s="9">
        <f t="shared" si="5"/>
        <v>0</v>
      </c>
      <c r="R5" s="9">
        <f t="shared" si="6"/>
        <v>-2.5647469094507321E-2</v>
      </c>
      <c r="S5" s="9">
        <f t="shared" si="7"/>
        <v>0</v>
      </c>
      <c r="T5" s="10">
        <f>L5+T4</f>
        <v>-2.1353700696120751E-2</v>
      </c>
      <c r="U5" s="10">
        <f t="shared" si="10"/>
        <v>6.0091020468523548E-2</v>
      </c>
      <c r="V5" s="10">
        <f t="shared" ref="V5:V13" si="12">N5+V4</f>
        <v>-3.458280026252925E-3</v>
      </c>
      <c r="W5" s="10">
        <f t="shared" ref="W5:W13" si="13">O5+W4</f>
        <v>3.430073059877136E-2</v>
      </c>
      <c r="X5" s="10">
        <f t="shared" ref="X5:X13" si="14">P5+X4</f>
        <v>-5.3999111560668681E-3</v>
      </c>
      <c r="Y5" s="10">
        <f t="shared" ref="Y5:Y13" si="15">Q5+Y4</f>
        <v>1.127441942065821E-2</v>
      </c>
      <c r="Z5" s="10">
        <f t="shared" ref="Z5:Z13" si="16">R5+Z4</f>
        <v>5.3999111560668681E-3</v>
      </c>
      <c r="AA5" s="10">
        <f t="shared" ref="AA5:AA13" si="17">S5+AA4</f>
        <v>-1.127441942065821E-2</v>
      </c>
      <c r="AB5" s="7">
        <f t="shared" si="11"/>
        <v>6.9579770344921243E-2</v>
      </c>
      <c r="AC5" s="7">
        <v>5.1193350125372072E-2</v>
      </c>
    </row>
    <row r="6" spans="1:29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11">
        <v>1</v>
      </c>
      <c r="I6" s="11">
        <v>-1</v>
      </c>
      <c r="J6" s="12">
        <v>1</v>
      </c>
      <c r="K6" s="12">
        <v>1</v>
      </c>
      <c r="L6" s="9">
        <f t="shared" si="9"/>
        <v>-1.943166553330344E-2</v>
      </c>
      <c r="M6" s="9">
        <f t="shared" si="1"/>
        <v>0</v>
      </c>
      <c r="N6" s="9">
        <f t="shared" si="2"/>
        <v>-1.862020068494186E-2</v>
      </c>
      <c r="O6" s="9">
        <f t="shared" si="3"/>
        <v>0</v>
      </c>
      <c r="P6" s="9">
        <f t="shared" si="4"/>
        <v>0</v>
      </c>
      <c r="Q6" s="9">
        <f t="shared" si="5"/>
        <v>2.0782399830664881E-2</v>
      </c>
      <c r="R6" s="9">
        <f t="shared" si="6"/>
        <v>0</v>
      </c>
      <c r="S6" s="9">
        <f t="shared" si="7"/>
        <v>-2.0782399830664881E-2</v>
      </c>
      <c r="T6" s="10">
        <f t="shared" ref="T6:T13" si="18">L6+T5</f>
        <v>-4.0785366229424191E-2</v>
      </c>
      <c r="U6" s="10">
        <f t="shared" si="10"/>
        <v>6.0091020468523548E-2</v>
      </c>
      <c r="V6" s="10">
        <f t="shared" si="12"/>
        <v>-2.2078480711194785E-2</v>
      </c>
      <c r="W6" s="10">
        <f t="shared" si="13"/>
        <v>3.430073059877136E-2</v>
      </c>
      <c r="X6" s="10">
        <f t="shared" si="14"/>
        <v>-5.3999111560668681E-3</v>
      </c>
      <c r="Y6" s="10">
        <f t="shared" si="15"/>
        <v>3.2056819251323088E-2</v>
      </c>
      <c r="Z6" s="10">
        <f t="shared" si="16"/>
        <v>5.3999111560668681E-3</v>
      </c>
      <c r="AA6" s="10">
        <f t="shared" si="17"/>
        <v>-3.2056819251323088E-2</v>
      </c>
      <c r="AB6" s="7">
        <f t="shared" si="11"/>
        <v>3.1527904126675943E-2</v>
      </c>
      <c r="AC6" s="7">
        <v>-5.3738688844074964E-3</v>
      </c>
    </row>
    <row r="7" spans="1:29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11">
        <v>-1</v>
      </c>
      <c r="I7" s="11">
        <v>1</v>
      </c>
      <c r="J7" s="12">
        <v>-1</v>
      </c>
      <c r="K7" s="12">
        <v>-1</v>
      </c>
      <c r="L7" s="9">
        <f t="shared" si="9"/>
        <v>0</v>
      </c>
      <c r="M7" s="9">
        <f t="shared" si="1"/>
        <v>2.935793416884824E-2</v>
      </c>
      <c r="N7" s="9">
        <f t="shared" si="2"/>
        <v>0</v>
      </c>
      <c r="O7" s="9">
        <f t="shared" si="3"/>
        <v>7.0222996522653069E-3</v>
      </c>
      <c r="P7" s="9">
        <f t="shared" si="4"/>
        <v>3.59635319274767E-2</v>
      </c>
      <c r="Q7" s="9">
        <f t="shared" si="5"/>
        <v>0</v>
      </c>
      <c r="R7" s="9">
        <f t="shared" si="6"/>
        <v>-3.59635319274767E-2</v>
      </c>
      <c r="S7" s="9">
        <f t="shared" si="7"/>
        <v>0</v>
      </c>
      <c r="T7" s="10">
        <f t="shared" si="18"/>
        <v>-4.0785366229424191E-2</v>
      </c>
      <c r="U7" s="10">
        <f t="shared" si="10"/>
        <v>8.9448954637371791E-2</v>
      </c>
      <c r="V7" s="10">
        <f t="shared" si="12"/>
        <v>-2.2078480711194785E-2</v>
      </c>
      <c r="W7" s="10">
        <f t="shared" si="13"/>
        <v>4.1323030251036667E-2</v>
      </c>
      <c r="X7" s="10">
        <f t="shared" si="14"/>
        <v>3.0563620771409832E-2</v>
      </c>
      <c r="Y7" s="10">
        <f t="shared" si="15"/>
        <v>3.2056819251323088E-2</v>
      </c>
      <c r="Z7" s="10">
        <f t="shared" si="16"/>
        <v>-3.0563620771409832E-2</v>
      </c>
      <c r="AA7" s="10">
        <f t="shared" si="17"/>
        <v>-3.2056819251323088E-2</v>
      </c>
      <c r="AB7" s="7">
        <f t="shared" si="11"/>
        <v>6.7908137947789493E-2</v>
      </c>
      <c r="AC7" s="7">
        <v>-2.802007346142887E-2</v>
      </c>
    </row>
    <row r="8" spans="1:29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11">
        <v>1</v>
      </c>
      <c r="I8" s="11">
        <v>-1</v>
      </c>
      <c r="J8" s="12">
        <v>1</v>
      </c>
      <c r="K8" s="12">
        <v>1</v>
      </c>
      <c r="L8" s="9">
        <f t="shared" si="9"/>
        <v>1.3288164484369199E-2</v>
      </c>
      <c r="M8" s="9">
        <f t="shared" si="1"/>
        <v>0</v>
      </c>
      <c r="N8" s="9">
        <f t="shared" si="2"/>
        <v>-1.958944926716466E-2</v>
      </c>
      <c r="O8" s="9">
        <f t="shared" si="3"/>
        <v>0</v>
      </c>
      <c r="P8" s="9">
        <f t="shared" si="4"/>
        <v>0</v>
      </c>
      <c r="Q8" s="9">
        <f t="shared" si="5"/>
        <v>3.0999563916162539E-2</v>
      </c>
      <c r="R8" s="9">
        <f t="shared" si="6"/>
        <v>0</v>
      </c>
      <c r="S8" s="9">
        <f t="shared" si="7"/>
        <v>-3.0999563916162539E-2</v>
      </c>
      <c r="T8" s="10">
        <f t="shared" si="18"/>
        <v>-2.7497201745054992E-2</v>
      </c>
      <c r="U8" s="10">
        <f t="shared" si="10"/>
        <v>8.9448954637371791E-2</v>
      </c>
      <c r="V8" s="10">
        <f t="shared" si="12"/>
        <v>-4.1667929978359441E-2</v>
      </c>
      <c r="W8" s="10">
        <f t="shared" si="13"/>
        <v>4.1323030251036667E-2</v>
      </c>
      <c r="X8" s="10">
        <f t="shared" si="14"/>
        <v>3.0563620771409832E-2</v>
      </c>
      <c r="Y8" s="10">
        <f t="shared" si="15"/>
        <v>6.305638316748563E-2</v>
      </c>
      <c r="Z8" s="10">
        <f t="shared" si="16"/>
        <v>-3.0563620771409832E-2</v>
      </c>
      <c r="AA8" s="10">
        <f t="shared" si="17"/>
        <v>-6.305638316748563E-2</v>
      </c>
      <c r="AB8" s="7">
        <f t="shared" si="11"/>
        <v>6.1606853164994035E-2</v>
      </c>
      <c r="AC8" s="7">
        <v>-4.0369236003721443E-2</v>
      </c>
    </row>
    <row r="9" spans="1:29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11">
        <v>-1</v>
      </c>
      <c r="I9" s="11">
        <v>1</v>
      </c>
      <c r="J9" s="12">
        <v>-1</v>
      </c>
      <c r="K9" s="12">
        <v>-1</v>
      </c>
      <c r="L9" s="9">
        <f t="shared" si="9"/>
        <v>0</v>
      </c>
      <c r="M9" s="9">
        <f t="shared" si="1"/>
        <v>5.5650671691803599E-2</v>
      </c>
      <c r="N9" s="9">
        <f t="shared" si="2"/>
        <v>0</v>
      </c>
      <c r="O9" s="9">
        <f t="shared" si="3"/>
        <v>3.2797872118050853E-2</v>
      </c>
      <c r="P9" s="9">
        <f t="shared" si="4"/>
        <v>-1.851686913615436E-2</v>
      </c>
      <c r="Q9" s="9">
        <f t="shared" si="5"/>
        <v>0</v>
      </c>
      <c r="R9" s="9">
        <f t="shared" si="6"/>
        <v>1.851686913615436E-2</v>
      </c>
      <c r="S9" s="9">
        <f t="shared" si="7"/>
        <v>0</v>
      </c>
      <c r="T9" s="10">
        <f t="shared" si="18"/>
        <v>-2.7497201745054992E-2</v>
      </c>
      <c r="U9" s="10">
        <f t="shared" si="10"/>
        <v>0.14509962632917539</v>
      </c>
      <c r="V9" s="10">
        <f t="shared" si="12"/>
        <v>-4.1667929978359441E-2</v>
      </c>
      <c r="W9" s="10">
        <f t="shared" si="13"/>
        <v>7.4120902369087527E-2</v>
      </c>
      <c r="X9" s="10">
        <f t="shared" si="14"/>
        <v>1.2046751635255471E-2</v>
      </c>
      <c r="Y9" s="10">
        <f t="shared" si="15"/>
        <v>6.305638316748563E-2</v>
      </c>
      <c r="Z9" s="10">
        <f t="shared" si="16"/>
        <v>-1.2046751635255471E-2</v>
      </c>
      <c r="AA9" s="10">
        <f t="shared" si="17"/>
        <v>-6.305638316748563E-2</v>
      </c>
      <c r="AB9" s="7">
        <f t="shared" si="11"/>
        <v>0.15005539697484849</v>
      </c>
      <c r="AC9" s="7">
        <v>-3.5352963424969852E-2</v>
      </c>
    </row>
    <row r="10" spans="1:29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11">
        <v>-1</v>
      </c>
      <c r="I10" s="11">
        <v>1</v>
      </c>
      <c r="J10" s="12">
        <v>-1</v>
      </c>
      <c r="K10" s="12">
        <v>1</v>
      </c>
      <c r="L10" s="9">
        <f t="shared" si="9"/>
        <v>0</v>
      </c>
      <c r="M10" s="9">
        <f t="shared" si="1"/>
        <v>-6.5363248575294186E-3</v>
      </c>
      <c r="N10" s="9">
        <f t="shared" si="2"/>
        <v>0</v>
      </c>
      <c r="O10" s="9">
        <f t="shared" si="3"/>
        <v>1.927873048507411E-2</v>
      </c>
      <c r="P10" s="9">
        <f t="shared" si="4"/>
        <v>3.8751710430242607E-2</v>
      </c>
      <c r="Q10" s="9">
        <f t="shared" si="5"/>
        <v>0</v>
      </c>
      <c r="R10" s="9">
        <f t="shared" si="6"/>
        <v>-3.8751710430242607E-2</v>
      </c>
      <c r="S10" s="9">
        <f t="shared" si="7"/>
        <v>0</v>
      </c>
      <c r="T10" s="10">
        <f t="shared" si="18"/>
        <v>-2.7497201745054992E-2</v>
      </c>
      <c r="U10" s="10">
        <f t="shared" si="10"/>
        <v>0.13856330147164597</v>
      </c>
      <c r="V10" s="10">
        <f t="shared" si="12"/>
        <v>-4.1667929978359441E-2</v>
      </c>
      <c r="W10" s="10">
        <f t="shared" si="13"/>
        <v>9.3399632854161641E-2</v>
      </c>
      <c r="X10" s="10">
        <f t="shared" si="14"/>
        <v>5.0798462065498082E-2</v>
      </c>
      <c r="Y10" s="10">
        <f t="shared" si="15"/>
        <v>6.305638316748563E-2</v>
      </c>
      <c r="Z10" s="10">
        <f t="shared" si="16"/>
        <v>-5.0798462065498082E-2</v>
      </c>
      <c r="AA10" s="10">
        <f t="shared" si="17"/>
        <v>-6.305638316748563E-2</v>
      </c>
      <c r="AB10" s="7">
        <f t="shared" si="11"/>
        <v>0.16279780260239318</v>
      </c>
      <c r="AC10" s="7">
        <v>4.7416891525050693E-2</v>
      </c>
    </row>
    <row r="11" spans="1:29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11">
        <v>1</v>
      </c>
      <c r="I11" s="11">
        <v>-1</v>
      </c>
      <c r="J11" s="12">
        <v>1</v>
      </c>
      <c r="K11" s="12">
        <v>1</v>
      </c>
      <c r="L11" s="9">
        <f t="shared" si="9"/>
        <v>4.57029779187067E-2</v>
      </c>
      <c r="M11" s="9">
        <f t="shared" si="1"/>
        <v>0</v>
      </c>
      <c r="N11" s="9">
        <f t="shared" si="2"/>
        <v>1.5470853433114939E-3</v>
      </c>
      <c r="O11" s="9">
        <f t="shared" si="3"/>
        <v>0</v>
      </c>
      <c r="P11" s="9">
        <f t="shared" si="4"/>
        <v>0</v>
      </c>
      <c r="Q11" s="9">
        <f t="shared" si="5"/>
        <v>-1.61363743238957E-2</v>
      </c>
      <c r="R11" s="9">
        <f t="shared" si="6"/>
        <v>0</v>
      </c>
      <c r="S11" s="9">
        <f t="shared" si="7"/>
        <v>1.61363743238957E-2</v>
      </c>
      <c r="T11" s="10">
        <f t="shared" si="18"/>
        <v>1.8205776173651708E-2</v>
      </c>
      <c r="U11" s="10">
        <f t="shared" si="10"/>
        <v>0.13856330147164597</v>
      </c>
      <c r="V11" s="10">
        <f t="shared" si="12"/>
        <v>-4.0120844635047948E-2</v>
      </c>
      <c r="W11" s="10">
        <f t="shared" si="13"/>
        <v>9.3399632854161641E-2</v>
      </c>
      <c r="X11" s="10">
        <f t="shared" si="14"/>
        <v>5.0798462065498082E-2</v>
      </c>
      <c r="Y11" s="10">
        <f t="shared" si="15"/>
        <v>4.6920008843589933E-2</v>
      </c>
      <c r="Z11" s="10">
        <f t="shared" si="16"/>
        <v>-5.0798462065498082E-2</v>
      </c>
      <c r="AA11" s="10">
        <f t="shared" si="17"/>
        <v>-4.6920008843589933E-2</v>
      </c>
      <c r="AB11" s="7">
        <f t="shared" si="11"/>
        <v>0.21004786586441138</v>
      </c>
      <c r="AC11" s="7">
        <v>0.10183121091010611</v>
      </c>
    </row>
    <row r="12" spans="1:29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11">
        <v>-1</v>
      </c>
      <c r="I12" s="11">
        <v>1</v>
      </c>
      <c r="J12" s="12">
        <v>-1</v>
      </c>
      <c r="K12" s="12">
        <v>-1</v>
      </c>
      <c r="L12" s="9">
        <f t="shared" si="9"/>
        <v>0</v>
      </c>
      <c r="M12" s="9">
        <f t="shared" si="1"/>
        <v>1.8113439969254849E-2</v>
      </c>
      <c r="N12" s="9">
        <f t="shared" si="2"/>
        <v>0</v>
      </c>
      <c r="O12" s="9">
        <f t="shared" si="3"/>
        <v>-1.3126019970565389E-2</v>
      </c>
      <c r="P12" s="9">
        <f t="shared" si="4"/>
        <v>2.3687673858548419E-2</v>
      </c>
      <c r="Q12" s="9">
        <f t="shared" si="5"/>
        <v>0</v>
      </c>
      <c r="R12" s="9">
        <f t="shared" si="6"/>
        <v>-2.3687673858548419E-2</v>
      </c>
      <c r="S12" s="9">
        <f t="shared" si="7"/>
        <v>0</v>
      </c>
      <c r="T12" s="10">
        <f t="shared" si="18"/>
        <v>1.8205776173651708E-2</v>
      </c>
      <c r="U12" s="10">
        <f t="shared" si="10"/>
        <v>0.15667674144090082</v>
      </c>
      <c r="V12" s="10">
        <f t="shared" si="12"/>
        <v>-4.0120844635047948E-2</v>
      </c>
      <c r="W12" s="10">
        <f t="shared" si="13"/>
        <v>8.0273612883596246E-2</v>
      </c>
      <c r="X12" s="10">
        <f t="shared" si="14"/>
        <v>7.4486135924046501E-2</v>
      </c>
      <c r="Y12" s="10">
        <f t="shared" si="15"/>
        <v>4.6920008843589933E-2</v>
      </c>
      <c r="Z12" s="10">
        <f t="shared" si="16"/>
        <v>-7.4486135924046501E-2</v>
      </c>
      <c r="AA12" s="10">
        <f t="shared" si="17"/>
        <v>-4.6920008843589933E-2</v>
      </c>
      <c r="AB12" s="7">
        <f t="shared" si="11"/>
        <v>0.21503528586310083</v>
      </c>
      <c r="AC12" s="7">
        <v>0.1133810498872404</v>
      </c>
    </row>
    <row r="13" spans="1:29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11">
        <v>-1</v>
      </c>
      <c r="I13" s="11">
        <v>1</v>
      </c>
      <c r="J13" s="12">
        <v>-1</v>
      </c>
      <c r="K13" s="12">
        <v>1</v>
      </c>
      <c r="L13" s="9">
        <f t="shared" si="9"/>
        <v>0</v>
      </c>
      <c r="M13" s="9">
        <f t="shared" si="1"/>
        <v>-2.4216137979320429E-3</v>
      </c>
      <c r="N13" s="9">
        <f t="shared" si="2"/>
        <v>0</v>
      </c>
      <c r="O13" s="9">
        <f t="shared" si="3"/>
        <v>-3.8721073276863138E-2</v>
      </c>
      <c r="P13" s="9">
        <f t="shared" si="4"/>
        <v>3.5798401806402043E-2</v>
      </c>
      <c r="Q13" s="9">
        <f t="shared" si="5"/>
        <v>0</v>
      </c>
      <c r="R13" s="9">
        <f t="shared" si="6"/>
        <v>-3.5798401806402043E-2</v>
      </c>
      <c r="S13" s="9">
        <f t="shared" si="7"/>
        <v>0</v>
      </c>
      <c r="T13" s="10">
        <f t="shared" si="18"/>
        <v>1.8205776173651708E-2</v>
      </c>
      <c r="U13" s="10">
        <f t="shared" si="10"/>
        <v>0.15425512764296878</v>
      </c>
      <c r="V13" s="10">
        <f t="shared" si="12"/>
        <v>-4.0120844635047948E-2</v>
      </c>
      <c r="W13" s="10">
        <f t="shared" si="13"/>
        <v>4.1552539606733108E-2</v>
      </c>
      <c r="X13" s="10">
        <f t="shared" si="14"/>
        <v>0.11028453773044855</v>
      </c>
      <c r="Y13" s="10">
        <f t="shared" si="15"/>
        <v>4.6920008843589933E-2</v>
      </c>
      <c r="Z13" s="10">
        <f t="shared" si="16"/>
        <v>-0.11028453773044855</v>
      </c>
      <c r="AA13" s="10">
        <f t="shared" si="17"/>
        <v>-4.6920008843589933E-2</v>
      </c>
      <c r="AB13" s="7">
        <f t="shared" si="11"/>
        <v>0.17389259878830565</v>
      </c>
      <c r="AC13" s="7">
        <v>0.1322781134359047</v>
      </c>
    </row>
    <row r="14" spans="1:29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11">
        <v>-1</v>
      </c>
      <c r="I14" s="11">
        <v>1</v>
      </c>
      <c r="J14" s="12">
        <v>-1</v>
      </c>
      <c r="K14" s="12">
        <v>1</v>
      </c>
      <c r="L14" s="9">
        <f t="shared" si="9"/>
        <v>0</v>
      </c>
      <c r="M14" s="9">
        <f t="shared" si="1"/>
        <v>-6.7214851149153274E-3</v>
      </c>
      <c r="N14" s="9">
        <f t="shared" si="2"/>
        <v>0</v>
      </c>
      <c r="O14" s="9">
        <f t="shared" si="3"/>
        <v>7.9375803346507512E-3</v>
      </c>
      <c r="P14" s="9">
        <f t="shared" si="4"/>
        <v>-1.374462595288106E-2</v>
      </c>
      <c r="Q14" s="9">
        <f t="shared" si="5"/>
        <v>0</v>
      </c>
      <c r="R14" s="9">
        <f t="shared" si="6"/>
        <v>1.374462595288106E-2</v>
      </c>
      <c r="S14" s="9">
        <f t="shared" si="7"/>
        <v>0</v>
      </c>
      <c r="T14" s="10">
        <f t="shared" ref="T14:T77" si="19">L14+T13</f>
        <v>1.8205776173651708E-2</v>
      </c>
      <c r="U14" s="10">
        <f t="shared" ref="U14:U77" si="20">M14+U13</f>
        <v>0.14753364252805345</v>
      </c>
      <c r="V14" s="10">
        <f t="shared" ref="V14:V77" si="21">N14+V13</f>
        <v>-4.0120844635047948E-2</v>
      </c>
      <c r="W14" s="10">
        <f t="shared" ref="W14:W77" si="22">O14+W13</f>
        <v>4.9490119941383859E-2</v>
      </c>
      <c r="X14" s="10">
        <f t="shared" ref="X14:X77" si="23">P14+X13</f>
        <v>9.6539911777567489E-2</v>
      </c>
      <c r="Y14" s="10">
        <f t="shared" ref="Y14:Y77" si="24">Q14+Y13</f>
        <v>4.6920008843589933E-2</v>
      </c>
      <c r="Z14" s="10">
        <f t="shared" ref="Z14:Z77" si="25">R14+Z13</f>
        <v>-9.6539911777567489E-2</v>
      </c>
      <c r="AA14" s="10">
        <f t="shared" ref="AA14:AA77" si="26">S14+AA13</f>
        <v>-4.6920008843589933E-2</v>
      </c>
      <c r="AB14" s="7">
        <f t="shared" si="11"/>
        <v>0.17510869400804108</v>
      </c>
      <c r="AC14" s="7">
        <v>0.15325968276089399</v>
      </c>
    </row>
    <row r="15" spans="1:29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11">
        <v>1</v>
      </c>
      <c r="I15" s="11">
        <v>-1</v>
      </c>
      <c r="J15" s="12">
        <v>1</v>
      </c>
      <c r="K15" s="12">
        <v>1</v>
      </c>
      <c r="L15" s="9">
        <f t="shared" si="9"/>
        <v>-2.537947808176888E-2</v>
      </c>
      <c r="M15" s="9">
        <f t="shared" si="1"/>
        <v>0</v>
      </c>
      <c r="N15" s="9">
        <f t="shared" si="2"/>
        <v>-3.8051791672164548E-2</v>
      </c>
      <c r="O15" s="9">
        <f t="shared" si="3"/>
        <v>0</v>
      </c>
      <c r="P15" s="9">
        <f t="shared" si="4"/>
        <v>0</v>
      </c>
      <c r="Q15" s="9">
        <f t="shared" si="5"/>
        <v>-2.199538650546207E-2</v>
      </c>
      <c r="R15" s="9">
        <f t="shared" si="6"/>
        <v>0</v>
      </c>
      <c r="S15" s="9">
        <f t="shared" si="7"/>
        <v>2.199538650546207E-2</v>
      </c>
      <c r="T15" s="10">
        <f t="shared" si="19"/>
        <v>-7.1737019081171728E-3</v>
      </c>
      <c r="U15" s="10">
        <f t="shared" si="20"/>
        <v>0.14753364252805345</v>
      </c>
      <c r="V15" s="10">
        <f t="shared" si="21"/>
        <v>-7.8172636307212495E-2</v>
      </c>
      <c r="W15" s="10">
        <f t="shared" si="22"/>
        <v>4.9490119941383859E-2</v>
      </c>
      <c r="X15" s="10">
        <f t="shared" si="23"/>
        <v>9.6539911777567489E-2</v>
      </c>
      <c r="Y15" s="10">
        <f t="shared" si="24"/>
        <v>2.4924622338127863E-2</v>
      </c>
      <c r="Z15" s="10">
        <f t="shared" si="25"/>
        <v>-9.6539911777567489E-2</v>
      </c>
      <c r="AA15" s="10">
        <f t="shared" si="26"/>
        <v>-2.4924622338127863E-2</v>
      </c>
      <c r="AB15" s="7">
        <f t="shared" si="11"/>
        <v>0.11167742425410765</v>
      </c>
      <c r="AC15" s="7">
        <v>0.14308219723530469</v>
      </c>
    </row>
    <row r="16" spans="1:29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11">
        <v>-1</v>
      </c>
      <c r="I16" s="11">
        <v>1</v>
      </c>
      <c r="J16" s="12">
        <v>-1</v>
      </c>
      <c r="K16" s="12">
        <v>-1</v>
      </c>
      <c r="L16" s="9">
        <f t="shared" si="9"/>
        <v>0</v>
      </c>
      <c r="M16" s="9">
        <f t="shared" si="1"/>
        <v>-4.3670511769591247E-3</v>
      </c>
      <c r="N16" s="9">
        <f t="shared" si="2"/>
        <v>0</v>
      </c>
      <c r="O16" s="9">
        <f t="shared" si="3"/>
        <v>1.276731806987808E-2</v>
      </c>
      <c r="P16" s="9">
        <f t="shared" si="4"/>
        <v>4.2507846677938721E-2</v>
      </c>
      <c r="Q16" s="9">
        <f t="shared" si="5"/>
        <v>0</v>
      </c>
      <c r="R16" s="9">
        <f t="shared" si="6"/>
        <v>-4.2507846677938721E-2</v>
      </c>
      <c r="S16" s="9">
        <f t="shared" si="7"/>
        <v>0</v>
      </c>
      <c r="T16" s="10">
        <f t="shared" si="19"/>
        <v>-7.1737019081171728E-3</v>
      </c>
      <c r="U16" s="10">
        <f t="shared" si="20"/>
        <v>0.14316659135109433</v>
      </c>
      <c r="V16" s="10">
        <f t="shared" si="21"/>
        <v>-7.8172636307212495E-2</v>
      </c>
      <c r="W16" s="10">
        <f t="shared" si="22"/>
        <v>6.2257438011261941E-2</v>
      </c>
      <c r="X16" s="10">
        <f t="shared" si="23"/>
        <v>0.13904775845550621</v>
      </c>
      <c r="Y16" s="10">
        <f t="shared" si="24"/>
        <v>2.4924622338127863E-2</v>
      </c>
      <c r="Z16" s="10">
        <f t="shared" si="25"/>
        <v>-0.13904775845550621</v>
      </c>
      <c r="AA16" s="10">
        <f t="shared" si="26"/>
        <v>-2.4924622338127863E-2</v>
      </c>
      <c r="AB16" s="7">
        <f t="shared" si="11"/>
        <v>0.1200776911470266</v>
      </c>
      <c r="AC16" s="7">
        <v>0.19581808369583359</v>
      </c>
    </row>
    <row r="17" spans="1:29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11">
        <v>1</v>
      </c>
      <c r="I17" s="11">
        <v>-1</v>
      </c>
      <c r="J17" s="12">
        <v>1</v>
      </c>
      <c r="K17" s="12">
        <v>1</v>
      </c>
      <c r="L17" s="9">
        <f t="shared" si="9"/>
        <v>2.1367308150597179E-2</v>
      </c>
      <c r="M17" s="9">
        <f t="shared" si="1"/>
        <v>0</v>
      </c>
      <c r="N17" s="9">
        <f t="shared" si="2"/>
        <v>1.5866273036471031E-2</v>
      </c>
      <c r="O17" s="9">
        <f t="shared" si="3"/>
        <v>0</v>
      </c>
      <c r="P17" s="9">
        <f t="shared" si="4"/>
        <v>0</v>
      </c>
      <c r="Q17" s="9">
        <f t="shared" si="5"/>
        <v>-3.0044991389092108E-3</v>
      </c>
      <c r="R17" s="9">
        <f t="shared" si="6"/>
        <v>0</v>
      </c>
      <c r="S17" s="9">
        <f t="shared" si="7"/>
        <v>3.0044991389092108E-3</v>
      </c>
      <c r="T17" s="10">
        <f t="shared" si="19"/>
        <v>1.4193606242480006E-2</v>
      </c>
      <c r="U17" s="10">
        <f t="shared" si="20"/>
        <v>0.14316659135109433</v>
      </c>
      <c r="V17" s="10">
        <f t="shared" si="21"/>
        <v>-6.2306363270741461E-2</v>
      </c>
      <c r="W17" s="10">
        <f t="shared" si="22"/>
        <v>6.2257438011261941E-2</v>
      </c>
      <c r="X17" s="10">
        <f t="shared" si="23"/>
        <v>0.13904775845550621</v>
      </c>
      <c r="Y17" s="10">
        <f t="shared" si="24"/>
        <v>2.1920123199218652E-2</v>
      </c>
      <c r="Z17" s="10">
        <f t="shared" si="25"/>
        <v>-0.13904775845550621</v>
      </c>
      <c r="AA17" s="10">
        <f t="shared" si="26"/>
        <v>-2.1920123199218652E-2</v>
      </c>
      <c r="AB17" s="7">
        <f t="shared" si="11"/>
        <v>0.15731127233409481</v>
      </c>
      <c r="AC17" s="7">
        <v>0.20710432713903479</v>
      </c>
    </row>
    <row r="18" spans="1:29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11">
        <v>-1</v>
      </c>
      <c r="I18" s="11">
        <v>1</v>
      </c>
      <c r="J18" s="12">
        <v>-1</v>
      </c>
      <c r="K18" s="12">
        <v>-1</v>
      </c>
      <c r="L18" s="9">
        <f t="shared" si="9"/>
        <v>0</v>
      </c>
      <c r="M18" s="9">
        <f t="shared" si="1"/>
        <v>-2.1733808493392459E-2</v>
      </c>
      <c r="N18" s="9">
        <f t="shared" si="2"/>
        <v>0</v>
      </c>
      <c r="O18" s="9">
        <f t="shared" si="3"/>
        <v>-1.3943475659631501E-2</v>
      </c>
      <c r="P18" s="9">
        <f t="shared" si="4"/>
        <v>3.8459154044356851E-3</v>
      </c>
      <c r="Q18" s="9">
        <f t="shared" si="5"/>
        <v>0</v>
      </c>
      <c r="R18" s="9">
        <f t="shared" si="6"/>
        <v>-3.8459154044356851E-3</v>
      </c>
      <c r="S18" s="9">
        <f t="shared" si="7"/>
        <v>0</v>
      </c>
      <c r="T18" s="10">
        <f t="shared" si="19"/>
        <v>1.4193606242480006E-2</v>
      </c>
      <c r="U18" s="10">
        <f t="shared" si="20"/>
        <v>0.12143278285770187</v>
      </c>
      <c r="V18" s="10">
        <f t="shared" si="21"/>
        <v>-6.2306363270741461E-2</v>
      </c>
      <c r="W18" s="10">
        <f t="shared" si="22"/>
        <v>4.8313962351630442E-2</v>
      </c>
      <c r="X18" s="10">
        <f t="shared" si="23"/>
        <v>0.14289367385994189</v>
      </c>
      <c r="Y18" s="10">
        <f t="shared" si="24"/>
        <v>2.1920123199218652E-2</v>
      </c>
      <c r="Z18" s="10">
        <f t="shared" si="25"/>
        <v>-0.14289367385994189</v>
      </c>
      <c r="AA18" s="10">
        <f t="shared" si="26"/>
        <v>-2.1920123199218652E-2</v>
      </c>
      <c r="AB18" s="7">
        <f t="shared" si="11"/>
        <v>0.12163398818107085</v>
      </c>
      <c r="AC18" s="7">
        <v>0.25661662234210031</v>
      </c>
    </row>
    <row r="19" spans="1:29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11">
        <v>-1</v>
      </c>
      <c r="I19" s="11">
        <v>1</v>
      </c>
      <c r="J19" s="12">
        <v>-1</v>
      </c>
      <c r="K19" s="12">
        <v>1</v>
      </c>
      <c r="L19" s="9">
        <f t="shared" si="9"/>
        <v>0</v>
      </c>
      <c r="M19" s="9">
        <f t="shared" si="1"/>
        <v>8.1388937318258581E-3</v>
      </c>
      <c r="N19" s="9">
        <f t="shared" si="2"/>
        <v>0</v>
      </c>
      <c r="O19" s="9">
        <f t="shared" si="3"/>
        <v>-3.795916915062536E-3</v>
      </c>
      <c r="P19" s="9">
        <f t="shared" si="4"/>
        <v>1.876801723312238E-2</v>
      </c>
      <c r="Q19" s="9">
        <f t="shared" si="5"/>
        <v>0</v>
      </c>
      <c r="R19" s="9">
        <f t="shared" si="6"/>
        <v>-1.876801723312238E-2</v>
      </c>
      <c r="S19" s="9">
        <f t="shared" si="7"/>
        <v>0</v>
      </c>
      <c r="T19" s="10">
        <f t="shared" si="19"/>
        <v>1.4193606242480006E-2</v>
      </c>
      <c r="U19" s="10">
        <f t="shared" si="20"/>
        <v>0.12957167658952773</v>
      </c>
      <c r="V19" s="10">
        <f t="shared" si="21"/>
        <v>-6.2306363270741461E-2</v>
      </c>
      <c r="W19" s="10">
        <f t="shared" si="22"/>
        <v>4.4518045436567906E-2</v>
      </c>
      <c r="X19" s="10">
        <f t="shared" si="23"/>
        <v>0.16166169109306427</v>
      </c>
      <c r="Y19" s="10">
        <f t="shared" si="24"/>
        <v>2.1920123199218652E-2</v>
      </c>
      <c r="Z19" s="10">
        <f t="shared" si="25"/>
        <v>-0.16166169109306427</v>
      </c>
      <c r="AA19" s="10">
        <f t="shared" si="26"/>
        <v>-2.1920123199218652E-2</v>
      </c>
      <c r="AB19" s="7">
        <f t="shared" si="11"/>
        <v>0.12597696499783417</v>
      </c>
      <c r="AC19" s="7">
        <v>0.27663216711394761</v>
      </c>
    </row>
    <row r="20" spans="1:29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11">
        <v>1</v>
      </c>
      <c r="I20" s="11">
        <v>-1</v>
      </c>
      <c r="J20" s="12">
        <v>1</v>
      </c>
      <c r="K20" s="12">
        <v>1</v>
      </c>
      <c r="L20" s="9">
        <f t="shared" si="9"/>
        <v>3.7560016768719562E-3</v>
      </c>
      <c r="M20" s="9">
        <f t="shared" si="1"/>
        <v>0</v>
      </c>
      <c r="N20" s="9">
        <f t="shared" si="2"/>
        <v>-8.8822473437140115E-3</v>
      </c>
      <c r="O20" s="9">
        <f t="shared" si="3"/>
        <v>0</v>
      </c>
      <c r="P20" s="9">
        <f t="shared" si="4"/>
        <v>0</v>
      </c>
      <c r="Q20" s="9">
        <f t="shared" si="5"/>
        <v>-8.6220386005328997E-3</v>
      </c>
      <c r="R20" s="9">
        <f t="shared" si="6"/>
        <v>0</v>
      </c>
      <c r="S20" s="9">
        <f t="shared" si="7"/>
        <v>8.6220386005328997E-3</v>
      </c>
      <c r="T20" s="10">
        <f t="shared" si="19"/>
        <v>1.7949607919351962E-2</v>
      </c>
      <c r="U20" s="10">
        <f t="shared" si="20"/>
        <v>0.12957167658952773</v>
      </c>
      <c r="V20" s="10">
        <f t="shared" si="21"/>
        <v>-7.1188610614455472E-2</v>
      </c>
      <c r="W20" s="10">
        <f t="shared" si="22"/>
        <v>4.4518045436567906E-2</v>
      </c>
      <c r="X20" s="10">
        <f t="shared" si="23"/>
        <v>0.16166169109306427</v>
      </c>
      <c r="Y20" s="10">
        <f t="shared" si="24"/>
        <v>1.3298084598685752E-2</v>
      </c>
      <c r="Z20" s="10">
        <f t="shared" si="25"/>
        <v>-0.16166169109306427</v>
      </c>
      <c r="AA20" s="10">
        <f t="shared" si="26"/>
        <v>-1.3298084598685752E-2</v>
      </c>
      <c r="AB20" s="7">
        <f t="shared" si="11"/>
        <v>0.12085071933099212</v>
      </c>
      <c r="AC20" s="7">
        <v>0.29037563156884533</v>
      </c>
    </row>
    <row r="21" spans="1:29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11">
        <v>1</v>
      </c>
      <c r="I21" s="11">
        <v>-1</v>
      </c>
      <c r="J21" s="12">
        <v>1</v>
      </c>
      <c r="K21" s="12">
        <v>-1</v>
      </c>
      <c r="L21" s="9">
        <f t="shared" si="9"/>
        <v>1.8476374260886549E-2</v>
      </c>
      <c r="M21" s="9">
        <f t="shared" si="1"/>
        <v>0</v>
      </c>
      <c r="N21" s="9">
        <f t="shared" si="2"/>
        <v>9.6614090114085505E-3</v>
      </c>
      <c r="O21" s="9">
        <f t="shared" si="3"/>
        <v>0</v>
      </c>
      <c r="P21" s="9">
        <f t="shared" si="4"/>
        <v>0</v>
      </c>
      <c r="Q21" s="9">
        <f t="shared" si="5"/>
        <v>-1.1831285546346271E-2</v>
      </c>
      <c r="R21" s="9">
        <f t="shared" si="6"/>
        <v>0</v>
      </c>
      <c r="S21" s="9">
        <f t="shared" si="7"/>
        <v>1.1831285546346271E-2</v>
      </c>
      <c r="T21" s="10">
        <f t="shared" si="19"/>
        <v>3.6425982180238514E-2</v>
      </c>
      <c r="U21" s="10">
        <f t="shared" si="20"/>
        <v>0.12957167658952773</v>
      </c>
      <c r="V21" s="10">
        <f t="shared" si="21"/>
        <v>-6.1527201603046922E-2</v>
      </c>
      <c r="W21" s="10">
        <f t="shared" si="22"/>
        <v>4.4518045436567906E-2</v>
      </c>
      <c r="X21" s="10">
        <f t="shared" si="23"/>
        <v>0.16166169109306427</v>
      </c>
      <c r="Y21" s="10">
        <f t="shared" si="24"/>
        <v>1.4667990523394812E-3</v>
      </c>
      <c r="Z21" s="10">
        <f t="shared" si="25"/>
        <v>-0.16166169109306427</v>
      </c>
      <c r="AA21" s="10">
        <f t="shared" si="26"/>
        <v>-1.4667990523394812E-3</v>
      </c>
      <c r="AB21" s="7">
        <f t="shared" si="11"/>
        <v>0.14898850260328722</v>
      </c>
      <c r="AC21" s="7">
        <v>0.27804399364064247</v>
      </c>
    </row>
    <row r="22" spans="1:29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11">
        <v>-1</v>
      </c>
      <c r="I22" s="11">
        <v>1</v>
      </c>
      <c r="J22" s="12">
        <v>-1</v>
      </c>
      <c r="K22" s="12">
        <v>-1</v>
      </c>
      <c r="L22" s="9">
        <f t="shared" si="9"/>
        <v>0</v>
      </c>
      <c r="M22" s="9">
        <f t="shared" si="1"/>
        <v>2.9063585368370389E-2</v>
      </c>
      <c r="N22" s="9">
        <f t="shared" si="2"/>
        <v>0</v>
      </c>
      <c r="O22" s="9">
        <f t="shared" si="3"/>
        <v>-1.0376442161348139E-2</v>
      </c>
      <c r="P22" s="9">
        <f t="shared" si="4"/>
        <v>1.350588220593207E-2</v>
      </c>
      <c r="Q22" s="9">
        <f t="shared" si="5"/>
        <v>0</v>
      </c>
      <c r="R22" s="9">
        <f t="shared" si="6"/>
        <v>-1.350588220593207E-2</v>
      </c>
      <c r="S22" s="9">
        <f t="shared" si="7"/>
        <v>0</v>
      </c>
      <c r="T22" s="10">
        <f t="shared" si="19"/>
        <v>3.6425982180238514E-2</v>
      </c>
      <c r="U22" s="10">
        <f t="shared" si="20"/>
        <v>0.15863526195789812</v>
      </c>
      <c r="V22" s="10">
        <f t="shared" si="21"/>
        <v>-6.1527201603046922E-2</v>
      </c>
      <c r="W22" s="10">
        <f t="shared" si="22"/>
        <v>3.414160327521977E-2</v>
      </c>
      <c r="X22" s="10">
        <f t="shared" si="23"/>
        <v>0.17516757329899635</v>
      </c>
      <c r="Y22" s="10">
        <f t="shared" si="24"/>
        <v>1.4667990523394812E-3</v>
      </c>
      <c r="Z22" s="10">
        <f t="shared" si="25"/>
        <v>-0.17516757329899635</v>
      </c>
      <c r="AA22" s="10">
        <f t="shared" si="26"/>
        <v>-1.4667990523394812E-3</v>
      </c>
      <c r="AB22" s="7">
        <f t="shared" si="11"/>
        <v>0.16767564581030947</v>
      </c>
      <c r="AC22" s="7">
        <v>0.25957608323656001</v>
      </c>
    </row>
    <row r="23" spans="1:29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11">
        <v>-1</v>
      </c>
      <c r="I23" s="11">
        <v>1</v>
      </c>
      <c r="J23" s="12">
        <v>-1</v>
      </c>
      <c r="K23" s="12">
        <v>1</v>
      </c>
      <c r="L23" s="9">
        <f t="shared" si="9"/>
        <v>0</v>
      </c>
      <c r="M23" s="9">
        <f t="shared" si="1"/>
        <v>-2.7528552981758488E-2</v>
      </c>
      <c r="N23" s="9">
        <f t="shared" si="2"/>
        <v>0</v>
      </c>
      <c r="O23" s="9">
        <f t="shared" si="3"/>
        <v>1.6560145460553181E-2</v>
      </c>
      <c r="P23" s="9">
        <f t="shared" si="4"/>
        <v>-8.8000344321050861E-3</v>
      </c>
      <c r="Q23" s="9">
        <f t="shared" si="5"/>
        <v>0</v>
      </c>
      <c r="R23" s="9">
        <f t="shared" si="6"/>
        <v>8.8000344321050861E-3</v>
      </c>
      <c r="S23" s="9">
        <f t="shared" si="7"/>
        <v>0</v>
      </c>
      <c r="T23" s="10">
        <f t="shared" si="19"/>
        <v>3.6425982180238514E-2</v>
      </c>
      <c r="U23" s="10">
        <f t="shared" si="20"/>
        <v>0.13110670897613963</v>
      </c>
      <c r="V23" s="10">
        <f t="shared" si="21"/>
        <v>-6.1527201603046922E-2</v>
      </c>
      <c r="W23" s="10">
        <f t="shared" si="22"/>
        <v>5.0701748735772947E-2</v>
      </c>
      <c r="X23" s="10">
        <f t="shared" si="23"/>
        <v>0.16636753886689126</v>
      </c>
      <c r="Y23" s="10">
        <f t="shared" si="24"/>
        <v>1.4667990523394812E-3</v>
      </c>
      <c r="Z23" s="10">
        <f t="shared" si="25"/>
        <v>-0.16636753886689126</v>
      </c>
      <c r="AA23" s="10">
        <f t="shared" si="26"/>
        <v>-1.4667990523394812E-3</v>
      </c>
      <c r="AB23" s="7">
        <f t="shared" si="11"/>
        <v>0.15670723828910416</v>
      </c>
      <c r="AC23" s="7">
        <v>0.27711949054938978</v>
      </c>
    </row>
    <row r="24" spans="1:29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11">
        <v>-1</v>
      </c>
      <c r="I24" s="11">
        <v>1</v>
      </c>
      <c r="J24" s="12">
        <v>-1</v>
      </c>
      <c r="K24" s="12">
        <v>1</v>
      </c>
      <c r="L24" s="9">
        <f t="shared" si="9"/>
        <v>0</v>
      </c>
      <c r="M24" s="9">
        <f t="shared" si="1"/>
        <v>-6.7399691569599574E-3</v>
      </c>
      <c r="N24" s="9">
        <f t="shared" si="2"/>
        <v>0</v>
      </c>
      <c r="O24" s="9">
        <f t="shared" si="3"/>
        <v>1.532124259657874E-2</v>
      </c>
      <c r="P24" s="9">
        <f t="shared" si="4"/>
        <v>1.636861555413072E-2</v>
      </c>
      <c r="Q24" s="9">
        <f t="shared" si="5"/>
        <v>0</v>
      </c>
      <c r="R24" s="9">
        <f t="shared" si="6"/>
        <v>-1.636861555413072E-2</v>
      </c>
      <c r="S24" s="9">
        <f t="shared" si="7"/>
        <v>0</v>
      </c>
      <c r="T24" s="10">
        <f t="shared" si="19"/>
        <v>3.6425982180238514E-2</v>
      </c>
      <c r="U24" s="10">
        <f t="shared" si="20"/>
        <v>0.12436673981917967</v>
      </c>
      <c r="V24" s="10">
        <f t="shared" si="21"/>
        <v>-6.1527201603046922E-2</v>
      </c>
      <c r="W24" s="10">
        <f t="shared" si="22"/>
        <v>6.6022991332351691E-2</v>
      </c>
      <c r="X24" s="10">
        <f t="shared" si="23"/>
        <v>0.18273615442102198</v>
      </c>
      <c r="Y24" s="10">
        <f t="shared" si="24"/>
        <v>1.4667990523394812E-3</v>
      </c>
      <c r="Z24" s="10">
        <f t="shared" si="25"/>
        <v>-0.18273615442102198</v>
      </c>
      <c r="AA24" s="10">
        <f t="shared" si="26"/>
        <v>-1.4667990523394812E-3</v>
      </c>
      <c r="AB24" s="7">
        <f t="shared" si="11"/>
        <v>0.16528851172872294</v>
      </c>
      <c r="AC24" s="7">
        <v>0.29588387761050339</v>
      </c>
    </row>
    <row r="25" spans="1:29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11">
        <v>1</v>
      </c>
      <c r="I25" s="11">
        <v>-1</v>
      </c>
      <c r="J25" s="12">
        <v>1</v>
      </c>
      <c r="K25" s="12">
        <v>1</v>
      </c>
      <c r="L25" s="9">
        <f t="shared" si="9"/>
        <v>8.7956890346071459E-3</v>
      </c>
      <c r="M25" s="9">
        <f t="shared" si="1"/>
        <v>0</v>
      </c>
      <c r="N25" s="9">
        <f t="shared" si="2"/>
        <v>7.6560428455463292E-4</v>
      </c>
      <c r="O25" s="9">
        <f t="shared" si="3"/>
        <v>0</v>
      </c>
      <c r="P25" s="9">
        <f t="shared" si="4"/>
        <v>0</v>
      </c>
      <c r="Q25" s="9">
        <f t="shared" si="5"/>
        <v>2.7185738024280259E-2</v>
      </c>
      <c r="R25" s="9">
        <f t="shared" si="6"/>
        <v>0</v>
      </c>
      <c r="S25" s="9">
        <f t="shared" si="7"/>
        <v>-2.7185738024280259E-2</v>
      </c>
      <c r="T25" s="10">
        <f t="shared" si="19"/>
        <v>4.522167121484566E-2</v>
      </c>
      <c r="U25" s="10">
        <f t="shared" si="20"/>
        <v>0.12436673981917967</v>
      </c>
      <c r="V25" s="10">
        <f t="shared" si="21"/>
        <v>-6.0761597318492289E-2</v>
      </c>
      <c r="W25" s="10">
        <f t="shared" si="22"/>
        <v>6.6022991332351691E-2</v>
      </c>
      <c r="X25" s="10">
        <f t="shared" si="23"/>
        <v>0.18273615442102198</v>
      </c>
      <c r="Y25" s="10">
        <f t="shared" si="24"/>
        <v>2.8652537076619741E-2</v>
      </c>
      <c r="Z25" s="10">
        <f t="shared" si="25"/>
        <v>-0.18273615442102198</v>
      </c>
      <c r="AA25" s="10">
        <f t="shared" si="26"/>
        <v>-2.8652537076619741E-2</v>
      </c>
      <c r="AB25" s="7">
        <f t="shared" si="11"/>
        <v>0.17484980504788472</v>
      </c>
      <c r="AC25" s="7">
        <v>0.26369152433821641</v>
      </c>
    </row>
    <row r="26" spans="1:29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11">
        <v>1</v>
      </c>
      <c r="I26" s="11">
        <v>-1</v>
      </c>
      <c r="J26" s="12">
        <v>1</v>
      </c>
      <c r="K26" s="12">
        <v>-1</v>
      </c>
      <c r="L26" s="9">
        <f t="shared" si="9"/>
        <v>5.7664263219470158E-3</v>
      </c>
      <c r="M26" s="9">
        <f t="shared" si="1"/>
        <v>0</v>
      </c>
      <c r="N26" s="9">
        <f t="shared" si="2"/>
        <v>-1.4183360699532851E-2</v>
      </c>
      <c r="O26" s="9">
        <f t="shared" si="3"/>
        <v>0</v>
      </c>
      <c r="P26" s="9">
        <f t="shared" si="4"/>
        <v>0</v>
      </c>
      <c r="Q26" s="9">
        <f t="shared" si="5"/>
        <v>3.6391475953699071E-2</v>
      </c>
      <c r="R26" s="9">
        <f t="shared" si="6"/>
        <v>0</v>
      </c>
      <c r="S26" s="9">
        <f t="shared" si="7"/>
        <v>-3.6391475953699071E-2</v>
      </c>
      <c r="T26" s="10">
        <f t="shared" si="19"/>
        <v>5.0988097536792676E-2</v>
      </c>
      <c r="U26" s="10">
        <f t="shared" si="20"/>
        <v>0.12436673981917967</v>
      </c>
      <c r="V26" s="10">
        <f t="shared" si="21"/>
        <v>-7.4944958018025143E-2</v>
      </c>
      <c r="W26" s="10">
        <f t="shared" si="22"/>
        <v>6.6022991332351691E-2</v>
      </c>
      <c r="X26" s="10">
        <f t="shared" si="23"/>
        <v>0.18273615442102198</v>
      </c>
      <c r="Y26" s="10">
        <f t="shared" si="24"/>
        <v>6.5044013030318815E-2</v>
      </c>
      <c r="Z26" s="10">
        <f t="shared" si="25"/>
        <v>-0.18273615442102198</v>
      </c>
      <c r="AA26" s="10">
        <f t="shared" si="26"/>
        <v>-6.5044013030318815E-2</v>
      </c>
      <c r="AB26" s="7">
        <f t="shared" si="11"/>
        <v>0.16643287067029888</v>
      </c>
      <c r="AC26" s="7">
        <v>0.26677280476778958</v>
      </c>
    </row>
    <row r="27" spans="1:29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11">
        <v>1</v>
      </c>
      <c r="I27" s="11">
        <v>-1</v>
      </c>
      <c r="J27" s="12">
        <v>1</v>
      </c>
      <c r="K27" s="12">
        <v>-1</v>
      </c>
      <c r="L27" s="9">
        <f t="shared" si="9"/>
        <v>1.950631359998956E-3</v>
      </c>
      <c r="M27" s="9">
        <f t="shared" si="1"/>
        <v>0</v>
      </c>
      <c r="N27" s="9">
        <f t="shared" si="2"/>
        <v>1.5992616299567719E-2</v>
      </c>
      <c r="O27" s="9">
        <f t="shared" si="3"/>
        <v>0</v>
      </c>
      <c r="P27" s="9">
        <f t="shared" si="4"/>
        <v>0</v>
      </c>
      <c r="Q27" s="9">
        <f t="shared" si="5"/>
        <v>-1.324192018605397E-2</v>
      </c>
      <c r="R27" s="9">
        <f t="shared" si="6"/>
        <v>0</v>
      </c>
      <c r="S27" s="9">
        <f t="shared" si="7"/>
        <v>1.324192018605397E-2</v>
      </c>
      <c r="T27" s="10">
        <f t="shared" si="19"/>
        <v>5.2938728896791631E-2</v>
      </c>
      <c r="U27" s="10">
        <f t="shared" si="20"/>
        <v>0.12436673981917967</v>
      </c>
      <c r="V27" s="10">
        <f t="shared" si="21"/>
        <v>-5.8952341718457424E-2</v>
      </c>
      <c r="W27" s="10">
        <f t="shared" si="22"/>
        <v>6.6022991332351691E-2</v>
      </c>
      <c r="X27" s="10">
        <f t="shared" si="23"/>
        <v>0.18273615442102198</v>
      </c>
      <c r="Y27" s="10">
        <f t="shared" si="24"/>
        <v>5.1802092844264847E-2</v>
      </c>
      <c r="Z27" s="10">
        <f t="shared" si="25"/>
        <v>-0.18273615442102198</v>
      </c>
      <c r="AA27" s="10">
        <f t="shared" si="26"/>
        <v>-5.1802092844264847E-2</v>
      </c>
      <c r="AB27" s="7">
        <f t="shared" si="11"/>
        <v>0.18437611832986556</v>
      </c>
      <c r="AC27" s="7">
        <v>0.27709750302482949</v>
      </c>
    </row>
    <row r="28" spans="1:29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11">
        <v>1</v>
      </c>
      <c r="I28" s="11">
        <v>-1</v>
      </c>
      <c r="J28" s="12">
        <v>1</v>
      </c>
      <c r="K28" s="12">
        <v>-1</v>
      </c>
      <c r="L28" s="9">
        <f t="shared" si="9"/>
        <v>1.7722429227709498E-2</v>
      </c>
      <c r="M28" s="9">
        <f t="shared" si="1"/>
        <v>0</v>
      </c>
      <c r="N28" s="9">
        <f t="shared" si="2"/>
        <v>1.8256870750822381E-3</v>
      </c>
      <c r="O28" s="9">
        <f t="shared" si="3"/>
        <v>0</v>
      </c>
      <c r="P28" s="9">
        <f t="shared" si="4"/>
        <v>0</v>
      </c>
      <c r="Q28" s="9">
        <f t="shared" si="5"/>
        <v>-1.523284351360177E-2</v>
      </c>
      <c r="R28" s="9">
        <f t="shared" si="6"/>
        <v>0</v>
      </c>
      <c r="S28" s="9">
        <f t="shared" si="7"/>
        <v>1.523284351360177E-2</v>
      </c>
      <c r="T28" s="10">
        <f t="shared" si="19"/>
        <v>7.0661158124501133E-2</v>
      </c>
      <c r="U28" s="10">
        <f t="shared" si="20"/>
        <v>0.12436673981917967</v>
      </c>
      <c r="V28" s="10">
        <f t="shared" si="21"/>
        <v>-5.7126654643375185E-2</v>
      </c>
      <c r="W28" s="10">
        <f t="shared" si="22"/>
        <v>6.6022991332351691E-2</v>
      </c>
      <c r="X28" s="10">
        <f t="shared" si="23"/>
        <v>0.18273615442102198</v>
      </c>
      <c r="Y28" s="10">
        <f t="shared" si="24"/>
        <v>3.6569249330663078E-2</v>
      </c>
      <c r="Z28" s="10">
        <f t="shared" si="25"/>
        <v>-0.18273615442102198</v>
      </c>
      <c r="AA28" s="10">
        <f t="shared" si="26"/>
        <v>-3.6569249330663078E-2</v>
      </c>
      <c r="AB28" s="7">
        <f t="shared" si="11"/>
        <v>0.2039242346326573</v>
      </c>
      <c r="AC28" s="7">
        <v>0.29058385211662419</v>
      </c>
    </row>
    <row r="29" spans="1:29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11">
        <v>-1</v>
      </c>
      <c r="I29" s="11">
        <v>1</v>
      </c>
      <c r="J29" s="12">
        <v>-1</v>
      </c>
      <c r="K29" s="12">
        <v>-1</v>
      </c>
      <c r="L29" s="9">
        <f t="shared" si="9"/>
        <v>0</v>
      </c>
      <c r="M29" s="9">
        <f t="shared" si="1"/>
        <v>-4.0206493505484664E-3</v>
      </c>
      <c r="N29" s="9">
        <f t="shared" si="2"/>
        <v>0</v>
      </c>
      <c r="O29" s="9">
        <f t="shared" si="3"/>
        <v>-1.496609826230633E-2</v>
      </c>
      <c r="P29" s="9">
        <f t="shared" si="4"/>
        <v>3.56028068054699E-2</v>
      </c>
      <c r="Q29" s="9">
        <f t="shared" si="5"/>
        <v>0</v>
      </c>
      <c r="R29" s="9">
        <f t="shared" si="6"/>
        <v>-3.56028068054699E-2</v>
      </c>
      <c r="S29" s="9">
        <f t="shared" si="7"/>
        <v>0</v>
      </c>
      <c r="T29" s="10">
        <f t="shared" si="19"/>
        <v>7.0661158124501133E-2</v>
      </c>
      <c r="U29" s="10">
        <f t="shared" si="20"/>
        <v>0.12034609046863121</v>
      </c>
      <c r="V29" s="10">
        <f t="shared" si="21"/>
        <v>-5.7126654643375185E-2</v>
      </c>
      <c r="W29" s="10">
        <f t="shared" si="22"/>
        <v>5.1056893070045364E-2</v>
      </c>
      <c r="X29" s="10">
        <f t="shared" si="23"/>
        <v>0.21833896122649188</v>
      </c>
      <c r="Y29" s="10">
        <f t="shared" si="24"/>
        <v>3.6569249330663078E-2</v>
      </c>
      <c r="Z29" s="10">
        <f t="shared" si="25"/>
        <v>-0.21833896122649188</v>
      </c>
      <c r="AA29" s="10">
        <f t="shared" si="26"/>
        <v>-3.6569249330663078E-2</v>
      </c>
      <c r="AB29" s="7">
        <f t="shared" si="11"/>
        <v>0.1849374870198025</v>
      </c>
      <c r="AC29" s="7">
        <v>0.33453187638071752</v>
      </c>
    </row>
    <row r="30" spans="1:29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11">
        <v>1</v>
      </c>
      <c r="I30" s="11">
        <v>-1</v>
      </c>
      <c r="J30" s="12">
        <v>1</v>
      </c>
      <c r="K30" s="12">
        <v>1</v>
      </c>
      <c r="L30" s="9">
        <f t="shared" si="9"/>
        <v>4.0047232207830463E-3</v>
      </c>
      <c r="M30" s="9">
        <f t="shared" si="1"/>
        <v>0</v>
      </c>
      <c r="N30" s="9">
        <f t="shared" si="2"/>
        <v>3.2044002069699928E-3</v>
      </c>
      <c r="O30" s="9">
        <f t="shared" si="3"/>
        <v>0</v>
      </c>
      <c r="P30" s="9">
        <f t="shared" si="4"/>
        <v>0</v>
      </c>
      <c r="Q30" s="9">
        <f t="shared" si="5"/>
        <v>-1.8883103659042E-3</v>
      </c>
      <c r="R30" s="9">
        <f t="shared" si="6"/>
        <v>0</v>
      </c>
      <c r="S30" s="9">
        <f t="shared" si="7"/>
        <v>1.8883103659042E-3</v>
      </c>
      <c r="T30" s="10">
        <f t="shared" si="19"/>
        <v>7.466588134528418E-2</v>
      </c>
      <c r="U30" s="10">
        <f t="shared" si="20"/>
        <v>0.12034609046863121</v>
      </c>
      <c r="V30" s="10">
        <f t="shared" si="21"/>
        <v>-5.3922254436405193E-2</v>
      </c>
      <c r="W30" s="10">
        <f t="shared" si="22"/>
        <v>5.1056893070045364E-2</v>
      </c>
      <c r="X30" s="10">
        <f t="shared" si="23"/>
        <v>0.21833896122649188</v>
      </c>
      <c r="Y30" s="10">
        <f t="shared" si="24"/>
        <v>3.4680938964758878E-2</v>
      </c>
      <c r="Z30" s="10">
        <f t="shared" si="25"/>
        <v>-0.21833896122649188</v>
      </c>
      <c r="AA30" s="10">
        <f t="shared" si="26"/>
        <v>-3.4680938964758878E-2</v>
      </c>
      <c r="AB30" s="7">
        <f t="shared" si="11"/>
        <v>0.19214661044755554</v>
      </c>
      <c r="AC30" s="7">
        <v>0.36446218232457062</v>
      </c>
    </row>
    <row r="31" spans="1:29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11">
        <v>1</v>
      </c>
      <c r="I31" s="11">
        <v>-1</v>
      </c>
      <c r="J31" s="12">
        <v>1</v>
      </c>
      <c r="K31" s="12">
        <v>-1</v>
      </c>
      <c r="L31" s="9">
        <f t="shared" si="9"/>
        <v>1.3748420119299221E-2</v>
      </c>
      <c r="M31" s="9">
        <f t="shared" si="1"/>
        <v>0</v>
      </c>
      <c r="N31" s="9">
        <f t="shared" si="2"/>
        <v>-3.4884840607457561E-3</v>
      </c>
      <c r="O31" s="9">
        <f t="shared" si="3"/>
        <v>0</v>
      </c>
      <c r="P31" s="9">
        <f t="shared" si="4"/>
        <v>0</v>
      </c>
      <c r="Q31" s="9">
        <f t="shared" si="5"/>
        <v>2.018477097283122E-2</v>
      </c>
      <c r="R31" s="9">
        <f t="shared" si="6"/>
        <v>0</v>
      </c>
      <c r="S31" s="9">
        <f t="shared" si="7"/>
        <v>-2.018477097283122E-2</v>
      </c>
      <c r="T31" s="10">
        <f t="shared" si="19"/>
        <v>8.84143014645834E-2</v>
      </c>
      <c r="U31" s="10">
        <f t="shared" si="20"/>
        <v>0.12034609046863121</v>
      </c>
      <c r="V31" s="10">
        <f t="shared" si="21"/>
        <v>-5.7410738497150948E-2</v>
      </c>
      <c r="W31" s="10">
        <f t="shared" si="22"/>
        <v>5.1056893070045364E-2</v>
      </c>
      <c r="X31" s="10">
        <f t="shared" si="23"/>
        <v>0.21833896122649188</v>
      </c>
      <c r="Y31" s="10">
        <f t="shared" si="24"/>
        <v>5.4865709937590101E-2</v>
      </c>
      <c r="Z31" s="10">
        <f t="shared" si="25"/>
        <v>-0.21833896122649188</v>
      </c>
      <c r="AA31" s="10">
        <f t="shared" si="26"/>
        <v>-5.4865709937590101E-2</v>
      </c>
      <c r="AB31" s="7">
        <f t="shared" si="11"/>
        <v>0.20240654650610901</v>
      </c>
      <c r="AC31" s="7">
        <v>0.34217435058566648</v>
      </c>
    </row>
    <row r="32" spans="1:29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11">
        <v>-1</v>
      </c>
      <c r="I32" s="11">
        <v>1</v>
      </c>
      <c r="J32" s="12">
        <v>-1</v>
      </c>
      <c r="K32" s="12">
        <v>-1</v>
      </c>
      <c r="L32" s="9">
        <f t="shared" si="9"/>
        <v>0</v>
      </c>
      <c r="M32" s="9">
        <f t="shared" si="1"/>
        <v>-1.708929655990055E-2</v>
      </c>
      <c r="N32" s="9">
        <f t="shared" si="2"/>
        <v>0</v>
      </c>
      <c r="O32" s="9">
        <f t="shared" si="3"/>
        <v>-4.7983080293456659E-3</v>
      </c>
      <c r="P32" s="9">
        <f t="shared" si="4"/>
        <v>1.6120656861561829E-2</v>
      </c>
      <c r="Q32" s="9">
        <f t="shared" si="5"/>
        <v>0</v>
      </c>
      <c r="R32" s="9">
        <f t="shared" si="6"/>
        <v>-1.6120656861561829E-2</v>
      </c>
      <c r="S32" s="9">
        <f t="shared" si="7"/>
        <v>0</v>
      </c>
      <c r="T32" s="10">
        <f t="shared" si="19"/>
        <v>8.84143014645834E-2</v>
      </c>
      <c r="U32" s="10">
        <f t="shared" si="20"/>
        <v>0.10325679390873066</v>
      </c>
      <c r="V32" s="10">
        <f t="shared" si="21"/>
        <v>-5.7410738497150948E-2</v>
      </c>
      <c r="W32" s="10">
        <f t="shared" si="22"/>
        <v>4.6258585040699698E-2</v>
      </c>
      <c r="X32" s="10">
        <f t="shared" si="23"/>
        <v>0.23445961808805371</v>
      </c>
      <c r="Y32" s="10">
        <f t="shared" si="24"/>
        <v>5.4865709937590101E-2</v>
      </c>
      <c r="Z32" s="10">
        <f t="shared" si="25"/>
        <v>-0.23445961808805371</v>
      </c>
      <c r="AA32" s="10">
        <f t="shared" si="26"/>
        <v>-5.4865709937590101E-2</v>
      </c>
      <c r="AB32" s="7">
        <f t="shared" si="11"/>
        <v>0.1805189419168628</v>
      </c>
      <c r="AC32" s="7">
        <v>0.36329086728774268</v>
      </c>
    </row>
    <row r="33" spans="1:29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11">
        <v>1</v>
      </c>
      <c r="I33" s="11">
        <v>-1</v>
      </c>
      <c r="J33" s="12">
        <v>1</v>
      </c>
      <c r="K33" s="12">
        <v>1</v>
      </c>
      <c r="L33" s="9">
        <f t="shared" si="9"/>
        <v>-1.009193205521175E-3</v>
      </c>
      <c r="M33" s="9">
        <f t="shared" si="1"/>
        <v>0</v>
      </c>
      <c r="N33" s="9">
        <f t="shared" si="2"/>
        <v>-1.0362394448728111E-2</v>
      </c>
      <c r="O33" s="9">
        <f t="shared" si="3"/>
        <v>0</v>
      </c>
      <c r="P33" s="9">
        <f t="shared" si="4"/>
        <v>0</v>
      </c>
      <c r="Q33" s="9">
        <f t="shared" si="5"/>
        <v>-1.7837170024897708E-2</v>
      </c>
      <c r="R33" s="9">
        <f t="shared" si="6"/>
        <v>0</v>
      </c>
      <c r="S33" s="9">
        <f t="shared" si="7"/>
        <v>1.7837170024897708E-2</v>
      </c>
      <c r="T33" s="10">
        <f t="shared" si="19"/>
        <v>8.7405108259062225E-2</v>
      </c>
      <c r="U33" s="10">
        <f t="shared" si="20"/>
        <v>0.10325679390873066</v>
      </c>
      <c r="V33" s="10">
        <f t="shared" si="21"/>
        <v>-6.7773132945879055E-2</v>
      </c>
      <c r="W33" s="10">
        <f t="shared" si="22"/>
        <v>4.6258585040699698E-2</v>
      </c>
      <c r="X33" s="10">
        <f t="shared" si="23"/>
        <v>0.23445961808805371</v>
      </c>
      <c r="Y33" s="10">
        <f t="shared" si="24"/>
        <v>3.7028539912692393E-2</v>
      </c>
      <c r="Z33" s="10">
        <f t="shared" si="25"/>
        <v>-0.23445961808805371</v>
      </c>
      <c r="AA33" s="10">
        <f t="shared" si="26"/>
        <v>-3.7028539912692393E-2</v>
      </c>
      <c r="AB33" s="7">
        <f t="shared" si="11"/>
        <v>0.16914735426261351</v>
      </c>
      <c r="AC33" s="7">
        <v>0.34529520539511283</v>
      </c>
    </row>
    <row r="34" spans="1:29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11">
        <v>1</v>
      </c>
      <c r="I34" s="11">
        <v>-1</v>
      </c>
      <c r="J34" s="12">
        <v>1</v>
      </c>
      <c r="K34" s="12">
        <v>-1</v>
      </c>
      <c r="L34" s="9">
        <f t="shared" si="9"/>
        <v>-1.989333887360889E-3</v>
      </c>
      <c r="M34" s="9">
        <f t="shared" si="1"/>
        <v>0</v>
      </c>
      <c r="N34" s="9">
        <f t="shared" si="2"/>
        <v>-1.896700529611273E-2</v>
      </c>
      <c r="O34" s="9">
        <f t="shared" si="3"/>
        <v>0</v>
      </c>
      <c r="P34" s="9">
        <f t="shared" si="4"/>
        <v>0</v>
      </c>
      <c r="Q34" s="9">
        <f t="shared" si="5"/>
        <v>-1.083611030251797E-2</v>
      </c>
      <c r="R34" s="9">
        <f t="shared" si="6"/>
        <v>0</v>
      </c>
      <c r="S34" s="9">
        <f t="shared" si="7"/>
        <v>1.083611030251797E-2</v>
      </c>
      <c r="T34" s="10">
        <f t="shared" si="19"/>
        <v>8.5415774371701336E-2</v>
      </c>
      <c r="U34" s="10">
        <f t="shared" si="20"/>
        <v>0.10325679390873066</v>
      </c>
      <c r="V34" s="10">
        <f t="shared" si="21"/>
        <v>-8.6740138241991782E-2</v>
      </c>
      <c r="W34" s="10">
        <f t="shared" si="22"/>
        <v>4.6258585040699698E-2</v>
      </c>
      <c r="X34" s="10">
        <f t="shared" si="23"/>
        <v>0.23445961808805371</v>
      </c>
      <c r="Y34" s="10">
        <f t="shared" si="24"/>
        <v>2.6192429610174421E-2</v>
      </c>
      <c r="Z34" s="10">
        <f t="shared" si="25"/>
        <v>-0.23445961808805371</v>
      </c>
      <c r="AA34" s="10">
        <f t="shared" si="26"/>
        <v>-2.6192429610174421E-2</v>
      </c>
      <c r="AB34" s="7">
        <f t="shared" si="11"/>
        <v>0.1481910150791399</v>
      </c>
      <c r="AC34" s="7">
        <v>0.32732344108896139</v>
      </c>
    </row>
    <row r="35" spans="1:29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11">
        <v>-1</v>
      </c>
      <c r="I35" s="11">
        <v>1</v>
      </c>
      <c r="J35" s="12">
        <v>-1</v>
      </c>
      <c r="K35" s="12">
        <v>-1</v>
      </c>
      <c r="L35" s="9">
        <f t="shared" si="9"/>
        <v>0</v>
      </c>
      <c r="M35" s="9">
        <f t="shared" si="1"/>
        <v>-3.0719770505799331E-3</v>
      </c>
      <c r="N35" s="9">
        <f t="shared" si="2"/>
        <v>0</v>
      </c>
      <c r="O35" s="9">
        <f t="shared" si="3"/>
        <v>1.669294460527437E-2</v>
      </c>
      <c r="P35" s="9">
        <f t="shared" si="4"/>
        <v>1.156173082509959E-2</v>
      </c>
      <c r="Q35" s="9">
        <f t="shared" si="5"/>
        <v>0</v>
      </c>
      <c r="R35" s="9">
        <f t="shared" si="6"/>
        <v>-1.156173082509959E-2</v>
      </c>
      <c r="S35" s="9">
        <f t="shared" si="7"/>
        <v>0</v>
      </c>
      <c r="T35" s="10">
        <f t="shared" si="19"/>
        <v>8.5415774371701336E-2</v>
      </c>
      <c r="U35" s="10">
        <f t="shared" si="20"/>
        <v>0.10018481685815073</v>
      </c>
      <c r="V35" s="10">
        <f t="shared" si="21"/>
        <v>-8.6740138241991782E-2</v>
      </c>
      <c r="W35" s="10">
        <f t="shared" si="22"/>
        <v>6.2951529645974072E-2</v>
      </c>
      <c r="X35" s="10">
        <f t="shared" si="23"/>
        <v>0.2460213489131533</v>
      </c>
      <c r="Y35" s="10">
        <f t="shared" si="24"/>
        <v>2.6192429610174421E-2</v>
      </c>
      <c r="Z35" s="10">
        <f t="shared" si="25"/>
        <v>-0.2460213489131533</v>
      </c>
      <c r="AA35" s="10">
        <f t="shared" si="26"/>
        <v>-2.6192429610174421E-2</v>
      </c>
      <c r="AB35" s="7">
        <f t="shared" si="11"/>
        <v>0.16181198263383434</v>
      </c>
      <c r="AC35" s="7">
        <v>0.35942543779483799</v>
      </c>
    </row>
    <row r="36" spans="1:29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11">
        <v>-1</v>
      </c>
      <c r="I36" s="11">
        <v>1</v>
      </c>
      <c r="J36" s="12">
        <v>-1</v>
      </c>
      <c r="K36" s="12">
        <v>1</v>
      </c>
      <c r="L36" s="9">
        <f t="shared" si="9"/>
        <v>0</v>
      </c>
      <c r="M36" s="9">
        <f t="shared" si="1"/>
        <v>1.8850487705647009E-2</v>
      </c>
      <c r="N36" s="9">
        <f t="shared" si="2"/>
        <v>0</v>
      </c>
      <c r="O36" s="9">
        <f t="shared" si="3"/>
        <v>1.9365892432761211E-2</v>
      </c>
      <c r="P36" s="9">
        <f t="shared" si="4"/>
        <v>5.4774618271681286E-3</v>
      </c>
      <c r="Q36" s="9">
        <f t="shared" si="5"/>
        <v>0</v>
      </c>
      <c r="R36" s="9">
        <f t="shared" si="6"/>
        <v>-5.4774618271681286E-3</v>
      </c>
      <c r="S36" s="9">
        <f t="shared" si="7"/>
        <v>0</v>
      </c>
      <c r="T36" s="10">
        <f t="shared" si="19"/>
        <v>8.5415774371701336E-2</v>
      </c>
      <c r="U36" s="10">
        <f t="shared" si="20"/>
        <v>0.11903530456379774</v>
      </c>
      <c r="V36" s="10">
        <f t="shared" si="21"/>
        <v>-8.6740138241991782E-2</v>
      </c>
      <c r="W36" s="10">
        <f t="shared" si="22"/>
        <v>8.2317422078735283E-2</v>
      </c>
      <c r="X36" s="10">
        <f t="shared" si="23"/>
        <v>0.25149881074032143</v>
      </c>
      <c r="Y36" s="10">
        <f t="shared" si="24"/>
        <v>2.6192429610174421E-2</v>
      </c>
      <c r="Z36" s="10">
        <f t="shared" si="25"/>
        <v>-0.25149881074032143</v>
      </c>
      <c r="AA36" s="10">
        <f t="shared" si="26"/>
        <v>-2.6192429610174421E-2</v>
      </c>
      <c r="AB36" s="7">
        <f t="shared" si="11"/>
        <v>0.20002836277224256</v>
      </c>
      <c r="AC36" s="7">
        <v>0.36120853539742348</v>
      </c>
    </row>
    <row r="37" spans="1:29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11">
        <v>-1</v>
      </c>
      <c r="I37" s="11">
        <v>1</v>
      </c>
      <c r="J37" s="12">
        <v>-1</v>
      </c>
      <c r="K37" s="12">
        <v>1</v>
      </c>
      <c r="L37" s="9">
        <f t="shared" si="9"/>
        <v>0</v>
      </c>
      <c r="M37" s="9">
        <f t="shared" si="1"/>
        <v>-1.6705690651236389E-3</v>
      </c>
      <c r="N37" s="9">
        <f t="shared" si="2"/>
        <v>0</v>
      </c>
      <c r="O37" s="9">
        <f t="shared" si="3"/>
        <v>-4.6160898041524012E-3</v>
      </c>
      <c r="P37" s="9">
        <f t="shared" si="4"/>
        <v>1.7940667277864138E-2</v>
      </c>
      <c r="Q37" s="9">
        <f t="shared" si="5"/>
        <v>0</v>
      </c>
      <c r="R37" s="9">
        <f t="shared" si="6"/>
        <v>-1.7940667277864138E-2</v>
      </c>
      <c r="S37" s="9">
        <f t="shared" si="7"/>
        <v>0</v>
      </c>
      <c r="T37" s="10">
        <f t="shared" si="19"/>
        <v>8.5415774371701336E-2</v>
      </c>
      <c r="U37" s="10">
        <f t="shared" si="20"/>
        <v>0.1173647354986741</v>
      </c>
      <c r="V37" s="10">
        <f t="shared" si="21"/>
        <v>-8.6740138241991782E-2</v>
      </c>
      <c r="W37" s="10">
        <f t="shared" si="22"/>
        <v>7.7701332274582882E-2</v>
      </c>
      <c r="X37" s="10">
        <f t="shared" si="23"/>
        <v>0.26943947801818557</v>
      </c>
      <c r="Y37" s="10">
        <f t="shared" si="24"/>
        <v>2.6192429610174421E-2</v>
      </c>
      <c r="Z37" s="10">
        <f t="shared" si="25"/>
        <v>-0.26943947801818557</v>
      </c>
      <c r="AA37" s="10">
        <f t="shared" si="26"/>
        <v>-2.6192429610174421E-2</v>
      </c>
      <c r="AB37" s="7">
        <f t="shared" si="11"/>
        <v>0.19374170390296652</v>
      </c>
      <c r="AC37" s="7">
        <v>0.39904651411953063</v>
      </c>
    </row>
    <row r="38" spans="1:29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11">
        <v>1</v>
      </c>
      <c r="I38" s="11">
        <v>-1</v>
      </c>
      <c r="J38" s="12">
        <v>1</v>
      </c>
      <c r="K38" s="12">
        <v>1</v>
      </c>
      <c r="L38" s="9">
        <f t="shared" si="9"/>
        <v>1.0922253866132441E-3</v>
      </c>
      <c r="M38" s="9">
        <f t="shared" si="1"/>
        <v>0</v>
      </c>
      <c r="N38" s="9">
        <f t="shared" si="2"/>
        <v>-2.33642713146065E-2</v>
      </c>
      <c r="O38" s="9">
        <f t="shared" si="3"/>
        <v>0</v>
      </c>
      <c r="P38" s="9">
        <f t="shared" si="4"/>
        <v>0</v>
      </c>
      <c r="Q38" s="9">
        <f t="shared" si="5"/>
        <v>6.897210664049136E-3</v>
      </c>
      <c r="R38" s="9">
        <f t="shared" si="6"/>
        <v>0</v>
      </c>
      <c r="S38" s="9">
        <f t="shared" si="7"/>
        <v>-6.897210664049136E-3</v>
      </c>
      <c r="T38" s="10">
        <f t="shared" si="19"/>
        <v>8.650799975831458E-2</v>
      </c>
      <c r="U38" s="10">
        <f t="shared" si="20"/>
        <v>0.1173647354986741</v>
      </c>
      <c r="V38" s="10">
        <f t="shared" si="21"/>
        <v>-0.11010440955659828</v>
      </c>
      <c r="W38" s="10">
        <f t="shared" si="22"/>
        <v>7.7701332274582882E-2</v>
      </c>
      <c r="X38" s="10">
        <f t="shared" si="23"/>
        <v>0.26943947801818557</v>
      </c>
      <c r="Y38" s="10">
        <f t="shared" si="24"/>
        <v>3.3089640274223557E-2</v>
      </c>
      <c r="Z38" s="10">
        <f t="shared" si="25"/>
        <v>-0.26943947801818557</v>
      </c>
      <c r="AA38" s="10">
        <f t="shared" si="26"/>
        <v>-3.3089640274223557E-2</v>
      </c>
      <c r="AB38" s="7">
        <f t="shared" si="11"/>
        <v>0.17146965797497327</v>
      </c>
      <c r="AC38" s="7">
        <v>0.39005356487816362</v>
      </c>
    </row>
    <row r="39" spans="1:29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11">
        <v>-1</v>
      </c>
      <c r="I39" s="11">
        <v>1</v>
      </c>
      <c r="J39" s="12">
        <v>-1</v>
      </c>
      <c r="K39" s="12">
        <v>-1</v>
      </c>
      <c r="L39" s="9">
        <f t="shared" si="9"/>
        <v>0</v>
      </c>
      <c r="M39" s="9">
        <f t="shared" si="1"/>
        <v>-1.3952550693553171E-2</v>
      </c>
      <c r="N39" s="9">
        <f t="shared" si="2"/>
        <v>0</v>
      </c>
      <c r="O39" s="9">
        <f t="shared" si="3"/>
        <v>-1.1890033877296259E-2</v>
      </c>
      <c r="P39" s="9">
        <f t="shared" si="4"/>
        <v>7.5538140546146382E-3</v>
      </c>
      <c r="Q39" s="9">
        <f t="shared" si="5"/>
        <v>0</v>
      </c>
      <c r="R39" s="9">
        <f t="shared" si="6"/>
        <v>-7.5538140546146382E-3</v>
      </c>
      <c r="S39" s="9">
        <f t="shared" si="7"/>
        <v>0</v>
      </c>
      <c r="T39" s="10">
        <f t="shared" si="19"/>
        <v>8.650799975831458E-2</v>
      </c>
      <c r="U39" s="10">
        <f t="shared" si="20"/>
        <v>0.10341218480512093</v>
      </c>
      <c r="V39" s="10">
        <f t="shared" si="21"/>
        <v>-0.11010440955659828</v>
      </c>
      <c r="W39" s="10">
        <f t="shared" si="22"/>
        <v>6.5811298397286624E-2</v>
      </c>
      <c r="X39" s="10">
        <f t="shared" si="23"/>
        <v>0.27699329207280021</v>
      </c>
      <c r="Y39" s="10">
        <f t="shared" si="24"/>
        <v>3.3089640274223557E-2</v>
      </c>
      <c r="Z39" s="10">
        <f t="shared" si="25"/>
        <v>-0.27699329207280021</v>
      </c>
      <c r="AA39" s="10">
        <f t="shared" si="26"/>
        <v>-3.3089640274223557E-2</v>
      </c>
      <c r="AB39" s="7">
        <f t="shared" si="11"/>
        <v>0.14562707340412384</v>
      </c>
      <c r="AC39" s="7">
        <v>0.39834344415354239</v>
      </c>
    </row>
    <row r="40" spans="1:29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11">
        <v>1</v>
      </c>
      <c r="I40" s="11">
        <v>-1</v>
      </c>
      <c r="J40" s="12">
        <v>1</v>
      </c>
      <c r="K40" s="12">
        <v>1</v>
      </c>
      <c r="L40" s="9">
        <f t="shared" si="9"/>
        <v>1.707709698465909E-2</v>
      </c>
      <c r="M40" s="9">
        <f t="shared" si="1"/>
        <v>0</v>
      </c>
      <c r="N40" s="9">
        <f t="shared" si="2"/>
        <v>1.8108628355203989E-2</v>
      </c>
      <c r="O40" s="9">
        <f t="shared" si="3"/>
        <v>0</v>
      </c>
      <c r="P40" s="9">
        <f t="shared" si="4"/>
        <v>0</v>
      </c>
      <c r="Q40" s="9">
        <f t="shared" si="5"/>
        <v>2.8103858588412689E-2</v>
      </c>
      <c r="R40" s="9">
        <f t="shared" si="6"/>
        <v>0</v>
      </c>
      <c r="S40" s="9">
        <f t="shared" si="7"/>
        <v>-2.8103858588412689E-2</v>
      </c>
      <c r="T40" s="10">
        <f t="shared" si="19"/>
        <v>0.10358509674297367</v>
      </c>
      <c r="U40" s="10">
        <f t="shared" si="20"/>
        <v>0.10341218480512093</v>
      </c>
      <c r="V40" s="10">
        <f t="shared" si="21"/>
        <v>-9.1995781201394289E-2</v>
      </c>
      <c r="W40" s="10">
        <f t="shared" si="22"/>
        <v>6.5811298397286624E-2</v>
      </c>
      <c r="X40" s="10">
        <f t="shared" si="23"/>
        <v>0.27699329207280021</v>
      </c>
      <c r="Y40" s="10">
        <f t="shared" si="24"/>
        <v>6.1193498862636246E-2</v>
      </c>
      <c r="Z40" s="10">
        <f t="shared" si="25"/>
        <v>-0.27699329207280021</v>
      </c>
      <c r="AA40" s="10">
        <f t="shared" si="26"/>
        <v>-6.1193498862636246E-2</v>
      </c>
      <c r="AB40" s="7">
        <f t="shared" si="11"/>
        <v>0.18081279874398692</v>
      </c>
      <c r="AC40" s="7">
        <v>0.37535667502527797</v>
      </c>
    </row>
    <row r="41" spans="1:29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11">
        <v>-1</v>
      </c>
      <c r="I41" s="11">
        <v>1</v>
      </c>
      <c r="J41" s="12">
        <v>-1</v>
      </c>
      <c r="K41" s="12">
        <v>-1</v>
      </c>
      <c r="L41" s="9">
        <f t="shared" si="9"/>
        <v>0</v>
      </c>
      <c r="M41" s="9">
        <f t="shared" si="1"/>
        <v>2.7204645949528978E-3</v>
      </c>
      <c r="N41" s="9">
        <f t="shared" si="2"/>
        <v>0</v>
      </c>
      <c r="O41" s="9">
        <f t="shared" si="3"/>
        <v>-4.4717668762676022E-3</v>
      </c>
      <c r="P41" s="9">
        <f t="shared" si="4"/>
        <v>1.739920876654721E-2</v>
      </c>
      <c r="Q41" s="9">
        <f t="shared" si="5"/>
        <v>0</v>
      </c>
      <c r="R41" s="9">
        <f t="shared" si="6"/>
        <v>-1.739920876654721E-2</v>
      </c>
      <c r="S41" s="9">
        <f t="shared" si="7"/>
        <v>0</v>
      </c>
      <c r="T41" s="10">
        <f t="shared" si="19"/>
        <v>0.10358509674297367</v>
      </c>
      <c r="U41" s="10">
        <f t="shared" si="20"/>
        <v>0.10613264940007383</v>
      </c>
      <c r="V41" s="10">
        <f t="shared" si="21"/>
        <v>-9.1995781201394289E-2</v>
      </c>
      <c r="W41" s="10">
        <f t="shared" si="22"/>
        <v>6.1339531521019022E-2</v>
      </c>
      <c r="X41" s="10">
        <f t="shared" si="23"/>
        <v>0.29439250083934743</v>
      </c>
      <c r="Y41" s="10">
        <f t="shared" si="24"/>
        <v>6.1193498862636246E-2</v>
      </c>
      <c r="Z41" s="10">
        <f t="shared" si="25"/>
        <v>-0.29439250083934743</v>
      </c>
      <c r="AA41" s="10">
        <f t="shared" si="26"/>
        <v>-6.1193498862636246E-2</v>
      </c>
      <c r="AB41" s="7">
        <f t="shared" si="11"/>
        <v>0.17906149646267222</v>
      </c>
      <c r="AC41" s="7">
        <v>0.41861505997257831</v>
      </c>
    </row>
    <row r="42" spans="1:29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11">
        <v>-1</v>
      </c>
      <c r="I42" s="11">
        <v>1</v>
      </c>
      <c r="J42" s="12">
        <v>-1</v>
      </c>
      <c r="K42" s="12">
        <v>1</v>
      </c>
      <c r="L42" s="9">
        <f t="shared" si="9"/>
        <v>0</v>
      </c>
      <c r="M42" s="9">
        <f t="shared" si="1"/>
        <v>1.204074378787434E-2</v>
      </c>
      <c r="N42" s="9">
        <f t="shared" si="2"/>
        <v>0</v>
      </c>
      <c r="O42" s="9">
        <f t="shared" si="3"/>
        <v>1.9369391412684681E-2</v>
      </c>
      <c r="P42" s="9">
        <f t="shared" si="4"/>
        <v>5.4019445998462201E-3</v>
      </c>
      <c r="Q42" s="9">
        <f t="shared" si="5"/>
        <v>0</v>
      </c>
      <c r="R42" s="9">
        <f t="shared" si="6"/>
        <v>-5.4019445998462201E-3</v>
      </c>
      <c r="S42" s="9">
        <f t="shared" si="7"/>
        <v>0</v>
      </c>
      <c r="T42" s="10">
        <f t="shared" si="19"/>
        <v>0.10358509674297367</v>
      </c>
      <c r="U42" s="10">
        <f t="shared" si="20"/>
        <v>0.11817339318794817</v>
      </c>
      <c r="V42" s="10">
        <f t="shared" si="21"/>
        <v>-9.1995781201394289E-2</v>
      </c>
      <c r="W42" s="10">
        <f t="shared" si="22"/>
        <v>8.07089229337037E-2</v>
      </c>
      <c r="X42" s="10">
        <f t="shared" si="23"/>
        <v>0.29979444543919365</v>
      </c>
      <c r="Y42" s="10">
        <f t="shared" si="24"/>
        <v>6.1193498862636246E-2</v>
      </c>
      <c r="Z42" s="10">
        <f t="shared" si="25"/>
        <v>-0.29979444543919365</v>
      </c>
      <c r="AA42" s="10">
        <f t="shared" si="26"/>
        <v>-6.1193498862636246E-2</v>
      </c>
      <c r="AB42" s="7">
        <f t="shared" si="11"/>
        <v>0.21047163166323124</v>
      </c>
      <c r="AC42" s="7">
        <v>0.4169259891506677</v>
      </c>
    </row>
    <row r="43" spans="1:29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11">
        <v>-1</v>
      </c>
      <c r="I43" s="11">
        <v>1</v>
      </c>
      <c r="J43" s="12">
        <v>-1</v>
      </c>
      <c r="K43" s="12">
        <v>1</v>
      </c>
      <c r="L43" s="9">
        <f t="shared" si="9"/>
        <v>0</v>
      </c>
      <c r="M43" s="9">
        <f t="shared" si="1"/>
        <v>-7.5641466990244988E-3</v>
      </c>
      <c r="N43" s="9">
        <f t="shared" si="2"/>
        <v>0</v>
      </c>
      <c r="O43" s="9">
        <f t="shared" si="3"/>
        <v>-1.340158722774942E-2</v>
      </c>
      <c r="P43" s="9">
        <f t="shared" si="4"/>
        <v>3.3844050679922473E-2</v>
      </c>
      <c r="Q43" s="9">
        <f t="shared" si="5"/>
        <v>0</v>
      </c>
      <c r="R43" s="9">
        <f t="shared" si="6"/>
        <v>-3.3844050679922473E-2</v>
      </c>
      <c r="S43" s="9">
        <f t="shared" si="7"/>
        <v>0</v>
      </c>
      <c r="T43" s="10">
        <f t="shared" si="19"/>
        <v>0.10358509674297367</v>
      </c>
      <c r="U43" s="10">
        <f t="shared" si="20"/>
        <v>0.11060924648892367</v>
      </c>
      <c r="V43" s="10">
        <f t="shared" si="21"/>
        <v>-9.1995781201394289E-2</v>
      </c>
      <c r="W43" s="10">
        <f t="shared" si="22"/>
        <v>6.7307335705954277E-2</v>
      </c>
      <c r="X43" s="10">
        <f t="shared" si="23"/>
        <v>0.33363849611911611</v>
      </c>
      <c r="Y43" s="10">
        <f t="shared" si="24"/>
        <v>6.1193498862636246E-2</v>
      </c>
      <c r="Z43" s="10">
        <f t="shared" si="25"/>
        <v>-0.33363849611911611</v>
      </c>
      <c r="AA43" s="10">
        <f t="shared" si="26"/>
        <v>-6.1193498862636246E-2</v>
      </c>
      <c r="AB43" s="7">
        <f t="shared" si="11"/>
        <v>0.18950589773645732</v>
      </c>
      <c r="AC43" s="7">
        <v>0.44115153475905572</v>
      </c>
    </row>
    <row r="44" spans="1:29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11">
        <v>-1</v>
      </c>
      <c r="I44" s="11">
        <v>1</v>
      </c>
      <c r="J44" s="12">
        <v>-1</v>
      </c>
      <c r="K44" s="12">
        <v>1</v>
      </c>
      <c r="L44" s="9">
        <f t="shared" si="9"/>
        <v>0</v>
      </c>
      <c r="M44" s="9">
        <f t="shared" si="1"/>
        <v>8.0281595170902387E-3</v>
      </c>
      <c r="N44" s="9">
        <f t="shared" si="2"/>
        <v>0</v>
      </c>
      <c r="O44" s="9">
        <f t="shared" si="3"/>
        <v>-7.4864482983161285E-4</v>
      </c>
      <c r="P44" s="9">
        <f t="shared" si="4"/>
        <v>-1.5822348533060748E-2</v>
      </c>
      <c r="Q44" s="9">
        <f t="shared" si="5"/>
        <v>0</v>
      </c>
      <c r="R44" s="9">
        <f t="shared" si="6"/>
        <v>1.5822348533060748E-2</v>
      </c>
      <c r="S44" s="9">
        <f t="shared" si="7"/>
        <v>0</v>
      </c>
      <c r="T44" s="10">
        <f t="shared" si="19"/>
        <v>0.10358509674297367</v>
      </c>
      <c r="U44" s="10">
        <f t="shared" si="20"/>
        <v>0.11863740600601391</v>
      </c>
      <c r="V44" s="10">
        <f t="shared" si="21"/>
        <v>-9.1995781201394289E-2</v>
      </c>
      <c r="W44" s="10">
        <f t="shared" si="22"/>
        <v>6.6558690876122664E-2</v>
      </c>
      <c r="X44" s="10">
        <f t="shared" si="23"/>
        <v>0.31781614758605536</v>
      </c>
      <c r="Y44" s="10">
        <f t="shared" si="24"/>
        <v>6.1193498862636246E-2</v>
      </c>
      <c r="Z44" s="10">
        <f t="shared" si="25"/>
        <v>-0.31781614758605536</v>
      </c>
      <c r="AA44" s="10">
        <f t="shared" si="26"/>
        <v>-6.1193498862636246E-2</v>
      </c>
      <c r="AB44" s="7">
        <f t="shared" si="11"/>
        <v>0.19678541242371594</v>
      </c>
      <c r="AC44" s="7">
        <v>0.44721878413807908</v>
      </c>
    </row>
    <row r="45" spans="1:29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11">
        <v>-1</v>
      </c>
      <c r="I45" s="11">
        <v>1</v>
      </c>
      <c r="J45" s="12">
        <v>-1</v>
      </c>
      <c r="K45" s="12">
        <v>1</v>
      </c>
      <c r="L45" s="9">
        <f t="shared" si="9"/>
        <v>0</v>
      </c>
      <c r="M45" s="9">
        <f t="shared" si="1"/>
        <v>-1.912521600976214E-3</v>
      </c>
      <c r="N45" s="9">
        <f t="shared" si="2"/>
        <v>0</v>
      </c>
      <c r="O45" s="9">
        <f t="shared" si="3"/>
        <v>-1.880796693564846E-2</v>
      </c>
      <c r="P45" s="9">
        <f t="shared" si="4"/>
        <v>-1.9679550459246191E-3</v>
      </c>
      <c r="Q45" s="9">
        <f t="shared" si="5"/>
        <v>0</v>
      </c>
      <c r="R45" s="9">
        <f t="shared" si="6"/>
        <v>1.9679550459246191E-3</v>
      </c>
      <c r="S45" s="9">
        <f t="shared" si="7"/>
        <v>0</v>
      </c>
      <c r="T45" s="10">
        <f t="shared" si="19"/>
        <v>0.10358509674297367</v>
      </c>
      <c r="U45" s="10">
        <f t="shared" si="20"/>
        <v>0.1167248844050377</v>
      </c>
      <c r="V45" s="10">
        <f t="shared" si="21"/>
        <v>-9.1995781201394289E-2</v>
      </c>
      <c r="W45" s="10">
        <f t="shared" si="22"/>
        <v>4.7750723940474207E-2</v>
      </c>
      <c r="X45" s="10">
        <f t="shared" si="23"/>
        <v>0.31584819254013075</v>
      </c>
      <c r="Y45" s="10">
        <f t="shared" si="24"/>
        <v>6.1193498862636246E-2</v>
      </c>
      <c r="Z45" s="10">
        <f t="shared" si="25"/>
        <v>-0.31584819254013075</v>
      </c>
      <c r="AA45" s="10">
        <f t="shared" si="26"/>
        <v>-6.1193498862636246E-2</v>
      </c>
      <c r="AB45" s="7">
        <f t="shared" si="11"/>
        <v>0.17606492388709127</v>
      </c>
      <c r="AC45" s="7">
        <v>0.46387115570287929</v>
      </c>
    </row>
    <row r="46" spans="1:29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11">
        <v>-1</v>
      </c>
      <c r="I46" s="11">
        <v>1</v>
      </c>
      <c r="J46" s="12">
        <v>-1</v>
      </c>
      <c r="K46" s="12">
        <v>1</v>
      </c>
      <c r="L46" s="9">
        <f t="shared" si="9"/>
        <v>0</v>
      </c>
      <c r="M46" s="9">
        <f t="shared" si="1"/>
        <v>-4.294409491087281E-3</v>
      </c>
      <c r="N46" s="9">
        <f t="shared" si="2"/>
        <v>0</v>
      </c>
      <c r="O46" s="9">
        <f t="shared" si="3"/>
        <v>-1.150469816720723E-2</v>
      </c>
      <c r="P46" s="9">
        <f t="shared" si="4"/>
        <v>-2.1570385020627252E-3</v>
      </c>
      <c r="Q46" s="9">
        <f t="shared" si="5"/>
        <v>0</v>
      </c>
      <c r="R46" s="9">
        <f t="shared" si="6"/>
        <v>2.1570385020627252E-3</v>
      </c>
      <c r="S46" s="9">
        <f t="shared" si="7"/>
        <v>0</v>
      </c>
      <c r="T46" s="10">
        <f t="shared" si="19"/>
        <v>0.10358509674297367</v>
      </c>
      <c r="U46" s="10">
        <f t="shared" si="20"/>
        <v>0.11243047491395042</v>
      </c>
      <c r="V46" s="10">
        <f t="shared" si="21"/>
        <v>-9.1995781201394289E-2</v>
      </c>
      <c r="W46" s="10">
        <f t="shared" si="22"/>
        <v>3.6246025773266979E-2</v>
      </c>
      <c r="X46" s="10">
        <f t="shared" si="23"/>
        <v>0.31369115403806802</v>
      </c>
      <c r="Y46" s="10">
        <f t="shared" si="24"/>
        <v>6.1193498862636246E-2</v>
      </c>
      <c r="Z46" s="10">
        <f t="shared" si="25"/>
        <v>-0.31369115403806802</v>
      </c>
      <c r="AA46" s="10">
        <f t="shared" si="26"/>
        <v>-6.1193498862636246E-2</v>
      </c>
      <c r="AB46" s="7">
        <f t="shared" si="11"/>
        <v>0.16026581622879676</v>
      </c>
      <c r="AC46" s="7">
        <v>0.47669799775347038</v>
      </c>
    </row>
    <row r="47" spans="1:29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11">
        <v>1</v>
      </c>
      <c r="I47" s="11">
        <v>-1</v>
      </c>
      <c r="J47" s="12">
        <v>1</v>
      </c>
      <c r="K47" s="12">
        <v>1</v>
      </c>
      <c r="L47" s="9">
        <f t="shared" si="9"/>
        <v>3.6213730805622069E-3</v>
      </c>
      <c r="M47" s="9">
        <f t="shared" si="1"/>
        <v>0</v>
      </c>
      <c r="N47" s="9">
        <f t="shared" si="2"/>
        <v>9.0144167273940035E-3</v>
      </c>
      <c r="O47" s="9">
        <f t="shared" si="3"/>
        <v>0</v>
      </c>
      <c r="P47" s="9">
        <f t="shared" si="4"/>
        <v>0</v>
      </c>
      <c r="Q47" s="9">
        <f t="shared" si="5"/>
        <v>-8.0688660622649788E-3</v>
      </c>
      <c r="R47" s="9">
        <f t="shared" si="6"/>
        <v>0</v>
      </c>
      <c r="S47" s="9">
        <f t="shared" si="7"/>
        <v>8.0688660622649788E-3</v>
      </c>
      <c r="T47" s="10">
        <f t="shared" si="19"/>
        <v>0.10720646982353588</v>
      </c>
      <c r="U47" s="10">
        <f t="shared" si="20"/>
        <v>0.11243047491395042</v>
      </c>
      <c r="V47" s="10">
        <f t="shared" si="21"/>
        <v>-8.2981364474000285E-2</v>
      </c>
      <c r="W47" s="10">
        <f t="shared" si="22"/>
        <v>3.6246025773266979E-2</v>
      </c>
      <c r="X47" s="10">
        <f t="shared" si="23"/>
        <v>0.31369115403806802</v>
      </c>
      <c r="Y47" s="10">
        <f t="shared" si="24"/>
        <v>5.3124632800371267E-2</v>
      </c>
      <c r="Z47" s="10">
        <f t="shared" si="25"/>
        <v>-0.31369115403806802</v>
      </c>
      <c r="AA47" s="10">
        <f t="shared" si="26"/>
        <v>-5.3124632800371267E-2</v>
      </c>
      <c r="AB47" s="7">
        <f t="shared" si="11"/>
        <v>0.17290160603675298</v>
      </c>
      <c r="AC47" s="7">
        <v>0.44701421732009972</v>
      </c>
    </row>
    <row r="48" spans="1:29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11">
        <v>1</v>
      </c>
      <c r="I48" s="11">
        <v>-1</v>
      </c>
      <c r="J48" s="12">
        <v>1</v>
      </c>
      <c r="K48" s="12">
        <v>-1</v>
      </c>
      <c r="L48" s="9">
        <f t="shared" si="9"/>
        <v>1.8276688387726892E-2</v>
      </c>
      <c r="M48" s="9">
        <f t="shared" si="1"/>
        <v>0</v>
      </c>
      <c r="N48" s="9">
        <f t="shared" si="2"/>
        <v>-3.067910039963317E-3</v>
      </c>
      <c r="O48" s="9">
        <f t="shared" si="3"/>
        <v>0</v>
      </c>
      <c r="P48" s="9">
        <f t="shared" si="4"/>
        <v>0</v>
      </c>
      <c r="Q48" s="9">
        <f t="shared" si="5"/>
        <v>1.283862143800729E-2</v>
      </c>
      <c r="R48" s="9">
        <f t="shared" si="6"/>
        <v>0</v>
      </c>
      <c r="S48" s="9">
        <f t="shared" si="7"/>
        <v>-1.283862143800729E-2</v>
      </c>
      <c r="T48" s="10">
        <f t="shared" si="19"/>
        <v>0.12548315821126277</v>
      </c>
      <c r="U48" s="10">
        <f t="shared" si="20"/>
        <v>0.11243047491395042</v>
      </c>
      <c r="V48" s="10">
        <f t="shared" si="21"/>
        <v>-8.6049274513963603E-2</v>
      </c>
      <c r="W48" s="10">
        <f t="shared" si="22"/>
        <v>3.6246025773266979E-2</v>
      </c>
      <c r="X48" s="10">
        <f t="shared" si="23"/>
        <v>0.31369115403806802</v>
      </c>
      <c r="Y48" s="10">
        <f t="shared" si="24"/>
        <v>6.5963254238378552E-2</v>
      </c>
      <c r="Z48" s="10">
        <f t="shared" si="25"/>
        <v>-0.31369115403806802</v>
      </c>
      <c r="AA48" s="10">
        <f t="shared" si="26"/>
        <v>-6.5963254238378552E-2</v>
      </c>
      <c r="AB48" s="7">
        <f t="shared" si="11"/>
        <v>0.18811038438451655</v>
      </c>
      <c r="AC48" s="7">
        <v>0.45056181099299419</v>
      </c>
    </row>
    <row r="49" spans="1:29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11">
        <v>1</v>
      </c>
      <c r="I49" s="11">
        <v>-1</v>
      </c>
      <c r="J49" s="12">
        <v>1</v>
      </c>
      <c r="K49" s="12">
        <v>-1</v>
      </c>
      <c r="L49" s="9">
        <f t="shared" si="9"/>
        <v>1.2968428901967701E-2</v>
      </c>
      <c r="M49" s="9">
        <f t="shared" si="1"/>
        <v>0</v>
      </c>
      <c r="N49" s="9">
        <f t="shared" si="2"/>
        <v>-6.2251171959197826E-3</v>
      </c>
      <c r="O49" s="9">
        <f t="shared" si="3"/>
        <v>0</v>
      </c>
      <c r="P49" s="9">
        <f t="shared" si="4"/>
        <v>0</v>
      </c>
      <c r="Q49" s="9">
        <f t="shared" si="5"/>
        <v>3.3320454252384608E-3</v>
      </c>
      <c r="R49" s="9">
        <f t="shared" si="6"/>
        <v>0</v>
      </c>
      <c r="S49" s="9">
        <f t="shared" si="7"/>
        <v>-3.3320454252384608E-3</v>
      </c>
      <c r="T49" s="10">
        <f t="shared" si="19"/>
        <v>0.13845158711323047</v>
      </c>
      <c r="U49" s="10">
        <f t="shared" si="20"/>
        <v>0.11243047491395042</v>
      </c>
      <c r="V49" s="10">
        <f t="shared" si="21"/>
        <v>-9.2274391709883385E-2</v>
      </c>
      <c r="W49" s="10">
        <f t="shared" si="22"/>
        <v>3.6246025773266979E-2</v>
      </c>
      <c r="X49" s="10">
        <f t="shared" si="23"/>
        <v>0.31369115403806802</v>
      </c>
      <c r="Y49" s="10">
        <f t="shared" si="24"/>
        <v>6.9295299663617013E-2</v>
      </c>
      <c r="Z49" s="10">
        <f t="shared" si="25"/>
        <v>-0.31369115403806802</v>
      </c>
      <c r="AA49" s="10">
        <f t="shared" si="26"/>
        <v>-6.9295299663617013E-2</v>
      </c>
      <c r="AB49" s="7">
        <f t="shared" si="11"/>
        <v>0.19485369609056447</v>
      </c>
      <c r="AC49" s="7">
        <v>0.45567070346676619</v>
      </c>
    </row>
    <row r="50" spans="1:29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11">
        <v>1</v>
      </c>
      <c r="I50" s="11">
        <v>-1</v>
      </c>
      <c r="J50" s="12">
        <v>1</v>
      </c>
      <c r="K50" s="12">
        <v>-1</v>
      </c>
      <c r="L50" s="9">
        <f t="shared" si="9"/>
        <v>3.928410193723475E-3</v>
      </c>
      <c r="M50" s="9">
        <f t="shared" si="1"/>
        <v>0</v>
      </c>
      <c r="N50" s="9">
        <f t="shared" si="2"/>
        <v>-1.1429033000811771E-2</v>
      </c>
      <c r="O50" s="9">
        <f t="shared" si="3"/>
        <v>0</v>
      </c>
      <c r="P50" s="9">
        <f t="shared" si="4"/>
        <v>0</v>
      </c>
      <c r="Q50" s="9">
        <f t="shared" si="5"/>
        <v>-4.3378440335328777E-4</v>
      </c>
      <c r="R50" s="9">
        <f t="shared" si="6"/>
        <v>0</v>
      </c>
      <c r="S50" s="9">
        <f t="shared" si="7"/>
        <v>4.3378440335328777E-4</v>
      </c>
      <c r="T50" s="10">
        <f t="shared" si="19"/>
        <v>0.14237999730695394</v>
      </c>
      <c r="U50" s="10">
        <f t="shared" si="20"/>
        <v>0.11243047491395042</v>
      </c>
      <c r="V50" s="10">
        <f t="shared" si="21"/>
        <v>-0.10370342471069516</v>
      </c>
      <c r="W50" s="10">
        <f t="shared" si="22"/>
        <v>3.6246025773266979E-2</v>
      </c>
      <c r="X50" s="10">
        <f t="shared" si="23"/>
        <v>0.31369115403806802</v>
      </c>
      <c r="Y50" s="10">
        <f t="shared" si="24"/>
        <v>6.8861515260263725E-2</v>
      </c>
      <c r="Z50" s="10">
        <f t="shared" si="25"/>
        <v>-0.31369115403806802</v>
      </c>
      <c r="AA50" s="10">
        <f t="shared" si="26"/>
        <v>-6.8861515260263725E-2</v>
      </c>
      <c r="AB50" s="7">
        <f t="shared" si="11"/>
        <v>0.18735307328347617</v>
      </c>
      <c r="AC50" s="7">
        <v>0.47747097607430028</v>
      </c>
    </row>
    <row r="51" spans="1:29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11">
        <v>1</v>
      </c>
      <c r="I51" s="11">
        <v>-1</v>
      </c>
      <c r="J51" s="12">
        <v>1</v>
      </c>
      <c r="K51" s="12">
        <v>-1</v>
      </c>
      <c r="L51" s="9">
        <f t="shared" si="9"/>
        <v>1.5986451176445701E-2</v>
      </c>
      <c r="M51" s="9">
        <f t="shared" si="1"/>
        <v>0</v>
      </c>
      <c r="N51" s="9">
        <f t="shared" si="2"/>
        <v>2.975525022354653E-3</v>
      </c>
      <c r="O51" s="9">
        <f t="shared" si="3"/>
        <v>0</v>
      </c>
      <c r="P51" s="9">
        <f t="shared" si="4"/>
        <v>0</v>
      </c>
      <c r="Q51" s="9">
        <f t="shared" si="5"/>
        <v>2.6861866207525949E-3</v>
      </c>
      <c r="R51" s="9">
        <f t="shared" si="6"/>
        <v>0</v>
      </c>
      <c r="S51" s="9">
        <f t="shared" si="7"/>
        <v>-2.6861866207525949E-3</v>
      </c>
      <c r="T51" s="10">
        <f t="shared" si="19"/>
        <v>0.15836644848339965</v>
      </c>
      <c r="U51" s="10">
        <f t="shared" si="20"/>
        <v>0.11243047491395042</v>
      </c>
      <c r="V51" s="10">
        <f t="shared" si="21"/>
        <v>-0.10072789968834051</v>
      </c>
      <c r="W51" s="10">
        <f t="shared" si="22"/>
        <v>3.6246025773266979E-2</v>
      </c>
      <c r="X51" s="10">
        <f t="shared" si="23"/>
        <v>0.31369115403806802</v>
      </c>
      <c r="Y51" s="10">
        <f t="shared" si="24"/>
        <v>7.1547701881016321E-2</v>
      </c>
      <c r="Z51" s="10">
        <f t="shared" si="25"/>
        <v>-0.31369115403806802</v>
      </c>
      <c r="AA51" s="10">
        <f t="shared" si="26"/>
        <v>-7.1547701881016321E-2</v>
      </c>
      <c r="AB51" s="7">
        <f t="shared" si="11"/>
        <v>0.20631504948227652</v>
      </c>
      <c r="AC51" s="7">
        <v>0.50434586349975863</v>
      </c>
    </row>
    <row r="52" spans="1:29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11">
        <v>-1</v>
      </c>
      <c r="I52" s="11">
        <v>1</v>
      </c>
      <c r="J52" s="12">
        <v>-1</v>
      </c>
      <c r="K52" s="12">
        <v>-1</v>
      </c>
      <c r="L52" s="9">
        <f t="shared" si="9"/>
        <v>0</v>
      </c>
      <c r="M52" s="9">
        <f t="shared" si="1"/>
        <v>-6.9645335188366353E-3</v>
      </c>
      <c r="N52" s="9">
        <f t="shared" si="2"/>
        <v>0</v>
      </c>
      <c r="O52" s="9">
        <f t="shared" si="3"/>
        <v>2.559095742070927E-2</v>
      </c>
      <c r="P52" s="9">
        <f t="shared" si="4"/>
        <v>1.072814323251625E-2</v>
      </c>
      <c r="Q52" s="9">
        <f t="shared" si="5"/>
        <v>0</v>
      </c>
      <c r="R52" s="9">
        <f t="shared" si="6"/>
        <v>-1.072814323251625E-2</v>
      </c>
      <c r="S52" s="9">
        <f t="shared" si="7"/>
        <v>0</v>
      </c>
      <c r="T52" s="10">
        <f t="shared" si="19"/>
        <v>0.15836644848339965</v>
      </c>
      <c r="U52" s="10">
        <f t="shared" si="20"/>
        <v>0.10546594139511378</v>
      </c>
      <c r="V52" s="10">
        <f t="shared" si="21"/>
        <v>-0.10072789968834051</v>
      </c>
      <c r="W52" s="10">
        <f t="shared" si="22"/>
        <v>6.183698319397625E-2</v>
      </c>
      <c r="X52" s="10">
        <f t="shared" si="23"/>
        <v>0.32441929727058427</v>
      </c>
      <c r="Y52" s="10">
        <f t="shared" si="24"/>
        <v>7.1547701881016321E-2</v>
      </c>
      <c r="Z52" s="10">
        <f t="shared" si="25"/>
        <v>-0.32441929727058427</v>
      </c>
      <c r="AA52" s="10">
        <f t="shared" si="26"/>
        <v>-7.1547701881016321E-2</v>
      </c>
      <c r="AB52" s="7">
        <f t="shared" si="11"/>
        <v>0.22494147338414916</v>
      </c>
      <c r="AC52" s="7">
        <v>0.53555238207119993</v>
      </c>
    </row>
    <row r="53" spans="1:29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11">
        <v>-1</v>
      </c>
      <c r="I53" s="11">
        <v>1</v>
      </c>
      <c r="J53" s="12">
        <v>-1</v>
      </c>
      <c r="K53" s="12">
        <v>1</v>
      </c>
      <c r="L53" s="9">
        <f t="shared" si="9"/>
        <v>0</v>
      </c>
      <c r="M53" s="9">
        <f t="shared" si="1"/>
        <v>6.1377970568798901E-4</v>
      </c>
      <c r="N53" s="9">
        <f t="shared" si="2"/>
        <v>0</v>
      </c>
      <c r="O53" s="9">
        <f t="shared" si="3"/>
        <v>1.3454984350713789E-2</v>
      </c>
      <c r="P53" s="9">
        <f t="shared" si="4"/>
        <v>6.0279551769139017E-3</v>
      </c>
      <c r="Q53" s="9">
        <f t="shared" si="5"/>
        <v>0</v>
      </c>
      <c r="R53" s="9">
        <f t="shared" si="6"/>
        <v>-6.0279551769139017E-3</v>
      </c>
      <c r="S53" s="9">
        <f t="shared" si="7"/>
        <v>0</v>
      </c>
      <c r="T53" s="10">
        <f t="shared" si="19"/>
        <v>0.15836644848339965</v>
      </c>
      <c r="U53" s="10">
        <f t="shared" si="20"/>
        <v>0.10607972110080177</v>
      </c>
      <c r="V53" s="10">
        <f t="shared" si="21"/>
        <v>-0.10072789968834051</v>
      </c>
      <c r="W53" s="10">
        <f t="shared" si="22"/>
        <v>7.5291967544690044E-2</v>
      </c>
      <c r="X53" s="10">
        <f t="shared" si="23"/>
        <v>0.33044725244749817</v>
      </c>
      <c r="Y53" s="10">
        <f t="shared" si="24"/>
        <v>7.1547701881016321E-2</v>
      </c>
      <c r="Z53" s="10">
        <f t="shared" si="25"/>
        <v>-0.33044725244749817</v>
      </c>
      <c r="AA53" s="10">
        <f t="shared" si="26"/>
        <v>-7.1547701881016321E-2</v>
      </c>
      <c r="AB53" s="7">
        <f t="shared" si="11"/>
        <v>0.23901023744055094</v>
      </c>
      <c r="AC53" s="7">
        <v>0.55556204509355556</v>
      </c>
    </row>
    <row r="54" spans="1:29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11">
        <v>-1</v>
      </c>
      <c r="I54" s="11">
        <v>1</v>
      </c>
      <c r="J54" s="12">
        <v>-1</v>
      </c>
      <c r="K54" s="12">
        <v>1</v>
      </c>
      <c r="L54" s="9">
        <f t="shared" si="9"/>
        <v>0</v>
      </c>
      <c r="M54" s="9">
        <f t="shared" si="1"/>
        <v>-6.8599264193114351E-5</v>
      </c>
      <c r="N54" s="9">
        <f t="shared" si="2"/>
        <v>0</v>
      </c>
      <c r="O54" s="9">
        <f t="shared" si="3"/>
        <v>-1.503746284739216E-2</v>
      </c>
      <c r="P54" s="9">
        <f t="shared" si="4"/>
        <v>4.5236298135979958E-3</v>
      </c>
      <c r="Q54" s="9">
        <f t="shared" si="5"/>
        <v>0</v>
      </c>
      <c r="R54" s="9">
        <f t="shared" si="6"/>
        <v>-4.5236298135979958E-3</v>
      </c>
      <c r="S54" s="9">
        <f t="shared" si="7"/>
        <v>0</v>
      </c>
      <c r="T54" s="10">
        <f t="shared" si="19"/>
        <v>0.15836644848339965</v>
      </c>
      <c r="U54" s="10">
        <f t="shared" si="20"/>
        <v>0.10601112183660866</v>
      </c>
      <c r="V54" s="10">
        <f t="shared" si="21"/>
        <v>-0.10072789968834051</v>
      </c>
      <c r="W54" s="10">
        <f t="shared" si="22"/>
        <v>6.0254504697297886E-2</v>
      </c>
      <c r="X54" s="10">
        <f t="shared" si="23"/>
        <v>0.33497088226109617</v>
      </c>
      <c r="Y54" s="10">
        <f t="shared" si="24"/>
        <v>7.1547701881016321E-2</v>
      </c>
      <c r="Z54" s="10">
        <f t="shared" si="25"/>
        <v>-0.33497088226109617</v>
      </c>
      <c r="AA54" s="10">
        <f t="shared" si="26"/>
        <v>-7.1547701881016321E-2</v>
      </c>
      <c r="AB54" s="7">
        <f t="shared" si="11"/>
        <v>0.22390417532896567</v>
      </c>
      <c r="AC54" s="7">
        <v>0.569021674729556</v>
      </c>
    </row>
    <row r="55" spans="1:29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11">
        <v>-1</v>
      </c>
      <c r="I55" s="11">
        <v>1</v>
      </c>
      <c r="J55" s="12">
        <v>-1</v>
      </c>
      <c r="K55" s="12">
        <v>1</v>
      </c>
      <c r="L55" s="9">
        <f t="shared" si="9"/>
        <v>0</v>
      </c>
      <c r="M55" s="9">
        <f t="shared" si="1"/>
        <v>1.284332244556152E-3</v>
      </c>
      <c r="N55" s="9">
        <f t="shared" si="2"/>
        <v>0</v>
      </c>
      <c r="O55" s="9">
        <f t="shared" si="3"/>
        <v>-6.21051548451379E-4</v>
      </c>
      <c r="P55" s="9">
        <f t="shared" si="4"/>
        <v>-3.8441757076947969E-3</v>
      </c>
      <c r="Q55" s="9">
        <f t="shared" si="5"/>
        <v>0</v>
      </c>
      <c r="R55" s="9">
        <f t="shared" si="6"/>
        <v>3.8441757076947969E-3</v>
      </c>
      <c r="S55" s="9">
        <f t="shared" si="7"/>
        <v>0</v>
      </c>
      <c r="T55" s="10">
        <f t="shared" si="19"/>
        <v>0.15836644848339965</v>
      </c>
      <c r="U55" s="10">
        <f t="shared" si="20"/>
        <v>0.10729545408116481</v>
      </c>
      <c r="V55" s="10">
        <f t="shared" si="21"/>
        <v>-0.10072789968834051</v>
      </c>
      <c r="W55" s="10">
        <f t="shared" si="22"/>
        <v>5.9633453148846507E-2</v>
      </c>
      <c r="X55" s="10">
        <f t="shared" si="23"/>
        <v>0.33112670655340137</v>
      </c>
      <c r="Y55" s="10">
        <f t="shared" si="24"/>
        <v>7.1547701881016321E-2</v>
      </c>
      <c r="Z55" s="10">
        <f t="shared" si="25"/>
        <v>-0.33112670655340137</v>
      </c>
      <c r="AA55" s="10">
        <f t="shared" si="26"/>
        <v>-7.1547701881016321E-2</v>
      </c>
      <c r="AB55" s="7">
        <f t="shared" si="11"/>
        <v>0.22456745602507044</v>
      </c>
      <c r="AC55" s="7">
        <v>0.58419714150073609</v>
      </c>
    </row>
    <row r="56" spans="1:29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11">
        <v>-1</v>
      </c>
      <c r="I56" s="11">
        <v>1</v>
      </c>
      <c r="J56" s="12">
        <v>-1</v>
      </c>
      <c r="K56" s="12">
        <v>1</v>
      </c>
      <c r="L56" s="9">
        <f t="shared" si="9"/>
        <v>0</v>
      </c>
      <c r="M56" s="9">
        <f t="shared" si="1"/>
        <v>3.3609754446328077E-2</v>
      </c>
      <c r="N56" s="9">
        <f t="shared" si="2"/>
        <v>0</v>
      </c>
      <c r="O56" s="9">
        <f t="shared" si="3"/>
        <v>2.1890740124195229E-2</v>
      </c>
      <c r="P56" s="9">
        <f t="shared" si="4"/>
        <v>1.012701941498295E-2</v>
      </c>
      <c r="Q56" s="9">
        <f t="shared" si="5"/>
        <v>0</v>
      </c>
      <c r="R56" s="9">
        <f t="shared" si="6"/>
        <v>-1.012701941498295E-2</v>
      </c>
      <c r="S56" s="9">
        <f t="shared" si="7"/>
        <v>0</v>
      </c>
      <c r="T56" s="10">
        <f t="shared" si="19"/>
        <v>0.15836644848339965</v>
      </c>
      <c r="U56" s="10">
        <f t="shared" si="20"/>
        <v>0.14090520852749289</v>
      </c>
      <c r="V56" s="10">
        <f t="shared" si="21"/>
        <v>-0.10072789968834051</v>
      </c>
      <c r="W56" s="10">
        <f t="shared" si="22"/>
        <v>8.1524193273041737E-2</v>
      </c>
      <c r="X56" s="10">
        <f t="shared" si="23"/>
        <v>0.34125372596838432</v>
      </c>
      <c r="Y56" s="10">
        <f t="shared" si="24"/>
        <v>7.1547701881016321E-2</v>
      </c>
      <c r="Z56" s="10">
        <f t="shared" si="25"/>
        <v>-0.34125372596838432</v>
      </c>
      <c r="AA56" s="10">
        <f t="shared" si="26"/>
        <v>-7.1547701881016321E-2</v>
      </c>
      <c r="AB56" s="7">
        <f t="shared" si="11"/>
        <v>0.28006795059559375</v>
      </c>
      <c r="AC56" s="7">
        <v>0.56534460873587966</v>
      </c>
    </row>
    <row r="57" spans="1:29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11">
        <v>-1</v>
      </c>
      <c r="I57" s="11">
        <v>1</v>
      </c>
      <c r="J57" s="12">
        <v>-1</v>
      </c>
      <c r="K57" s="12">
        <v>1</v>
      </c>
      <c r="L57" s="9">
        <f t="shared" si="9"/>
        <v>0</v>
      </c>
      <c r="M57" s="9">
        <f t="shared" si="1"/>
        <v>9.011396355272927E-3</v>
      </c>
      <c r="N57" s="9">
        <f t="shared" si="2"/>
        <v>0</v>
      </c>
      <c r="O57" s="9">
        <f t="shared" si="3"/>
        <v>-1.647253380803371E-2</v>
      </c>
      <c r="P57" s="9">
        <f t="shared" si="4"/>
        <v>-9.4865546170606052E-3</v>
      </c>
      <c r="Q57" s="9">
        <f t="shared" si="5"/>
        <v>0</v>
      </c>
      <c r="R57" s="9">
        <f t="shared" si="6"/>
        <v>9.4865546170606052E-3</v>
      </c>
      <c r="S57" s="9">
        <f t="shared" si="7"/>
        <v>0</v>
      </c>
      <c r="T57" s="10">
        <f t="shared" si="19"/>
        <v>0.15836644848339965</v>
      </c>
      <c r="U57" s="10">
        <f t="shared" si="20"/>
        <v>0.14991660488276581</v>
      </c>
      <c r="V57" s="10">
        <f t="shared" si="21"/>
        <v>-0.10072789968834051</v>
      </c>
      <c r="W57" s="10">
        <f t="shared" si="22"/>
        <v>6.505165946500803E-2</v>
      </c>
      <c r="X57" s="10">
        <f t="shared" si="23"/>
        <v>0.33176717135132372</v>
      </c>
      <c r="Y57" s="10">
        <f t="shared" si="24"/>
        <v>7.1547701881016321E-2</v>
      </c>
      <c r="Z57" s="10">
        <f t="shared" si="25"/>
        <v>-0.33176717135132372</v>
      </c>
      <c r="AA57" s="10">
        <f t="shared" si="26"/>
        <v>-7.1547701881016321E-2</v>
      </c>
      <c r="AB57" s="7">
        <f t="shared" si="11"/>
        <v>0.27260681314283297</v>
      </c>
      <c r="AC57" s="7">
        <v>0.57766265089555746</v>
      </c>
    </row>
    <row r="58" spans="1:29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11">
        <v>-1</v>
      </c>
      <c r="I58" s="11">
        <v>1</v>
      </c>
      <c r="J58" s="12">
        <v>-1</v>
      </c>
      <c r="K58" s="12">
        <v>1</v>
      </c>
      <c r="L58" s="9">
        <f t="shared" si="9"/>
        <v>0</v>
      </c>
      <c r="M58" s="9">
        <f t="shared" si="1"/>
        <v>-1.6302069550870879E-3</v>
      </c>
      <c r="N58" s="9">
        <f t="shared" si="2"/>
        <v>0</v>
      </c>
      <c r="O58" s="9">
        <f t="shared" si="3"/>
        <v>3.2532336885998658E-3</v>
      </c>
      <c r="P58" s="9">
        <f t="shared" si="4"/>
        <v>1.7100449573474119E-2</v>
      </c>
      <c r="Q58" s="9">
        <f t="shared" si="5"/>
        <v>0</v>
      </c>
      <c r="R58" s="9">
        <f t="shared" si="6"/>
        <v>-1.7100449573474119E-2</v>
      </c>
      <c r="S58" s="9">
        <f t="shared" si="7"/>
        <v>0</v>
      </c>
      <c r="T58" s="10">
        <f t="shared" si="19"/>
        <v>0.15836644848339965</v>
      </c>
      <c r="U58" s="10">
        <f t="shared" si="20"/>
        <v>0.14828639792767873</v>
      </c>
      <c r="V58" s="10">
        <f t="shared" si="21"/>
        <v>-0.10072789968834051</v>
      </c>
      <c r="W58" s="10">
        <f t="shared" si="22"/>
        <v>6.8304893153607896E-2</v>
      </c>
      <c r="X58" s="10">
        <f t="shared" si="23"/>
        <v>0.34886762092479784</v>
      </c>
      <c r="Y58" s="10">
        <f t="shared" si="24"/>
        <v>7.1547701881016321E-2</v>
      </c>
      <c r="Z58" s="10">
        <f t="shared" si="25"/>
        <v>-0.34886762092479784</v>
      </c>
      <c r="AA58" s="10">
        <f t="shared" si="26"/>
        <v>-7.1547701881016321E-2</v>
      </c>
      <c r="AB58" s="7">
        <f t="shared" si="11"/>
        <v>0.27422983987634575</v>
      </c>
      <c r="AC58" s="7">
        <v>0.6212765395112968</v>
      </c>
    </row>
    <row r="59" spans="1:29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11">
        <v>-1</v>
      </c>
      <c r="I59" s="11">
        <v>1</v>
      </c>
      <c r="J59" s="12">
        <v>-1</v>
      </c>
      <c r="K59" s="12">
        <v>1</v>
      </c>
      <c r="L59" s="9">
        <f t="shared" si="9"/>
        <v>0</v>
      </c>
      <c r="M59" s="9">
        <f t="shared" si="1"/>
        <v>-5.1911934823870576E-3</v>
      </c>
      <c r="N59" s="9">
        <f t="shared" si="2"/>
        <v>0</v>
      </c>
      <c r="O59" s="9">
        <f t="shared" si="3"/>
        <v>-9.3088948040344066E-3</v>
      </c>
      <c r="P59" s="9">
        <f t="shared" si="4"/>
        <v>1.7820497241849639E-2</v>
      </c>
      <c r="Q59" s="9">
        <f t="shared" si="5"/>
        <v>0</v>
      </c>
      <c r="R59" s="9">
        <f t="shared" si="6"/>
        <v>-1.7820497241849639E-2</v>
      </c>
      <c r="S59" s="9">
        <f t="shared" si="7"/>
        <v>0</v>
      </c>
      <c r="T59" s="10">
        <f t="shared" si="19"/>
        <v>0.15836644848339965</v>
      </c>
      <c r="U59" s="10">
        <f t="shared" si="20"/>
        <v>0.14309520444529167</v>
      </c>
      <c r="V59" s="10">
        <f t="shared" si="21"/>
        <v>-0.10072789968834051</v>
      </c>
      <c r="W59" s="10">
        <f t="shared" si="22"/>
        <v>5.8995998349573489E-2</v>
      </c>
      <c r="X59" s="10">
        <f t="shared" si="23"/>
        <v>0.36668811816664748</v>
      </c>
      <c r="Y59" s="10">
        <f t="shared" si="24"/>
        <v>7.1547701881016321E-2</v>
      </c>
      <c r="Z59" s="10">
        <f t="shared" si="25"/>
        <v>-0.36668811816664748</v>
      </c>
      <c r="AA59" s="10">
        <f t="shared" si="26"/>
        <v>-7.1547701881016321E-2</v>
      </c>
      <c r="AB59" s="7">
        <f t="shared" si="11"/>
        <v>0.25972975158992428</v>
      </c>
      <c r="AC59" s="7">
        <v>0.65492782138832939</v>
      </c>
    </row>
    <row r="60" spans="1:29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11">
        <v>-1</v>
      </c>
      <c r="I60" s="11">
        <v>1</v>
      </c>
      <c r="J60" s="12">
        <v>-1</v>
      </c>
      <c r="K60" s="12">
        <v>1</v>
      </c>
      <c r="L60" s="9">
        <f t="shared" si="9"/>
        <v>0</v>
      </c>
      <c r="M60" s="9">
        <f t="shared" si="1"/>
        <v>1.0041474830769779E-2</v>
      </c>
      <c r="N60" s="9">
        <f t="shared" si="2"/>
        <v>0</v>
      </c>
      <c r="O60" s="9">
        <f t="shared" si="3"/>
        <v>2.3251804754761411E-2</v>
      </c>
      <c r="P60" s="9">
        <f t="shared" si="4"/>
        <v>-2.766709161470382E-2</v>
      </c>
      <c r="Q60" s="9">
        <f t="shared" si="5"/>
        <v>0</v>
      </c>
      <c r="R60" s="9">
        <f t="shared" si="6"/>
        <v>2.766709161470382E-2</v>
      </c>
      <c r="S60" s="9">
        <f t="shared" si="7"/>
        <v>0</v>
      </c>
      <c r="T60" s="10">
        <f t="shared" si="19"/>
        <v>0.15836644848339965</v>
      </c>
      <c r="U60" s="10">
        <f t="shared" si="20"/>
        <v>0.15313667927606145</v>
      </c>
      <c r="V60" s="10">
        <f t="shared" si="21"/>
        <v>-0.10072789968834051</v>
      </c>
      <c r="W60" s="10">
        <f t="shared" si="22"/>
        <v>8.2247803104334896E-2</v>
      </c>
      <c r="X60" s="10">
        <f t="shared" si="23"/>
        <v>0.33902102655194366</v>
      </c>
      <c r="Y60" s="10">
        <f t="shared" si="24"/>
        <v>7.1547701881016321E-2</v>
      </c>
      <c r="Z60" s="10">
        <f t="shared" si="25"/>
        <v>-0.33902102655194366</v>
      </c>
      <c r="AA60" s="10">
        <f t="shared" si="26"/>
        <v>-7.1547701881016321E-2</v>
      </c>
      <c r="AB60" s="7">
        <f t="shared" si="11"/>
        <v>0.29302303117545547</v>
      </c>
      <c r="AC60" s="7">
        <v>0.64106106008477548</v>
      </c>
    </row>
    <row r="61" spans="1:29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11">
        <v>-1</v>
      </c>
      <c r="I61" s="11">
        <v>1</v>
      </c>
      <c r="J61" s="12">
        <v>-1</v>
      </c>
      <c r="K61" s="12">
        <v>1</v>
      </c>
      <c r="L61" s="9">
        <f t="shared" si="9"/>
        <v>0</v>
      </c>
      <c r="M61" s="9">
        <f t="shared" si="1"/>
        <v>5.425121853899173E-2</v>
      </c>
      <c r="N61" s="9">
        <f t="shared" si="2"/>
        <v>0</v>
      </c>
      <c r="O61" s="9">
        <f t="shared" si="3"/>
        <v>2.1290770437722761E-2</v>
      </c>
      <c r="P61" s="9">
        <f t="shared" si="4"/>
        <v>1.765465344645167E-2</v>
      </c>
      <c r="Q61" s="9">
        <f t="shared" si="5"/>
        <v>0</v>
      </c>
      <c r="R61" s="9">
        <f t="shared" si="6"/>
        <v>-1.765465344645167E-2</v>
      </c>
      <c r="S61" s="9">
        <f t="shared" si="7"/>
        <v>0</v>
      </c>
      <c r="T61" s="10">
        <f t="shared" si="19"/>
        <v>0.15836644848339965</v>
      </c>
      <c r="U61" s="10">
        <f t="shared" si="20"/>
        <v>0.20738789781505318</v>
      </c>
      <c r="V61" s="10">
        <f t="shared" si="21"/>
        <v>-0.10072789968834051</v>
      </c>
      <c r="W61" s="10">
        <f t="shared" si="22"/>
        <v>0.10353857354205766</v>
      </c>
      <c r="X61" s="10">
        <f t="shared" si="23"/>
        <v>0.35667567999839533</v>
      </c>
      <c r="Y61" s="10">
        <f t="shared" si="24"/>
        <v>7.1547701881016321E-2</v>
      </c>
      <c r="Z61" s="10">
        <f t="shared" si="25"/>
        <v>-0.35667567999839533</v>
      </c>
      <c r="AA61" s="10">
        <f t="shared" si="26"/>
        <v>-7.1547701881016321E-2</v>
      </c>
      <c r="AB61" s="7">
        <f t="shared" si="11"/>
        <v>0.36856502015216996</v>
      </c>
      <c r="AC61" s="7">
        <v>0.61045261307473153</v>
      </c>
    </row>
    <row r="62" spans="1:29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11">
        <v>1</v>
      </c>
      <c r="I62" s="11">
        <v>-1</v>
      </c>
      <c r="J62" s="12">
        <v>1</v>
      </c>
      <c r="K62" s="12">
        <v>1</v>
      </c>
      <c r="L62" s="9">
        <f t="shared" si="9"/>
        <v>1.886349029587242E-2</v>
      </c>
      <c r="M62" s="9">
        <f t="shared" si="1"/>
        <v>0</v>
      </c>
      <c r="N62" s="9">
        <f t="shared" si="2"/>
        <v>-1.8455264577928791E-2</v>
      </c>
      <c r="O62" s="9">
        <f t="shared" si="3"/>
        <v>0</v>
      </c>
      <c r="P62" s="9">
        <f t="shared" si="4"/>
        <v>0</v>
      </c>
      <c r="Q62" s="9">
        <f t="shared" si="5"/>
        <v>-1.454629168941224E-2</v>
      </c>
      <c r="R62" s="9">
        <f t="shared" si="6"/>
        <v>0</v>
      </c>
      <c r="S62" s="9">
        <f t="shared" si="7"/>
        <v>1.454629168941224E-2</v>
      </c>
      <c r="T62" s="10">
        <f t="shared" si="19"/>
        <v>0.17722993877927207</v>
      </c>
      <c r="U62" s="10">
        <f t="shared" si="20"/>
        <v>0.20738789781505318</v>
      </c>
      <c r="V62" s="10">
        <f t="shared" si="21"/>
        <v>-0.11918316426626929</v>
      </c>
      <c r="W62" s="10">
        <f t="shared" si="22"/>
        <v>0.10353857354205766</v>
      </c>
      <c r="X62" s="10">
        <f t="shared" si="23"/>
        <v>0.35667567999839533</v>
      </c>
      <c r="Y62" s="10">
        <f t="shared" si="24"/>
        <v>5.7001410191604082E-2</v>
      </c>
      <c r="Z62" s="10">
        <f t="shared" si="25"/>
        <v>-0.35667567999839533</v>
      </c>
      <c r="AA62" s="10">
        <f t="shared" si="26"/>
        <v>-5.7001410191604082E-2</v>
      </c>
      <c r="AB62" s="7">
        <f t="shared" si="11"/>
        <v>0.3689732458701136</v>
      </c>
      <c r="AC62" s="7">
        <v>0.62542826298602383</v>
      </c>
    </row>
    <row r="63" spans="1:29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11">
        <v>-1</v>
      </c>
      <c r="I63" s="11">
        <v>1</v>
      </c>
      <c r="J63" s="12">
        <v>-1</v>
      </c>
      <c r="K63" s="12">
        <v>-1</v>
      </c>
      <c r="L63" s="9">
        <f t="shared" si="9"/>
        <v>0</v>
      </c>
      <c r="M63" s="9">
        <f t="shared" si="1"/>
        <v>-5.8891676542460747E-3</v>
      </c>
      <c r="N63" s="9">
        <f t="shared" si="2"/>
        <v>0</v>
      </c>
      <c r="O63" s="9">
        <f t="shared" si="3"/>
        <v>6.5922870617832752E-3</v>
      </c>
      <c r="P63" s="9">
        <f t="shared" si="4"/>
        <v>-1.208025752725317E-2</v>
      </c>
      <c r="Q63" s="9">
        <f t="shared" si="5"/>
        <v>0</v>
      </c>
      <c r="R63" s="9">
        <f t="shared" si="6"/>
        <v>1.208025752725317E-2</v>
      </c>
      <c r="S63" s="9">
        <f t="shared" si="7"/>
        <v>0</v>
      </c>
      <c r="T63" s="10">
        <f t="shared" si="19"/>
        <v>0.17722993877927207</v>
      </c>
      <c r="U63" s="10">
        <f t="shared" si="20"/>
        <v>0.2014987301608071</v>
      </c>
      <c r="V63" s="10">
        <f t="shared" si="21"/>
        <v>-0.11918316426626929</v>
      </c>
      <c r="W63" s="10">
        <f t="shared" si="22"/>
        <v>0.11013086060384093</v>
      </c>
      <c r="X63" s="10">
        <f t="shared" si="23"/>
        <v>0.34459542247114217</v>
      </c>
      <c r="Y63" s="10">
        <f t="shared" si="24"/>
        <v>5.7001410191604082E-2</v>
      </c>
      <c r="Z63" s="10">
        <f t="shared" si="25"/>
        <v>-0.34459542247114217</v>
      </c>
      <c r="AA63" s="10">
        <f t="shared" si="26"/>
        <v>-5.7001410191604082E-2</v>
      </c>
      <c r="AB63" s="7">
        <f t="shared" si="11"/>
        <v>0.3696763652776508</v>
      </c>
      <c r="AC63" s="7">
        <v>0.66422422972306139</v>
      </c>
    </row>
    <row r="64" spans="1:29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11">
        <v>1</v>
      </c>
      <c r="I64" s="11">
        <v>-1</v>
      </c>
      <c r="J64" s="12">
        <v>1</v>
      </c>
      <c r="K64" s="12">
        <v>1</v>
      </c>
      <c r="L64" s="9">
        <f t="shared" si="9"/>
        <v>3.293690866686183E-2</v>
      </c>
      <c r="M64" s="9">
        <f t="shared" si="1"/>
        <v>0</v>
      </c>
      <c r="N64" s="9">
        <f t="shared" si="2"/>
        <v>5.2356919299942914E-3</v>
      </c>
      <c r="O64" s="9">
        <f t="shared" si="3"/>
        <v>0</v>
      </c>
      <c r="P64" s="9">
        <f t="shared" si="4"/>
        <v>0</v>
      </c>
      <c r="Q64" s="9">
        <f t="shared" si="5"/>
        <v>-2.134214033313464E-2</v>
      </c>
      <c r="R64" s="9">
        <f t="shared" si="6"/>
        <v>0</v>
      </c>
      <c r="S64" s="9">
        <f t="shared" si="7"/>
        <v>2.134214033313464E-2</v>
      </c>
      <c r="T64" s="10">
        <f t="shared" si="19"/>
        <v>0.2101668474461339</v>
      </c>
      <c r="U64" s="10">
        <f t="shared" si="20"/>
        <v>0.2014987301608071</v>
      </c>
      <c r="V64" s="10">
        <f t="shared" si="21"/>
        <v>-0.113947472336275</v>
      </c>
      <c r="W64" s="10">
        <f t="shared" si="22"/>
        <v>0.11013086060384093</v>
      </c>
      <c r="X64" s="10">
        <f t="shared" si="23"/>
        <v>0.34459542247114217</v>
      </c>
      <c r="Y64" s="10">
        <f t="shared" si="24"/>
        <v>3.5659269858469442E-2</v>
      </c>
      <c r="Z64" s="10">
        <f t="shared" si="25"/>
        <v>-0.34459542247114217</v>
      </c>
      <c r="AA64" s="10">
        <f t="shared" si="26"/>
        <v>-3.5659269858469442E-2</v>
      </c>
      <c r="AB64" s="7">
        <f t="shared" si="11"/>
        <v>0.40784896587450692</v>
      </c>
      <c r="AC64" s="7">
        <v>0.6785560433197646</v>
      </c>
    </row>
    <row r="65" spans="1:29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11">
        <v>1</v>
      </c>
      <c r="I65" s="11">
        <v>-1</v>
      </c>
      <c r="J65" s="12">
        <v>1</v>
      </c>
      <c r="K65" s="12">
        <v>-1</v>
      </c>
      <c r="L65" s="9">
        <f t="shared" si="9"/>
        <v>4.9102356439569173E-2</v>
      </c>
      <c r="M65" s="9">
        <f t="shared" si="1"/>
        <v>0</v>
      </c>
      <c r="N65" s="9">
        <f t="shared" si="2"/>
        <v>-1.0217238085820091E-2</v>
      </c>
      <c r="O65" s="9">
        <f t="shared" si="3"/>
        <v>0</v>
      </c>
      <c r="P65" s="9">
        <f t="shared" si="4"/>
        <v>0</v>
      </c>
      <c r="Q65" s="9">
        <f t="shared" si="5"/>
        <v>4.3781927750352723E-2</v>
      </c>
      <c r="R65" s="9">
        <f t="shared" si="6"/>
        <v>0</v>
      </c>
      <c r="S65" s="9">
        <f t="shared" si="7"/>
        <v>-4.3781927750352723E-2</v>
      </c>
      <c r="T65" s="10">
        <f t="shared" si="19"/>
        <v>0.25926920388570307</v>
      </c>
      <c r="U65" s="10">
        <f t="shared" si="20"/>
        <v>0.2014987301608071</v>
      </c>
      <c r="V65" s="10">
        <f t="shared" si="21"/>
        <v>-0.12416471042209509</v>
      </c>
      <c r="W65" s="10">
        <f t="shared" si="22"/>
        <v>0.11013086060384093</v>
      </c>
      <c r="X65" s="10">
        <f t="shared" si="23"/>
        <v>0.34459542247114217</v>
      </c>
      <c r="Y65" s="10">
        <f t="shared" si="24"/>
        <v>7.9441197608822164E-2</v>
      </c>
      <c r="Z65" s="10">
        <f t="shared" si="25"/>
        <v>-0.34459542247114217</v>
      </c>
      <c r="AA65" s="10">
        <f t="shared" si="26"/>
        <v>-7.9441197608822164E-2</v>
      </c>
      <c r="AB65" s="7">
        <f t="shared" si="11"/>
        <v>0.446734084228256</v>
      </c>
      <c r="AC65" s="7">
        <v>0.64189571467319917</v>
      </c>
    </row>
    <row r="66" spans="1:29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11">
        <v>-1</v>
      </c>
      <c r="I66" s="11">
        <v>1</v>
      </c>
      <c r="J66" s="12">
        <v>-1</v>
      </c>
      <c r="K66" s="12">
        <v>-1</v>
      </c>
      <c r="L66" s="9">
        <f t="shared" si="9"/>
        <v>0</v>
      </c>
      <c r="M66" s="9">
        <f t="shared" si="1"/>
        <v>1.290665167643801E-2</v>
      </c>
      <c r="N66" s="9">
        <f t="shared" si="2"/>
        <v>0</v>
      </c>
      <c r="O66" s="9">
        <f t="shared" si="3"/>
        <v>1.909186852489653E-2</v>
      </c>
      <c r="P66" s="9">
        <f t="shared" si="4"/>
        <v>1.53237439125119E-2</v>
      </c>
      <c r="Q66" s="9">
        <f t="shared" si="5"/>
        <v>0</v>
      </c>
      <c r="R66" s="9">
        <f t="shared" si="6"/>
        <v>-1.53237439125119E-2</v>
      </c>
      <c r="S66" s="9">
        <f t="shared" si="7"/>
        <v>0</v>
      </c>
      <c r="T66" s="10">
        <f t="shared" si="19"/>
        <v>0.25926920388570307</v>
      </c>
      <c r="U66" s="10">
        <f t="shared" si="20"/>
        <v>0.21440538183724511</v>
      </c>
      <c r="V66" s="10">
        <f t="shared" si="21"/>
        <v>-0.12416471042209509</v>
      </c>
      <c r="W66" s="10">
        <f t="shared" si="22"/>
        <v>0.12922272912873747</v>
      </c>
      <c r="X66" s="10">
        <f t="shared" si="23"/>
        <v>0.35991916638365407</v>
      </c>
      <c r="Y66" s="10">
        <f t="shared" si="24"/>
        <v>7.9441197608822164E-2</v>
      </c>
      <c r="Z66" s="10">
        <f t="shared" si="25"/>
        <v>-0.35991916638365407</v>
      </c>
      <c r="AA66" s="10">
        <f t="shared" si="26"/>
        <v>-7.9441197608822164E-2</v>
      </c>
      <c r="AB66" s="7">
        <f t="shared" si="11"/>
        <v>0.47873260442959054</v>
      </c>
      <c r="AC66" s="7">
        <v>0.63179887386201317</v>
      </c>
    </row>
    <row r="67" spans="1:29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11">
        <v>1</v>
      </c>
      <c r="I67" s="11">
        <v>-1</v>
      </c>
      <c r="J67" s="12">
        <v>1</v>
      </c>
      <c r="K67" s="12">
        <v>1</v>
      </c>
      <c r="L67" s="9">
        <f t="shared" si="9"/>
        <v>2.6363391013461971E-2</v>
      </c>
      <c r="M67" s="9">
        <f t="shared" ref="M67:M130" si="27">IF(H67=-1,-D67,0)</f>
        <v>0</v>
      </c>
      <c r="N67" s="9">
        <f t="shared" ref="N67:N130" si="28">IF(H67=1,-E67,0)</f>
        <v>1.317107702125675E-2</v>
      </c>
      <c r="O67" s="9">
        <f t="shared" ref="O67:O130" si="29">IF(H67=-1,E67,0)</f>
        <v>0</v>
      </c>
      <c r="P67" s="9">
        <f t="shared" ref="P67:P130" si="30">IF(I67=1,F67,0)</f>
        <v>0</v>
      </c>
      <c r="Q67" s="9">
        <f t="shared" ref="Q67:Q130" si="31">IF($I67=-1,-$F67,0)</f>
        <v>5.0741651228619067E-2</v>
      </c>
      <c r="R67" s="9">
        <f t="shared" ref="R67:R130" si="32">IF($I67=1,-$F67,0)</f>
        <v>0</v>
      </c>
      <c r="S67" s="9">
        <f t="shared" ref="S67:S130" si="33">IF($I67=-1,$F67,0)</f>
        <v>-5.0741651228619067E-2</v>
      </c>
      <c r="T67" s="10">
        <f t="shared" si="19"/>
        <v>0.28563259489916504</v>
      </c>
      <c r="U67" s="10">
        <f t="shared" si="20"/>
        <v>0.21440538183724511</v>
      </c>
      <c r="V67" s="10">
        <f t="shared" si="21"/>
        <v>-0.11099363340083834</v>
      </c>
      <c r="W67" s="10">
        <f t="shared" si="22"/>
        <v>0.12922272912873747</v>
      </c>
      <c r="X67" s="10">
        <f t="shared" si="23"/>
        <v>0.35991916638365407</v>
      </c>
      <c r="Y67" s="10">
        <f t="shared" si="24"/>
        <v>0.13018284883744125</v>
      </c>
      <c r="Z67" s="10">
        <f t="shared" si="25"/>
        <v>-0.35991916638365407</v>
      </c>
      <c r="AA67" s="10">
        <f t="shared" si="26"/>
        <v>-0.13018284883744125</v>
      </c>
      <c r="AB67" s="7">
        <f t="shared" si="11"/>
        <v>0.51826707246430925</v>
      </c>
      <c r="AC67" s="7">
        <v>0.57154380599767662</v>
      </c>
    </row>
    <row r="68" spans="1:29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11">
        <v>-1</v>
      </c>
      <c r="I68" s="11">
        <v>1</v>
      </c>
      <c r="J68" s="12">
        <v>-1</v>
      </c>
      <c r="K68" s="12">
        <v>-1</v>
      </c>
      <c r="L68" s="9">
        <f t="shared" ref="L68:L131" si="34">IF(H68=1,D68,0)</f>
        <v>0</v>
      </c>
      <c r="M68" s="9">
        <f t="shared" si="27"/>
        <v>1.295359154683318E-2</v>
      </c>
      <c r="N68" s="9">
        <f t="shared" si="28"/>
        <v>0</v>
      </c>
      <c r="O68" s="9">
        <f t="shared" si="29"/>
        <v>2.4058146654731379E-2</v>
      </c>
      <c r="P68" s="9">
        <f t="shared" si="30"/>
        <v>-2.4733629724777662E-2</v>
      </c>
      <c r="Q68" s="9">
        <f t="shared" si="31"/>
        <v>0</v>
      </c>
      <c r="R68" s="9">
        <f t="shared" si="32"/>
        <v>2.4733629724777662E-2</v>
      </c>
      <c r="S68" s="9">
        <f t="shared" si="33"/>
        <v>0</v>
      </c>
      <c r="T68" s="10">
        <f t="shared" si="19"/>
        <v>0.28563259489916504</v>
      </c>
      <c r="U68" s="10">
        <f t="shared" si="20"/>
        <v>0.22735897338407829</v>
      </c>
      <c r="V68" s="10">
        <f t="shared" si="21"/>
        <v>-0.11099363340083834</v>
      </c>
      <c r="W68" s="10">
        <f t="shared" si="22"/>
        <v>0.15328087578346886</v>
      </c>
      <c r="X68" s="10">
        <f t="shared" si="23"/>
        <v>0.3351855366588764</v>
      </c>
      <c r="Y68" s="10">
        <f t="shared" si="24"/>
        <v>0.13018284883744125</v>
      </c>
      <c r="Z68" s="10">
        <f t="shared" si="25"/>
        <v>-0.3351855366588764</v>
      </c>
      <c r="AA68" s="10">
        <f t="shared" si="26"/>
        <v>-0.13018284883744125</v>
      </c>
      <c r="AB68" s="7">
        <f t="shared" ref="AB68:AB131" si="35">AB67+SUM(L68:S68)</f>
        <v>0.55527881066587381</v>
      </c>
      <c r="AC68" s="7">
        <v>0.54662531932467462</v>
      </c>
    </row>
    <row r="69" spans="1:29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11">
        <v>1</v>
      </c>
      <c r="I69" s="11">
        <v>-1</v>
      </c>
      <c r="J69" s="12">
        <v>1</v>
      </c>
      <c r="K69" s="12">
        <v>1</v>
      </c>
      <c r="L69" s="9">
        <f t="shared" si="34"/>
        <v>-2.049086896211905E-2</v>
      </c>
      <c r="M69" s="9">
        <f t="shared" si="27"/>
        <v>0</v>
      </c>
      <c r="N69" s="9">
        <f t="shared" si="28"/>
        <v>-6.267309853198233E-3</v>
      </c>
      <c r="O69" s="9">
        <f t="shared" si="29"/>
        <v>0</v>
      </c>
      <c r="P69" s="9">
        <f t="shared" si="30"/>
        <v>0</v>
      </c>
      <c r="Q69" s="9">
        <f t="shared" si="31"/>
        <v>3.089347531705644E-2</v>
      </c>
      <c r="R69" s="9">
        <f t="shared" si="32"/>
        <v>0</v>
      </c>
      <c r="S69" s="9">
        <f t="shared" si="33"/>
        <v>-3.089347531705644E-2</v>
      </c>
      <c r="T69" s="10">
        <f t="shared" si="19"/>
        <v>0.26514172593704599</v>
      </c>
      <c r="U69" s="10">
        <f t="shared" si="20"/>
        <v>0.22735897338407829</v>
      </c>
      <c r="V69" s="10">
        <f t="shared" si="21"/>
        <v>-0.11726094325403658</v>
      </c>
      <c r="W69" s="10">
        <f t="shared" si="22"/>
        <v>0.15328087578346886</v>
      </c>
      <c r="X69" s="10">
        <f t="shared" si="23"/>
        <v>0.3351855366588764</v>
      </c>
      <c r="Y69" s="10">
        <f t="shared" si="24"/>
        <v>0.16107632415449769</v>
      </c>
      <c r="Z69" s="10">
        <f t="shared" si="25"/>
        <v>-0.3351855366588764</v>
      </c>
      <c r="AA69" s="10">
        <f t="shared" si="26"/>
        <v>-0.16107632415449769</v>
      </c>
      <c r="AB69" s="7">
        <f t="shared" si="35"/>
        <v>0.52852063185055653</v>
      </c>
      <c r="AC69" s="7">
        <v>0.54053253086568753</v>
      </c>
    </row>
    <row r="70" spans="1:29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11">
        <v>-1</v>
      </c>
      <c r="I70" s="11">
        <v>1</v>
      </c>
      <c r="J70" s="12">
        <v>-1</v>
      </c>
      <c r="K70" s="12">
        <v>-1</v>
      </c>
      <c r="L70" s="9">
        <f t="shared" si="34"/>
        <v>0</v>
      </c>
      <c r="M70" s="9">
        <f t="shared" si="27"/>
        <v>2.0072994852474708E-3</v>
      </c>
      <c r="N70" s="9">
        <f t="shared" si="28"/>
        <v>0</v>
      </c>
      <c r="O70" s="9">
        <f t="shared" si="29"/>
        <v>-2.2026535917929471E-4</v>
      </c>
      <c r="P70" s="9">
        <f t="shared" si="30"/>
        <v>3.7722013373681418E-2</v>
      </c>
      <c r="Q70" s="9">
        <f t="shared" si="31"/>
        <v>0</v>
      </c>
      <c r="R70" s="9">
        <f t="shared" si="32"/>
        <v>-3.7722013373681418E-2</v>
      </c>
      <c r="S70" s="9">
        <f t="shared" si="33"/>
        <v>0</v>
      </c>
      <c r="T70" s="10">
        <f t="shared" si="19"/>
        <v>0.26514172593704599</v>
      </c>
      <c r="U70" s="10">
        <f t="shared" si="20"/>
        <v>0.22936627286932576</v>
      </c>
      <c r="V70" s="10">
        <f t="shared" si="21"/>
        <v>-0.11726094325403658</v>
      </c>
      <c r="W70" s="10">
        <f t="shared" si="22"/>
        <v>0.15306061042428956</v>
      </c>
      <c r="X70" s="10">
        <f t="shared" si="23"/>
        <v>0.37290755003255782</v>
      </c>
      <c r="Y70" s="10">
        <f t="shared" si="24"/>
        <v>0.16107632415449769</v>
      </c>
      <c r="Z70" s="10">
        <f t="shared" si="25"/>
        <v>-0.37290755003255782</v>
      </c>
      <c r="AA70" s="10">
        <f t="shared" si="26"/>
        <v>-0.16107632415449769</v>
      </c>
      <c r="AB70" s="7">
        <f t="shared" si="35"/>
        <v>0.53030766597662471</v>
      </c>
      <c r="AC70" s="7">
        <v>0.58843255332646882</v>
      </c>
    </row>
    <row r="71" spans="1:29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11">
        <v>-1</v>
      </c>
      <c r="I71" s="11">
        <v>1</v>
      </c>
      <c r="J71" s="12">
        <v>-1</v>
      </c>
      <c r="K71" s="12">
        <v>1</v>
      </c>
      <c r="L71" s="9">
        <f t="shared" si="34"/>
        <v>0</v>
      </c>
      <c r="M71" s="9">
        <f t="shared" si="27"/>
        <v>-6.2905598640223834E-3</v>
      </c>
      <c r="N71" s="9">
        <f t="shared" si="28"/>
        <v>0</v>
      </c>
      <c r="O71" s="9">
        <f t="shared" si="29"/>
        <v>-2.3671050236772181E-2</v>
      </c>
      <c r="P71" s="9">
        <f t="shared" si="30"/>
        <v>9.4964849146609298E-3</v>
      </c>
      <c r="Q71" s="9">
        <f t="shared" si="31"/>
        <v>0</v>
      </c>
      <c r="R71" s="9">
        <f t="shared" si="32"/>
        <v>-9.4964849146609298E-3</v>
      </c>
      <c r="S71" s="9">
        <f t="shared" si="33"/>
        <v>0</v>
      </c>
      <c r="T71" s="10">
        <f t="shared" si="19"/>
        <v>0.26514172593704599</v>
      </c>
      <c r="U71" s="10">
        <f t="shared" si="20"/>
        <v>0.22307571300530338</v>
      </c>
      <c r="V71" s="10">
        <f t="shared" si="21"/>
        <v>-0.11726094325403658</v>
      </c>
      <c r="W71" s="10">
        <f t="shared" si="22"/>
        <v>0.12938956018751738</v>
      </c>
      <c r="X71" s="10">
        <f t="shared" si="23"/>
        <v>0.38240403494721875</v>
      </c>
      <c r="Y71" s="10">
        <f t="shared" si="24"/>
        <v>0.16107632415449769</v>
      </c>
      <c r="Z71" s="10">
        <f t="shared" si="25"/>
        <v>-0.38240403494721875</v>
      </c>
      <c r="AA71" s="10">
        <f t="shared" si="26"/>
        <v>-0.16107632415449769</v>
      </c>
      <c r="AB71" s="7">
        <f t="shared" si="35"/>
        <v>0.50034605587583014</v>
      </c>
      <c r="AC71" s="7">
        <v>0.60433384460287154</v>
      </c>
    </row>
    <row r="72" spans="1:29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11">
        <v>1</v>
      </c>
      <c r="I72" s="11">
        <v>-1</v>
      </c>
      <c r="J72" s="12">
        <v>1</v>
      </c>
      <c r="K72" s="12">
        <v>1</v>
      </c>
      <c r="L72" s="9">
        <f t="shared" si="34"/>
        <v>-2.733020299140199E-2</v>
      </c>
      <c r="M72" s="9">
        <f t="shared" si="27"/>
        <v>0</v>
      </c>
      <c r="N72" s="9">
        <f t="shared" si="28"/>
        <v>-2.789601485088045E-2</v>
      </c>
      <c r="O72" s="9">
        <f t="shared" si="29"/>
        <v>0</v>
      </c>
      <c r="P72" s="9">
        <f t="shared" si="30"/>
        <v>0</v>
      </c>
      <c r="Q72" s="9">
        <f t="shared" si="31"/>
        <v>2.856638548452772E-2</v>
      </c>
      <c r="R72" s="9">
        <f t="shared" si="32"/>
        <v>0</v>
      </c>
      <c r="S72" s="9">
        <f t="shared" si="33"/>
        <v>-2.856638548452772E-2</v>
      </c>
      <c r="T72" s="10">
        <f t="shared" si="19"/>
        <v>0.237811522945644</v>
      </c>
      <c r="U72" s="10">
        <f t="shared" si="20"/>
        <v>0.22307571300530338</v>
      </c>
      <c r="V72" s="10">
        <f t="shared" si="21"/>
        <v>-0.14515695810491702</v>
      </c>
      <c r="W72" s="10">
        <f t="shared" si="22"/>
        <v>0.12938956018751738</v>
      </c>
      <c r="X72" s="10">
        <f t="shared" si="23"/>
        <v>0.38240403494721875</v>
      </c>
      <c r="Y72" s="10">
        <f t="shared" si="24"/>
        <v>0.18964270963902541</v>
      </c>
      <c r="Z72" s="10">
        <f t="shared" si="25"/>
        <v>-0.38240403494721875</v>
      </c>
      <c r="AA72" s="10">
        <f t="shared" si="26"/>
        <v>-0.18964270963902541</v>
      </c>
      <c r="AB72" s="7">
        <f t="shared" si="35"/>
        <v>0.44511983803354771</v>
      </c>
      <c r="AC72" s="7">
        <v>0.51866161883654571</v>
      </c>
    </row>
    <row r="73" spans="1:29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11">
        <v>-1</v>
      </c>
      <c r="I73" s="11">
        <v>1</v>
      </c>
      <c r="J73" s="12">
        <v>-1</v>
      </c>
      <c r="K73" s="12">
        <v>-1</v>
      </c>
      <c r="L73" s="9">
        <f t="shared" si="34"/>
        <v>0</v>
      </c>
      <c r="M73" s="9">
        <f t="shared" si="27"/>
        <v>4.3006930684579281E-3</v>
      </c>
      <c r="N73" s="9">
        <f t="shared" si="28"/>
        <v>0</v>
      </c>
      <c r="O73" s="9">
        <f t="shared" si="29"/>
        <v>1.4712372207237871E-2</v>
      </c>
      <c r="P73" s="9">
        <f t="shared" si="30"/>
        <v>-5.4371724093247309E-3</v>
      </c>
      <c r="Q73" s="9">
        <f t="shared" si="31"/>
        <v>0</v>
      </c>
      <c r="R73" s="9">
        <f t="shared" si="32"/>
        <v>5.4371724093247309E-3</v>
      </c>
      <c r="S73" s="9">
        <f t="shared" si="33"/>
        <v>0</v>
      </c>
      <c r="T73" s="10">
        <f t="shared" si="19"/>
        <v>0.237811522945644</v>
      </c>
      <c r="U73" s="10">
        <f t="shared" si="20"/>
        <v>0.22737640607376131</v>
      </c>
      <c r="V73" s="10">
        <f t="shared" si="21"/>
        <v>-0.14515695810491702</v>
      </c>
      <c r="W73" s="10">
        <f t="shared" si="22"/>
        <v>0.14410193239475524</v>
      </c>
      <c r="X73" s="10">
        <f t="shared" si="23"/>
        <v>0.37696686253789402</v>
      </c>
      <c r="Y73" s="10">
        <f t="shared" si="24"/>
        <v>0.18964270963902541</v>
      </c>
      <c r="Z73" s="10">
        <f t="shared" si="25"/>
        <v>-0.37696686253789402</v>
      </c>
      <c r="AA73" s="10">
        <f t="shared" si="26"/>
        <v>-0.18964270963902541</v>
      </c>
      <c r="AB73" s="7">
        <f t="shared" si="35"/>
        <v>0.46413290330924351</v>
      </c>
      <c r="AC73" s="7">
        <v>0.51164397699438369</v>
      </c>
    </row>
    <row r="74" spans="1:29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11">
        <v>1</v>
      </c>
      <c r="I74" s="11">
        <v>-1</v>
      </c>
      <c r="J74" s="12">
        <v>1</v>
      </c>
      <c r="K74" s="12">
        <v>1</v>
      </c>
      <c r="L74" s="9">
        <f t="shared" si="34"/>
        <v>8.2112144585057001E-3</v>
      </c>
      <c r="M74" s="9">
        <f t="shared" si="27"/>
        <v>0</v>
      </c>
      <c r="N74" s="9">
        <f t="shared" si="28"/>
        <v>-7.5486851000283739E-3</v>
      </c>
      <c r="O74" s="9">
        <f t="shared" si="29"/>
        <v>0</v>
      </c>
      <c r="P74" s="9">
        <f t="shared" si="30"/>
        <v>0</v>
      </c>
      <c r="Q74" s="9">
        <f t="shared" si="31"/>
        <v>-1.954646840344521E-3</v>
      </c>
      <c r="R74" s="9">
        <f t="shared" si="32"/>
        <v>0</v>
      </c>
      <c r="S74" s="9">
        <f t="shared" si="33"/>
        <v>1.954646840344521E-3</v>
      </c>
      <c r="T74" s="10">
        <f t="shared" si="19"/>
        <v>0.24602273740414971</v>
      </c>
      <c r="U74" s="10">
        <f t="shared" si="20"/>
        <v>0.22737640607376131</v>
      </c>
      <c r="V74" s="10">
        <f t="shared" si="21"/>
        <v>-0.1527056432049454</v>
      </c>
      <c r="W74" s="10">
        <f t="shared" si="22"/>
        <v>0.14410193239475524</v>
      </c>
      <c r="X74" s="10">
        <f t="shared" si="23"/>
        <v>0.37696686253789402</v>
      </c>
      <c r="Y74" s="10">
        <f t="shared" si="24"/>
        <v>0.18768806279868089</v>
      </c>
      <c r="Z74" s="10">
        <f t="shared" si="25"/>
        <v>-0.37696686253789402</v>
      </c>
      <c r="AA74" s="10">
        <f t="shared" si="26"/>
        <v>-0.18768806279868089</v>
      </c>
      <c r="AB74" s="7">
        <f t="shared" si="35"/>
        <v>0.46479543266772083</v>
      </c>
      <c r="AC74" s="7">
        <v>0.528513567727945</v>
      </c>
    </row>
    <row r="75" spans="1:29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11">
        <v>1</v>
      </c>
      <c r="I75" s="11">
        <v>-1</v>
      </c>
      <c r="J75" s="12">
        <v>1</v>
      </c>
      <c r="K75" s="12">
        <v>-1</v>
      </c>
      <c r="L75" s="9">
        <f t="shared" si="34"/>
        <v>-4.0381679180580887E-2</v>
      </c>
      <c r="M75" s="9">
        <f t="shared" si="27"/>
        <v>0</v>
      </c>
      <c r="N75" s="9">
        <f t="shared" si="28"/>
        <v>-1.05061330802646E-2</v>
      </c>
      <c r="O75" s="9">
        <f t="shared" si="29"/>
        <v>0</v>
      </c>
      <c r="P75" s="9">
        <f t="shared" si="30"/>
        <v>0</v>
      </c>
      <c r="Q75" s="9">
        <f t="shared" si="31"/>
        <v>1.33766415721801E-2</v>
      </c>
      <c r="R75" s="9">
        <f t="shared" si="32"/>
        <v>0</v>
      </c>
      <c r="S75" s="9">
        <f t="shared" si="33"/>
        <v>-1.33766415721801E-2</v>
      </c>
      <c r="T75" s="10">
        <f t="shared" si="19"/>
        <v>0.20564105822356882</v>
      </c>
      <c r="U75" s="10">
        <f t="shared" si="20"/>
        <v>0.22737640607376131</v>
      </c>
      <c r="V75" s="10">
        <f t="shared" si="21"/>
        <v>-0.16321177628521</v>
      </c>
      <c r="W75" s="10">
        <f t="shared" si="22"/>
        <v>0.14410193239475524</v>
      </c>
      <c r="X75" s="10">
        <f t="shared" si="23"/>
        <v>0.37696686253789402</v>
      </c>
      <c r="Y75" s="10">
        <f t="shared" si="24"/>
        <v>0.20106470437086099</v>
      </c>
      <c r="Z75" s="10">
        <f t="shared" si="25"/>
        <v>-0.37696686253789402</v>
      </c>
      <c r="AA75" s="10">
        <f t="shared" si="26"/>
        <v>-0.20106470437086099</v>
      </c>
      <c r="AB75" s="7">
        <f t="shared" si="35"/>
        <v>0.41390762040687534</v>
      </c>
      <c r="AC75" s="7">
        <v>0.4391498026503835</v>
      </c>
    </row>
    <row r="76" spans="1:29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11">
        <v>1</v>
      </c>
      <c r="I76" s="11">
        <v>-1</v>
      </c>
      <c r="J76" s="12">
        <v>1</v>
      </c>
      <c r="K76" s="12">
        <v>-1</v>
      </c>
      <c r="L76" s="9">
        <f t="shared" si="34"/>
        <v>2.0614681242287491E-2</v>
      </c>
      <c r="M76" s="9">
        <f t="shared" si="27"/>
        <v>0</v>
      </c>
      <c r="N76" s="9">
        <f t="shared" si="28"/>
        <v>2.3835432990195419E-2</v>
      </c>
      <c r="O76" s="9">
        <f t="shared" si="29"/>
        <v>0</v>
      </c>
      <c r="P76" s="9">
        <f t="shared" si="30"/>
        <v>0</v>
      </c>
      <c r="Q76" s="9">
        <f t="shared" si="31"/>
        <v>0.1448908688971601</v>
      </c>
      <c r="R76" s="9">
        <f t="shared" si="32"/>
        <v>0</v>
      </c>
      <c r="S76" s="9">
        <f t="shared" si="33"/>
        <v>-0.1448908688971601</v>
      </c>
      <c r="T76" s="10">
        <f t="shared" si="19"/>
        <v>0.22625573946585631</v>
      </c>
      <c r="U76" s="10">
        <f t="shared" si="20"/>
        <v>0.22737640607376131</v>
      </c>
      <c r="V76" s="10">
        <f t="shared" si="21"/>
        <v>-0.13937634329501458</v>
      </c>
      <c r="W76" s="10">
        <f t="shared" si="22"/>
        <v>0.14410193239475524</v>
      </c>
      <c r="X76" s="10">
        <f t="shared" si="23"/>
        <v>0.37696686253789402</v>
      </c>
      <c r="Y76" s="10">
        <f t="shared" si="24"/>
        <v>0.34595557326802107</v>
      </c>
      <c r="Z76" s="10">
        <f t="shared" si="25"/>
        <v>-0.37696686253789402</v>
      </c>
      <c r="AA76" s="10">
        <f t="shared" si="26"/>
        <v>-0.34595557326802107</v>
      </c>
      <c r="AB76" s="7">
        <f t="shared" si="35"/>
        <v>0.45835773463935825</v>
      </c>
      <c r="AC76" s="7">
        <v>0.29344567057534449</v>
      </c>
    </row>
    <row r="77" spans="1:29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11">
        <v>1</v>
      </c>
      <c r="I77" s="11">
        <v>-1</v>
      </c>
      <c r="J77" s="12">
        <v>1</v>
      </c>
      <c r="K77" s="12">
        <v>-1</v>
      </c>
      <c r="L77" s="9">
        <f t="shared" si="34"/>
        <v>0.12792914896507249</v>
      </c>
      <c r="M77" s="9">
        <f t="shared" si="27"/>
        <v>0</v>
      </c>
      <c r="N77" s="9">
        <f t="shared" si="28"/>
        <v>-2.7467418618786651E-2</v>
      </c>
      <c r="O77" s="9">
        <f t="shared" si="29"/>
        <v>0</v>
      </c>
      <c r="P77" s="9">
        <f t="shared" si="30"/>
        <v>0</v>
      </c>
      <c r="Q77" s="9">
        <f t="shared" si="31"/>
        <v>2.7547214869506401E-2</v>
      </c>
      <c r="R77" s="9">
        <f t="shared" si="32"/>
        <v>0</v>
      </c>
      <c r="S77" s="9">
        <f t="shared" si="33"/>
        <v>-2.7547214869506401E-2</v>
      </c>
      <c r="T77" s="10">
        <f t="shared" si="19"/>
        <v>0.35418488843092877</v>
      </c>
      <c r="U77" s="10">
        <f t="shared" si="20"/>
        <v>0.22737640607376131</v>
      </c>
      <c r="V77" s="10">
        <f t="shared" si="21"/>
        <v>-0.16684376191380124</v>
      </c>
      <c r="W77" s="10">
        <f t="shared" si="22"/>
        <v>0.14410193239475524</v>
      </c>
      <c r="X77" s="10">
        <f t="shared" si="23"/>
        <v>0.37696686253789402</v>
      </c>
      <c r="Y77" s="10">
        <f t="shared" si="24"/>
        <v>0.37350278813752746</v>
      </c>
      <c r="Z77" s="10">
        <f t="shared" si="25"/>
        <v>-0.37696686253789402</v>
      </c>
      <c r="AA77" s="10">
        <f t="shared" si="26"/>
        <v>-0.37350278813752746</v>
      </c>
      <c r="AB77" s="7">
        <f t="shared" si="35"/>
        <v>0.55881946498564405</v>
      </c>
      <c r="AC77" s="7">
        <v>0.23947101210538729</v>
      </c>
    </row>
    <row r="78" spans="1:29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11">
        <v>1</v>
      </c>
      <c r="I78" s="11">
        <v>-1</v>
      </c>
      <c r="J78" s="12">
        <v>1</v>
      </c>
      <c r="K78" s="12">
        <v>-1</v>
      </c>
      <c r="L78" s="9">
        <f t="shared" si="34"/>
        <v>2.3530380839905659E-2</v>
      </c>
      <c r="M78" s="9">
        <f t="shared" si="27"/>
        <v>0</v>
      </c>
      <c r="N78" s="9">
        <f t="shared" si="28"/>
        <v>2.0439188547375031E-2</v>
      </c>
      <c r="O78" s="9">
        <f t="shared" si="29"/>
        <v>0</v>
      </c>
      <c r="P78" s="9">
        <f t="shared" si="30"/>
        <v>0</v>
      </c>
      <c r="Q78" s="9">
        <f t="shared" si="31"/>
        <v>1.835274626979877E-2</v>
      </c>
      <c r="R78" s="9">
        <f t="shared" si="32"/>
        <v>0</v>
      </c>
      <c r="S78" s="9">
        <f t="shared" si="33"/>
        <v>-1.835274626979877E-2</v>
      </c>
      <c r="T78" s="10">
        <f t="shared" ref="T78:T141" si="36">L78+T77</f>
        <v>0.37771526927083443</v>
      </c>
      <c r="U78" s="10">
        <f t="shared" ref="U78:U141" si="37">M78+U77</f>
        <v>0.22737640607376131</v>
      </c>
      <c r="V78" s="10">
        <f t="shared" ref="V78:V141" si="38">N78+V77</f>
        <v>-0.14640457336642621</v>
      </c>
      <c r="W78" s="10">
        <f t="shared" ref="W78:W141" si="39">O78+W77</f>
        <v>0.14410193239475524</v>
      </c>
      <c r="X78" s="10">
        <f t="shared" ref="X78:X141" si="40">P78+X77</f>
        <v>0.37696686253789402</v>
      </c>
      <c r="Y78" s="10">
        <f t="shared" ref="Y78:Y141" si="41">Q78+Y77</f>
        <v>0.39185553440732623</v>
      </c>
      <c r="Z78" s="10">
        <f t="shared" ref="Z78:Z141" si="42">R78+Z77</f>
        <v>-0.37696686253789402</v>
      </c>
      <c r="AA78" s="10">
        <f t="shared" ref="AA78:AA141" si="43">S78+AA77</f>
        <v>-0.39185553440732623</v>
      </c>
      <c r="AB78" s="7">
        <f t="shared" si="35"/>
        <v>0.60278903437292475</v>
      </c>
      <c r="AC78" s="7">
        <v>0.25821304401159489</v>
      </c>
    </row>
    <row r="79" spans="1:29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11">
        <v>-1</v>
      </c>
      <c r="I79" s="11">
        <v>1</v>
      </c>
      <c r="J79" s="12">
        <v>-1</v>
      </c>
      <c r="K79" s="12">
        <v>-1</v>
      </c>
      <c r="L79" s="9">
        <f t="shared" si="34"/>
        <v>0</v>
      </c>
      <c r="M79" s="9">
        <f t="shared" si="27"/>
        <v>1.9905661305834599E-3</v>
      </c>
      <c r="N79" s="9">
        <f t="shared" si="28"/>
        <v>0</v>
      </c>
      <c r="O79" s="9">
        <f t="shared" si="29"/>
        <v>-3.6371146237892497E-2</v>
      </c>
      <c r="P79" s="9">
        <f t="shared" si="30"/>
        <v>9.7613569844824388E-3</v>
      </c>
      <c r="Q79" s="9">
        <f t="shared" si="31"/>
        <v>0</v>
      </c>
      <c r="R79" s="9">
        <f t="shared" si="32"/>
        <v>-9.7613569844824388E-3</v>
      </c>
      <c r="S79" s="9">
        <f t="shared" si="33"/>
        <v>0</v>
      </c>
      <c r="T79" s="10">
        <f t="shared" si="36"/>
        <v>0.37771526927083443</v>
      </c>
      <c r="U79" s="10">
        <f t="shared" si="37"/>
        <v>0.22936697220434477</v>
      </c>
      <c r="V79" s="10">
        <f t="shared" si="38"/>
        <v>-0.14640457336642621</v>
      </c>
      <c r="W79" s="10">
        <f t="shared" si="39"/>
        <v>0.10773078615686274</v>
      </c>
      <c r="X79" s="10">
        <f t="shared" si="40"/>
        <v>0.38672821952237646</v>
      </c>
      <c r="Y79" s="10">
        <f t="shared" si="41"/>
        <v>0.39185553440732623</v>
      </c>
      <c r="Z79" s="10">
        <f t="shared" si="42"/>
        <v>-0.38672821952237646</v>
      </c>
      <c r="AA79" s="10">
        <f t="shared" si="43"/>
        <v>-0.39185553440732623</v>
      </c>
      <c r="AB79" s="7">
        <f t="shared" si="35"/>
        <v>0.5684084542656157</v>
      </c>
      <c r="AC79" s="7">
        <v>0.17839426761156441</v>
      </c>
    </row>
    <row r="80" spans="1:29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11">
        <v>1</v>
      </c>
      <c r="I80" s="11">
        <v>-1</v>
      </c>
      <c r="J80" s="12">
        <v>1</v>
      </c>
      <c r="K80" s="12">
        <v>1</v>
      </c>
      <c r="L80" s="9">
        <f t="shared" si="34"/>
        <v>-8.5724016159275385E-3</v>
      </c>
      <c r="M80" s="9">
        <f t="shared" si="27"/>
        <v>0</v>
      </c>
      <c r="N80" s="9">
        <f t="shared" si="28"/>
        <v>2.8880358899958439E-2</v>
      </c>
      <c r="O80" s="9">
        <f t="shared" si="29"/>
        <v>0</v>
      </c>
      <c r="P80" s="9">
        <f t="shared" si="30"/>
        <v>0</v>
      </c>
      <c r="Q80" s="9">
        <f t="shared" si="31"/>
        <v>-4.9510470024054509E-2</v>
      </c>
      <c r="R80" s="9">
        <f t="shared" si="32"/>
        <v>0</v>
      </c>
      <c r="S80" s="9">
        <f t="shared" si="33"/>
        <v>4.9510470024054509E-2</v>
      </c>
      <c r="T80" s="10">
        <f t="shared" si="36"/>
        <v>0.36914286765490689</v>
      </c>
      <c r="U80" s="10">
        <f t="shared" si="37"/>
        <v>0.22936697220434477</v>
      </c>
      <c r="V80" s="10">
        <f t="shared" si="38"/>
        <v>-0.11752421446646777</v>
      </c>
      <c r="W80" s="10">
        <f t="shared" si="39"/>
        <v>0.10773078615686274</v>
      </c>
      <c r="X80" s="10">
        <f t="shared" si="40"/>
        <v>0.38672821952237646</v>
      </c>
      <c r="Y80" s="10">
        <f t="shared" si="41"/>
        <v>0.34234506438327172</v>
      </c>
      <c r="Z80" s="10">
        <f t="shared" si="42"/>
        <v>-0.38672821952237646</v>
      </c>
      <c r="AA80" s="10">
        <f t="shared" si="43"/>
        <v>-0.34234506438327172</v>
      </c>
      <c r="AB80" s="7">
        <f t="shared" si="35"/>
        <v>0.5887164115496466</v>
      </c>
      <c r="AC80" s="7">
        <v>6.9329975239351027E-2</v>
      </c>
    </row>
    <row r="81" spans="1:29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11">
        <v>-1</v>
      </c>
      <c r="I81" s="11">
        <v>1</v>
      </c>
      <c r="J81" s="12">
        <v>-1</v>
      </c>
      <c r="K81" s="12">
        <v>-1</v>
      </c>
      <c r="L81" s="9">
        <f t="shared" si="34"/>
        <v>0</v>
      </c>
      <c r="M81" s="9">
        <f t="shared" si="27"/>
        <v>-3.9714469920009272E-2</v>
      </c>
      <c r="N81" s="9">
        <f t="shared" si="28"/>
        <v>0</v>
      </c>
      <c r="O81" s="9">
        <f t="shared" si="29"/>
        <v>1.7379348294892741E-2</v>
      </c>
      <c r="P81" s="9">
        <f t="shared" si="30"/>
        <v>-6.7962672189040507E-2</v>
      </c>
      <c r="Q81" s="9">
        <f t="shared" si="31"/>
        <v>0</v>
      </c>
      <c r="R81" s="9">
        <f t="shared" si="32"/>
        <v>6.7962672189040507E-2</v>
      </c>
      <c r="S81" s="9">
        <f t="shared" si="33"/>
        <v>0</v>
      </c>
      <c r="T81" s="10">
        <f t="shared" si="36"/>
        <v>0.36914286765490689</v>
      </c>
      <c r="U81" s="10">
        <f t="shared" si="37"/>
        <v>0.1896525022843355</v>
      </c>
      <c r="V81" s="10">
        <f t="shared" si="38"/>
        <v>-0.11752421446646777</v>
      </c>
      <c r="W81" s="10">
        <f t="shared" si="39"/>
        <v>0.12511013445175548</v>
      </c>
      <c r="X81" s="10">
        <f t="shared" si="40"/>
        <v>0.31876554733333595</v>
      </c>
      <c r="Y81" s="10">
        <f t="shared" si="41"/>
        <v>0.34234506438327172</v>
      </c>
      <c r="Z81" s="10">
        <f t="shared" si="42"/>
        <v>-0.31876554733333595</v>
      </c>
      <c r="AA81" s="10">
        <f t="shared" si="43"/>
        <v>-0.34234506438327172</v>
      </c>
      <c r="AB81" s="7">
        <f t="shared" si="35"/>
        <v>0.56638128992453007</v>
      </c>
      <c r="AC81" s="7">
        <v>0.15890209923143339</v>
      </c>
    </row>
    <row r="82" spans="1:29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11">
        <v>-1</v>
      </c>
      <c r="I82" s="11">
        <v>1</v>
      </c>
      <c r="J82" s="12">
        <v>-1</v>
      </c>
      <c r="K82" s="12">
        <v>1</v>
      </c>
      <c r="L82" s="9">
        <f t="shared" si="34"/>
        <v>0</v>
      </c>
      <c r="M82" s="9">
        <f t="shared" si="27"/>
        <v>-3.3933429598343327E-2</v>
      </c>
      <c r="N82" s="9">
        <f t="shared" si="28"/>
        <v>0</v>
      </c>
      <c r="O82" s="9">
        <f t="shared" si="29"/>
        <v>-3.5016451376242097E-2</v>
      </c>
      <c r="P82" s="9">
        <f t="shared" si="30"/>
        <v>2.739369441695072E-2</v>
      </c>
      <c r="Q82" s="9">
        <f t="shared" si="31"/>
        <v>0</v>
      </c>
      <c r="R82" s="9">
        <f t="shared" si="32"/>
        <v>-2.739369441695072E-2</v>
      </c>
      <c r="S82" s="9">
        <f t="shared" si="33"/>
        <v>0</v>
      </c>
      <c r="T82" s="10">
        <f t="shared" si="36"/>
        <v>0.36914286765490689</v>
      </c>
      <c r="U82" s="10">
        <f t="shared" si="37"/>
        <v>0.15571907268599217</v>
      </c>
      <c r="V82" s="10">
        <f t="shared" si="38"/>
        <v>-0.11752421446646777</v>
      </c>
      <c r="W82" s="10">
        <f t="shared" si="39"/>
        <v>9.0093683075513381E-2</v>
      </c>
      <c r="X82" s="10">
        <f t="shared" si="40"/>
        <v>0.34615924175028667</v>
      </c>
      <c r="Y82" s="10">
        <f t="shared" si="41"/>
        <v>0.34234506438327172</v>
      </c>
      <c r="Z82" s="10">
        <f t="shared" si="42"/>
        <v>-0.34615924175028667</v>
      </c>
      <c r="AA82" s="10">
        <f t="shared" si="43"/>
        <v>-0.34234506438327172</v>
      </c>
      <c r="AB82" s="7">
        <f t="shared" si="35"/>
        <v>0.49743140894994464</v>
      </c>
      <c r="AC82" s="7">
        <v>0.25728616310347802</v>
      </c>
    </row>
    <row r="83" spans="1:29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11">
        <v>-1</v>
      </c>
      <c r="I83" s="11">
        <v>1</v>
      </c>
      <c r="J83" s="12">
        <v>-1</v>
      </c>
      <c r="K83" s="12">
        <v>1</v>
      </c>
      <c r="L83" s="9">
        <f t="shared" si="34"/>
        <v>0</v>
      </c>
      <c r="M83" s="9">
        <f t="shared" si="27"/>
        <v>-3.7276745372446192E-2</v>
      </c>
      <c r="N83" s="9">
        <f t="shared" si="28"/>
        <v>0</v>
      </c>
      <c r="O83" s="9">
        <f t="shared" si="29"/>
        <v>-3.5771461720889301E-3</v>
      </c>
      <c r="P83" s="9">
        <f t="shared" si="30"/>
        <v>3.9427661095328033E-2</v>
      </c>
      <c r="Q83" s="9">
        <f t="shared" si="31"/>
        <v>0</v>
      </c>
      <c r="R83" s="9">
        <f t="shared" si="32"/>
        <v>-3.9427661095328033E-2</v>
      </c>
      <c r="S83" s="9">
        <f t="shared" si="33"/>
        <v>0</v>
      </c>
      <c r="T83" s="10">
        <f t="shared" si="36"/>
        <v>0.36914286765490689</v>
      </c>
      <c r="U83" s="10">
        <f t="shared" si="37"/>
        <v>0.11844232731354598</v>
      </c>
      <c r="V83" s="10">
        <f t="shared" si="38"/>
        <v>-0.11752421446646777</v>
      </c>
      <c r="W83" s="10">
        <f t="shared" si="39"/>
        <v>8.6516536903424451E-2</v>
      </c>
      <c r="X83" s="10">
        <f t="shared" si="40"/>
        <v>0.3855869028456147</v>
      </c>
      <c r="Y83" s="10">
        <f t="shared" si="41"/>
        <v>0.34234506438327172</v>
      </c>
      <c r="Z83" s="10">
        <f t="shared" si="42"/>
        <v>-0.3855869028456147</v>
      </c>
      <c r="AA83" s="10">
        <f t="shared" si="43"/>
        <v>-0.34234506438327172</v>
      </c>
      <c r="AB83" s="7">
        <f t="shared" si="35"/>
        <v>0.45657751740540953</v>
      </c>
      <c r="AC83" s="7">
        <v>0.31702967772106361</v>
      </c>
    </row>
    <row r="84" spans="1:29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11">
        <v>-1</v>
      </c>
      <c r="I84" s="11">
        <v>1</v>
      </c>
      <c r="J84" s="12">
        <v>-1</v>
      </c>
      <c r="K84" s="12">
        <v>1</v>
      </c>
      <c r="L84" s="9">
        <f t="shared" si="34"/>
        <v>0</v>
      </c>
      <c r="M84" s="9">
        <f t="shared" si="27"/>
        <v>1.6904021416241921E-4</v>
      </c>
      <c r="N84" s="9">
        <f t="shared" si="28"/>
        <v>0</v>
      </c>
      <c r="O84" s="9">
        <f t="shared" si="29"/>
        <v>3.1264166454139541E-2</v>
      </c>
      <c r="P84" s="9">
        <f t="shared" si="30"/>
        <v>2.200910553779856E-2</v>
      </c>
      <c r="Q84" s="9">
        <f t="shared" si="31"/>
        <v>0</v>
      </c>
      <c r="R84" s="9">
        <f t="shared" si="32"/>
        <v>-2.200910553779856E-2</v>
      </c>
      <c r="S84" s="9">
        <f t="shared" si="33"/>
        <v>0</v>
      </c>
      <c r="T84" s="10">
        <f t="shared" si="36"/>
        <v>0.36914286765490689</v>
      </c>
      <c r="U84" s="10">
        <f t="shared" si="37"/>
        <v>0.1186113675277084</v>
      </c>
      <c r="V84" s="10">
        <f t="shared" si="38"/>
        <v>-0.11752421446646777</v>
      </c>
      <c r="W84" s="10">
        <f t="shared" si="39"/>
        <v>0.11778070335756399</v>
      </c>
      <c r="X84" s="10">
        <f t="shared" si="40"/>
        <v>0.40759600838341326</v>
      </c>
      <c r="Y84" s="10">
        <f t="shared" si="41"/>
        <v>0.34234506438327172</v>
      </c>
      <c r="Z84" s="10">
        <f t="shared" si="42"/>
        <v>-0.40759600838341326</v>
      </c>
      <c r="AA84" s="10">
        <f t="shared" si="43"/>
        <v>-0.34234506438327172</v>
      </c>
      <c r="AB84" s="7">
        <f t="shared" si="35"/>
        <v>0.48801072407371149</v>
      </c>
      <c r="AC84" s="7">
        <v>0.31802884341737281</v>
      </c>
    </row>
    <row r="85" spans="1:29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11">
        <v>-1</v>
      </c>
      <c r="I85" s="11">
        <v>1</v>
      </c>
      <c r="J85" s="12">
        <v>-1</v>
      </c>
      <c r="K85" s="12">
        <v>1</v>
      </c>
      <c r="L85" s="9">
        <f t="shared" si="34"/>
        <v>0</v>
      </c>
      <c r="M85" s="9">
        <f t="shared" si="27"/>
        <v>-3.3870868820203848E-2</v>
      </c>
      <c r="N85" s="9">
        <f t="shared" si="28"/>
        <v>0</v>
      </c>
      <c r="O85" s="9">
        <f t="shared" si="29"/>
        <v>2.298695640891513E-2</v>
      </c>
      <c r="P85" s="9">
        <f t="shared" si="30"/>
        <v>-4.3330083383508973E-2</v>
      </c>
      <c r="Q85" s="9">
        <f t="shared" si="31"/>
        <v>0</v>
      </c>
      <c r="R85" s="9">
        <f t="shared" si="32"/>
        <v>4.3330083383508973E-2</v>
      </c>
      <c r="S85" s="9">
        <f t="shared" si="33"/>
        <v>0</v>
      </c>
      <c r="T85" s="10">
        <f t="shared" si="36"/>
        <v>0.36914286765490689</v>
      </c>
      <c r="U85" s="10">
        <f t="shared" si="37"/>
        <v>8.4740498707504552E-2</v>
      </c>
      <c r="V85" s="10">
        <f t="shared" si="38"/>
        <v>-0.11752421446646777</v>
      </c>
      <c r="W85" s="10">
        <f t="shared" si="39"/>
        <v>0.14076765976647912</v>
      </c>
      <c r="X85" s="10">
        <f t="shared" si="40"/>
        <v>0.36426592499990429</v>
      </c>
      <c r="Y85" s="10">
        <f t="shared" si="41"/>
        <v>0.34234506438327172</v>
      </c>
      <c r="Z85" s="10">
        <f t="shared" si="42"/>
        <v>-0.36426592499990429</v>
      </c>
      <c r="AA85" s="10">
        <f t="shared" si="43"/>
        <v>-0.34234506438327172</v>
      </c>
      <c r="AB85" s="7">
        <f t="shared" si="35"/>
        <v>0.47712681166242277</v>
      </c>
      <c r="AC85" s="7">
        <v>0.39174213920396078</v>
      </c>
    </row>
    <row r="86" spans="1:29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11">
        <v>-1</v>
      </c>
      <c r="I86" s="11">
        <v>1</v>
      </c>
      <c r="J86" s="12">
        <v>-1</v>
      </c>
      <c r="K86" s="12">
        <v>1</v>
      </c>
      <c r="L86" s="9">
        <f t="shared" si="34"/>
        <v>0</v>
      </c>
      <c r="M86" s="9">
        <f t="shared" si="27"/>
        <v>4.9206132855534879E-3</v>
      </c>
      <c r="N86" s="9">
        <f t="shared" si="28"/>
        <v>0</v>
      </c>
      <c r="O86" s="9">
        <f t="shared" si="29"/>
        <v>2.9940695062022019E-2</v>
      </c>
      <c r="P86" s="9">
        <f t="shared" si="30"/>
        <v>2.4140895162283679E-2</v>
      </c>
      <c r="Q86" s="9">
        <f t="shared" si="31"/>
        <v>0</v>
      </c>
      <c r="R86" s="9">
        <f t="shared" si="32"/>
        <v>-2.4140895162283679E-2</v>
      </c>
      <c r="S86" s="9">
        <f t="shared" si="33"/>
        <v>0</v>
      </c>
      <c r="T86" s="10">
        <f t="shared" si="36"/>
        <v>0.36914286765490689</v>
      </c>
      <c r="U86" s="10">
        <f t="shared" si="37"/>
        <v>8.966111199305804E-2</v>
      </c>
      <c r="V86" s="10">
        <f t="shared" si="38"/>
        <v>-0.11752421446646777</v>
      </c>
      <c r="W86" s="10">
        <f t="shared" si="39"/>
        <v>0.17070835482850114</v>
      </c>
      <c r="X86" s="10">
        <f t="shared" si="40"/>
        <v>0.38840682016218797</v>
      </c>
      <c r="Y86" s="10">
        <f t="shared" si="41"/>
        <v>0.34234506438327172</v>
      </c>
      <c r="Z86" s="10">
        <f t="shared" si="42"/>
        <v>-0.38840682016218797</v>
      </c>
      <c r="AA86" s="10">
        <f t="shared" si="43"/>
        <v>-0.34234506438327172</v>
      </c>
      <c r="AB86" s="7">
        <f t="shared" si="35"/>
        <v>0.51198812000999827</v>
      </c>
      <c r="AC86" s="7">
        <v>0.42911737494667129</v>
      </c>
    </row>
    <row r="87" spans="1:29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11">
        <v>-1</v>
      </c>
      <c r="I87" s="11">
        <v>1</v>
      </c>
      <c r="J87" s="12">
        <v>-1</v>
      </c>
      <c r="K87" s="12">
        <v>1</v>
      </c>
      <c r="L87" s="9">
        <f t="shared" si="34"/>
        <v>0</v>
      </c>
      <c r="M87" s="9">
        <f t="shared" si="27"/>
        <v>1.3638821985546329E-2</v>
      </c>
      <c r="N87" s="9">
        <f t="shared" si="28"/>
        <v>0</v>
      </c>
      <c r="O87" s="9">
        <f t="shared" si="29"/>
        <v>2.5586219501963159E-2</v>
      </c>
      <c r="P87" s="9">
        <f t="shared" si="30"/>
        <v>5.0966240374167304E-3</v>
      </c>
      <c r="Q87" s="9">
        <f t="shared" si="31"/>
        <v>0</v>
      </c>
      <c r="R87" s="9">
        <f t="shared" si="32"/>
        <v>-5.0966240374167304E-3</v>
      </c>
      <c r="S87" s="9">
        <f t="shared" si="33"/>
        <v>0</v>
      </c>
      <c r="T87" s="10">
        <f t="shared" si="36"/>
        <v>0.36914286765490689</v>
      </c>
      <c r="U87" s="10">
        <f t="shared" si="37"/>
        <v>0.10329993397860437</v>
      </c>
      <c r="V87" s="10">
        <f t="shared" si="38"/>
        <v>-0.11752421446646777</v>
      </c>
      <c r="W87" s="10">
        <f t="shared" si="39"/>
        <v>0.19629457433046429</v>
      </c>
      <c r="X87" s="10">
        <f t="shared" si="40"/>
        <v>0.3935034441996047</v>
      </c>
      <c r="Y87" s="10">
        <f t="shared" si="41"/>
        <v>0.34234506438327172</v>
      </c>
      <c r="Z87" s="10">
        <f t="shared" si="42"/>
        <v>-0.3935034441996047</v>
      </c>
      <c r="AA87" s="10">
        <f t="shared" si="43"/>
        <v>-0.34234506438327172</v>
      </c>
      <c r="AB87" s="7">
        <f t="shared" si="35"/>
        <v>0.55121316149750776</v>
      </c>
      <c r="AC87" s="7">
        <v>0.46489984531036982</v>
      </c>
    </row>
    <row r="88" spans="1:29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11">
        <v>-1</v>
      </c>
      <c r="I88" s="11">
        <v>1</v>
      </c>
      <c r="J88" s="12">
        <v>-1</v>
      </c>
      <c r="K88" s="12">
        <v>1</v>
      </c>
      <c r="L88" s="9">
        <f t="shared" si="34"/>
        <v>0</v>
      </c>
      <c r="M88" s="9">
        <f t="shared" si="27"/>
        <v>4.308525226800175E-2</v>
      </c>
      <c r="N88" s="9">
        <f t="shared" si="28"/>
        <v>0</v>
      </c>
      <c r="O88" s="9">
        <f t="shared" si="29"/>
        <v>-3.358903625060528E-3</v>
      </c>
      <c r="P88" s="9">
        <f t="shared" si="30"/>
        <v>2.5266409483466479E-3</v>
      </c>
      <c r="Q88" s="9">
        <f t="shared" si="31"/>
        <v>0</v>
      </c>
      <c r="R88" s="9">
        <f t="shared" si="32"/>
        <v>-2.5266409483466479E-3</v>
      </c>
      <c r="S88" s="9">
        <f t="shared" si="33"/>
        <v>0</v>
      </c>
      <c r="T88" s="10">
        <f t="shared" si="36"/>
        <v>0.36914286765490689</v>
      </c>
      <c r="U88" s="10">
        <f t="shared" si="37"/>
        <v>0.14638518624660612</v>
      </c>
      <c r="V88" s="10">
        <f t="shared" si="38"/>
        <v>-0.11752421446646777</v>
      </c>
      <c r="W88" s="10">
        <f t="shared" si="39"/>
        <v>0.19293567070540377</v>
      </c>
      <c r="X88" s="10">
        <f t="shared" si="40"/>
        <v>0.39603008514795135</v>
      </c>
      <c r="Y88" s="10">
        <f t="shared" si="41"/>
        <v>0.34234506438327172</v>
      </c>
      <c r="Z88" s="10">
        <f t="shared" si="42"/>
        <v>-0.39603008514795135</v>
      </c>
      <c r="AA88" s="10">
        <f t="shared" si="43"/>
        <v>-0.34234506438327172</v>
      </c>
      <c r="AB88" s="7">
        <f t="shared" si="35"/>
        <v>0.59093951014044899</v>
      </c>
      <c r="AC88" s="7">
        <v>0.44737664518418369</v>
      </c>
    </row>
    <row r="89" spans="1:29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11">
        <v>-1</v>
      </c>
      <c r="I89" s="11">
        <v>1</v>
      </c>
      <c r="J89" s="12">
        <v>-1</v>
      </c>
      <c r="K89" s="12">
        <v>1</v>
      </c>
      <c r="L89" s="9">
        <f t="shared" si="34"/>
        <v>0</v>
      </c>
      <c r="M89" s="9">
        <f t="shared" si="27"/>
        <v>-4.8764891546986266E-3</v>
      </c>
      <c r="N89" s="9">
        <f t="shared" si="28"/>
        <v>0</v>
      </c>
      <c r="O89" s="9">
        <f t="shared" si="29"/>
        <v>1.5790483099045179E-2</v>
      </c>
      <c r="P89" s="9">
        <f t="shared" si="30"/>
        <v>3.4097587039318533E-2</v>
      </c>
      <c r="Q89" s="9">
        <f t="shared" si="31"/>
        <v>0</v>
      </c>
      <c r="R89" s="9">
        <f t="shared" si="32"/>
        <v>-3.4097587039318533E-2</v>
      </c>
      <c r="S89" s="9">
        <f t="shared" si="33"/>
        <v>0</v>
      </c>
      <c r="T89" s="10">
        <f t="shared" si="36"/>
        <v>0.36914286765490689</v>
      </c>
      <c r="U89" s="10">
        <f t="shared" si="37"/>
        <v>0.1415086970919075</v>
      </c>
      <c r="V89" s="10">
        <f t="shared" si="38"/>
        <v>-0.11752421446646777</v>
      </c>
      <c r="W89" s="10">
        <f t="shared" si="39"/>
        <v>0.20872615380444895</v>
      </c>
      <c r="X89" s="10">
        <f t="shared" si="40"/>
        <v>0.43012767218726988</v>
      </c>
      <c r="Y89" s="10">
        <f t="shared" si="41"/>
        <v>0.34234506438327172</v>
      </c>
      <c r="Z89" s="10">
        <f t="shared" si="42"/>
        <v>-0.43012767218726988</v>
      </c>
      <c r="AA89" s="10">
        <f t="shared" si="43"/>
        <v>-0.34234506438327172</v>
      </c>
      <c r="AB89" s="7">
        <f t="shared" si="35"/>
        <v>0.60185350408479554</v>
      </c>
      <c r="AC89" s="7">
        <v>0.50812505477479653</v>
      </c>
    </row>
    <row r="90" spans="1:29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11">
        <v>-1</v>
      </c>
      <c r="I90" s="11">
        <v>1</v>
      </c>
      <c r="J90" s="12">
        <v>-1</v>
      </c>
      <c r="K90" s="12">
        <v>1</v>
      </c>
      <c r="L90" s="9">
        <f t="shared" si="34"/>
        <v>0</v>
      </c>
      <c r="M90" s="9">
        <f t="shared" si="27"/>
        <v>-1.0572474053984759E-3</v>
      </c>
      <c r="N90" s="9">
        <f t="shared" si="28"/>
        <v>0</v>
      </c>
      <c r="O90" s="9">
        <f t="shared" si="29"/>
        <v>-1.0121531200303459E-2</v>
      </c>
      <c r="P90" s="9">
        <f t="shared" si="30"/>
        <v>8.2766618055040153E-3</v>
      </c>
      <c r="Q90" s="9">
        <f t="shared" si="31"/>
        <v>0</v>
      </c>
      <c r="R90" s="9">
        <f t="shared" si="32"/>
        <v>-8.2766618055040153E-3</v>
      </c>
      <c r="S90" s="9">
        <f t="shared" si="33"/>
        <v>0</v>
      </c>
      <c r="T90" s="10">
        <f t="shared" si="36"/>
        <v>0.36914286765490689</v>
      </c>
      <c r="U90" s="10">
        <f t="shared" si="37"/>
        <v>0.14045144968650902</v>
      </c>
      <c r="V90" s="10">
        <f t="shared" si="38"/>
        <v>-0.11752421446646777</v>
      </c>
      <c r="W90" s="10">
        <f t="shared" si="39"/>
        <v>0.19860462260414549</v>
      </c>
      <c r="X90" s="10">
        <f t="shared" si="40"/>
        <v>0.4384043339927739</v>
      </c>
      <c r="Y90" s="10">
        <f t="shared" si="41"/>
        <v>0.34234506438327172</v>
      </c>
      <c r="Z90" s="10">
        <f t="shared" si="42"/>
        <v>-0.4384043339927739</v>
      </c>
      <c r="AA90" s="10">
        <f t="shared" si="43"/>
        <v>-0.34234506438327172</v>
      </c>
      <c r="AB90" s="7">
        <f t="shared" si="35"/>
        <v>0.59067472547909361</v>
      </c>
      <c r="AC90" s="7">
        <v>0.52750814274802582</v>
      </c>
    </row>
    <row r="91" spans="1:29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11">
        <v>1</v>
      </c>
      <c r="I91" s="11">
        <v>-1</v>
      </c>
      <c r="J91" s="12">
        <v>1</v>
      </c>
      <c r="K91" s="12">
        <v>1</v>
      </c>
      <c r="L91" s="9">
        <f t="shared" si="34"/>
        <v>-2.1774215815850258E-2</v>
      </c>
      <c r="M91" s="9">
        <f t="shared" si="27"/>
        <v>0</v>
      </c>
      <c r="N91" s="9">
        <f t="shared" si="28"/>
        <v>-7.97830739722305E-3</v>
      </c>
      <c r="O91" s="9">
        <f t="shared" si="29"/>
        <v>0</v>
      </c>
      <c r="P91" s="9">
        <f t="shared" si="30"/>
        <v>0</v>
      </c>
      <c r="Q91" s="9">
        <f t="shared" si="31"/>
        <v>-2.785981521645442E-2</v>
      </c>
      <c r="R91" s="9">
        <f t="shared" si="32"/>
        <v>0</v>
      </c>
      <c r="S91" s="9">
        <f t="shared" si="33"/>
        <v>2.785981521645442E-2</v>
      </c>
      <c r="T91" s="10">
        <f t="shared" si="36"/>
        <v>0.34736865183905663</v>
      </c>
      <c r="U91" s="10">
        <f t="shared" si="37"/>
        <v>0.14045144968650902</v>
      </c>
      <c r="V91" s="10">
        <f t="shared" si="38"/>
        <v>-0.12550252186369082</v>
      </c>
      <c r="W91" s="10">
        <f t="shared" si="39"/>
        <v>0.19860462260414549</v>
      </c>
      <c r="X91" s="10">
        <f t="shared" si="40"/>
        <v>0.4384043339927739</v>
      </c>
      <c r="Y91" s="10">
        <f t="shared" si="41"/>
        <v>0.3144852491668173</v>
      </c>
      <c r="Z91" s="10">
        <f t="shared" si="42"/>
        <v>-0.4384043339927739</v>
      </c>
      <c r="AA91" s="10">
        <f t="shared" si="43"/>
        <v>-0.3144852491668173</v>
      </c>
      <c r="AB91" s="7">
        <f t="shared" si="35"/>
        <v>0.5609222022660203</v>
      </c>
      <c r="AC91" s="7">
        <v>0.49152443385029132</v>
      </c>
    </row>
    <row r="92" spans="1:29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11">
        <v>-1</v>
      </c>
      <c r="I92" s="11">
        <v>1</v>
      </c>
      <c r="J92" s="12">
        <v>-1</v>
      </c>
      <c r="K92" s="12">
        <v>-1</v>
      </c>
      <c r="L92" s="9">
        <f t="shared" si="34"/>
        <v>0</v>
      </c>
      <c r="M92" s="9">
        <f t="shared" si="27"/>
        <v>3.6679436318350911E-3</v>
      </c>
      <c r="N92" s="9">
        <f t="shared" si="28"/>
        <v>0</v>
      </c>
      <c r="O92" s="9">
        <f t="shared" si="29"/>
        <v>2.8813313910169391E-2</v>
      </c>
      <c r="P92" s="9">
        <f t="shared" si="30"/>
        <v>-6.1278702151450481E-3</v>
      </c>
      <c r="Q92" s="9">
        <f t="shared" si="31"/>
        <v>0</v>
      </c>
      <c r="R92" s="9">
        <f t="shared" si="32"/>
        <v>6.1278702151450481E-3</v>
      </c>
      <c r="S92" s="9">
        <f t="shared" si="33"/>
        <v>0</v>
      </c>
      <c r="T92" s="10">
        <f t="shared" si="36"/>
        <v>0.34736865183905663</v>
      </c>
      <c r="U92" s="10">
        <f t="shared" si="37"/>
        <v>0.14411939331834411</v>
      </c>
      <c r="V92" s="10">
        <f t="shared" si="38"/>
        <v>-0.12550252186369082</v>
      </c>
      <c r="W92" s="10">
        <f t="shared" si="39"/>
        <v>0.22741793651431488</v>
      </c>
      <c r="X92" s="10">
        <f t="shared" si="40"/>
        <v>0.43227646377762885</v>
      </c>
      <c r="Y92" s="10">
        <f t="shared" si="41"/>
        <v>0.3144852491668173</v>
      </c>
      <c r="Z92" s="10">
        <f t="shared" si="42"/>
        <v>-0.43227646377762885</v>
      </c>
      <c r="AA92" s="10">
        <f t="shared" si="43"/>
        <v>-0.3144852491668173</v>
      </c>
      <c r="AB92" s="7">
        <f t="shared" si="35"/>
        <v>0.59340345980802478</v>
      </c>
      <c r="AC92" s="7">
        <v>0.52336744737123875</v>
      </c>
    </row>
    <row r="93" spans="1:29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11">
        <v>-1</v>
      </c>
      <c r="I93" s="11">
        <v>1</v>
      </c>
      <c r="J93" s="12">
        <v>-1</v>
      </c>
      <c r="K93" s="12">
        <v>1</v>
      </c>
      <c r="L93" s="9">
        <f t="shared" si="34"/>
        <v>0</v>
      </c>
      <c r="M93" s="9">
        <f t="shared" si="27"/>
        <v>-8.92086015876703E-3</v>
      </c>
      <c r="N93" s="9">
        <f t="shared" si="28"/>
        <v>0</v>
      </c>
      <c r="O93" s="9">
        <f t="shared" si="29"/>
        <v>-1.92345637026109E-2</v>
      </c>
      <c r="P93" s="9">
        <f t="shared" si="30"/>
        <v>3.1367671260531298E-2</v>
      </c>
      <c r="Q93" s="9">
        <f t="shared" si="31"/>
        <v>0</v>
      </c>
      <c r="R93" s="9">
        <f t="shared" si="32"/>
        <v>-3.1367671260531298E-2</v>
      </c>
      <c r="S93" s="9">
        <f t="shared" si="33"/>
        <v>0</v>
      </c>
      <c r="T93" s="10">
        <f t="shared" si="36"/>
        <v>0.34736865183905663</v>
      </c>
      <c r="U93" s="10">
        <f t="shared" si="37"/>
        <v>0.13519853315957708</v>
      </c>
      <c r="V93" s="10">
        <f t="shared" si="38"/>
        <v>-0.12550252186369082</v>
      </c>
      <c r="W93" s="10">
        <f t="shared" si="39"/>
        <v>0.20818337281170399</v>
      </c>
      <c r="X93" s="10">
        <f t="shared" si="40"/>
        <v>0.46364413503816015</v>
      </c>
      <c r="Y93" s="10">
        <f t="shared" si="41"/>
        <v>0.3144852491668173</v>
      </c>
      <c r="Z93" s="10">
        <f t="shared" si="42"/>
        <v>-0.46364413503816015</v>
      </c>
      <c r="AA93" s="10">
        <f t="shared" si="43"/>
        <v>-0.3144852491668173</v>
      </c>
      <c r="AB93" s="7">
        <f t="shared" si="35"/>
        <v>0.56524803594664685</v>
      </c>
      <c r="AC93" s="7">
        <v>0.58278988741933513</v>
      </c>
    </row>
    <row r="94" spans="1:29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11">
        <v>-1</v>
      </c>
      <c r="I94" s="11">
        <v>1</v>
      </c>
      <c r="J94" s="12">
        <v>-1</v>
      </c>
      <c r="K94" s="12">
        <v>1</v>
      </c>
      <c r="L94" s="9">
        <f t="shared" si="34"/>
        <v>0</v>
      </c>
      <c r="M94" s="9">
        <f t="shared" si="27"/>
        <v>1.7867176265855319E-2</v>
      </c>
      <c r="N94" s="9">
        <f t="shared" si="28"/>
        <v>0</v>
      </c>
      <c r="O94" s="9">
        <f t="shared" si="29"/>
        <v>1.8840573236939769E-2</v>
      </c>
      <c r="P94" s="9">
        <f t="shared" si="30"/>
        <v>1.509637913450435E-2</v>
      </c>
      <c r="Q94" s="9">
        <f t="shared" si="31"/>
        <v>0</v>
      </c>
      <c r="R94" s="9">
        <f t="shared" si="32"/>
        <v>-1.509637913450435E-2</v>
      </c>
      <c r="S94" s="9">
        <f t="shared" si="33"/>
        <v>0</v>
      </c>
      <c r="T94" s="10">
        <f t="shared" si="36"/>
        <v>0.34736865183905663</v>
      </c>
      <c r="U94" s="10">
        <f t="shared" si="37"/>
        <v>0.15306570942543241</v>
      </c>
      <c r="V94" s="10">
        <f t="shared" si="38"/>
        <v>-0.12550252186369082</v>
      </c>
      <c r="W94" s="10">
        <f t="shared" si="39"/>
        <v>0.22702394604864376</v>
      </c>
      <c r="X94" s="10">
        <f t="shared" si="40"/>
        <v>0.4787405141726645</v>
      </c>
      <c r="Y94" s="10">
        <f t="shared" si="41"/>
        <v>0.3144852491668173</v>
      </c>
      <c r="Z94" s="10">
        <f t="shared" si="42"/>
        <v>-0.4787405141726645</v>
      </c>
      <c r="AA94" s="10">
        <f t="shared" si="43"/>
        <v>-0.3144852491668173</v>
      </c>
      <c r="AB94" s="7">
        <f t="shared" si="35"/>
        <v>0.60195578544944195</v>
      </c>
      <c r="AC94" s="7">
        <v>0.59905381298461358</v>
      </c>
    </row>
    <row r="95" spans="1:29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11">
        <v>1</v>
      </c>
      <c r="I95" s="11">
        <v>-1</v>
      </c>
      <c r="J95" s="12">
        <v>1</v>
      </c>
      <c r="K95" s="12">
        <v>1</v>
      </c>
      <c r="L95" s="9">
        <f t="shared" si="34"/>
        <v>3.1097438791128922E-3</v>
      </c>
      <c r="M95" s="9">
        <f t="shared" si="27"/>
        <v>0</v>
      </c>
      <c r="N95" s="9">
        <f t="shared" si="28"/>
        <v>1.9509097371035788E-2</v>
      </c>
      <c r="O95" s="9">
        <f t="shared" si="29"/>
        <v>0</v>
      </c>
      <c r="P95" s="9">
        <f t="shared" si="30"/>
        <v>0</v>
      </c>
      <c r="Q95" s="9">
        <f t="shared" si="31"/>
        <v>6.4597808714520366E-2</v>
      </c>
      <c r="R95" s="9">
        <f t="shared" si="32"/>
        <v>0</v>
      </c>
      <c r="S95" s="9">
        <f t="shared" si="33"/>
        <v>-6.4597808714520366E-2</v>
      </c>
      <c r="T95" s="10">
        <f t="shared" si="36"/>
        <v>0.35047839571816952</v>
      </c>
      <c r="U95" s="10">
        <f t="shared" si="37"/>
        <v>0.15306570942543241</v>
      </c>
      <c r="V95" s="10">
        <f t="shared" si="38"/>
        <v>-0.10599342449265503</v>
      </c>
      <c r="W95" s="10">
        <f t="shared" si="39"/>
        <v>0.22702394604864376</v>
      </c>
      <c r="X95" s="10">
        <f t="shared" si="40"/>
        <v>0.4787405141726645</v>
      </c>
      <c r="Y95" s="10">
        <f t="shared" si="41"/>
        <v>0.37908305788133767</v>
      </c>
      <c r="Z95" s="10">
        <f t="shared" si="42"/>
        <v>-0.4787405141726645</v>
      </c>
      <c r="AA95" s="10">
        <f t="shared" si="43"/>
        <v>-0.37908305788133767</v>
      </c>
      <c r="AB95" s="7">
        <f t="shared" si="35"/>
        <v>0.62457462669959063</v>
      </c>
      <c r="AC95" s="7">
        <v>0.52028618544984651</v>
      </c>
    </row>
    <row r="96" spans="1:29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11">
        <v>-1</v>
      </c>
      <c r="I96" s="11">
        <v>1</v>
      </c>
      <c r="J96" s="12">
        <v>-1</v>
      </c>
      <c r="K96" s="12">
        <v>-1</v>
      </c>
      <c r="L96" s="9">
        <f t="shared" si="34"/>
        <v>0</v>
      </c>
      <c r="M96" s="9">
        <f t="shared" si="27"/>
        <v>7.5527018574801486E-2</v>
      </c>
      <c r="N96" s="9">
        <f t="shared" si="28"/>
        <v>0</v>
      </c>
      <c r="O96" s="9">
        <f t="shared" si="29"/>
        <v>4.383463837468371E-2</v>
      </c>
      <c r="P96" s="9">
        <f t="shared" si="30"/>
        <v>-3.4927264468736841E-2</v>
      </c>
      <c r="Q96" s="9">
        <f t="shared" si="31"/>
        <v>0</v>
      </c>
      <c r="R96" s="9">
        <f t="shared" si="32"/>
        <v>3.4927264468736841E-2</v>
      </c>
      <c r="S96" s="9">
        <f t="shared" si="33"/>
        <v>0</v>
      </c>
      <c r="T96" s="10">
        <f t="shared" si="36"/>
        <v>0.35047839571816952</v>
      </c>
      <c r="U96" s="10">
        <f t="shared" si="37"/>
        <v>0.22859272800023389</v>
      </c>
      <c r="V96" s="10">
        <f t="shared" si="38"/>
        <v>-0.10599342449265503</v>
      </c>
      <c r="W96" s="10">
        <f t="shared" si="39"/>
        <v>0.27085858442332744</v>
      </c>
      <c r="X96" s="10">
        <f t="shared" si="40"/>
        <v>0.44381324970392766</v>
      </c>
      <c r="Y96" s="10">
        <f t="shared" si="41"/>
        <v>0.37908305788133767</v>
      </c>
      <c r="Z96" s="10">
        <f t="shared" si="42"/>
        <v>-0.44381324970392766</v>
      </c>
      <c r="AA96" s="10">
        <f t="shared" si="43"/>
        <v>-0.37908305788133767</v>
      </c>
      <c r="AB96" s="7">
        <f t="shared" si="35"/>
        <v>0.74393628364907582</v>
      </c>
      <c r="AC96" s="7">
        <v>0.46994305422448762</v>
      </c>
    </row>
    <row r="97" spans="1:29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11">
        <v>-1</v>
      </c>
      <c r="I97" s="11">
        <v>1</v>
      </c>
      <c r="J97" s="12">
        <v>-1</v>
      </c>
      <c r="K97" s="12">
        <v>1</v>
      </c>
      <c r="L97" s="9">
        <f t="shared" si="34"/>
        <v>0</v>
      </c>
      <c r="M97" s="9">
        <f t="shared" si="27"/>
        <v>-7.4968061133581232E-3</v>
      </c>
      <c r="N97" s="9">
        <f t="shared" si="28"/>
        <v>0</v>
      </c>
      <c r="O97" s="9">
        <f t="shared" si="29"/>
        <v>-3.4454944330239989E-3</v>
      </c>
      <c r="P97" s="9">
        <f t="shared" si="30"/>
        <v>3.8041024159712E-2</v>
      </c>
      <c r="Q97" s="9">
        <f t="shared" si="31"/>
        <v>0</v>
      </c>
      <c r="R97" s="9">
        <f t="shared" si="32"/>
        <v>-3.8041024159712E-2</v>
      </c>
      <c r="S97" s="9">
        <f t="shared" si="33"/>
        <v>0</v>
      </c>
      <c r="T97" s="10">
        <f t="shared" si="36"/>
        <v>0.35047839571816952</v>
      </c>
      <c r="U97" s="10">
        <f t="shared" si="37"/>
        <v>0.22109592188687577</v>
      </c>
      <c r="V97" s="10">
        <f t="shared" si="38"/>
        <v>-0.10599342449265503</v>
      </c>
      <c r="W97" s="10">
        <f t="shared" si="39"/>
        <v>0.26741308999030344</v>
      </c>
      <c r="X97" s="10">
        <f t="shared" si="40"/>
        <v>0.48185427386363966</v>
      </c>
      <c r="Y97" s="10">
        <f t="shared" si="41"/>
        <v>0.37908305788133767</v>
      </c>
      <c r="Z97" s="10">
        <f t="shared" si="42"/>
        <v>-0.48185427386363966</v>
      </c>
      <c r="AA97" s="10">
        <f t="shared" si="43"/>
        <v>-0.37908305788133767</v>
      </c>
      <c r="AB97" s="7">
        <f t="shared" si="35"/>
        <v>0.7329939831026937</v>
      </c>
      <c r="AC97" s="7">
        <v>0.53765296972452159</v>
      </c>
    </row>
    <row r="98" spans="1:29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11">
        <v>1</v>
      </c>
      <c r="I98" s="11">
        <v>-1</v>
      </c>
      <c r="J98" s="12">
        <v>1</v>
      </c>
      <c r="K98" s="12">
        <v>1</v>
      </c>
      <c r="L98" s="9">
        <f t="shared" si="34"/>
        <v>-2.0488181131885889E-2</v>
      </c>
      <c r="M98" s="9">
        <f t="shared" si="27"/>
        <v>0</v>
      </c>
      <c r="N98" s="9">
        <f t="shared" si="28"/>
        <v>-2.4313808508036661E-2</v>
      </c>
      <c r="O98" s="9">
        <f t="shared" si="29"/>
        <v>0</v>
      </c>
      <c r="P98" s="9">
        <f t="shared" si="30"/>
        <v>0</v>
      </c>
      <c r="Q98" s="9">
        <f t="shared" si="31"/>
        <v>-1.9336855217963019E-2</v>
      </c>
      <c r="R98" s="9">
        <f t="shared" si="32"/>
        <v>0</v>
      </c>
      <c r="S98" s="9">
        <f t="shared" si="33"/>
        <v>1.9336855217963019E-2</v>
      </c>
      <c r="T98" s="10">
        <f t="shared" si="36"/>
        <v>0.32999021458628364</v>
      </c>
      <c r="U98" s="10">
        <f t="shared" si="37"/>
        <v>0.22109592188687577</v>
      </c>
      <c r="V98" s="10">
        <f t="shared" si="38"/>
        <v>-0.13030723300069169</v>
      </c>
      <c r="W98" s="10">
        <f t="shared" si="39"/>
        <v>0.26741308999030344</v>
      </c>
      <c r="X98" s="10">
        <f t="shared" si="40"/>
        <v>0.48185427386363966</v>
      </c>
      <c r="Y98" s="10">
        <f t="shared" si="41"/>
        <v>0.35974620266337465</v>
      </c>
      <c r="Z98" s="10">
        <f t="shared" si="42"/>
        <v>-0.48185427386363966</v>
      </c>
      <c r="AA98" s="10">
        <f t="shared" si="43"/>
        <v>-0.35974620266337465</v>
      </c>
      <c r="AB98" s="7">
        <f t="shared" si="35"/>
        <v>0.68819199346277116</v>
      </c>
      <c r="AC98" s="7">
        <v>0.49296642897440651</v>
      </c>
    </row>
    <row r="99" spans="1:29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11">
        <v>-1</v>
      </c>
      <c r="I99" s="11">
        <v>1</v>
      </c>
      <c r="J99" s="12">
        <v>-1</v>
      </c>
      <c r="K99" s="12">
        <v>-1</v>
      </c>
      <c r="L99" s="9">
        <f t="shared" si="34"/>
        <v>0</v>
      </c>
      <c r="M99" s="9">
        <f t="shared" si="27"/>
        <v>-6.506948185740602E-3</v>
      </c>
      <c r="N99" s="9">
        <f t="shared" si="28"/>
        <v>0</v>
      </c>
      <c r="O99" s="9">
        <f t="shared" si="29"/>
        <v>8.8439347519244649E-3</v>
      </c>
      <c r="P99" s="9">
        <f t="shared" si="30"/>
        <v>4.7946265329462452E-2</v>
      </c>
      <c r="Q99" s="9">
        <f t="shared" si="31"/>
        <v>0</v>
      </c>
      <c r="R99" s="9">
        <f t="shared" si="32"/>
        <v>-4.7946265329462452E-2</v>
      </c>
      <c r="S99" s="9">
        <f t="shared" si="33"/>
        <v>0</v>
      </c>
      <c r="T99" s="10">
        <f t="shared" si="36"/>
        <v>0.32999021458628364</v>
      </c>
      <c r="U99" s="10">
        <f t="shared" si="37"/>
        <v>0.21458897370113517</v>
      </c>
      <c r="V99" s="10">
        <f t="shared" si="38"/>
        <v>-0.13030723300069169</v>
      </c>
      <c r="W99" s="10">
        <f t="shared" si="39"/>
        <v>0.27625702474222791</v>
      </c>
      <c r="X99" s="10">
        <f t="shared" si="40"/>
        <v>0.5298005391931021</v>
      </c>
      <c r="Y99" s="10">
        <f t="shared" si="41"/>
        <v>0.35974620266337465</v>
      </c>
      <c r="Z99" s="10">
        <f t="shared" si="42"/>
        <v>-0.5298005391931021</v>
      </c>
      <c r="AA99" s="10">
        <f t="shared" si="43"/>
        <v>-0.35974620266337465</v>
      </c>
      <c r="AB99" s="7">
        <f t="shared" si="35"/>
        <v>0.69052898002895502</v>
      </c>
      <c r="AC99" s="7">
        <v>0.57987773586595648</v>
      </c>
    </row>
    <row r="100" spans="1:29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11">
        <v>-1</v>
      </c>
      <c r="I100" s="11">
        <v>1</v>
      </c>
      <c r="J100" s="12">
        <v>-1</v>
      </c>
      <c r="K100" s="12">
        <v>1</v>
      </c>
      <c r="L100" s="9">
        <f t="shared" si="34"/>
        <v>0</v>
      </c>
      <c r="M100" s="9">
        <f t="shared" si="27"/>
        <v>-3.053093443202259E-3</v>
      </c>
      <c r="N100" s="9">
        <f t="shared" si="28"/>
        <v>0</v>
      </c>
      <c r="O100" s="9">
        <f t="shared" si="29"/>
        <v>-2.5521022222826368E-3</v>
      </c>
      <c r="P100" s="9">
        <f t="shared" si="30"/>
        <v>1.5541453141797E-2</v>
      </c>
      <c r="Q100" s="9">
        <f t="shared" si="31"/>
        <v>0</v>
      </c>
      <c r="R100" s="9">
        <f t="shared" si="32"/>
        <v>-1.5541453141797E-2</v>
      </c>
      <c r="S100" s="9">
        <f t="shared" si="33"/>
        <v>0</v>
      </c>
      <c r="T100" s="10">
        <f t="shared" si="36"/>
        <v>0.32999021458628364</v>
      </c>
      <c r="U100" s="10">
        <f t="shared" si="37"/>
        <v>0.21153588025793291</v>
      </c>
      <c r="V100" s="10">
        <f t="shared" si="38"/>
        <v>-0.13030723300069169</v>
      </c>
      <c r="W100" s="10">
        <f t="shared" si="39"/>
        <v>0.27370492251994527</v>
      </c>
      <c r="X100" s="10">
        <f t="shared" si="40"/>
        <v>0.54534199233489911</v>
      </c>
      <c r="Y100" s="10">
        <f t="shared" si="41"/>
        <v>0.35974620266337465</v>
      </c>
      <c r="Z100" s="10">
        <f t="shared" si="42"/>
        <v>-0.54534199233489911</v>
      </c>
      <c r="AA100" s="10">
        <f t="shared" si="43"/>
        <v>-0.35974620266337465</v>
      </c>
      <c r="AB100" s="7">
        <f t="shared" si="35"/>
        <v>0.68492378436347012</v>
      </c>
      <c r="AC100" s="7">
        <v>0.61782561805483138</v>
      </c>
    </row>
    <row r="101" spans="1:29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11">
        <v>-1</v>
      </c>
      <c r="I101" s="11">
        <v>1</v>
      </c>
      <c r="J101" s="12">
        <v>-1</v>
      </c>
      <c r="K101" s="12">
        <v>1</v>
      </c>
      <c r="L101" s="9">
        <f t="shared" si="34"/>
        <v>0</v>
      </c>
      <c r="M101" s="9">
        <f t="shared" si="27"/>
        <v>1.4774148729976511E-2</v>
      </c>
      <c r="N101" s="9">
        <f t="shared" si="28"/>
        <v>0</v>
      </c>
      <c r="O101" s="9">
        <f t="shared" si="29"/>
        <v>1.899562522835507E-2</v>
      </c>
      <c r="P101" s="9">
        <f t="shared" si="30"/>
        <v>3.5306751267559562E-2</v>
      </c>
      <c r="Q101" s="9">
        <f t="shared" si="31"/>
        <v>0</v>
      </c>
      <c r="R101" s="9">
        <f t="shared" si="32"/>
        <v>-3.5306751267559562E-2</v>
      </c>
      <c r="S101" s="9">
        <f t="shared" si="33"/>
        <v>0</v>
      </c>
      <c r="T101" s="10">
        <f t="shared" si="36"/>
        <v>0.32999021458628364</v>
      </c>
      <c r="U101" s="10">
        <f t="shared" si="37"/>
        <v>0.22631002898790942</v>
      </c>
      <c r="V101" s="10">
        <f t="shared" si="38"/>
        <v>-0.13030723300069169</v>
      </c>
      <c r="W101" s="10">
        <f t="shared" si="39"/>
        <v>0.29270054774830034</v>
      </c>
      <c r="X101" s="10">
        <f t="shared" si="40"/>
        <v>0.58064874360245866</v>
      </c>
      <c r="Y101" s="10">
        <f t="shared" si="41"/>
        <v>0.35974620266337465</v>
      </c>
      <c r="Z101" s="10">
        <f t="shared" si="42"/>
        <v>-0.58064874360245866</v>
      </c>
      <c r="AA101" s="10">
        <f t="shared" si="43"/>
        <v>-0.35974620266337465</v>
      </c>
      <c r="AB101" s="7">
        <f t="shared" si="35"/>
        <v>0.71869355832180171</v>
      </c>
      <c r="AC101" s="7">
        <v>0.61870653554193833</v>
      </c>
    </row>
    <row r="102" spans="1:29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11">
        <v>-1</v>
      </c>
      <c r="I102" s="11">
        <v>1</v>
      </c>
      <c r="J102" s="12">
        <v>-1</v>
      </c>
      <c r="K102" s="12">
        <v>1</v>
      </c>
      <c r="L102" s="9">
        <f t="shared" si="34"/>
        <v>0</v>
      </c>
      <c r="M102" s="9">
        <f t="shared" si="27"/>
        <v>-2.875213803400944E-3</v>
      </c>
      <c r="N102" s="9">
        <f t="shared" si="28"/>
        <v>0</v>
      </c>
      <c r="O102" s="9">
        <f t="shared" si="29"/>
        <v>7.3950875545023553E-3</v>
      </c>
      <c r="P102" s="9">
        <f t="shared" si="30"/>
        <v>3.628181362629368E-2</v>
      </c>
      <c r="Q102" s="9">
        <f t="shared" si="31"/>
        <v>0</v>
      </c>
      <c r="R102" s="9">
        <f t="shared" si="32"/>
        <v>-3.628181362629368E-2</v>
      </c>
      <c r="S102" s="9">
        <f t="shared" si="33"/>
        <v>0</v>
      </c>
      <c r="T102" s="10">
        <f t="shared" si="36"/>
        <v>0.32999021458628364</v>
      </c>
      <c r="U102" s="10">
        <f t="shared" si="37"/>
        <v>0.22343481518450847</v>
      </c>
      <c r="V102" s="10">
        <f t="shared" si="38"/>
        <v>-0.13030723300069169</v>
      </c>
      <c r="W102" s="10">
        <f t="shared" si="39"/>
        <v>0.3000956353028027</v>
      </c>
      <c r="X102" s="10">
        <f t="shared" si="40"/>
        <v>0.61693055722875234</v>
      </c>
      <c r="Y102" s="10">
        <f t="shared" si="41"/>
        <v>0.35974620266337465</v>
      </c>
      <c r="Z102" s="10">
        <f t="shared" si="42"/>
        <v>-0.61693055722875234</v>
      </c>
      <c r="AA102" s="10">
        <f t="shared" si="43"/>
        <v>-0.35974620266337465</v>
      </c>
      <c r="AB102" s="7">
        <f t="shared" si="35"/>
        <v>0.72321343207290312</v>
      </c>
      <c r="AC102" s="7">
        <v>0.68381891049544297</v>
      </c>
    </row>
    <row r="103" spans="1:29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11">
        <v>-1</v>
      </c>
      <c r="I103" s="11">
        <v>1</v>
      </c>
      <c r="J103" s="12">
        <v>-1</v>
      </c>
      <c r="K103" s="12">
        <v>1</v>
      </c>
      <c r="L103" s="9">
        <f t="shared" si="34"/>
        <v>0</v>
      </c>
      <c r="M103" s="9">
        <f t="shared" si="27"/>
        <v>3.0658043550980669E-3</v>
      </c>
      <c r="N103" s="9">
        <f t="shared" si="28"/>
        <v>0</v>
      </c>
      <c r="O103" s="9">
        <f t="shared" si="29"/>
        <v>-3.5063178132811461E-3</v>
      </c>
      <c r="P103" s="9">
        <f t="shared" si="30"/>
        <v>1.106374106729446E-2</v>
      </c>
      <c r="Q103" s="9">
        <f t="shared" si="31"/>
        <v>0</v>
      </c>
      <c r="R103" s="9">
        <f t="shared" si="32"/>
        <v>-1.106374106729446E-2</v>
      </c>
      <c r="S103" s="9">
        <f t="shared" si="33"/>
        <v>0</v>
      </c>
      <c r="T103" s="10">
        <f t="shared" si="36"/>
        <v>0.32999021458628364</v>
      </c>
      <c r="U103" s="10">
        <f t="shared" si="37"/>
        <v>0.22650061953960654</v>
      </c>
      <c r="V103" s="10">
        <f t="shared" si="38"/>
        <v>-0.13030723300069169</v>
      </c>
      <c r="W103" s="10">
        <f t="shared" si="39"/>
        <v>0.29658931748952155</v>
      </c>
      <c r="X103" s="10">
        <f t="shared" si="40"/>
        <v>0.6279942982960468</v>
      </c>
      <c r="Y103" s="10">
        <f t="shared" si="41"/>
        <v>0.35974620266337465</v>
      </c>
      <c r="Z103" s="10">
        <f t="shared" si="42"/>
        <v>-0.6279942982960468</v>
      </c>
      <c r="AA103" s="10">
        <f t="shared" si="43"/>
        <v>-0.35974620266337465</v>
      </c>
      <c r="AB103" s="7">
        <f t="shared" si="35"/>
        <v>0.72277291861472004</v>
      </c>
      <c r="AC103" s="7">
        <v>0.70725956608540319</v>
      </c>
    </row>
    <row r="104" spans="1:29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11">
        <v>-1</v>
      </c>
      <c r="I104" s="11">
        <v>1</v>
      </c>
      <c r="J104" s="12">
        <v>-1</v>
      </c>
      <c r="K104" s="12">
        <v>1</v>
      </c>
      <c r="L104" s="9">
        <f t="shared" si="34"/>
        <v>0</v>
      </c>
      <c r="M104" s="9">
        <f t="shared" si="27"/>
        <v>-1.005808878577874E-2</v>
      </c>
      <c r="N104" s="9">
        <f t="shared" si="28"/>
        <v>0</v>
      </c>
      <c r="O104" s="9">
        <f t="shared" si="29"/>
        <v>1.7183129655892859E-2</v>
      </c>
      <c r="P104" s="9">
        <f t="shared" si="30"/>
        <v>2.540084508438201E-2</v>
      </c>
      <c r="Q104" s="9">
        <f t="shared" si="31"/>
        <v>0</v>
      </c>
      <c r="R104" s="9">
        <f t="shared" si="32"/>
        <v>-2.540084508438201E-2</v>
      </c>
      <c r="S104" s="9">
        <f t="shared" si="33"/>
        <v>0</v>
      </c>
      <c r="T104" s="10">
        <f t="shared" si="36"/>
        <v>0.32999021458628364</v>
      </c>
      <c r="U104" s="10">
        <f t="shared" si="37"/>
        <v>0.2164425307538278</v>
      </c>
      <c r="V104" s="10">
        <f t="shared" si="38"/>
        <v>-0.13030723300069169</v>
      </c>
      <c r="W104" s="10">
        <f t="shared" si="39"/>
        <v>0.31377244714541441</v>
      </c>
      <c r="X104" s="10">
        <f t="shared" si="40"/>
        <v>0.65339514338042881</v>
      </c>
      <c r="Y104" s="10">
        <f t="shared" si="41"/>
        <v>0.35974620266337465</v>
      </c>
      <c r="Z104" s="10">
        <f t="shared" si="42"/>
        <v>-0.65339514338042881</v>
      </c>
      <c r="AA104" s="10">
        <f t="shared" si="43"/>
        <v>-0.35974620266337465</v>
      </c>
      <c r="AB104" s="7">
        <f t="shared" si="35"/>
        <v>0.72989795948483416</v>
      </c>
      <c r="AC104" s="7">
        <v>0.74192619173960661</v>
      </c>
    </row>
    <row r="105" spans="1:29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11">
        <v>1</v>
      </c>
      <c r="I105" s="11">
        <v>-1</v>
      </c>
      <c r="J105" s="12">
        <v>1</v>
      </c>
      <c r="K105" s="12">
        <v>1</v>
      </c>
      <c r="L105" s="9">
        <f t="shared" si="34"/>
        <v>2.1839555187624819E-2</v>
      </c>
      <c r="M105" s="9">
        <f t="shared" si="27"/>
        <v>0</v>
      </c>
      <c r="N105" s="9">
        <f t="shared" si="28"/>
        <v>8.3279577216403E-3</v>
      </c>
      <c r="O105" s="9">
        <f t="shared" si="29"/>
        <v>0</v>
      </c>
      <c r="P105" s="9">
        <f t="shared" si="30"/>
        <v>0</v>
      </c>
      <c r="Q105" s="9">
        <f t="shared" si="31"/>
        <v>1.265349245007652E-2</v>
      </c>
      <c r="R105" s="9">
        <f t="shared" si="32"/>
        <v>0</v>
      </c>
      <c r="S105" s="9">
        <f t="shared" si="33"/>
        <v>-1.265349245007652E-2</v>
      </c>
      <c r="T105" s="10">
        <f t="shared" si="36"/>
        <v>0.35182976977390845</v>
      </c>
      <c r="U105" s="10">
        <f t="shared" si="37"/>
        <v>0.2164425307538278</v>
      </c>
      <c r="V105" s="10">
        <f t="shared" si="38"/>
        <v>-0.12197927527905139</v>
      </c>
      <c r="W105" s="10">
        <f t="shared" si="39"/>
        <v>0.31377244714541441</v>
      </c>
      <c r="X105" s="10">
        <f t="shared" si="40"/>
        <v>0.65339514338042881</v>
      </c>
      <c r="Y105" s="10">
        <f t="shared" si="41"/>
        <v>0.37239969511345117</v>
      </c>
      <c r="Z105" s="10">
        <f t="shared" si="42"/>
        <v>-0.65339514338042881</v>
      </c>
      <c r="AA105" s="10">
        <f t="shared" si="43"/>
        <v>-0.37239969511345117</v>
      </c>
      <c r="AB105" s="7">
        <f t="shared" si="35"/>
        <v>0.76006547239409927</v>
      </c>
      <c r="AC105" s="7">
        <v>0.74321206219355218</v>
      </c>
    </row>
    <row r="106" spans="1:29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11">
        <v>1</v>
      </c>
      <c r="I106" s="11">
        <v>-1</v>
      </c>
      <c r="J106" s="12">
        <v>1</v>
      </c>
      <c r="K106" s="12">
        <v>-1</v>
      </c>
      <c r="L106" s="9">
        <f t="shared" si="34"/>
        <v>1.9681546292944829E-2</v>
      </c>
      <c r="M106" s="9">
        <f t="shared" si="27"/>
        <v>0</v>
      </c>
      <c r="N106" s="9">
        <f t="shared" si="28"/>
        <v>-1.3976148507365621E-2</v>
      </c>
      <c r="O106" s="9">
        <f t="shared" si="29"/>
        <v>0</v>
      </c>
      <c r="P106" s="9">
        <f t="shared" si="30"/>
        <v>0</v>
      </c>
      <c r="Q106" s="9">
        <f t="shared" si="31"/>
        <v>-5.5075839404019611E-3</v>
      </c>
      <c r="R106" s="9">
        <f t="shared" si="32"/>
        <v>0</v>
      </c>
      <c r="S106" s="9">
        <f t="shared" si="33"/>
        <v>5.5075839404019611E-3</v>
      </c>
      <c r="T106" s="10">
        <f t="shared" si="36"/>
        <v>0.37151131606685328</v>
      </c>
      <c r="U106" s="10">
        <f t="shared" si="37"/>
        <v>0.2164425307538278</v>
      </c>
      <c r="V106" s="10">
        <f t="shared" si="38"/>
        <v>-0.13595542378641701</v>
      </c>
      <c r="W106" s="10">
        <f t="shared" si="39"/>
        <v>0.31377244714541441</v>
      </c>
      <c r="X106" s="10">
        <f t="shared" si="40"/>
        <v>0.65339514338042881</v>
      </c>
      <c r="Y106" s="10">
        <f t="shared" si="41"/>
        <v>0.36689211117304921</v>
      </c>
      <c r="Z106" s="10">
        <f t="shared" si="42"/>
        <v>-0.65339514338042881</v>
      </c>
      <c r="AA106" s="10">
        <f t="shared" si="43"/>
        <v>-0.36689211117304921</v>
      </c>
      <c r="AB106" s="7">
        <f t="shared" si="35"/>
        <v>0.76577087017967849</v>
      </c>
      <c r="AC106" s="7">
        <v>0.77207627870613438</v>
      </c>
    </row>
    <row r="107" spans="1:29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11">
        <v>1</v>
      </c>
      <c r="I107" s="11">
        <v>-1</v>
      </c>
      <c r="J107" s="12">
        <v>1</v>
      </c>
      <c r="K107" s="12">
        <v>-1</v>
      </c>
      <c r="L107" s="9">
        <f t="shared" si="34"/>
        <v>9.7536821874453228E-3</v>
      </c>
      <c r="M107" s="9">
        <f t="shared" si="27"/>
        <v>0</v>
      </c>
      <c r="N107" s="9">
        <f t="shared" si="28"/>
        <v>-1.433877544824114E-2</v>
      </c>
      <c r="O107" s="9">
        <f t="shared" si="29"/>
        <v>0</v>
      </c>
      <c r="P107" s="9">
        <f t="shared" si="30"/>
        <v>0</v>
      </c>
      <c r="Q107" s="9">
        <f t="shared" si="31"/>
        <v>1.6399602816304371E-2</v>
      </c>
      <c r="R107" s="9">
        <f t="shared" si="32"/>
        <v>0</v>
      </c>
      <c r="S107" s="9">
        <f t="shared" si="33"/>
        <v>-1.6399602816304371E-2</v>
      </c>
      <c r="T107" s="10">
        <f t="shared" si="36"/>
        <v>0.3812649982542986</v>
      </c>
      <c r="U107" s="10">
        <f t="shared" si="37"/>
        <v>0.2164425307538278</v>
      </c>
      <c r="V107" s="10">
        <f t="shared" si="38"/>
        <v>-0.15029419923465814</v>
      </c>
      <c r="W107" s="10">
        <f t="shared" si="39"/>
        <v>0.31377244714541441</v>
      </c>
      <c r="X107" s="10">
        <f t="shared" si="40"/>
        <v>0.65339514338042881</v>
      </c>
      <c r="Y107" s="10">
        <f t="shared" si="41"/>
        <v>0.38329171398935358</v>
      </c>
      <c r="Z107" s="10">
        <f t="shared" si="42"/>
        <v>-0.65339514338042881</v>
      </c>
      <c r="AA107" s="10">
        <f t="shared" si="43"/>
        <v>-0.38329171398935358</v>
      </c>
      <c r="AB107" s="7">
        <f t="shared" si="35"/>
        <v>0.76118577691888267</v>
      </c>
      <c r="AC107" s="7">
        <v>0.76125917277680133</v>
      </c>
    </row>
    <row r="108" spans="1:29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11">
        <v>1</v>
      </c>
      <c r="I108" s="11">
        <v>-1</v>
      </c>
      <c r="J108" s="12">
        <v>1</v>
      </c>
      <c r="K108" s="12">
        <v>-1</v>
      </c>
      <c r="L108" s="9">
        <f t="shared" si="34"/>
        <v>1.9576589886227121E-2</v>
      </c>
      <c r="M108" s="9">
        <f t="shared" si="27"/>
        <v>0</v>
      </c>
      <c r="N108" s="9">
        <f t="shared" si="28"/>
        <v>2.5927329772757472E-2</v>
      </c>
      <c r="O108" s="9">
        <f t="shared" si="29"/>
        <v>0</v>
      </c>
      <c r="P108" s="9">
        <f t="shared" si="30"/>
        <v>0</v>
      </c>
      <c r="Q108" s="9">
        <f t="shared" si="31"/>
        <v>4.4668335779919799E-2</v>
      </c>
      <c r="R108" s="9">
        <f t="shared" si="32"/>
        <v>0</v>
      </c>
      <c r="S108" s="9">
        <f t="shared" si="33"/>
        <v>-4.4668335779919799E-2</v>
      </c>
      <c r="T108" s="10">
        <f t="shared" si="36"/>
        <v>0.40084158814052573</v>
      </c>
      <c r="U108" s="10">
        <f t="shared" si="37"/>
        <v>0.2164425307538278</v>
      </c>
      <c r="V108" s="10">
        <f t="shared" si="38"/>
        <v>-0.12436686946190068</v>
      </c>
      <c r="W108" s="10">
        <f t="shared" si="39"/>
        <v>0.31377244714541441</v>
      </c>
      <c r="X108" s="10">
        <f t="shared" si="40"/>
        <v>0.65339514338042881</v>
      </c>
      <c r="Y108" s="10">
        <f t="shared" si="41"/>
        <v>0.42796004976927338</v>
      </c>
      <c r="Z108" s="10">
        <f t="shared" si="42"/>
        <v>-0.65339514338042881</v>
      </c>
      <c r="AA108" s="10">
        <f t="shared" si="43"/>
        <v>-0.42796004976927338</v>
      </c>
      <c r="AB108" s="7">
        <f t="shared" si="35"/>
        <v>0.80668969657786727</v>
      </c>
      <c r="AC108" s="7">
        <v>0.74539366444177635</v>
      </c>
    </row>
    <row r="109" spans="1:29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11">
        <v>1</v>
      </c>
      <c r="I109" s="11">
        <v>-1</v>
      </c>
      <c r="J109" s="12">
        <v>1</v>
      </c>
      <c r="K109" s="12">
        <v>-1</v>
      </c>
      <c r="L109" s="9">
        <f t="shared" si="34"/>
        <v>-3.9528426274924922E-2</v>
      </c>
      <c r="M109" s="9">
        <f t="shared" si="27"/>
        <v>0</v>
      </c>
      <c r="N109" s="9">
        <f t="shared" si="28"/>
        <v>-1.9565489991610559E-2</v>
      </c>
      <c r="O109" s="9">
        <f t="shared" si="29"/>
        <v>0</v>
      </c>
      <c r="P109" s="9">
        <f t="shared" si="30"/>
        <v>0</v>
      </c>
      <c r="Q109" s="9">
        <f t="shared" si="31"/>
        <v>-1.843369921447147E-2</v>
      </c>
      <c r="R109" s="9">
        <f t="shared" si="32"/>
        <v>0</v>
      </c>
      <c r="S109" s="9">
        <f t="shared" si="33"/>
        <v>1.843369921447147E-2</v>
      </c>
      <c r="T109" s="10">
        <f t="shared" si="36"/>
        <v>0.36131316186560081</v>
      </c>
      <c r="U109" s="10">
        <f t="shared" si="37"/>
        <v>0.2164425307538278</v>
      </c>
      <c r="V109" s="10">
        <f t="shared" si="38"/>
        <v>-0.14393235945351124</v>
      </c>
      <c r="W109" s="10">
        <f t="shared" si="39"/>
        <v>0.31377244714541441</v>
      </c>
      <c r="X109" s="10">
        <f t="shared" si="40"/>
        <v>0.65339514338042881</v>
      </c>
      <c r="Y109" s="10">
        <f t="shared" si="41"/>
        <v>0.40952635055480191</v>
      </c>
      <c r="Z109" s="10">
        <f t="shared" si="42"/>
        <v>-0.65339514338042881</v>
      </c>
      <c r="AA109" s="10">
        <f t="shared" si="43"/>
        <v>-0.40952635055480191</v>
      </c>
      <c r="AB109" s="7">
        <f t="shared" si="35"/>
        <v>0.74759578031133178</v>
      </c>
      <c r="AC109" s="7">
        <v>0.72611803319983881</v>
      </c>
    </row>
    <row r="110" spans="1:29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11">
        <v>1</v>
      </c>
      <c r="I110" s="11">
        <v>-1</v>
      </c>
      <c r="J110" s="12">
        <v>1</v>
      </c>
      <c r="K110" s="12">
        <v>-1</v>
      </c>
      <c r="L110" s="9">
        <f t="shared" si="34"/>
        <v>8.2894492520989904E-2</v>
      </c>
      <c r="M110" s="9">
        <f t="shared" si="27"/>
        <v>0</v>
      </c>
      <c r="N110" s="9">
        <f t="shared" si="28"/>
        <v>3.7258111853094363E-2</v>
      </c>
      <c r="O110" s="9">
        <f t="shared" si="29"/>
        <v>0</v>
      </c>
      <c r="P110" s="9">
        <f t="shared" si="30"/>
        <v>0</v>
      </c>
      <c r="Q110" s="9">
        <f t="shared" si="31"/>
        <v>7.2719953971707163E-2</v>
      </c>
      <c r="R110" s="9">
        <f t="shared" si="32"/>
        <v>0</v>
      </c>
      <c r="S110" s="9">
        <f t="shared" si="33"/>
        <v>-7.2719953971707163E-2</v>
      </c>
      <c r="T110" s="10">
        <f t="shared" si="36"/>
        <v>0.44420765438659071</v>
      </c>
      <c r="U110" s="10">
        <f t="shared" si="37"/>
        <v>0.2164425307538278</v>
      </c>
      <c r="V110" s="10">
        <f t="shared" si="38"/>
        <v>-0.10667424760041688</v>
      </c>
      <c r="W110" s="10">
        <f t="shared" si="39"/>
        <v>0.31377244714541441</v>
      </c>
      <c r="X110" s="10">
        <f t="shared" si="40"/>
        <v>0.65339514338042881</v>
      </c>
      <c r="Y110" s="10">
        <f t="shared" si="41"/>
        <v>0.48224630452650907</v>
      </c>
      <c r="Z110" s="10">
        <f t="shared" si="42"/>
        <v>-0.65339514338042881</v>
      </c>
      <c r="AA110" s="10">
        <f t="shared" si="43"/>
        <v>-0.48224630452650907</v>
      </c>
      <c r="AB110" s="7">
        <f t="shared" si="35"/>
        <v>0.86774838468541604</v>
      </c>
      <c r="AC110" s="7">
        <v>0.67895343479714498</v>
      </c>
    </row>
    <row r="111" spans="1:29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11">
        <v>1</v>
      </c>
      <c r="I111" s="11">
        <v>-1</v>
      </c>
      <c r="J111" s="12">
        <v>1</v>
      </c>
      <c r="K111" s="12">
        <v>-1</v>
      </c>
      <c r="L111" s="9">
        <f t="shared" si="34"/>
        <v>3.4845106398282422E-3</v>
      </c>
      <c r="M111" s="9">
        <f t="shared" si="27"/>
        <v>0</v>
      </c>
      <c r="N111" s="9">
        <f t="shared" si="28"/>
        <v>1.8264435141549521E-2</v>
      </c>
      <c r="O111" s="9">
        <f t="shared" si="29"/>
        <v>0</v>
      </c>
      <c r="P111" s="9">
        <f t="shared" si="30"/>
        <v>0</v>
      </c>
      <c r="Q111" s="9">
        <f t="shared" si="31"/>
        <v>2.550400529244801E-2</v>
      </c>
      <c r="R111" s="9">
        <f t="shared" si="32"/>
        <v>0</v>
      </c>
      <c r="S111" s="9">
        <f t="shared" si="33"/>
        <v>-2.550400529244801E-2</v>
      </c>
      <c r="T111" s="10">
        <f t="shared" si="36"/>
        <v>0.44769216502641895</v>
      </c>
      <c r="U111" s="10">
        <f t="shared" si="37"/>
        <v>0.2164425307538278</v>
      </c>
      <c r="V111" s="10">
        <f t="shared" si="38"/>
        <v>-8.8409812458867365E-2</v>
      </c>
      <c r="W111" s="10">
        <f t="shared" si="39"/>
        <v>0.31377244714541441</v>
      </c>
      <c r="X111" s="10">
        <f t="shared" si="40"/>
        <v>0.65339514338042881</v>
      </c>
      <c r="Y111" s="10">
        <f t="shared" si="41"/>
        <v>0.50775030981895708</v>
      </c>
      <c r="Z111" s="10">
        <f t="shared" si="42"/>
        <v>-0.65339514338042881</v>
      </c>
      <c r="AA111" s="10">
        <f t="shared" si="43"/>
        <v>-0.50775030981895708</v>
      </c>
      <c r="AB111" s="7">
        <f t="shared" si="35"/>
        <v>0.8894973304667938</v>
      </c>
      <c r="AC111" s="7">
        <v>0.61048167656388042</v>
      </c>
    </row>
    <row r="112" spans="1:29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11">
        <v>-1</v>
      </c>
      <c r="I112" s="11">
        <v>1</v>
      </c>
      <c r="J112" s="12">
        <v>-1</v>
      </c>
      <c r="K112" s="12">
        <v>-1</v>
      </c>
      <c r="L112" s="9">
        <f t="shared" si="34"/>
        <v>0</v>
      </c>
      <c r="M112" s="9">
        <f t="shared" si="27"/>
        <v>-1.347157187948911E-2</v>
      </c>
      <c r="N112" s="9">
        <f t="shared" si="28"/>
        <v>0</v>
      </c>
      <c r="O112" s="9">
        <f t="shared" si="29"/>
        <v>2.5899482378262121E-2</v>
      </c>
      <c r="P112" s="9">
        <f t="shared" si="30"/>
        <v>2.3375811161540638E-2</v>
      </c>
      <c r="Q112" s="9">
        <f t="shared" si="31"/>
        <v>0</v>
      </c>
      <c r="R112" s="9">
        <f t="shared" si="32"/>
        <v>-2.3375811161540638E-2</v>
      </c>
      <c r="S112" s="9">
        <f t="shared" si="33"/>
        <v>0</v>
      </c>
      <c r="T112" s="10">
        <f t="shared" si="36"/>
        <v>0.44769216502641895</v>
      </c>
      <c r="U112" s="10">
        <f t="shared" si="37"/>
        <v>0.20297095887433869</v>
      </c>
      <c r="V112" s="10">
        <f t="shared" si="38"/>
        <v>-8.8409812458867365E-2</v>
      </c>
      <c r="W112" s="10">
        <f t="shared" si="39"/>
        <v>0.33967192952367653</v>
      </c>
      <c r="X112" s="10">
        <f t="shared" si="40"/>
        <v>0.67677095454196945</v>
      </c>
      <c r="Y112" s="10">
        <f t="shared" si="41"/>
        <v>0.50775030981895708</v>
      </c>
      <c r="Z112" s="10">
        <f t="shared" si="42"/>
        <v>-0.67677095454196945</v>
      </c>
      <c r="AA112" s="10">
        <f t="shared" si="43"/>
        <v>-0.50775030981895708</v>
      </c>
      <c r="AB112" s="7">
        <f t="shared" si="35"/>
        <v>0.90192524096556681</v>
      </c>
      <c r="AC112" s="7">
        <v>0.71764554481044274</v>
      </c>
    </row>
    <row r="113" spans="1:29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11">
        <v>1</v>
      </c>
      <c r="I113" s="11">
        <v>-1</v>
      </c>
      <c r="J113" s="12">
        <v>1</v>
      </c>
      <c r="K113" s="12">
        <v>1</v>
      </c>
      <c r="L113" s="9">
        <f t="shared" si="34"/>
        <v>4.5075342684113513E-2</v>
      </c>
      <c r="M113" s="9">
        <f t="shared" si="27"/>
        <v>0</v>
      </c>
      <c r="N113" s="9">
        <f t="shared" si="28"/>
        <v>1.7867556485685051E-2</v>
      </c>
      <c r="O113" s="9">
        <f t="shared" si="29"/>
        <v>0</v>
      </c>
      <c r="P113" s="9">
        <f t="shared" si="30"/>
        <v>0</v>
      </c>
      <c r="Q113" s="9">
        <f t="shared" si="31"/>
        <v>-6.7675756013161337E-3</v>
      </c>
      <c r="R113" s="9">
        <f t="shared" si="32"/>
        <v>0</v>
      </c>
      <c r="S113" s="9">
        <f t="shared" si="33"/>
        <v>6.7675756013161337E-3</v>
      </c>
      <c r="T113" s="10">
        <f t="shared" si="36"/>
        <v>0.49276750771053246</v>
      </c>
      <c r="U113" s="10">
        <f t="shared" si="37"/>
        <v>0.20297095887433869</v>
      </c>
      <c r="V113" s="10">
        <f t="shared" si="38"/>
        <v>-7.0542255973182311E-2</v>
      </c>
      <c r="W113" s="10">
        <f t="shared" si="39"/>
        <v>0.33967192952367653</v>
      </c>
      <c r="X113" s="10">
        <f t="shared" si="40"/>
        <v>0.67677095454196945</v>
      </c>
      <c r="Y113" s="10">
        <f t="shared" si="41"/>
        <v>0.50098273421764095</v>
      </c>
      <c r="Z113" s="10">
        <f t="shared" si="42"/>
        <v>-0.67677095454196945</v>
      </c>
      <c r="AA113" s="10">
        <f t="shared" si="43"/>
        <v>-0.50098273421764095</v>
      </c>
      <c r="AB113" s="7">
        <f t="shared" si="35"/>
        <v>0.96486814013536537</v>
      </c>
      <c r="AC113" s="7">
        <v>0.71729463695148776</v>
      </c>
    </row>
    <row r="114" spans="1:29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11">
        <v>1</v>
      </c>
      <c r="I114" s="11">
        <v>-1</v>
      </c>
      <c r="J114" s="12">
        <v>1</v>
      </c>
      <c r="K114" s="12">
        <v>-1</v>
      </c>
      <c r="L114" s="9">
        <f t="shared" si="34"/>
        <v>1.088518048012033E-2</v>
      </c>
      <c r="M114" s="9">
        <f t="shared" si="27"/>
        <v>0</v>
      </c>
      <c r="N114" s="9">
        <f t="shared" si="28"/>
        <v>-2.1366490350528181E-2</v>
      </c>
      <c r="O114" s="9">
        <f t="shared" si="29"/>
        <v>0</v>
      </c>
      <c r="P114" s="9">
        <f t="shared" si="30"/>
        <v>0</v>
      </c>
      <c r="Q114" s="9">
        <f t="shared" si="31"/>
        <v>-1.38912821579279E-2</v>
      </c>
      <c r="R114" s="9">
        <f t="shared" si="32"/>
        <v>0</v>
      </c>
      <c r="S114" s="9">
        <f t="shared" si="33"/>
        <v>1.38912821579279E-2</v>
      </c>
      <c r="T114" s="10">
        <f t="shared" si="36"/>
        <v>0.50365268819065279</v>
      </c>
      <c r="U114" s="10">
        <f t="shared" si="37"/>
        <v>0.20297095887433869</v>
      </c>
      <c r="V114" s="10">
        <f t="shared" si="38"/>
        <v>-9.1908746323710488E-2</v>
      </c>
      <c r="W114" s="10">
        <f t="shared" si="39"/>
        <v>0.33967192952367653</v>
      </c>
      <c r="X114" s="10">
        <f t="shared" si="40"/>
        <v>0.67677095454196945</v>
      </c>
      <c r="Y114" s="10">
        <f t="shared" si="41"/>
        <v>0.48709145205971305</v>
      </c>
      <c r="Z114" s="10">
        <f t="shared" si="42"/>
        <v>-0.67677095454196945</v>
      </c>
      <c r="AA114" s="10">
        <f t="shared" si="43"/>
        <v>-0.48709145205971305</v>
      </c>
      <c r="AB114" s="7">
        <f t="shared" si="35"/>
        <v>0.95438683026495752</v>
      </c>
      <c r="AC114" s="7">
        <v>0.72909649707832913</v>
      </c>
    </row>
    <row r="115" spans="1:29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11">
        <v>-1</v>
      </c>
      <c r="I115" s="11">
        <v>1</v>
      </c>
      <c r="J115" s="12">
        <v>-1</v>
      </c>
      <c r="K115" s="12">
        <v>-1</v>
      </c>
      <c r="L115" s="9">
        <f t="shared" si="34"/>
        <v>0</v>
      </c>
      <c r="M115" s="9">
        <f t="shared" si="27"/>
        <v>1.0115263608377889E-3</v>
      </c>
      <c r="N115" s="9">
        <f t="shared" si="28"/>
        <v>0</v>
      </c>
      <c r="O115" s="9">
        <f t="shared" si="29"/>
        <v>3.7318147531354318E-2</v>
      </c>
      <c r="P115" s="9">
        <f t="shared" si="30"/>
        <v>2.0017882973261129E-2</v>
      </c>
      <c r="Q115" s="9">
        <f t="shared" si="31"/>
        <v>0</v>
      </c>
      <c r="R115" s="9">
        <f t="shared" si="32"/>
        <v>-2.0017882973261129E-2</v>
      </c>
      <c r="S115" s="9">
        <f t="shared" si="33"/>
        <v>0</v>
      </c>
      <c r="T115" s="10">
        <f t="shared" si="36"/>
        <v>0.50365268819065279</v>
      </c>
      <c r="U115" s="10">
        <f t="shared" si="37"/>
        <v>0.20398248523517648</v>
      </c>
      <c r="V115" s="10">
        <f t="shared" si="38"/>
        <v>-9.1908746323710488E-2</v>
      </c>
      <c r="W115" s="10">
        <f t="shared" si="39"/>
        <v>0.37699007705503085</v>
      </c>
      <c r="X115" s="10">
        <f t="shared" si="40"/>
        <v>0.69678883751523057</v>
      </c>
      <c r="Y115" s="10">
        <f t="shared" si="41"/>
        <v>0.48709145205971305</v>
      </c>
      <c r="Z115" s="10">
        <f t="shared" si="42"/>
        <v>-0.69678883751523057</v>
      </c>
      <c r="AA115" s="10">
        <f t="shared" si="43"/>
        <v>-0.48709145205971305</v>
      </c>
      <c r="AB115" s="7">
        <f t="shared" si="35"/>
        <v>0.99271650415714963</v>
      </c>
      <c r="AC115" s="7">
        <v>0.77476546181557937</v>
      </c>
    </row>
    <row r="116" spans="1:29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11">
        <v>-1</v>
      </c>
      <c r="I116" s="11">
        <v>1</v>
      </c>
      <c r="J116" s="12">
        <v>-1</v>
      </c>
      <c r="K116" s="12">
        <v>1</v>
      </c>
      <c r="L116" s="9">
        <f t="shared" si="34"/>
        <v>0</v>
      </c>
      <c r="M116" s="9">
        <f t="shared" si="27"/>
        <v>-7.2772189390528652E-3</v>
      </c>
      <c r="N116" s="9">
        <f t="shared" si="28"/>
        <v>0</v>
      </c>
      <c r="O116" s="9">
        <f t="shared" si="29"/>
        <v>5.9779435558354743E-3</v>
      </c>
      <c r="P116" s="9">
        <f t="shared" si="30"/>
        <v>2.6221192813614121E-2</v>
      </c>
      <c r="Q116" s="9">
        <f t="shared" si="31"/>
        <v>0</v>
      </c>
      <c r="R116" s="9">
        <f t="shared" si="32"/>
        <v>-2.6221192813614121E-2</v>
      </c>
      <c r="S116" s="9">
        <f t="shared" si="33"/>
        <v>0</v>
      </c>
      <c r="T116" s="10">
        <f t="shared" si="36"/>
        <v>0.50365268819065279</v>
      </c>
      <c r="U116" s="10">
        <f t="shared" si="37"/>
        <v>0.19670526629612362</v>
      </c>
      <c r="V116" s="10">
        <f t="shared" si="38"/>
        <v>-9.1908746323710488E-2</v>
      </c>
      <c r="W116" s="10">
        <f t="shared" si="39"/>
        <v>0.38296802061086632</v>
      </c>
      <c r="X116" s="10">
        <f t="shared" si="40"/>
        <v>0.7230100303288447</v>
      </c>
      <c r="Y116" s="10">
        <f t="shared" si="41"/>
        <v>0.48709145205971305</v>
      </c>
      <c r="Z116" s="10">
        <f t="shared" si="42"/>
        <v>-0.7230100303288447</v>
      </c>
      <c r="AA116" s="10">
        <f t="shared" si="43"/>
        <v>-0.48709145205971305</v>
      </c>
      <c r="AB116" s="7">
        <f t="shared" si="35"/>
        <v>0.99141722877393224</v>
      </c>
      <c r="AC116" s="7">
        <v>0.81756238687363458</v>
      </c>
    </row>
    <row r="117" spans="1:29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11">
        <v>-1</v>
      </c>
      <c r="I117" s="11">
        <v>1</v>
      </c>
      <c r="J117" s="12">
        <v>-1</v>
      </c>
      <c r="K117" s="12">
        <v>1</v>
      </c>
      <c r="L117" s="9">
        <f t="shared" si="34"/>
        <v>0</v>
      </c>
      <c r="M117" s="9">
        <f t="shared" si="27"/>
        <v>-4.4259570448217378E-3</v>
      </c>
      <c r="N117" s="9">
        <f t="shared" si="28"/>
        <v>0</v>
      </c>
      <c r="O117" s="9">
        <f t="shared" si="29"/>
        <v>3.9230791147519817E-3</v>
      </c>
      <c r="P117" s="9">
        <f t="shared" si="30"/>
        <v>-9.5954388945616031E-3</v>
      </c>
      <c r="Q117" s="9">
        <f t="shared" si="31"/>
        <v>0</v>
      </c>
      <c r="R117" s="9">
        <f t="shared" si="32"/>
        <v>9.5954388945616031E-3</v>
      </c>
      <c r="S117" s="9">
        <f t="shared" si="33"/>
        <v>0</v>
      </c>
      <c r="T117" s="10">
        <f t="shared" si="36"/>
        <v>0.50365268819065279</v>
      </c>
      <c r="U117" s="10">
        <f t="shared" si="37"/>
        <v>0.19227930925130188</v>
      </c>
      <c r="V117" s="10">
        <f t="shared" si="38"/>
        <v>-9.1908746323710488E-2</v>
      </c>
      <c r="W117" s="10">
        <f t="shared" si="39"/>
        <v>0.3868910997256183</v>
      </c>
      <c r="X117" s="10">
        <f t="shared" si="40"/>
        <v>0.7134145914342831</v>
      </c>
      <c r="Y117" s="10">
        <f t="shared" si="41"/>
        <v>0.48709145205971305</v>
      </c>
      <c r="Z117" s="10">
        <f t="shared" si="42"/>
        <v>-0.7134145914342831</v>
      </c>
      <c r="AA117" s="10">
        <f t="shared" si="43"/>
        <v>-0.48709145205971305</v>
      </c>
      <c r="AB117" s="7">
        <f t="shared" si="35"/>
        <v>0.99091435084386248</v>
      </c>
      <c r="AC117" s="7">
        <v>0.84978303526100751</v>
      </c>
    </row>
    <row r="118" spans="1:29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11">
        <v>1</v>
      </c>
      <c r="I118" s="11">
        <v>-1</v>
      </c>
      <c r="J118" s="12">
        <v>1</v>
      </c>
      <c r="K118" s="12">
        <v>1</v>
      </c>
      <c r="L118" s="9">
        <f t="shared" si="34"/>
        <v>2.2398409440053221E-2</v>
      </c>
      <c r="M118" s="9">
        <f t="shared" si="27"/>
        <v>0</v>
      </c>
      <c r="N118" s="9">
        <f t="shared" si="28"/>
        <v>5.0446636684776669E-3</v>
      </c>
      <c r="O118" s="9">
        <f t="shared" si="29"/>
        <v>0</v>
      </c>
      <c r="P118" s="9">
        <f t="shared" si="30"/>
        <v>0</v>
      </c>
      <c r="Q118" s="9">
        <f t="shared" si="31"/>
        <v>1.8416806744192771E-2</v>
      </c>
      <c r="R118" s="9">
        <f t="shared" si="32"/>
        <v>0</v>
      </c>
      <c r="S118" s="9">
        <f t="shared" si="33"/>
        <v>-1.8416806744192771E-2</v>
      </c>
      <c r="T118" s="10">
        <f t="shared" si="36"/>
        <v>0.52605109763070601</v>
      </c>
      <c r="U118" s="10">
        <f t="shared" si="37"/>
        <v>0.19227930925130188</v>
      </c>
      <c r="V118" s="10">
        <f t="shared" si="38"/>
        <v>-8.6864082655232822E-2</v>
      </c>
      <c r="W118" s="10">
        <f t="shared" si="39"/>
        <v>0.3868910997256183</v>
      </c>
      <c r="X118" s="10">
        <f t="shared" si="40"/>
        <v>0.7134145914342831</v>
      </c>
      <c r="Y118" s="10">
        <f t="shared" si="41"/>
        <v>0.50550825880390582</v>
      </c>
      <c r="Z118" s="10">
        <f t="shared" si="42"/>
        <v>-0.7134145914342831</v>
      </c>
      <c r="AA118" s="10">
        <f t="shared" si="43"/>
        <v>-0.50550825880390582</v>
      </c>
      <c r="AB118" s="7">
        <f t="shared" si="35"/>
        <v>1.0183574239523934</v>
      </c>
      <c r="AC118" s="7">
        <v>0.84386836634224693</v>
      </c>
    </row>
    <row r="119" spans="1:29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11">
        <v>1</v>
      </c>
      <c r="I119" s="11">
        <v>-1</v>
      </c>
      <c r="J119" s="12">
        <v>1</v>
      </c>
      <c r="K119" s="12">
        <v>-1</v>
      </c>
      <c r="L119" s="9">
        <f t="shared" si="34"/>
        <v>-3.6056630659992979E-3</v>
      </c>
      <c r="M119" s="9">
        <f t="shared" si="27"/>
        <v>0</v>
      </c>
      <c r="N119" s="9">
        <f t="shared" si="28"/>
        <v>-2.959100809988191E-2</v>
      </c>
      <c r="O119" s="9">
        <f t="shared" si="29"/>
        <v>0</v>
      </c>
      <c r="P119" s="9">
        <f t="shared" si="30"/>
        <v>0</v>
      </c>
      <c r="Q119" s="9">
        <f t="shared" si="31"/>
        <v>1.9816924051218709E-2</v>
      </c>
      <c r="R119" s="9">
        <f t="shared" si="32"/>
        <v>0</v>
      </c>
      <c r="S119" s="9">
        <f t="shared" si="33"/>
        <v>-1.9816924051218709E-2</v>
      </c>
      <c r="T119" s="10">
        <f t="shared" si="36"/>
        <v>0.52244543456470671</v>
      </c>
      <c r="U119" s="10">
        <f t="shared" si="37"/>
        <v>0.19227930925130188</v>
      </c>
      <c r="V119" s="10">
        <f t="shared" si="38"/>
        <v>-0.11645509075511473</v>
      </c>
      <c r="W119" s="10">
        <f t="shared" si="39"/>
        <v>0.3868910997256183</v>
      </c>
      <c r="X119" s="10">
        <f t="shared" si="40"/>
        <v>0.7134145914342831</v>
      </c>
      <c r="Y119" s="10">
        <f t="shared" si="41"/>
        <v>0.52532518285512453</v>
      </c>
      <c r="Z119" s="10">
        <f t="shared" si="42"/>
        <v>-0.7134145914342831</v>
      </c>
      <c r="AA119" s="10">
        <f t="shared" si="43"/>
        <v>-0.52532518285512453</v>
      </c>
      <c r="AB119" s="7">
        <f t="shared" si="35"/>
        <v>0.98516075278651216</v>
      </c>
      <c r="AC119" s="7">
        <v>0.78272136711892559</v>
      </c>
    </row>
    <row r="120" spans="1:29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11">
        <v>-1</v>
      </c>
      <c r="I120" s="11">
        <v>1</v>
      </c>
      <c r="J120" s="12">
        <v>-1</v>
      </c>
      <c r="K120" s="12">
        <v>-1</v>
      </c>
      <c r="L120" s="9">
        <f t="shared" si="34"/>
        <v>0</v>
      </c>
      <c r="M120" s="9">
        <f t="shared" si="27"/>
        <v>-2.778239714532782E-2</v>
      </c>
      <c r="N120" s="9">
        <f t="shared" si="28"/>
        <v>0</v>
      </c>
      <c r="O120" s="9">
        <f t="shared" si="29"/>
        <v>-1.1696513778884031E-2</v>
      </c>
      <c r="P120" s="9">
        <f t="shared" si="30"/>
        <v>5.0017537319737571E-3</v>
      </c>
      <c r="Q120" s="9">
        <f t="shared" si="31"/>
        <v>0</v>
      </c>
      <c r="R120" s="9">
        <f t="shared" si="32"/>
        <v>-5.0017537319737571E-3</v>
      </c>
      <c r="S120" s="9">
        <f t="shared" si="33"/>
        <v>0</v>
      </c>
      <c r="T120" s="10">
        <f t="shared" si="36"/>
        <v>0.52244543456470671</v>
      </c>
      <c r="U120" s="10">
        <f t="shared" si="37"/>
        <v>0.16449691210597406</v>
      </c>
      <c r="V120" s="10">
        <f t="shared" si="38"/>
        <v>-0.11645509075511473</v>
      </c>
      <c r="W120" s="10">
        <f t="shared" si="39"/>
        <v>0.37519458594673427</v>
      </c>
      <c r="X120" s="10">
        <f t="shared" si="40"/>
        <v>0.71841634516625685</v>
      </c>
      <c r="Y120" s="10">
        <f t="shared" si="41"/>
        <v>0.52532518285512453</v>
      </c>
      <c r="Z120" s="10">
        <f t="shared" si="42"/>
        <v>-0.71841634516625685</v>
      </c>
      <c r="AA120" s="10">
        <f t="shared" si="43"/>
        <v>-0.52532518285512453</v>
      </c>
      <c r="AB120" s="7">
        <f t="shared" si="35"/>
        <v>0.94568184186230031</v>
      </c>
      <c r="AC120" s="7">
        <v>0.82423457221858953</v>
      </c>
    </row>
    <row r="121" spans="1:29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11">
        <v>1</v>
      </c>
      <c r="I121" s="11">
        <v>-1</v>
      </c>
      <c r="J121" s="12">
        <v>1</v>
      </c>
      <c r="K121" s="12">
        <v>1</v>
      </c>
      <c r="L121" s="9">
        <f t="shared" si="34"/>
        <v>1.9573077326752619E-2</v>
      </c>
      <c r="M121" s="9">
        <f t="shared" si="27"/>
        <v>0</v>
      </c>
      <c r="N121" s="9">
        <f t="shared" si="28"/>
        <v>8.0819510267572392E-3</v>
      </c>
      <c r="O121" s="9">
        <f t="shared" si="29"/>
        <v>0</v>
      </c>
      <c r="P121" s="9">
        <f t="shared" si="30"/>
        <v>0</v>
      </c>
      <c r="Q121" s="9">
        <f t="shared" si="31"/>
        <v>5.6646054141751279E-3</v>
      </c>
      <c r="R121" s="9">
        <f t="shared" si="32"/>
        <v>0</v>
      </c>
      <c r="S121" s="9">
        <f t="shared" si="33"/>
        <v>-5.6646054141751279E-3</v>
      </c>
      <c r="T121" s="10">
        <f t="shared" si="36"/>
        <v>0.54201851189145933</v>
      </c>
      <c r="U121" s="10">
        <f t="shared" si="37"/>
        <v>0.16449691210597406</v>
      </c>
      <c r="V121" s="10">
        <f t="shared" si="38"/>
        <v>-0.10837313972835749</v>
      </c>
      <c r="W121" s="10">
        <f t="shared" si="39"/>
        <v>0.37519458594673427</v>
      </c>
      <c r="X121" s="10">
        <f t="shared" si="40"/>
        <v>0.71841634516625685</v>
      </c>
      <c r="Y121" s="10">
        <f t="shared" si="41"/>
        <v>0.53098978826929966</v>
      </c>
      <c r="Z121" s="10">
        <f t="shared" si="42"/>
        <v>-0.71841634516625685</v>
      </c>
      <c r="AA121" s="10">
        <f t="shared" si="43"/>
        <v>-0.53098978826929966</v>
      </c>
      <c r="AB121" s="7">
        <f t="shared" si="35"/>
        <v>0.97333687021581017</v>
      </c>
      <c r="AC121" s="7">
        <v>0.83678097677323093</v>
      </c>
    </row>
    <row r="122" spans="1:29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11">
        <v>-1</v>
      </c>
      <c r="I122" s="11">
        <v>1</v>
      </c>
      <c r="J122" s="12">
        <v>-1</v>
      </c>
      <c r="K122" s="12">
        <v>-1</v>
      </c>
      <c r="L122" s="9">
        <f t="shared" si="34"/>
        <v>0</v>
      </c>
      <c r="M122" s="9">
        <f t="shared" si="27"/>
        <v>4.1513148228764507E-3</v>
      </c>
      <c r="N122" s="9">
        <f t="shared" si="28"/>
        <v>0</v>
      </c>
      <c r="O122" s="9">
        <f t="shared" si="29"/>
        <v>4.2913232093258147E-2</v>
      </c>
      <c r="P122" s="9">
        <f t="shared" si="30"/>
        <v>1.9008424479750149E-2</v>
      </c>
      <c r="Q122" s="9">
        <f t="shared" si="31"/>
        <v>0</v>
      </c>
      <c r="R122" s="9">
        <f t="shared" si="32"/>
        <v>-1.9008424479750149E-2</v>
      </c>
      <c r="S122" s="9">
        <f t="shared" si="33"/>
        <v>0</v>
      </c>
      <c r="T122" s="10">
        <f t="shared" si="36"/>
        <v>0.54201851189145933</v>
      </c>
      <c r="U122" s="10">
        <f t="shared" si="37"/>
        <v>0.16864822692885051</v>
      </c>
      <c r="V122" s="10">
        <f t="shared" si="38"/>
        <v>-0.10837313972835749</v>
      </c>
      <c r="W122" s="10">
        <f t="shared" si="39"/>
        <v>0.41810781803999242</v>
      </c>
      <c r="X122" s="10">
        <f t="shared" si="40"/>
        <v>0.73742476964600701</v>
      </c>
      <c r="Y122" s="10">
        <f t="shared" si="41"/>
        <v>0.53098978826929966</v>
      </c>
      <c r="Z122" s="10">
        <f t="shared" si="42"/>
        <v>-0.73742476964600701</v>
      </c>
      <c r="AA122" s="10">
        <f t="shared" si="43"/>
        <v>-0.53098978826929966</v>
      </c>
      <c r="AB122" s="7">
        <f t="shared" si="35"/>
        <v>1.0204014171319447</v>
      </c>
      <c r="AC122" s="7">
        <v>0.86188412478712573</v>
      </c>
    </row>
    <row r="123" spans="1:29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11">
        <v>-1</v>
      </c>
      <c r="I123" s="11">
        <v>1</v>
      </c>
      <c r="J123" s="12">
        <v>-1</v>
      </c>
      <c r="K123" s="12">
        <v>1</v>
      </c>
      <c r="L123" s="9">
        <f t="shared" si="34"/>
        <v>0</v>
      </c>
      <c r="M123" s="9">
        <f t="shared" si="27"/>
        <v>1.1473873402932931E-2</v>
      </c>
      <c r="N123" s="9">
        <f t="shared" si="28"/>
        <v>0</v>
      </c>
      <c r="O123" s="9">
        <f t="shared" si="29"/>
        <v>1.407417004567979E-2</v>
      </c>
      <c r="P123" s="9">
        <f t="shared" si="30"/>
        <v>1.67381533987121E-2</v>
      </c>
      <c r="Q123" s="9">
        <f t="shared" si="31"/>
        <v>0</v>
      </c>
      <c r="R123" s="9">
        <f t="shared" si="32"/>
        <v>-1.67381533987121E-2</v>
      </c>
      <c r="S123" s="9">
        <f t="shared" si="33"/>
        <v>0</v>
      </c>
      <c r="T123" s="10">
        <f t="shared" si="36"/>
        <v>0.54201851189145933</v>
      </c>
      <c r="U123" s="10">
        <f t="shared" si="37"/>
        <v>0.18012210033178344</v>
      </c>
      <c r="V123" s="10">
        <f t="shared" si="38"/>
        <v>-0.10837313972835749</v>
      </c>
      <c r="W123" s="10">
        <f t="shared" si="39"/>
        <v>0.43218198808567221</v>
      </c>
      <c r="X123" s="10">
        <f t="shared" si="40"/>
        <v>0.7541629230447191</v>
      </c>
      <c r="Y123" s="10">
        <f t="shared" si="41"/>
        <v>0.53098978826929966</v>
      </c>
      <c r="Z123" s="10">
        <f t="shared" si="42"/>
        <v>-0.7541629230447191</v>
      </c>
      <c r="AA123" s="10">
        <f t="shared" si="43"/>
        <v>-0.53098978826929966</v>
      </c>
      <c r="AB123" s="7">
        <f t="shared" si="35"/>
        <v>1.0459494605805573</v>
      </c>
      <c r="AC123" s="7">
        <v>0.88741557660100889</v>
      </c>
    </row>
    <row r="124" spans="1:29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11">
        <v>-1</v>
      </c>
      <c r="I124" s="11">
        <v>1</v>
      </c>
      <c r="J124" s="12">
        <v>-1</v>
      </c>
      <c r="K124" s="12">
        <v>1</v>
      </c>
      <c r="L124" s="9">
        <f t="shared" si="34"/>
        <v>0</v>
      </c>
      <c r="M124" s="9">
        <f t="shared" si="27"/>
        <v>1.422323488915833E-2</v>
      </c>
      <c r="N124" s="9">
        <f t="shared" si="28"/>
        <v>0</v>
      </c>
      <c r="O124" s="9">
        <f t="shared" si="29"/>
        <v>1.3527727202809261E-2</v>
      </c>
      <c r="P124" s="9">
        <f t="shared" si="30"/>
        <v>1.499840539520458E-2</v>
      </c>
      <c r="Q124" s="9">
        <f t="shared" si="31"/>
        <v>0</v>
      </c>
      <c r="R124" s="9">
        <f t="shared" si="32"/>
        <v>-1.499840539520458E-2</v>
      </c>
      <c r="S124" s="9">
        <f t="shared" si="33"/>
        <v>0</v>
      </c>
      <c r="T124" s="10">
        <f t="shared" si="36"/>
        <v>0.54201851189145933</v>
      </c>
      <c r="U124" s="10">
        <f t="shared" si="37"/>
        <v>0.19434533522094177</v>
      </c>
      <c r="V124" s="10">
        <f t="shared" si="38"/>
        <v>-0.10837313972835749</v>
      </c>
      <c r="W124" s="10">
        <f t="shared" si="39"/>
        <v>0.44570971528848147</v>
      </c>
      <c r="X124" s="10">
        <f t="shared" si="40"/>
        <v>0.76916132843992369</v>
      </c>
      <c r="Y124" s="10">
        <f t="shared" si="41"/>
        <v>0.53098978826929966</v>
      </c>
      <c r="Z124" s="10">
        <f t="shared" si="42"/>
        <v>-0.76916132843992369</v>
      </c>
      <c r="AA124" s="10">
        <f t="shared" si="43"/>
        <v>-0.53098978826929966</v>
      </c>
      <c r="AB124" s="7">
        <f t="shared" si="35"/>
        <v>1.0737004226725249</v>
      </c>
      <c r="AC124" s="7">
        <v>0.86951425739555355</v>
      </c>
    </row>
    <row r="125" spans="1:29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11">
        <v>1</v>
      </c>
      <c r="I125" s="11">
        <v>-1</v>
      </c>
      <c r="J125" s="12">
        <v>1</v>
      </c>
      <c r="K125" s="12">
        <v>1</v>
      </c>
      <c r="L125" s="9">
        <f t="shared" si="34"/>
        <v>1.9326932096521591E-2</v>
      </c>
      <c r="M125" s="9">
        <f t="shared" si="27"/>
        <v>0</v>
      </c>
      <c r="N125" s="9">
        <f t="shared" si="28"/>
        <v>-3.717232166651097E-3</v>
      </c>
      <c r="O125" s="9">
        <f t="shared" si="29"/>
        <v>0</v>
      </c>
      <c r="P125" s="9">
        <f t="shared" si="30"/>
        <v>0</v>
      </c>
      <c r="Q125" s="9">
        <f t="shared" si="31"/>
        <v>1.12112150279865E-2</v>
      </c>
      <c r="R125" s="9">
        <f t="shared" si="32"/>
        <v>0</v>
      </c>
      <c r="S125" s="9">
        <f t="shared" si="33"/>
        <v>-1.12112150279865E-2</v>
      </c>
      <c r="T125" s="10">
        <f t="shared" si="36"/>
        <v>0.56134544398798092</v>
      </c>
      <c r="U125" s="10">
        <f t="shared" si="37"/>
        <v>0.19434533522094177</v>
      </c>
      <c r="V125" s="10">
        <f t="shared" si="38"/>
        <v>-0.11209037189500859</v>
      </c>
      <c r="W125" s="10">
        <f t="shared" si="39"/>
        <v>0.44570971528848147</v>
      </c>
      <c r="X125" s="10">
        <f t="shared" si="40"/>
        <v>0.76916132843992369</v>
      </c>
      <c r="Y125" s="10">
        <f t="shared" si="41"/>
        <v>0.54220100329728615</v>
      </c>
      <c r="Z125" s="10">
        <f t="shared" si="42"/>
        <v>-0.76916132843992369</v>
      </c>
      <c r="AA125" s="10">
        <f t="shared" si="43"/>
        <v>-0.54220100329728615</v>
      </c>
      <c r="AB125" s="7">
        <f t="shared" si="35"/>
        <v>1.0893101226023953</v>
      </c>
      <c r="AC125" s="7">
        <v>0.87608462368905504</v>
      </c>
    </row>
    <row r="126" spans="1:29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11">
        <v>-1</v>
      </c>
      <c r="I126" s="11">
        <v>1</v>
      </c>
      <c r="J126" s="12">
        <v>-1</v>
      </c>
      <c r="K126" s="12">
        <v>-1</v>
      </c>
      <c r="L126" s="9">
        <f t="shared" si="34"/>
        <v>0</v>
      </c>
      <c r="M126" s="9">
        <f t="shared" si="27"/>
        <v>2.4482430351016049E-3</v>
      </c>
      <c r="N126" s="9">
        <f t="shared" si="28"/>
        <v>0</v>
      </c>
      <c r="O126" s="9">
        <f t="shared" si="29"/>
        <v>-6.4120347138925124E-3</v>
      </c>
      <c r="P126" s="9">
        <f t="shared" si="30"/>
        <v>1.8527991565052691E-3</v>
      </c>
      <c r="Q126" s="9">
        <f t="shared" si="31"/>
        <v>0</v>
      </c>
      <c r="R126" s="9">
        <f t="shared" si="32"/>
        <v>-1.8527991565052691E-3</v>
      </c>
      <c r="S126" s="9">
        <f t="shared" si="33"/>
        <v>0</v>
      </c>
      <c r="T126" s="10">
        <f t="shared" si="36"/>
        <v>0.56134544398798092</v>
      </c>
      <c r="U126" s="10">
        <f t="shared" si="37"/>
        <v>0.19679357825604338</v>
      </c>
      <c r="V126" s="10">
        <f t="shared" si="38"/>
        <v>-0.11209037189500859</v>
      </c>
      <c r="W126" s="10">
        <f t="shared" si="39"/>
        <v>0.43929768057458896</v>
      </c>
      <c r="X126" s="10">
        <f t="shared" si="40"/>
        <v>0.77101412759642896</v>
      </c>
      <c r="Y126" s="10">
        <f t="shared" si="41"/>
        <v>0.54220100329728615</v>
      </c>
      <c r="Z126" s="10">
        <f t="shared" si="42"/>
        <v>-0.77101412759642896</v>
      </c>
      <c r="AA126" s="10">
        <f t="shared" si="43"/>
        <v>-0.54220100329728615</v>
      </c>
      <c r="AB126" s="7">
        <f t="shared" si="35"/>
        <v>1.0853463309236044</v>
      </c>
      <c r="AC126" s="7">
        <v>0.88548569751078399</v>
      </c>
    </row>
    <row r="127" spans="1:29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11">
        <v>-1</v>
      </c>
      <c r="I127" s="11">
        <v>1</v>
      </c>
      <c r="J127" s="12">
        <v>-1</v>
      </c>
      <c r="K127" s="12">
        <v>1</v>
      </c>
      <c r="L127" s="9">
        <f t="shared" si="34"/>
        <v>0</v>
      </c>
      <c r="M127" s="9">
        <f t="shared" si="27"/>
        <v>-2.241633564037282E-3</v>
      </c>
      <c r="N127" s="9">
        <f t="shared" si="28"/>
        <v>0</v>
      </c>
      <c r="O127" s="9">
        <f t="shared" si="29"/>
        <v>-2.319886733437948E-2</v>
      </c>
      <c r="P127" s="9">
        <f t="shared" si="30"/>
        <v>2.215239622234055E-2</v>
      </c>
      <c r="Q127" s="9">
        <f t="shared" si="31"/>
        <v>0</v>
      </c>
      <c r="R127" s="9">
        <f t="shared" si="32"/>
        <v>-2.215239622234055E-2</v>
      </c>
      <c r="S127" s="9">
        <f t="shared" si="33"/>
        <v>0</v>
      </c>
      <c r="T127" s="10">
        <f t="shared" si="36"/>
        <v>0.56134544398798092</v>
      </c>
      <c r="U127" s="10">
        <f t="shared" si="37"/>
        <v>0.1945519446920061</v>
      </c>
      <c r="V127" s="10">
        <f t="shared" si="38"/>
        <v>-0.11209037189500859</v>
      </c>
      <c r="W127" s="10">
        <f t="shared" si="39"/>
        <v>0.41609881324020948</v>
      </c>
      <c r="X127" s="10">
        <f t="shared" si="40"/>
        <v>0.79316652381876951</v>
      </c>
      <c r="Y127" s="10">
        <f t="shared" si="41"/>
        <v>0.54220100329728615</v>
      </c>
      <c r="Z127" s="10">
        <f t="shared" si="42"/>
        <v>-0.79316652381876951</v>
      </c>
      <c r="AA127" s="10">
        <f t="shared" si="43"/>
        <v>-0.54220100329728615</v>
      </c>
      <c r="AB127" s="7">
        <f t="shared" si="35"/>
        <v>1.0599058300251878</v>
      </c>
      <c r="AC127" s="7">
        <v>0.93586081319784464</v>
      </c>
    </row>
    <row r="128" spans="1:29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11">
        <v>-1</v>
      </c>
      <c r="I128" s="11">
        <v>1</v>
      </c>
      <c r="J128" s="12">
        <v>-1</v>
      </c>
      <c r="K128" s="12">
        <v>1</v>
      </c>
      <c r="L128" s="9">
        <f t="shared" si="34"/>
        <v>0</v>
      </c>
      <c r="M128" s="9">
        <f t="shared" si="27"/>
        <v>1.5574667500634081E-3</v>
      </c>
      <c r="N128" s="9">
        <f t="shared" si="28"/>
        <v>0</v>
      </c>
      <c r="O128" s="9">
        <f t="shared" si="29"/>
        <v>1.278013025673308E-2</v>
      </c>
      <c r="P128" s="9">
        <f t="shared" si="30"/>
        <v>8.5496423782238651E-3</v>
      </c>
      <c r="Q128" s="9">
        <f t="shared" si="31"/>
        <v>0</v>
      </c>
      <c r="R128" s="9">
        <f t="shared" si="32"/>
        <v>-8.5496423782238651E-3</v>
      </c>
      <c r="S128" s="9">
        <f t="shared" si="33"/>
        <v>0</v>
      </c>
      <c r="T128" s="10">
        <f t="shared" si="36"/>
        <v>0.56134544398798092</v>
      </c>
      <c r="U128" s="10">
        <f t="shared" si="37"/>
        <v>0.1961094114420695</v>
      </c>
      <c r="V128" s="10">
        <f t="shared" si="38"/>
        <v>-0.11209037189500859</v>
      </c>
      <c r="W128" s="10">
        <f t="shared" si="39"/>
        <v>0.42887894349694256</v>
      </c>
      <c r="X128" s="10">
        <f t="shared" si="40"/>
        <v>0.80171616619699337</v>
      </c>
      <c r="Y128" s="10">
        <f t="shared" si="41"/>
        <v>0.54220100329728615</v>
      </c>
      <c r="Z128" s="10">
        <f t="shared" si="42"/>
        <v>-0.80171616619699337</v>
      </c>
      <c r="AA128" s="10">
        <f t="shared" si="43"/>
        <v>-0.54220100329728615</v>
      </c>
      <c r="AB128" s="7">
        <f t="shared" si="35"/>
        <v>1.0742434270319843</v>
      </c>
      <c r="AC128" s="7">
        <v>0.94918508406489688</v>
      </c>
    </row>
    <row r="129" spans="1:29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11">
        <v>-1</v>
      </c>
      <c r="I129" s="11">
        <v>1</v>
      </c>
      <c r="J129" s="12">
        <v>-1</v>
      </c>
      <c r="K129" s="12">
        <v>1</v>
      </c>
      <c r="L129" s="9">
        <f t="shared" si="34"/>
        <v>0</v>
      </c>
      <c r="M129" s="9">
        <f t="shared" si="27"/>
        <v>-1.4931685828961091E-2</v>
      </c>
      <c r="N129" s="9">
        <f t="shared" si="28"/>
        <v>0</v>
      </c>
      <c r="O129" s="9">
        <f t="shared" si="29"/>
        <v>4.4757288646212201E-3</v>
      </c>
      <c r="P129" s="9">
        <f t="shared" si="30"/>
        <v>2.0755155750476591E-2</v>
      </c>
      <c r="Q129" s="9">
        <f t="shared" si="31"/>
        <v>0</v>
      </c>
      <c r="R129" s="9">
        <f t="shared" si="32"/>
        <v>-2.0755155750476591E-2</v>
      </c>
      <c r="S129" s="9">
        <f t="shared" si="33"/>
        <v>0</v>
      </c>
      <c r="T129" s="10">
        <f t="shared" si="36"/>
        <v>0.56134544398798092</v>
      </c>
      <c r="U129" s="10">
        <f t="shared" si="37"/>
        <v>0.18117772561310841</v>
      </c>
      <c r="V129" s="10">
        <f t="shared" si="38"/>
        <v>-0.11209037189500859</v>
      </c>
      <c r="W129" s="10">
        <f t="shared" si="39"/>
        <v>0.43335467236156378</v>
      </c>
      <c r="X129" s="10">
        <f t="shared" si="40"/>
        <v>0.82247132194746997</v>
      </c>
      <c r="Y129" s="10">
        <f t="shared" si="41"/>
        <v>0.54220100329728615</v>
      </c>
      <c r="Z129" s="10">
        <f t="shared" si="42"/>
        <v>-0.82247132194746997</v>
      </c>
      <c r="AA129" s="10">
        <f t="shared" si="43"/>
        <v>-0.54220100329728615</v>
      </c>
      <c r="AB129" s="7">
        <f t="shared" si="35"/>
        <v>1.0637874700676444</v>
      </c>
      <c r="AC129" s="7">
        <v>0.98670623069497021</v>
      </c>
    </row>
    <row r="130" spans="1:29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11">
        <v>1</v>
      </c>
      <c r="I130" s="11">
        <v>-1</v>
      </c>
      <c r="J130" s="12">
        <v>1</v>
      </c>
      <c r="K130" s="12">
        <v>1</v>
      </c>
      <c r="L130" s="9">
        <f t="shared" si="34"/>
        <v>2.6752532889311679E-2</v>
      </c>
      <c r="M130" s="9">
        <f t="shared" si="27"/>
        <v>0</v>
      </c>
      <c r="N130" s="9">
        <f t="shared" si="28"/>
        <v>-1.5318044248833209E-3</v>
      </c>
      <c r="O130" s="9">
        <f t="shared" si="29"/>
        <v>0</v>
      </c>
      <c r="P130" s="9">
        <f t="shared" si="30"/>
        <v>0</v>
      </c>
      <c r="Q130" s="9">
        <f t="shared" si="31"/>
        <v>9.5949999830765575E-3</v>
      </c>
      <c r="R130" s="9">
        <f t="shared" si="32"/>
        <v>0</v>
      </c>
      <c r="S130" s="9">
        <f t="shared" si="33"/>
        <v>-9.5949999830765575E-3</v>
      </c>
      <c r="T130" s="10">
        <f t="shared" si="36"/>
        <v>0.58809797687729259</v>
      </c>
      <c r="U130" s="10">
        <f t="shared" si="37"/>
        <v>0.18117772561310841</v>
      </c>
      <c r="V130" s="10">
        <f t="shared" si="38"/>
        <v>-0.11362217631989191</v>
      </c>
      <c r="W130" s="10">
        <f t="shared" si="39"/>
        <v>0.43335467236156378</v>
      </c>
      <c r="X130" s="10">
        <f t="shared" si="40"/>
        <v>0.82247132194746997</v>
      </c>
      <c r="Y130" s="10">
        <f t="shared" si="41"/>
        <v>0.55179600328036271</v>
      </c>
      <c r="Z130" s="10">
        <f t="shared" si="42"/>
        <v>-0.82247132194746997</v>
      </c>
      <c r="AA130" s="10">
        <f t="shared" si="43"/>
        <v>-0.55179600328036271</v>
      </c>
      <c r="AB130" s="7">
        <f t="shared" si="35"/>
        <v>1.0890081985320728</v>
      </c>
      <c r="AC130" s="7">
        <v>1.0065809434769011</v>
      </c>
    </row>
    <row r="131" spans="1:29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11">
        <v>-1</v>
      </c>
      <c r="I131" s="11">
        <v>1</v>
      </c>
      <c r="J131" s="12">
        <v>-1</v>
      </c>
      <c r="K131" s="12">
        <v>-1</v>
      </c>
      <c r="L131" s="9">
        <f t="shared" si="34"/>
        <v>0</v>
      </c>
      <c r="M131" s="9">
        <f t="shared" ref="M131:M194" si="44">IF(H131=-1,-D131,0)</f>
        <v>2.232266078521716E-2</v>
      </c>
      <c r="N131" s="9">
        <f t="shared" ref="N131:N194" si="45">IF(H131=1,-E131,0)</f>
        <v>0</v>
      </c>
      <c r="O131" s="9">
        <f t="shared" ref="O131:O194" si="46">IF(H131=-1,E131,0)</f>
        <v>-2.8668033920763111E-2</v>
      </c>
      <c r="P131" s="9">
        <f t="shared" ref="P131:P194" si="47">IF(I131=1,F131,0)</f>
        <v>1.8270437263955389E-2</v>
      </c>
      <c r="Q131" s="9">
        <f t="shared" ref="Q131:Q194" si="48">IF($I131=-1,-$F131,0)</f>
        <v>0</v>
      </c>
      <c r="R131" s="9">
        <f t="shared" ref="R131:R194" si="49">IF($I131=1,-$F131,0)</f>
        <v>-1.8270437263955389E-2</v>
      </c>
      <c r="S131" s="9">
        <f t="shared" ref="S131:S194" si="50">IF($I131=-1,$F131,0)</f>
        <v>0</v>
      </c>
      <c r="T131" s="10">
        <f t="shared" si="36"/>
        <v>0.58809797687729259</v>
      </c>
      <c r="U131" s="10">
        <f t="shared" si="37"/>
        <v>0.20350038639832557</v>
      </c>
      <c r="V131" s="10">
        <f t="shared" si="38"/>
        <v>-0.11362217631989191</v>
      </c>
      <c r="W131" s="10">
        <f t="shared" si="39"/>
        <v>0.40468663844080066</v>
      </c>
      <c r="X131" s="10">
        <f t="shared" si="40"/>
        <v>0.84074175921142535</v>
      </c>
      <c r="Y131" s="10">
        <f t="shared" si="41"/>
        <v>0.55179600328036271</v>
      </c>
      <c r="Z131" s="10">
        <f t="shared" si="42"/>
        <v>-0.84074175921142535</v>
      </c>
      <c r="AA131" s="10">
        <f t="shared" si="43"/>
        <v>-0.55179600328036271</v>
      </c>
      <c r="AB131" s="7">
        <f t="shared" si="35"/>
        <v>1.0826628253965267</v>
      </c>
      <c r="AC131" s="7">
        <v>1.030392622981529</v>
      </c>
    </row>
    <row r="132" spans="1:29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11">
        <v>-1</v>
      </c>
      <c r="I132" s="11">
        <v>1</v>
      </c>
      <c r="J132" s="12">
        <v>-1</v>
      </c>
      <c r="K132" s="12">
        <v>1</v>
      </c>
      <c r="L132" s="9">
        <f t="shared" ref="L132:L195" si="51">IF(H132=1,D132,0)</f>
        <v>0</v>
      </c>
      <c r="M132" s="9">
        <f t="shared" si="44"/>
        <v>-8.6516615786813578E-3</v>
      </c>
      <c r="N132" s="9">
        <f t="shared" si="45"/>
        <v>0</v>
      </c>
      <c r="O132" s="9">
        <f t="shared" si="46"/>
        <v>1.8789339880801E-2</v>
      </c>
      <c r="P132" s="9">
        <f t="shared" si="47"/>
        <v>8.4728810845677849E-3</v>
      </c>
      <c r="Q132" s="9">
        <f t="shared" si="48"/>
        <v>0</v>
      </c>
      <c r="R132" s="9">
        <f t="shared" si="49"/>
        <v>-8.4728810845677849E-3</v>
      </c>
      <c r="S132" s="9">
        <f t="shared" si="50"/>
        <v>0</v>
      </c>
      <c r="T132" s="10">
        <f t="shared" si="36"/>
        <v>0.58809797687729259</v>
      </c>
      <c r="U132" s="10">
        <f t="shared" si="37"/>
        <v>0.19484872481964421</v>
      </c>
      <c r="V132" s="10">
        <f t="shared" si="38"/>
        <v>-0.11362217631989191</v>
      </c>
      <c r="W132" s="10">
        <f t="shared" si="39"/>
        <v>0.42347597832160166</v>
      </c>
      <c r="X132" s="10">
        <f t="shared" si="40"/>
        <v>0.84921464029599314</v>
      </c>
      <c r="Y132" s="10">
        <f t="shared" si="41"/>
        <v>0.55179600328036271</v>
      </c>
      <c r="Z132" s="10">
        <f t="shared" si="42"/>
        <v>-0.84921464029599314</v>
      </c>
      <c r="AA132" s="10">
        <f t="shared" si="43"/>
        <v>-0.55179600328036271</v>
      </c>
      <c r="AB132" s="7">
        <f t="shared" ref="AB132:AB195" si="52">AB131+SUM(L132:S132)</f>
        <v>1.0928005036986463</v>
      </c>
      <c r="AC132" s="7">
        <v>1.01810273735165</v>
      </c>
    </row>
    <row r="133" spans="1:29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11">
        <v>-1</v>
      </c>
      <c r="I133" s="11">
        <v>1</v>
      </c>
      <c r="J133" s="12">
        <v>-1</v>
      </c>
      <c r="K133" s="12">
        <v>1</v>
      </c>
      <c r="L133" s="9">
        <f t="shared" si="51"/>
        <v>0</v>
      </c>
      <c r="M133" s="9">
        <f t="shared" si="44"/>
        <v>4.654155338221444E-3</v>
      </c>
      <c r="N133" s="9">
        <f t="shared" si="45"/>
        <v>0</v>
      </c>
      <c r="O133" s="9">
        <f t="shared" si="46"/>
        <v>-1.5153481683465969E-2</v>
      </c>
      <c r="P133" s="9">
        <f t="shared" si="47"/>
        <v>2.1857772377859019E-2</v>
      </c>
      <c r="Q133" s="9">
        <f t="shared" si="48"/>
        <v>0</v>
      </c>
      <c r="R133" s="9">
        <f t="shared" si="49"/>
        <v>-2.1857772377859019E-2</v>
      </c>
      <c r="S133" s="9">
        <f t="shared" si="50"/>
        <v>0</v>
      </c>
      <c r="T133" s="10">
        <f t="shared" si="36"/>
        <v>0.58809797687729259</v>
      </c>
      <c r="U133" s="10">
        <f t="shared" si="37"/>
        <v>0.19950288015786566</v>
      </c>
      <c r="V133" s="10">
        <f t="shared" si="38"/>
        <v>-0.11362217631989191</v>
      </c>
      <c r="W133" s="10">
        <f t="shared" si="39"/>
        <v>0.40832249663813569</v>
      </c>
      <c r="X133" s="10">
        <f t="shared" si="40"/>
        <v>0.87107241267385216</v>
      </c>
      <c r="Y133" s="10">
        <f t="shared" si="41"/>
        <v>0.55179600328036271</v>
      </c>
      <c r="Z133" s="10">
        <f t="shared" si="42"/>
        <v>-0.87107241267385216</v>
      </c>
      <c r="AA133" s="10">
        <f t="shared" si="43"/>
        <v>-0.55179600328036271</v>
      </c>
      <c r="AB133" s="7">
        <f t="shared" si="52"/>
        <v>1.0823011773534019</v>
      </c>
      <c r="AC133" s="7">
        <v>1.068751808181662</v>
      </c>
    </row>
    <row r="134" spans="1:29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11">
        <v>-1</v>
      </c>
      <c r="I134" s="11">
        <v>1</v>
      </c>
      <c r="J134" s="12">
        <v>-1</v>
      </c>
      <c r="K134" s="12">
        <v>1</v>
      </c>
      <c r="L134" s="9">
        <f t="shared" si="51"/>
        <v>0</v>
      </c>
      <c r="M134" s="9">
        <f t="shared" si="44"/>
        <v>5.3475942096892224E-3</v>
      </c>
      <c r="N134" s="9">
        <f t="shared" si="45"/>
        <v>0</v>
      </c>
      <c r="O134" s="9">
        <f t="shared" si="46"/>
        <v>3.7364376806102717E-2</v>
      </c>
      <c r="P134" s="9">
        <f t="shared" si="47"/>
        <v>2.871942946102712E-3</v>
      </c>
      <c r="Q134" s="9">
        <f t="shared" si="48"/>
        <v>0</v>
      </c>
      <c r="R134" s="9">
        <f t="shared" si="49"/>
        <v>-2.871942946102712E-3</v>
      </c>
      <c r="S134" s="9">
        <f t="shared" si="50"/>
        <v>0</v>
      </c>
      <c r="T134" s="10">
        <f t="shared" si="36"/>
        <v>0.58809797687729259</v>
      </c>
      <c r="U134" s="10">
        <f t="shared" si="37"/>
        <v>0.20485047436755488</v>
      </c>
      <c r="V134" s="10">
        <f t="shared" si="38"/>
        <v>-0.11362217631989191</v>
      </c>
      <c r="W134" s="10">
        <f t="shared" si="39"/>
        <v>0.44568687344423841</v>
      </c>
      <c r="X134" s="10">
        <f t="shared" si="40"/>
        <v>0.87394435561995487</v>
      </c>
      <c r="Y134" s="10">
        <f t="shared" si="41"/>
        <v>0.55179600328036271</v>
      </c>
      <c r="Z134" s="10">
        <f t="shared" si="42"/>
        <v>-0.87394435561995487</v>
      </c>
      <c r="AA134" s="10">
        <f t="shared" si="43"/>
        <v>-0.55179600328036271</v>
      </c>
      <c r="AB134" s="7">
        <f t="shared" si="52"/>
        <v>1.1250131483691939</v>
      </c>
      <c r="AC134" s="7">
        <v>1.03877292466042</v>
      </c>
    </row>
    <row r="135" spans="1:29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11">
        <v>-1</v>
      </c>
      <c r="I135" s="11">
        <v>1</v>
      </c>
      <c r="J135" s="12">
        <v>-1</v>
      </c>
      <c r="K135" s="12">
        <v>1</v>
      </c>
      <c r="L135" s="9">
        <f t="shared" si="51"/>
        <v>0</v>
      </c>
      <c r="M135" s="9">
        <f t="shared" si="44"/>
        <v>1.1324016410558911E-2</v>
      </c>
      <c r="N135" s="9">
        <f t="shared" si="45"/>
        <v>0</v>
      </c>
      <c r="O135" s="9">
        <f t="shared" si="46"/>
        <v>6.7841889411413003E-3</v>
      </c>
      <c r="P135" s="9">
        <f t="shared" si="47"/>
        <v>2.4119681570262012E-2</v>
      </c>
      <c r="Q135" s="9">
        <f t="shared" si="48"/>
        <v>0</v>
      </c>
      <c r="R135" s="9">
        <f t="shared" si="49"/>
        <v>-2.4119681570262012E-2</v>
      </c>
      <c r="S135" s="9">
        <f t="shared" si="50"/>
        <v>0</v>
      </c>
      <c r="T135" s="10">
        <f t="shared" si="36"/>
        <v>0.58809797687729259</v>
      </c>
      <c r="U135" s="10">
        <f t="shared" si="37"/>
        <v>0.21617449077811379</v>
      </c>
      <c r="V135" s="10">
        <f t="shared" si="38"/>
        <v>-0.11362217631989191</v>
      </c>
      <c r="W135" s="10">
        <f t="shared" si="39"/>
        <v>0.45247106238537971</v>
      </c>
      <c r="X135" s="10">
        <f t="shared" si="40"/>
        <v>0.89806403719021688</v>
      </c>
      <c r="Y135" s="10">
        <f t="shared" si="41"/>
        <v>0.55179600328036271</v>
      </c>
      <c r="Z135" s="10">
        <f t="shared" si="42"/>
        <v>-0.89806403719021688</v>
      </c>
      <c r="AA135" s="10">
        <f t="shared" si="43"/>
        <v>-0.55179600328036271</v>
      </c>
      <c r="AB135" s="7">
        <f t="shared" si="52"/>
        <v>1.143121353720894</v>
      </c>
      <c r="AC135" s="7">
        <v>1.0702267039551521</v>
      </c>
    </row>
    <row r="136" spans="1:29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11">
        <v>-1</v>
      </c>
      <c r="I136" s="11">
        <v>1</v>
      </c>
      <c r="J136" s="12">
        <v>-1</v>
      </c>
      <c r="K136" s="12">
        <v>1</v>
      </c>
      <c r="L136" s="9">
        <f t="shared" si="51"/>
        <v>0</v>
      </c>
      <c r="M136" s="9">
        <f t="shared" si="44"/>
        <v>-8.0143197384061615E-3</v>
      </c>
      <c r="N136" s="9">
        <f t="shared" si="45"/>
        <v>0</v>
      </c>
      <c r="O136" s="9">
        <f t="shared" si="46"/>
        <v>8.8820288039440642E-3</v>
      </c>
      <c r="P136" s="9">
        <f t="shared" si="47"/>
        <v>-3.3174854106400309E-3</v>
      </c>
      <c r="Q136" s="9">
        <f t="shared" si="48"/>
        <v>0</v>
      </c>
      <c r="R136" s="9">
        <f t="shared" si="49"/>
        <v>3.3174854106400309E-3</v>
      </c>
      <c r="S136" s="9">
        <f t="shared" si="50"/>
        <v>0</v>
      </c>
      <c r="T136" s="10">
        <f t="shared" si="36"/>
        <v>0.58809797687729259</v>
      </c>
      <c r="U136" s="10">
        <f t="shared" si="37"/>
        <v>0.20816017103970763</v>
      </c>
      <c r="V136" s="10">
        <f t="shared" si="38"/>
        <v>-0.11362217631989191</v>
      </c>
      <c r="W136" s="10">
        <f t="shared" si="39"/>
        <v>0.46135309118932377</v>
      </c>
      <c r="X136" s="10">
        <f t="shared" si="40"/>
        <v>0.89474655177957685</v>
      </c>
      <c r="Y136" s="10">
        <f t="shared" si="41"/>
        <v>0.55179600328036271</v>
      </c>
      <c r="Z136" s="10">
        <f t="shared" si="42"/>
        <v>-0.89474655177957685</v>
      </c>
      <c r="AA136" s="10">
        <f t="shared" si="43"/>
        <v>-0.55179600328036271</v>
      </c>
      <c r="AB136" s="7">
        <f t="shared" si="52"/>
        <v>1.143989062786432</v>
      </c>
      <c r="AC136" s="7">
        <v>1.116203946677649</v>
      </c>
    </row>
    <row r="137" spans="1:29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11">
        <v>-1</v>
      </c>
      <c r="I137" s="11">
        <v>1</v>
      </c>
      <c r="J137" s="12">
        <v>-1</v>
      </c>
      <c r="K137" s="12">
        <v>1</v>
      </c>
      <c r="L137" s="9">
        <f t="shared" si="51"/>
        <v>0</v>
      </c>
      <c r="M137" s="9">
        <f t="shared" si="44"/>
        <v>-6.0568972637203844E-3</v>
      </c>
      <c r="N137" s="9">
        <f t="shared" si="45"/>
        <v>0</v>
      </c>
      <c r="O137" s="9">
        <f t="shared" si="46"/>
        <v>1.452120195619633E-2</v>
      </c>
      <c r="P137" s="9">
        <f t="shared" si="47"/>
        <v>-4.7965258664273147E-3</v>
      </c>
      <c r="Q137" s="9">
        <f t="shared" si="48"/>
        <v>0</v>
      </c>
      <c r="R137" s="9">
        <f t="shared" si="49"/>
        <v>4.7965258664273147E-3</v>
      </c>
      <c r="S137" s="9">
        <f t="shared" si="50"/>
        <v>0</v>
      </c>
      <c r="T137" s="10">
        <f t="shared" si="36"/>
        <v>0.58809797687729259</v>
      </c>
      <c r="U137" s="10">
        <f t="shared" si="37"/>
        <v>0.20210327377598725</v>
      </c>
      <c r="V137" s="10">
        <f t="shared" si="38"/>
        <v>-0.11362217631989191</v>
      </c>
      <c r="W137" s="10">
        <f t="shared" si="39"/>
        <v>0.4758742931455201</v>
      </c>
      <c r="X137" s="10">
        <f t="shared" si="40"/>
        <v>0.88995002591314953</v>
      </c>
      <c r="Y137" s="10">
        <f t="shared" si="41"/>
        <v>0.55179600328036271</v>
      </c>
      <c r="Z137" s="10">
        <f t="shared" si="42"/>
        <v>-0.88995002591314953</v>
      </c>
      <c r="AA137" s="10">
        <f t="shared" si="43"/>
        <v>-0.55179600328036271</v>
      </c>
      <c r="AB137" s="7">
        <f t="shared" si="52"/>
        <v>1.1524533674789079</v>
      </c>
      <c r="AC137" s="7">
        <v>1.145727015298041</v>
      </c>
    </row>
    <row r="138" spans="1:29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11">
        <v>-1</v>
      </c>
      <c r="I138" s="11">
        <v>1</v>
      </c>
      <c r="J138" s="12">
        <v>-1</v>
      </c>
      <c r="K138" s="12">
        <v>1</v>
      </c>
      <c r="L138" s="9">
        <f t="shared" si="51"/>
        <v>0</v>
      </c>
      <c r="M138" s="9">
        <f t="shared" si="44"/>
        <v>-1.7133596207307141E-2</v>
      </c>
      <c r="N138" s="9">
        <f t="shared" si="45"/>
        <v>0</v>
      </c>
      <c r="O138" s="9">
        <f t="shared" si="46"/>
        <v>-1.9825893016152341E-2</v>
      </c>
      <c r="P138" s="9">
        <f t="shared" si="47"/>
        <v>-2.4755557456235261E-4</v>
      </c>
      <c r="Q138" s="9">
        <f t="shared" si="48"/>
        <v>0</v>
      </c>
      <c r="R138" s="9">
        <f t="shared" si="49"/>
        <v>2.4755557456235261E-4</v>
      </c>
      <c r="S138" s="9">
        <f t="shared" si="50"/>
        <v>0</v>
      </c>
      <c r="T138" s="10">
        <f t="shared" si="36"/>
        <v>0.58809797687729259</v>
      </c>
      <c r="U138" s="10">
        <f t="shared" si="37"/>
        <v>0.1849696775686801</v>
      </c>
      <c r="V138" s="10">
        <f t="shared" si="38"/>
        <v>-0.11362217631989191</v>
      </c>
      <c r="W138" s="10">
        <f t="shared" si="39"/>
        <v>0.45604840012936776</v>
      </c>
      <c r="X138" s="10">
        <f t="shared" si="40"/>
        <v>0.88970247033858718</v>
      </c>
      <c r="Y138" s="10">
        <f t="shared" si="41"/>
        <v>0.55179600328036271</v>
      </c>
      <c r="Z138" s="10">
        <f t="shared" si="42"/>
        <v>-0.88970247033858718</v>
      </c>
      <c r="AA138" s="10">
        <f t="shared" si="43"/>
        <v>-0.55179600328036271</v>
      </c>
      <c r="AB138" s="7">
        <f t="shared" si="52"/>
        <v>1.1154938782554484</v>
      </c>
      <c r="AC138" s="7">
        <v>1.1717126616377569</v>
      </c>
    </row>
    <row r="139" spans="1:29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11">
        <v>1</v>
      </c>
      <c r="I139" s="11">
        <v>-1</v>
      </c>
      <c r="J139" s="12">
        <v>1</v>
      </c>
      <c r="K139" s="12">
        <v>1</v>
      </c>
      <c r="L139" s="9">
        <f t="shared" si="51"/>
        <v>-2.5163653603307301E-2</v>
      </c>
      <c r="M139" s="9">
        <f t="shared" si="44"/>
        <v>0</v>
      </c>
      <c r="N139" s="9">
        <f t="shared" si="45"/>
        <v>-1.3964375323716079E-2</v>
      </c>
      <c r="O139" s="9">
        <f t="shared" si="46"/>
        <v>0</v>
      </c>
      <c r="P139" s="9">
        <f t="shared" si="47"/>
        <v>0</v>
      </c>
      <c r="Q139" s="9">
        <f t="shared" si="48"/>
        <v>6.2857331855802334E-3</v>
      </c>
      <c r="R139" s="9">
        <f t="shared" si="49"/>
        <v>0</v>
      </c>
      <c r="S139" s="9">
        <f t="shared" si="50"/>
        <v>-6.2857331855802334E-3</v>
      </c>
      <c r="T139" s="10">
        <f t="shared" si="36"/>
        <v>0.56293432327398529</v>
      </c>
      <c r="U139" s="10">
        <f t="shared" si="37"/>
        <v>0.1849696775686801</v>
      </c>
      <c r="V139" s="10">
        <f t="shared" si="38"/>
        <v>-0.12758655164360799</v>
      </c>
      <c r="W139" s="10">
        <f t="shared" si="39"/>
        <v>0.45604840012936776</v>
      </c>
      <c r="X139" s="10">
        <f t="shared" si="40"/>
        <v>0.88970247033858718</v>
      </c>
      <c r="Y139" s="10">
        <f t="shared" si="41"/>
        <v>0.55808173646594295</v>
      </c>
      <c r="Z139" s="10">
        <f t="shared" si="42"/>
        <v>-0.88970247033858718</v>
      </c>
      <c r="AA139" s="10">
        <f t="shared" si="43"/>
        <v>-0.55808173646594295</v>
      </c>
      <c r="AB139" s="7">
        <f t="shared" si="52"/>
        <v>1.0763658493284249</v>
      </c>
      <c r="AC139" s="7">
        <v>1.136492121761004</v>
      </c>
    </row>
    <row r="140" spans="1:29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11">
        <v>-1</v>
      </c>
      <c r="I140" s="11">
        <v>1</v>
      </c>
      <c r="J140" s="12">
        <v>-1</v>
      </c>
      <c r="K140" s="12">
        <v>-1</v>
      </c>
      <c r="L140" s="9">
        <f t="shared" si="51"/>
        <v>0</v>
      </c>
      <c r="M140" s="9">
        <f t="shared" si="44"/>
        <v>-7.4521989522108312E-3</v>
      </c>
      <c r="N140" s="9">
        <f t="shared" si="45"/>
        <v>0</v>
      </c>
      <c r="O140" s="9">
        <f t="shared" si="46"/>
        <v>2.025869826653692E-2</v>
      </c>
      <c r="P140" s="9">
        <f t="shared" si="47"/>
        <v>8.8278178612829494E-3</v>
      </c>
      <c r="Q140" s="9">
        <f t="shared" si="48"/>
        <v>0</v>
      </c>
      <c r="R140" s="9">
        <f t="shared" si="49"/>
        <v>-8.8278178612829494E-3</v>
      </c>
      <c r="S140" s="9">
        <f t="shared" si="50"/>
        <v>0</v>
      </c>
      <c r="T140" s="10">
        <f t="shared" si="36"/>
        <v>0.56293432327398529</v>
      </c>
      <c r="U140" s="10">
        <f t="shared" si="37"/>
        <v>0.17751747861646927</v>
      </c>
      <c r="V140" s="10">
        <f t="shared" si="38"/>
        <v>-0.12758655164360799</v>
      </c>
      <c r="W140" s="10">
        <f t="shared" si="39"/>
        <v>0.47630709839590468</v>
      </c>
      <c r="X140" s="10">
        <f t="shared" si="40"/>
        <v>0.89853028819987013</v>
      </c>
      <c r="Y140" s="10">
        <f t="shared" si="41"/>
        <v>0.55808173646594295</v>
      </c>
      <c r="Z140" s="10">
        <f t="shared" si="42"/>
        <v>-0.89853028819987013</v>
      </c>
      <c r="AA140" s="10">
        <f t="shared" si="43"/>
        <v>-0.55808173646594295</v>
      </c>
      <c r="AB140" s="7">
        <f t="shared" si="52"/>
        <v>1.0891723486427509</v>
      </c>
      <c r="AC140" s="7">
        <v>1.1816101418950999</v>
      </c>
    </row>
    <row r="141" spans="1:29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11">
        <v>-1</v>
      </c>
      <c r="I141" s="11">
        <v>1</v>
      </c>
      <c r="J141" s="12">
        <v>-1</v>
      </c>
      <c r="K141" s="12">
        <v>1</v>
      </c>
      <c r="L141" s="9">
        <f t="shared" si="51"/>
        <v>0</v>
      </c>
      <c r="M141" s="9">
        <f t="shared" si="44"/>
        <v>-4.4340930826007874E-3</v>
      </c>
      <c r="N141" s="9">
        <f t="shared" si="45"/>
        <v>0</v>
      </c>
      <c r="O141" s="9">
        <f t="shared" si="46"/>
        <v>8.100513363080708E-3</v>
      </c>
      <c r="P141" s="9">
        <f t="shared" si="47"/>
        <v>1.0644825529634749E-2</v>
      </c>
      <c r="Q141" s="9">
        <f t="shared" si="48"/>
        <v>0</v>
      </c>
      <c r="R141" s="9">
        <f t="shared" si="49"/>
        <v>-1.0644825529634749E-2</v>
      </c>
      <c r="S141" s="9">
        <f t="shared" si="50"/>
        <v>0</v>
      </c>
      <c r="T141" s="10">
        <f t="shared" si="36"/>
        <v>0.56293432327398529</v>
      </c>
      <c r="U141" s="10">
        <f t="shared" si="37"/>
        <v>0.17308338553386848</v>
      </c>
      <c r="V141" s="10">
        <f t="shared" si="38"/>
        <v>-0.12758655164360799</v>
      </c>
      <c r="W141" s="10">
        <f t="shared" si="39"/>
        <v>0.48440761175898539</v>
      </c>
      <c r="X141" s="10">
        <f t="shared" si="40"/>
        <v>0.90917511372950488</v>
      </c>
      <c r="Y141" s="10">
        <f t="shared" si="41"/>
        <v>0.55808173646594295</v>
      </c>
      <c r="Z141" s="10">
        <f t="shared" si="42"/>
        <v>-0.90917511372950488</v>
      </c>
      <c r="AA141" s="10">
        <f t="shared" si="43"/>
        <v>-0.55808173646594295</v>
      </c>
      <c r="AB141" s="7">
        <f t="shared" si="52"/>
        <v>1.0928387689232308</v>
      </c>
      <c r="AC141" s="7">
        <v>1.190274887085558</v>
      </c>
    </row>
    <row r="142" spans="1:29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11">
        <v>1</v>
      </c>
      <c r="I142" s="11">
        <v>-1</v>
      </c>
      <c r="J142" s="12">
        <v>1</v>
      </c>
      <c r="K142" s="12">
        <v>1</v>
      </c>
      <c r="L142" s="9">
        <f t="shared" si="51"/>
        <v>2.291760836418244E-3</v>
      </c>
      <c r="M142" s="9">
        <f t="shared" si="44"/>
        <v>0</v>
      </c>
      <c r="N142" s="9">
        <f t="shared" si="45"/>
        <v>-6.9943052072904974E-3</v>
      </c>
      <c r="O142" s="9">
        <f t="shared" si="46"/>
        <v>0</v>
      </c>
      <c r="P142" s="9">
        <f t="shared" si="47"/>
        <v>0</v>
      </c>
      <c r="Q142" s="9">
        <f t="shared" si="48"/>
        <v>1.4219609822165521E-2</v>
      </c>
      <c r="R142" s="9">
        <f t="shared" si="49"/>
        <v>0</v>
      </c>
      <c r="S142" s="9">
        <f t="shared" si="50"/>
        <v>-1.4219609822165521E-2</v>
      </c>
      <c r="T142" s="10">
        <f t="shared" ref="T142:T205" si="53">L142+T141</f>
        <v>0.56522608411040354</v>
      </c>
      <c r="U142" s="10">
        <f t="shared" ref="U142:U205" si="54">M142+U141</f>
        <v>0.17308338553386848</v>
      </c>
      <c r="V142" s="10">
        <f t="shared" ref="V142:V205" si="55">N142+V141</f>
        <v>-0.13458085685089849</v>
      </c>
      <c r="W142" s="10">
        <f t="shared" ref="W142:W205" si="56">O142+W141</f>
        <v>0.48440761175898539</v>
      </c>
      <c r="X142" s="10">
        <f t="shared" ref="X142:X205" si="57">P142+X141</f>
        <v>0.90917511372950488</v>
      </c>
      <c r="Y142" s="10">
        <f t="shared" ref="Y142:Y205" si="58">Q142+Y141</f>
        <v>0.57230134628810847</v>
      </c>
      <c r="Z142" s="10">
        <f t="shared" ref="Z142:Z205" si="59">R142+Z141</f>
        <v>-0.90917511372950488</v>
      </c>
      <c r="AA142" s="10">
        <f t="shared" ref="AA142:AA205" si="60">S142+AA141</f>
        <v>-0.57230134628810847</v>
      </c>
      <c r="AB142" s="7">
        <f t="shared" si="52"/>
        <v>1.0881362245523585</v>
      </c>
      <c r="AC142" s="7">
        <v>1.1978784623429839</v>
      </c>
    </row>
    <row r="143" spans="1:29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11">
        <v>1</v>
      </c>
      <c r="I143" s="11">
        <v>-1</v>
      </c>
      <c r="J143" s="12">
        <v>1</v>
      </c>
      <c r="K143" s="12">
        <v>-1</v>
      </c>
      <c r="L143" s="9">
        <f t="shared" si="51"/>
        <v>1.864070301857668E-2</v>
      </c>
      <c r="M143" s="9">
        <f t="shared" si="44"/>
        <v>0</v>
      </c>
      <c r="N143" s="9">
        <f t="shared" si="45"/>
        <v>-1.6379483740435411E-2</v>
      </c>
      <c r="O143" s="9">
        <f t="shared" si="46"/>
        <v>0</v>
      </c>
      <c r="P143" s="9">
        <f t="shared" si="47"/>
        <v>0</v>
      </c>
      <c r="Q143" s="9">
        <f t="shared" si="48"/>
        <v>2.227729657524824E-3</v>
      </c>
      <c r="R143" s="9">
        <f t="shared" si="49"/>
        <v>0</v>
      </c>
      <c r="S143" s="9">
        <f t="shared" si="50"/>
        <v>-2.227729657524824E-3</v>
      </c>
      <c r="T143" s="10">
        <f t="shared" si="53"/>
        <v>0.58386678712898021</v>
      </c>
      <c r="U143" s="10">
        <f t="shared" si="54"/>
        <v>0.17308338553386848</v>
      </c>
      <c r="V143" s="10">
        <f t="shared" si="55"/>
        <v>-0.1509603405913339</v>
      </c>
      <c r="W143" s="10">
        <f t="shared" si="56"/>
        <v>0.48440761175898539</v>
      </c>
      <c r="X143" s="10">
        <f t="shared" si="57"/>
        <v>0.90917511372950488</v>
      </c>
      <c r="Y143" s="10">
        <f t="shared" si="58"/>
        <v>0.57452907594563329</v>
      </c>
      <c r="Z143" s="10">
        <f t="shared" si="59"/>
        <v>-0.90917511372950488</v>
      </c>
      <c r="AA143" s="10">
        <f t="shared" si="60"/>
        <v>-0.57452907594563329</v>
      </c>
      <c r="AB143" s="7">
        <f t="shared" si="52"/>
        <v>1.0903974438304997</v>
      </c>
      <c r="AC143" s="7">
        <v>1.2210899184365991</v>
      </c>
    </row>
    <row r="144" spans="1:29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11">
        <v>-1</v>
      </c>
      <c r="I144" s="11">
        <v>1</v>
      </c>
      <c r="J144" s="12">
        <v>-1</v>
      </c>
      <c r="K144" s="12">
        <v>-1</v>
      </c>
      <c r="L144" s="9">
        <f t="shared" si="51"/>
        <v>0</v>
      </c>
      <c r="M144" s="9">
        <f t="shared" si="44"/>
        <v>1.092174037342186E-3</v>
      </c>
      <c r="N144" s="9">
        <f t="shared" si="45"/>
        <v>0</v>
      </c>
      <c r="O144" s="9">
        <f t="shared" si="46"/>
        <v>1.534273973649314E-2</v>
      </c>
      <c r="P144" s="9">
        <f t="shared" si="47"/>
        <v>1.3951284776894E-2</v>
      </c>
      <c r="Q144" s="9">
        <f t="shared" si="48"/>
        <v>0</v>
      </c>
      <c r="R144" s="9">
        <f t="shared" si="49"/>
        <v>-1.3951284776894E-2</v>
      </c>
      <c r="S144" s="9">
        <f t="shared" si="50"/>
        <v>0</v>
      </c>
      <c r="T144" s="10">
        <f t="shared" si="53"/>
        <v>0.58386678712898021</v>
      </c>
      <c r="U144" s="10">
        <f t="shared" si="54"/>
        <v>0.17417555957121067</v>
      </c>
      <c r="V144" s="10">
        <f t="shared" si="55"/>
        <v>-0.1509603405913339</v>
      </c>
      <c r="W144" s="10">
        <f t="shared" si="56"/>
        <v>0.49975035149547853</v>
      </c>
      <c r="X144" s="10">
        <f t="shared" si="57"/>
        <v>0.92312639850639888</v>
      </c>
      <c r="Y144" s="10">
        <f t="shared" si="58"/>
        <v>0.57452907594563329</v>
      </c>
      <c r="Z144" s="10">
        <f t="shared" si="59"/>
        <v>-0.92312639850639888</v>
      </c>
      <c r="AA144" s="10">
        <f t="shared" si="60"/>
        <v>-0.57452907594563329</v>
      </c>
      <c r="AB144" s="7">
        <f t="shared" si="52"/>
        <v>1.1068323576043351</v>
      </c>
      <c r="AC144" s="7">
        <v>1.241661060006694</v>
      </c>
    </row>
    <row r="145" spans="1:29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11">
        <v>1</v>
      </c>
      <c r="I145" s="11">
        <v>-1</v>
      </c>
      <c r="J145" s="12">
        <v>1</v>
      </c>
      <c r="K145" s="12">
        <v>1</v>
      </c>
      <c r="L145" s="9">
        <f t="shared" si="51"/>
        <v>-2.58996289745963E-2</v>
      </c>
      <c r="M145" s="9">
        <f t="shared" si="44"/>
        <v>0</v>
      </c>
      <c r="N145" s="9">
        <f t="shared" si="45"/>
        <v>1.1567401108059211E-2</v>
      </c>
      <c r="O145" s="9">
        <f t="shared" si="46"/>
        <v>0</v>
      </c>
      <c r="P145" s="9">
        <f t="shared" si="47"/>
        <v>0</v>
      </c>
      <c r="Q145" s="9">
        <f t="shared" si="48"/>
        <v>-2.7146073305900349E-3</v>
      </c>
      <c r="R145" s="9">
        <f t="shared" si="49"/>
        <v>0</v>
      </c>
      <c r="S145" s="9">
        <f t="shared" si="50"/>
        <v>2.7146073305900349E-3</v>
      </c>
      <c r="T145" s="10">
        <f t="shared" si="53"/>
        <v>0.55796715815438391</v>
      </c>
      <c r="U145" s="10">
        <f t="shared" si="54"/>
        <v>0.17417555957121067</v>
      </c>
      <c r="V145" s="10">
        <f t="shared" si="55"/>
        <v>-0.13939293948327469</v>
      </c>
      <c r="W145" s="10">
        <f t="shared" si="56"/>
        <v>0.49975035149547853</v>
      </c>
      <c r="X145" s="10">
        <f t="shared" si="57"/>
        <v>0.92312639850639888</v>
      </c>
      <c r="Y145" s="10">
        <f t="shared" si="58"/>
        <v>0.57181446861504326</v>
      </c>
      <c r="Z145" s="10">
        <f t="shared" si="59"/>
        <v>-0.92312639850639888</v>
      </c>
      <c r="AA145" s="10">
        <f t="shared" si="60"/>
        <v>-0.57181446861504326</v>
      </c>
      <c r="AB145" s="7">
        <f t="shared" si="52"/>
        <v>1.0925001297377981</v>
      </c>
      <c r="AC145" s="7">
        <v>1.228582508041314</v>
      </c>
    </row>
    <row r="146" spans="1:29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11">
        <v>-1</v>
      </c>
      <c r="I146" s="11">
        <v>1</v>
      </c>
      <c r="J146" s="12">
        <v>-1</v>
      </c>
      <c r="K146" s="12">
        <v>-1</v>
      </c>
      <c r="L146" s="9">
        <f t="shared" si="51"/>
        <v>0</v>
      </c>
      <c r="M146" s="9">
        <f t="shared" si="44"/>
        <v>-6.0652427983942658E-3</v>
      </c>
      <c r="N146" s="9">
        <f t="shared" si="45"/>
        <v>0</v>
      </c>
      <c r="O146" s="9">
        <f t="shared" si="46"/>
        <v>2.052935467639927E-2</v>
      </c>
      <c r="P146" s="9">
        <f t="shared" si="47"/>
        <v>-1.0633161360758869E-2</v>
      </c>
      <c r="Q146" s="9">
        <f t="shared" si="48"/>
        <v>0</v>
      </c>
      <c r="R146" s="9">
        <f t="shared" si="49"/>
        <v>1.0633161360758869E-2</v>
      </c>
      <c r="S146" s="9">
        <f t="shared" si="50"/>
        <v>0</v>
      </c>
      <c r="T146" s="10">
        <f t="shared" si="53"/>
        <v>0.55796715815438391</v>
      </c>
      <c r="U146" s="10">
        <f t="shared" si="54"/>
        <v>0.1681103167728164</v>
      </c>
      <c r="V146" s="10">
        <f t="shared" si="55"/>
        <v>-0.13939293948327469</v>
      </c>
      <c r="W146" s="10">
        <f t="shared" si="56"/>
        <v>0.5202797061718778</v>
      </c>
      <c r="X146" s="10">
        <f t="shared" si="57"/>
        <v>0.91249323714564001</v>
      </c>
      <c r="Y146" s="10">
        <f t="shared" si="58"/>
        <v>0.57181446861504326</v>
      </c>
      <c r="Z146" s="10">
        <f t="shared" si="59"/>
        <v>-0.91249323714564001</v>
      </c>
      <c r="AA146" s="10">
        <f t="shared" si="60"/>
        <v>-0.57181446861504326</v>
      </c>
      <c r="AB146" s="7">
        <f t="shared" si="52"/>
        <v>1.106964241615803</v>
      </c>
      <c r="AC146" s="7">
        <v>1.267559998337485</v>
      </c>
    </row>
    <row r="147" spans="1:29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11">
        <v>-1</v>
      </c>
      <c r="I147" s="11">
        <v>1</v>
      </c>
      <c r="J147" s="12">
        <v>-1</v>
      </c>
      <c r="K147" s="12">
        <v>1</v>
      </c>
      <c r="L147" s="9">
        <f t="shared" si="51"/>
        <v>0</v>
      </c>
      <c r="M147" s="9">
        <f t="shared" si="44"/>
        <v>1.053813416587179E-2</v>
      </c>
      <c r="N147" s="9">
        <f t="shared" si="45"/>
        <v>0</v>
      </c>
      <c r="O147" s="9">
        <f t="shared" si="46"/>
        <v>1.3399801247993779E-2</v>
      </c>
      <c r="P147" s="9">
        <f t="shared" si="47"/>
        <v>-5.8325810528370159E-4</v>
      </c>
      <c r="Q147" s="9">
        <f t="shared" si="48"/>
        <v>0</v>
      </c>
      <c r="R147" s="9">
        <f t="shared" si="49"/>
        <v>5.8325810528370159E-4</v>
      </c>
      <c r="S147" s="9">
        <f t="shared" si="50"/>
        <v>0</v>
      </c>
      <c r="T147" s="10">
        <f t="shared" si="53"/>
        <v>0.55796715815438391</v>
      </c>
      <c r="U147" s="10">
        <f t="shared" si="54"/>
        <v>0.1786484509386882</v>
      </c>
      <c r="V147" s="10">
        <f t="shared" si="55"/>
        <v>-0.13939293948327469</v>
      </c>
      <c r="W147" s="10">
        <f t="shared" si="56"/>
        <v>0.53367950741987158</v>
      </c>
      <c r="X147" s="10">
        <f t="shared" si="57"/>
        <v>0.91190997904035631</v>
      </c>
      <c r="Y147" s="10">
        <f t="shared" si="58"/>
        <v>0.57181446861504326</v>
      </c>
      <c r="Z147" s="10">
        <f t="shared" si="59"/>
        <v>-0.91190997904035631</v>
      </c>
      <c r="AA147" s="10">
        <f t="shared" si="60"/>
        <v>-0.57181446861504326</v>
      </c>
      <c r="AB147" s="7">
        <f t="shared" si="52"/>
        <v>1.1309021770296686</v>
      </c>
      <c r="AC147" s="7">
        <v>1.2540166764367211</v>
      </c>
    </row>
    <row r="148" spans="1:29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11">
        <v>1</v>
      </c>
      <c r="I148" s="11">
        <v>-1</v>
      </c>
      <c r="J148" s="12">
        <v>1</v>
      </c>
      <c r="K148" s="12">
        <v>1</v>
      </c>
      <c r="L148" s="9">
        <f t="shared" si="51"/>
        <v>3.8639470819564758E-2</v>
      </c>
      <c r="M148" s="9">
        <f t="shared" si="44"/>
        <v>0</v>
      </c>
      <c r="N148" s="9">
        <f t="shared" si="45"/>
        <v>1.069169108731882E-2</v>
      </c>
      <c r="O148" s="9">
        <f t="shared" si="46"/>
        <v>0</v>
      </c>
      <c r="P148" s="9">
        <f t="shared" si="47"/>
        <v>0</v>
      </c>
      <c r="Q148" s="9">
        <f t="shared" si="48"/>
        <v>1.8995085924645268E-2</v>
      </c>
      <c r="R148" s="9">
        <f t="shared" si="49"/>
        <v>0</v>
      </c>
      <c r="S148" s="9">
        <f t="shared" si="50"/>
        <v>-1.8995085924645268E-2</v>
      </c>
      <c r="T148" s="10">
        <f t="shared" si="53"/>
        <v>0.59660662897394867</v>
      </c>
      <c r="U148" s="10">
        <f t="shared" si="54"/>
        <v>0.1786484509386882</v>
      </c>
      <c r="V148" s="10">
        <f t="shared" si="55"/>
        <v>-0.12870124839595587</v>
      </c>
      <c r="W148" s="10">
        <f t="shared" si="56"/>
        <v>0.53367950741987158</v>
      </c>
      <c r="X148" s="10">
        <f t="shared" si="57"/>
        <v>0.91190997904035631</v>
      </c>
      <c r="Y148" s="10">
        <f t="shared" si="58"/>
        <v>0.59080955453968853</v>
      </c>
      <c r="Z148" s="10">
        <f t="shared" si="59"/>
        <v>-0.91190997904035631</v>
      </c>
      <c r="AA148" s="10">
        <f t="shared" si="60"/>
        <v>-0.59080955453968853</v>
      </c>
      <c r="AB148" s="7">
        <f t="shared" si="52"/>
        <v>1.180233338936552</v>
      </c>
      <c r="AC148" s="7">
        <v>1.2787301093368211</v>
      </c>
    </row>
    <row r="149" spans="1:29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11">
        <v>-1</v>
      </c>
      <c r="I149" s="11">
        <v>1</v>
      </c>
      <c r="J149" s="12">
        <v>-1</v>
      </c>
      <c r="K149" s="12">
        <v>-1</v>
      </c>
      <c r="L149" s="9">
        <f t="shared" si="51"/>
        <v>0</v>
      </c>
      <c r="M149" s="9">
        <f t="shared" si="44"/>
        <v>-2.522615843149723E-3</v>
      </c>
      <c r="N149" s="9">
        <f t="shared" si="45"/>
        <v>0</v>
      </c>
      <c r="O149" s="9">
        <f t="shared" si="46"/>
        <v>1.9774460115345342E-2</v>
      </c>
      <c r="P149" s="9">
        <f t="shared" si="47"/>
        <v>8.3304892872689829E-3</v>
      </c>
      <c r="Q149" s="9">
        <f t="shared" si="48"/>
        <v>0</v>
      </c>
      <c r="R149" s="9">
        <f t="shared" si="49"/>
        <v>-8.3304892872689829E-3</v>
      </c>
      <c r="S149" s="9">
        <f t="shared" si="50"/>
        <v>0</v>
      </c>
      <c r="T149" s="10">
        <f t="shared" si="53"/>
        <v>0.59660662897394867</v>
      </c>
      <c r="U149" s="10">
        <f t="shared" si="54"/>
        <v>0.17612583509553847</v>
      </c>
      <c r="V149" s="10">
        <f t="shared" si="55"/>
        <v>-0.12870124839595587</v>
      </c>
      <c r="W149" s="10">
        <f t="shared" si="56"/>
        <v>0.55345396753521692</v>
      </c>
      <c r="X149" s="10">
        <f t="shared" si="57"/>
        <v>0.92024046832762529</v>
      </c>
      <c r="Y149" s="10">
        <f t="shared" si="58"/>
        <v>0.59080955453968853</v>
      </c>
      <c r="Z149" s="10">
        <f t="shared" si="59"/>
        <v>-0.92024046832762529</v>
      </c>
      <c r="AA149" s="10">
        <f t="shared" si="60"/>
        <v>-0.59080955453968853</v>
      </c>
      <c r="AB149" s="7">
        <f t="shared" si="52"/>
        <v>1.1974851832087476</v>
      </c>
      <c r="AC149" s="7">
        <v>1.305915988652709</v>
      </c>
    </row>
    <row r="150" spans="1:29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11">
        <v>1</v>
      </c>
      <c r="I150" s="11">
        <v>-1</v>
      </c>
      <c r="J150" s="12">
        <v>1</v>
      </c>
      <c r="K150" s="12">
        <v>1</v>
      </c>
      <c r="L150" s="9">
        <f t="shared" si="51"/>
        <v>-4.6751749219930971E-3</v>
      </c>
      <c r="M150" s="9">
        <f t="shared" si="44"/>
        <v>0</v>
      </c>
      <c r="N150" s="9">
        <f t="shared" si="45"/>
        <v>-2.7676063416177681E-3</v>
      </c>
      <c r="O150" s="9">
        <f t="shared" si="46"/>
        <v>0</v>
      </c>
      <c r="P150" s="9">
        <f t="shared" si="47"/>
        <v>0</v>
      </c>
      <c r="Q150" s="9">
        <f t="shared" si="48"/>
        <v>-3.9076762214195204E-3</v>
      </c>
      <c r="R150" s="9">
        <f t="shared" si="49"/>
        <v>0</v>
      </c>
      <c r="S150" s="9">
        <f t="shared" si="50"/>
        <v>3.9076762214195204E-3</v>
      </c>
      <c r="T150" s="10">
        <f t="shared" si="53"/>
        <v>0.59193145405195557</v>
      </c>
      <c r="U150" s="10">
        <f t="shared" si="54"/>
        <v>0.17612583509553847</v>
      </c>
      <c r="V150" s="10">
        <f t="shared" si="55"/>
        <v>-0.13146885473757364</v>
      </c>
      <c r="W150" s="10">
        <f t="shared" si="56"/>
        <v>0.55345396753521692</v>
      </c>
      <c r="X150" s="10">
        <f t="shared" si="57"/>
        <v>0.92024046832762529</v>
      </c>
      <c r="Y150" s="10">
        <f t="shared" si="58"/>
        <v>0.58690187831826901</v>
      </c>
      <c r="Z150" s="10">
        <f t="shared" si="59"/>
        <v>-0.92024046832762529</v>
      </c>
      <c r="AA150" s="10">
        <f t="shared" si="60"/>
        <v>-0.58690187831826901</v>
      </c>
      <c r="AB150" s="7">
        <f t="shared" si="52"/>
        <v>1.1900424019451368</v>
      </c>
      <c r="AC150" s="7">
        <v>1.304364953963709</v>
      </c>
    </row>
    <row r="151" spans="1:29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11">
        <v>1</v>
      </c>
      <c r="I151" s="11">
        <v>-1</v>
      </c>
      <c r="J151" s="12">
        <v>1</v>
      </c>
      <c r="K151" s="12">
        <v>-1</v>
      </c>
      <c r="L151" s="9">
        <f t="shared" si="51"/>
        <v>-2.7004044786983931E-2</v>
      </c>
      <c r="M151" s="9">
        <f t="shared" si="44"/>
        <v>0</v>
      </c>
      <c r="N151" s="9">
        <f t="shared" si="45"/>
        <v>-2.6025957946319459E-2</v>
      </c>
      <c r="O151" s="9">
        <f t="shared" si="46"/>
        <v>0</v>
      </c>
      <c r="P151" s="9">
        <f t="shared" si="47"/>
        <v>0</v>
      </c>
      <c r="Q151" s="9">
        <f t="shared" si="48"/>
        <v>-2.1927168014087561E-3</v>
      </c>
      <c r="R151" s="9">
        <f t="shared" si="49"/>
        <v>0</v>
      </c>
      <c r="S151" s="9">
        <f t="shared" si="50"/>
        <v>2.1927168014087561E-3</v>
      </c>
      <c r="T151" s="10">
        <f t="shared" si="53"/>
        <v>0.56492740926497165</v>
      </c>
      <c r="U151" s="10">
        <f t="shared" si="54"/>
        <v>0.17612583509553847</v>
      </c>
      <c r="V151" s="10">
        <f t="shared" si="55"/>
        <v>-0.15749481268389309</v>
      </c>
      <c r="W151" s="10">
        <f t="shared" si="56"/>
        <v>0.55345396753521692</v>
      </c>
      <c r="X151" s="10">
        <f t="shared" si="57"/>
        <v>0.92024046832762529</v>
      </c>
      <c r="Y151" s="10">
        <f t="shared" si="58"/>
        <v>0.58470916151686025</v>
      </c>
      <c r="Z151" s="10">
        <f t="shared" si="59"/>
        <v>-0.92024046832762529</v>
      </c>
      <c r="AA151" s="10">
        <f t="shared" si="60"/>
        <v>-0.58470916151686025</v>
      </c>
      <c r="AB151" s="7">
        <f t="shared" si="52"/>
        <v>1.1370123992118333</v>
      </c>
      <c r="AC151" s="7">
        <v>1.2753787917021839</v>
      </c>
    </row>
    <row r="152" spans="1:29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11">
        <v>-1</v>
      </c>
      <c r="I152" s="11">
        <v>1</v>
      </c>
      <c r="J152" s="12">
        <v>-1</v>
      </c>
      <c r="K152" s="12">
        <v>-1</v>
      </c>
      <c r="L152" s="9">
        <f t="shared" si="51"/>
        <v>0</v>
      </c>
      <c r="M152" s="9">
        <f t="shared" si="44"/>
        <v>2.5968736338612959E-3</v>
      </c>
      <c r="N152" s="9">
        <f t="shared" si="45"/>
        <v>0</v>
      </c>
      <c r="O152" s="9">
        <f t="shared" si="46"/>
        <v>1.2184992418145749E-2</v>
      </c>
      <c r="P152" s="9">
        <f t="shared" si="47"/>
        <v>3.0366822928186599E-2</v>
      </c>
      <c r="Q152" s="9">
        <f t="shared" si="48"/>
        <v>0</v>
      </c>
      <c r="R152" s="9">
        <f t="shared" si="49"/>
        <v>-3.0366822928186599E-2</v>
      </c>
      <c r="S152" s="9">
        <f t="shared" si="50"/>
        <v>0</v>
      </c>
      <c r="T152" s="10">
        <f t="shared" si="53"/>
        <v>0.56492740926497165</v>
      </c>
      <c r="U152" s="10">
        <f t="shared" si="54"/>
        <v>0.17872270872939977</v>
      </c>
      <c r="V152" s="10">
        <f t="shared" si="55"/>
        <v>-0.15749481268389309</v>
      </c>
      <c r="W152" s="10">
        <f t="shared" si="56"/>
        <v>0.56563895995336266</v>
      </c>
      <c r="X152" s="10">
        <f t="shared" si="57"/>
        <v>0.95060729125581189</v>
      </c>
      <c r="Y152" s="10">
        <f t="shared" si="58"/>
        <v>0.58470916151686025</v>
      </c>
      <c r="Z152" s="10">
        <f t="shared" si="59"/>
        <v>-0.95060729125581189</v>
      </c>
      <c r="AA152" s="10">
        <f t="shared" si="60"/>
        <v>-0.58470916151686025</v>
      </c>
      <c r="AB152" s="7">
        <f t="shared" si="52"/>
        <v>1.1517942652638404</v>
      </c>
      <c r="AC152" s="7">
        <v>1.3304529367518789</v>
      </c>
    </row>
    <row r="153" spans="1:29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11">
        <v>1</v>
      </c>
      <c r="I153" s="11">
        <v>-1</v>
      </c>
      <c r="J153" s="12">
        <v>1</v>
      </c>
      <c r="K153" s="12">
        <v>1</v>
      </c>
      <c r="L153" s="9">
        <f t="shared" si="51"/>
        <v>-1.8852567206092741E-2</v>
      </c>
      <c r="M153" s="9">
        <f t="shared" si="44"/>
        <v>0</v>
      </c>
      <c r="N153" s="9">
        <f t="shared" si="45"/>
        <v>5.9580708239866942E-3</v>
      </c>
      <c r="O153" s="9">
        <f t="shared" si="46"/>
        <v>0</v>
      </c>
      <c r="P153" s="9">
        <f t="shared" si="47"/>
        <v>0</v>
      </c>
      <c r="Q153" s="9">
        <f t="shared" si="48"/>
        <v>1.497653460899684E-2</v>
      </c>
      <c r="R153" s="9">
        <f t="shared" si="49"/>
        <v>0</v>
      </c>
      <c r="S153" s="9">
        <f t="shared" si="50"/>
        <v>-1.497653460899684E-2</v>
      </c>
      <c r="T153" s="10">
        <f t="shared" si="53"/>
        <v>0.54607484205887891</v>
      </c>
      <c r="U153" s="10">
        <f t="shared" si="54"/>
        <v>0.17872270872939977</v>
      </c>
      <c r="V153" s="10">
        <f t="shared" si="55"/>
        <v>-0.1515367418599064</v>
      </c>
      <c r="W153" s="10">
        <f t="shared" si="56"/>
        <v>0.56563895995336266</v>
      </c>
      <c r="X153" s="10">
        <f t="shared" si="57"/>
        <v>0.95060729125581189</v>
      </c>
      <c r="Y153" s="10">
        <f t="shared" si="58"/>
        <v>0.59968569612585709</v>
      </c>
      <c r="Z153" s="10">
        <f t="shared" si="59"/>
        <v>-0.95060729125581189</v>
      </c>
      <c r="AA153" s="10">
        <f t="shared" si="60"/>
        <v>-0.59968569612585709</v>
      </c>
      <c r="AB153" s="7">
        <f t="shared" si="52"/>
        <v>1.1388997688817344</v>
      </c>
      <c r="AC153" s="7">
        <v>1.3154614679970931</v>
      </c>
    </row>
    <row r="154" spans="1:29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11">
        <v>-1</v>
      </c>
      <c r="I154" s="11">
        <v>1</v>
      </c>
      <c r="J154" s="12">
        <v>-1</v>
      </c>
      <c r="K154" s="12">
        <v>-1</v>
      </c>
      <c r="L154" s="9">
        <f t="shared" si="51"/>
        <v>0</v>
      </c>
      <c r="M154" s="9">
        <f t="shared" si="44"/>
        <v>1.02772913772029E-2</v>
      </c>
      <c r="N154" s="9">
        <f t="shared" si="45"/>
        <v>0</v>
      </c>
      <c r="O154" s="9">
        <f t="shared" si="46"/>
        <v>-1.375434119785468E-2</v>
      </c>
      <c r="P154" s="9">
        <f t="shared" si="47"/>
        <v>7.5247846378144736E-3</v>
      </c>
      <c r="Q154" s="9">
        <f t="shared" si="48"/>
        <v>0</v>
      </c>
      <c r="R154" s="9">
        <f t="shared" si="49"/>
        <v>-7.5247846378144736E-3</v>
      </c>
      <c r="S154" s="9">
        <f t="shared" si="50"/>
        <v>0</v>
      </c>
      <c r="T154" s="10">
        <f t="shared" si="53"/>
        <v>0.54607484205887891</v>
      </c>
      <c r="U154" s="10">
        <f t="shared" si="54"/>
        <v>0.18900000010660267</v>
      </c>
      <c r="V154" s="10">
        <f t="shared" si="55"/>
        <v>-0.1515367418599064</v>
      </c>
      <c r="W154" s="10">
        <f t="shared" si="56"/>
        <v>0.55188461875550798</v>
      </c>
      <c r="X154" s="10">
        <f t="shared" si="57"/>
        <v>0.95813207589362637</v>
      </c>
      <c r="Y154" s="10">
        <f t="shared" si="58"/>
        <v>0.59968569612585709</v>
      </c>
      <c r="Z154" s="10">
        <f t="shared" si="59"/>
        <v>-0.95813207589362637</v>
      </c>
      <c r="AA154" s="10">
        <f t="shared" si="60"/>
        <v>-0.59968569612585709</v>
      </c>
      <c r="AB154" s="7">
        <f t="shared" si="52"/>
        <v>1.1354227190610826</v>
      </c>
      <c r="AC154" s="7">
        <v>1.325537907995324</v>
      </c>
    </row>
    <row r="155" spans="1:29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11">
        <v>-1</v>
      </c>
      <c r="I155" s="11">
        <v>1</v>
      </c>
      <c r="J155" s="12">
        <v>-1</v>
      </c>
      <c r="K155" s="12">
        <v>1</v>
      </c>
      <c r="L155" s="9">
        <f t="shared" si="51"/>
        <v>0</v>
      </c>
      <c r="M155" s="9">
        <f t="shared" si="44"/>
        <v>1.0989403091400731E-2</v>
      </c>
      <c r="N155" s="9">
        <f t="shared" si="45"/>
        <v>0</v>
      </c>
      <c r="O155" s="9">
        <f t="shared" si="46"/>
        <v>1.9572630201509119E-2</v>
      </c>
      <c r="P155" s="9">
        <f t="shared" si="47"/>
        <v>2.1098173458458098E-3</v>
      </c>
      <c r="Q155" s="9">
        <f t="shared" si="48"/>
        <v>0</v>
      </c>
      <c r="R155" s="9">
        <f t="shared" si="49"/>
        <v>-2.1098173458458098E-3</v>
      </c>
      <c r="S155" s="9">
        <f t="shared" si="50"/>
        <v>0</v>
      </c>
      <c r="T155" s="10">
        <f t="shared" si="53"/>
        <v>0.54607484205887891</v>
      </c>
      <c r="U155" s="10">
        <f t="shared" si="54"/>
        <v>0.1999894031980034</v>
      </c>
      <c r="V155" s="10">
        <f t="shared" si="55"/>
        <v>-0.1515367418599064</v>
      </c>
      <c r="W155" s="10">
        <f t="shared" si="56"/>
        <v>0.57145724895701711</v>
      </c>
      <c r="X155" s="10">
        <f t="shared" si="57"/>
        <v>0.96024189323947218</v>
      </c>
      <c r="Y155" s="10">
        <f t="shared" si="58"/>
        <v>0.59968569612585709</v>
      </c>
      <c r="Z155" s="10">
        <f t="shared" si="59"/>
        <v>-0.96024189323947218</v>
      </c>
      <c r="AA155" s="10">
        <f t="shared" si="60"/>
        <v>-0.59968569612585709</v>
      </c>
      <c r="AB155" s="7">
        <f t="shared" si="52"/>
        <v>1.1659847523539923</v>
      </c>
      <c r="AC155" s="7">
        <v>1.3387488677839821</v>
      </c>
    </row>
    <row r="156" spans="1:29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11">
        <v>-1</v>
      </c>
      <c r="I156" s="11">
        <v>1</v>
      </c>
      <c r="J156" s="12">
        <v>-1</v>
      </c>
      <c r="K156" s="12">
        <v>1</v>
      </c>
      <c r="L156" s="9">
        <f t="shared" si="51"/>
        <v>0</v>
      </c>
      <c r="M156" s="9">
        <f t="shared" si="44"/>
        <v>2.3539797459635969E-2</v>
      </c>
      <c r="N156" s="9">
        <f t="shared" si="45"/>
        <v>0</v>
      </c>
      <c r="O156" s="9">
        <f t="shared" si="46"/>
        <v>-1.299328467325067E-2</v>
      </c>
      <c r="P156" s="9">
        <f t="shared" si="47"/>
        <v>-6.4662059204348976E-3</v>
      </c>
      <c r="Q156" s="9">
        <f t="shared" si="48"/>
        <v>0</v>
      </c>
      <c r="R156" s="9">
        <f t="shared" si="49"/>
        <v>6.4662059204348976E-3</v>
      </c>
      <c r="S156" s="9">
        <f t="shared" si="50"/>
        <v>0</v>
      </c>
      <c r="T156" s="10">
        <f t="shared" si="53"/>
        <v>0.54607484205887891</v>
      </c>
      <c r="U156" s="10">
        <f t="shared" si="54"/>
        <v>0.22352920065763937</v>
      </c>
      <c r="V156" s="10">
        <f t="shared" si="55"/>
        <v>-0.1515367418599064</v>
      </c>
      <c r="W156" s="10">
        <f t="shared" si="56"/>
        <v>0.55846396428376643</v>
      </c>
      <c r="X156" s="10">
        <f t="shared" si="57"/>
        <v>0.95377568731903728</v>
      </c>
      <c r="Y156" s="10">
        <f t="shared" si="58"/>
        <v>0.59968569612585709</v>
      </c>
      <c r="Z156" s="10">
        <f t="shared" si="59"/>
        <v>-0.95377568731903728</v>
      </c>
      <c r="AA156" s="10">
        <f t="shared" si="60"/>
        <v>-0.59968569612585709</v>
      </c>
      <c r="AB156" s="7">
        <f t="shared" si="52"/>
        <v>1.1765312651403776</v>
      </c>
      <c r="AC156" s="7">
        <v>1.3187544363003301</v>
      </c>
    </row>
    <row r="157" spans="1:29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11">
        <v>-1</v>
      </c>
      <c r="I157" s="11">
        <v>1</v>
      </c>
      <c r="J157" s="12">
        <v>-1</v>
      </c>
      <c r="K157" s="12">
        <v>1</v>
      </c>
      <c r="L157" s="9">
        <f t="shared" si="51"/>
        <v>0</v>
      </c>
      <c r="M157" s="9">
        <f t="shared" si="44"/>
        <v>3.9377647304792429E-3</v>
      </c>
      <c r="N157" s="9">
        <f t="shared" si="45"/>
        <v>0</v>
      </c>
      <c r="O157" s="9">
        <f t="shared" si="46"/>
        <v>2.4387677244413371E-2</v>
      </c>
      <c r="P157" s="9">
        <f t="shared" si="47"/>
        <v>-6.2347198448615693E-3</v>
      </c>
      <c r="Q157" s="9">
        <f t="shared" si="48"/>
        <v>0</v>
      </c>
      <c r="R157" s="9">
        <f t="shared" si="49"/>
        <v>6.2347198448615693E-3</v>
      </c>
      <c r="S157" s="9">
        <f t="shared" si="50"/>
        <v>0</v>
      </c>
      <c r="T157" s="10">
        <f t="shared" si="53"/>
        <v>0.54607484205887891</v>
      </c>
      <c r="U157" s="10">
        <f t="shared" si="54"/>
        <v>0.22746696538811861</v>
      </c>
      <c r="V157" s="10">
        <f t="shared" si="55"/>
        <v>-0.1515367418599064</v>
      </c>
      <c r="W157" s="10">
        <f t="shared" si="56"/>
        <v>0.58285164152817981</v>
      </c>
      <c r="X157" s="10">
        <f t="shared" si="57"/>
        <v>0.94754096747417571</v>
      </c>
      <c r="Y157" s="10">
        <f t="shared" si="58"/>
        <v>0.59968569612585709</v>
      </c>
      <c r="Z157" s="10">
        <f t="shared" si="59"/>
        <v>-0.94754096747417571</v>
      </c>
      <c r="AA157" s="10">
        <f t="shared" si="60"/>
        <v>-0.59968569612585709</v>
      </c>
      <c r="AB157" s="7">
        <f t="shared" si="52"/>
        <v>1.2048567071152703</v>
      </c>
      <c r="AC157" s="7">
        <v>1.3416696328260129</v>
      </c>
    </row>
    <row r="158" spans="1:29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11">
        <v>1</v>
      </c>
      <c r="I158" s="11">
        <v>-1</v>
      </c>
      <c r="J158" s="12">
        <v>1</v>
      </c>
      <c r="K158" s="12">
        <v>1</v>
      </c>
      <c r="L158" s="9">
        <f t="shared" si="51"/>
        <v>1.2256986516175909E-3</v>
      </c>
      <c r="M158" s="9">
        <f t="shared" si="44"/>
        <v>0</v>
      </c>
      <c r="N158" s="9">
        <f t="shared" si="45"/>
        <v>3.9842418925482903E-2</v>
      </c>
      <c r="O158" s="9">
        <f t="shared" si="46"/>
        <v>0</v>
      </c>
      <c r="P158" s="9">
        <f t="shared" si="47"/>
        <v>0</v>
      </c>
      <c r="Q158" s="9">
        <f t="shared" si="48"/>
        <v>1.2139613932236389E-2</v>
      </c>
      <c r="R158" s="9">
        <f t="shared" si="49"/>
        <v>0</v>
      </c>
      <c r="S158" s="9">
        <f t="shared" si="50"/>
        <v>-1.2139613932236389E-2</v>
      </c>
      <c r="T158" s="10">
        <f t="shared" si="53"/>
        <v>0.5473005407104965</v>
      </c>
      <c r="U158" s="10">
        <f t="shared" si="54"/>
        <v>0.22746696538811861</v>
      </c>
      <c r="V158" s="10">
        <f t="shared" si="55"/>
        <v>-0.1116943229344235</v>
      </c>
      <c r="W158" s="10">
        <f t="shared" si="56"/>
        <v>0.58285164152817981</v>
      </c>
      <c r="X158" s="10">
        <f t="shared" si="57"/>
        <v>0.94754096747417571</v>
      </c>
      <c r="Y158" s="10">
        <f t="shared" si="58"/>
        <v>0.61182531005809349</v>
      </c>
      <c r="Z158" s="10">
        <f t="shared" si="59"/>
        <v>-0.94754096747417571</v>
      </c>
      <c r="AA158" s="10">
        <f t="shared" si="60"/>
        <v>-0.61182531005809349</v>
      </c>
      <c r="AB158" s="7">
        <f t="shared" si="52"/>
        <v>1.2459248246923709</v>
      </c>
      <c r="AC158" s="7">
        <v>1.2817285655563391</v>
      </c>
    </row>
    <row r="159" spans="1:29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11">
        <v>1</v>
      </c>
      <c r="I159" s="11">
        <v>-1</v>
      </c>
      <c r="J159" s="12">
        <v>1</v>
      </c>
      <c r="K159" s="12">
        <v>-1</v>
      </c>
      <c r="L159" s="9">
        <f t="shared" si="51"/>
        <v>-1.132755944735753E-2</v>
      </c>
      <c r="M159" s="9">
        <f t="shared" si="44"/>
        <v>0</v>
      </c>
      <c r="N159" s="9">
        <f t="shared" si="45"/>
        <v>-1.456386985989111E-2</v>
      </c>
      <c r="O159" s="9">
        <f t="shared" si="46"/>
        <v>0</v>
      </c>
      <c r="P159" s="9">
        <f t="shared" si="47"/>
        <v>0</v>
      </c>
      <c r="Q159" s="9">
        <f t="shared" si="48"/>
        <v>1.5604871417507221E-4</v>
      </c>
      <c r="R159" s="9">
        <f t="shared" si="49"/>
        <v>0</v>
      </c>
      <c r="S159" s="9">
        <f t="shared" si="50"/>
        <v>-1.5604871417507221E-4</v>
      </c>
      <c r="T159" s="10">
        <f t="shared" si="53"/>
        <v>0.53597298126313897</v>
      </c>
      <c r="U159" s="10">
        <f t="shared" si="54"/>
        <v>0.22746696538811861</v>
      </c>
      <c r="V159" s="10">
        <f t="shared" si="55"/>
        <v>-0.12625819279431461</v>
      </c>
      <c r="W159" s="10">
        <f t="shared" si="56"/>
        <v>0.58285164152817981</v>
      </c>
      <c r="X159" s="10">
        <f t="shared" si="57"/>
        <v>0.94754096747417571</v>
      </c>
      <c r="Y159" s="10">
        <f t="shared" si="58"/>
        <v>0.61198135877226856</v>
      </c>
      <c r="Z159" s="10">
        <f t="shared" si="59"/>
        <v>-0.94754096747417571</v>
      </c>
      <c r="AA159" s="10">
        <f t="shared" si="60"/>
        <v>-0.61198135877226856</v>
      </c>
      <c r="AB159" s="7">
        <f t="shared" si="52"/>
        <v>1.2200333953851221</v>
      </c>
      <c r="AC159" s="7">
        <v>1.257913158857128</v>
      </c>
    </row>
    <row r="160" spans="1:29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11">
        <v>-1</v>
      </c>
      <c r="I160" s="11">
        <v>1</v>
      </c>
      <c r="J160" s="12">
        <v>-1</v>
      </c>
      <c r="K160" s="12">
        <v>-1</v>
      </c>
      <c r="L160" s="9">
        <f t="shared" si="51"/>
        <v>0</v>
      </c>
      <c r="M160" s="9">
        <f t="shared" si="44"/>
        <v>-2.9955780458010062E-2</v>
      </c>
      <c r="N160" s="9">
        <f t="shared" si="45"/>
        <v>0</v>
      </c>
      <c r="O160" s="9">
        <f t="shared" si="46"/>
        <v>-1.0063631861960579E-2</v>
      </c>
      <c r="P160" s="9">
        <f t="shared" si="47"/>
        <v>4.0106236160467823E-2</v>
      </c>
      <c r="Q160" s="9">
        <f t="shared" si="48"/>
        <v>0</v>
      </c>
      <c r="R160" s="9">
        <f t="shared" si="49"/>
        <v>-4.0106236160467823E-2</v>
      </c>
      <c r="S160" s="9">
        <f t="shared" si="50"/>
        <v>0</v>
      </c>
      <c r="T160" s="10">
        <f t="shared" si="53"/>
        <v>0.53597298126313897</v>
      </c>
      <c r="U160" s="10">
        <f t="shared" si="54"/>
        <v>0.19751118493010855</v>
      </c>
      <c r="V160" s="10">
        <f t="shared" si="55"/>
        <v>-0.12625819279431461</v>
      </c>
      <c r="W160" s="10">
        <f t="shared" si="56"/>
        <v>0.57278800966621923</v>
      </c>
      <c r="X160" s="10">
        <f t="shared" si="57"/>
        <v>0.98764720363464353</v>
      </c>
      <c r="Y160" s="10">
        <f t="shared" si="58"/>
        <v>0.61198135877226856</v>
      </c>
      <c r="Z160" s="10">
        <f t="shared" si="59"/>
        <v>-0.98764720363464353</v>
      </c>
      <c r="AA160" s="10">
        <f t="shared" si="60"/>
        <v>-0.61198135877226856</v>
      </c>
      <c r="AB160" s="7">
        <f t="shared" si="52"/>
        <v>1.1800139830651515</v>
      </c>
      <c r="AC160" s="7">
        <v>1.340356917822078</v>
      </c>
    </row>
    <row r="161" spans="1:29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11">
        <v>-1</v>
      </c>
      <c r="I161" s="11">
        <v>1</v>
      </c>
      <c r="J161" s="12">
        <v>-1</v>
      </c>
      <c r="K161" s="12">
        <v>1</v>
      </c>
      <c r="L161" s="9">
        <f t="shared" si="51"/>
        <v>0</v>
      </c>
      <c r="M161" s="9">
        <f t="shared" si="44"/>
        <v>2.9554862496583571E-3</v>
      </c>
      <c r="N161" s="9">
        <f t="shared" si="45"/>
        <v>0</v>
      </c>
      <c r="O161" s="9">
        <f t="shared" si="46"/>
        <v>8.2840483726148717E-3</v>
      </c>
      <c r="P161" s="9">
        <f t="shared" si="47"/>
        <v>1.017544296332662E-2</v>
      </c>
      <c r="Q161" s="9">
        <f t="shared" si="48"/>
        <v>0</v>
      </c>
      <c r="R161" s="9">
        <f t="shared" si="49"/>
        <v>-1.017544296332662E-2</v>
      </c>
      <c r="S161" s="9">
        <f t="shared" si="50"/>
        <v>0</v>
      </c>
      <c r="T161" s="10">
        <f t="shared" si="53"/>
        <v>0.53597298126313897</v>
      </c>
      <c r="U161" s="10">
        <f t="shared" si="54"/>
        <v>0.20046667117976691</v>
      </c>
      <c r="V161" s="10">
        <f t="shared" si="55"/>
        <v>-0.12625819279431461</v>
      </c>
      <c r="W161" s="10">
        <f t="shared" si="56"/>
        <v>0.5810720580388341</v>
      </c>
      <c r="X161" s="10">
        <f t="shared" si="57"/>
        <v>0.99782264659797015</v>
      </c>
      <c r="Y161" s="10">
        <f t="shared" si="58"/>
        <v>0.61198135877226856</v>
      </c>
      <c r="Z161" s="10">
        <f t="shared" si="59"/>
        <v>-0.99782264659797015</v>
      </c>
      <c r="AA161" s="10">
        <f t="shared" si="60"/>
        <v>-0.61198135877226856</v>
      </c>
      <c r="AB161" s="7">
        <f t="shared" si="52"/>
        <v>1.1912535176874246</v>
      </c>
      <c r="AC161" s="7">
        <v>1.344557445249996</v>
      </c>
    </row>
    <row r="162" spans="1:29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11">
        <v>1</v>
      </c>
      <c r="I162" s="11">
        <v>-1</v>
      </c>
      <c r="J162" s="12">
        <v>1</v>
      </c>
      <c r="K162" s="12">
        <v>1</v>
      </c>
      <c r="L162" s="9">
        <f t="shared" si="51"/>
        <v>1.110289197179193E-2</v>
      </c>
      <c r="M162" s="9">
        <f t="shared" si="44"/>
        <v>0</v>
      </c>
      <c r="N162" s="9">
        <f t="shared" si="45"/>
        <v>1.917576938613685E-2</v>
      </c>
      <c r="O162" s="9">
        <f t="shared" si="46"/>
        <v>0</v>
      </c>
      <c r="P162" s="9">
        <f t="shared" si="47"/>
        <v>0</v>
      </c>
      <c r="Q162" s="9">
        <f t="shared" si="48"/>
        <v>1.2277230473923819E-3</v>
      </c>
      <c r="R162" s="9">
        <f t="shared" si="49"/>
        <v>0</v>
      </c>
      <c r="S162" s="9">
        <f t="shared" si="50"/>
        <v>-1.2277230473923819E-3</v>
      </c>
      <c r="T162" s="10">
        <f t="shared" si="53"/>
        <v>0.5470758732349309</v>
      </c>
      <c r="U162" s="10">
        <f t="shared" si="54"/>
        <v>0.20046667117976691</v>
      </c>
      <c r="V162" s="10">
        <f t="shared" si="55"/>
        <v>-0.10708242340817775</v>
      </c>
      <c r="W162" s="10">
        <f t="shared" si="56"/>
        <v>0.5810720580388341</v>
      </c>
      <c r="X162" s="10">
        <f t="shared" si="57"/>
        <v>0.99782264659797015</v>
      </c>
      <c r="Y162" s="10">
        <f t="shared" si="58"/>
        <v>0.61320908181966094</v>
      </c>
      <c r="Z162" s="10">
        <f t="shared" si="59"/>
        <v>-0.99782264659797015</v>
      </c>
      <c r="AA162" s="10">
        <f t="shared" si="60"/>
        <v>-0.61320908181966094</v>
      </c>
      <c r="AB162" s="7">
        <f t="shared" si="52"/>
        <v>1.2215321790453535</v>
      </c>
      <c r="AC162" s="7">
        <v>1.328511757294925</v>
      </c>
    </row>
    <row r="163" spans="1:29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11">
        <v>1</v>
      </c>
      <c r="I163" s="11">
        <v>-1</v>
      </c>
      <c r="J163" s="12">
        <v>1</v>
      </c>
      <c r="K163" s="12">
        <v>-1</v>
      </c>
      <c r="L163" s="9">
        <f t="shared" si="51"/>
        <v>3.2346172411818697E-2</v>
      </c>
      <c r="M163" s="9">
        <f t="shared" si="44"/>
        <v>0</v>
      </c>
      <c r="N163" s="9">
        <f t="shared" si="45"/>
        <v>-1.0142799497257941E-2</v>
      </c>
      <c r="O163" s="9">
        <f t="shared" si="46"/>
        <v>0</v>
      </c>
      <c r="P163" s="9">
        <f t="shared" si="47"/>
        <v>0</v>
      </c>
      <c r="Q163" s="9">
        <f t="shared" si="48"/>
        <v>5.9870587702059892E-2</v>
      </c>
      <c r="R163" s="9">
        <f t="shared" si="49"/>
        <v>0</v>
      </c>
      <c r="S163" s="9">
        <f t="shared" si="50"/>
        <v>-5.9870587702059892E-2</v>
      </c>
      <c r="T163" s="10">
        <f t="shared" si="53"/>
        <v>0.57942204564674959</v>
      </c>
      <c r="U163" s="10">
        <f t="shared" si="54"/>
        <v>0.20046667117976691</v>
      </c>
      <c r="V163" s="10">
        <f t="shared" si="55"/>
        <v>-0.11722522290543569</v>
      </c>
      <c r="W163" s="10">
        <f t="shared" si="56"/>
        <v>0.5810720580388341</v>
      </c>
      <c r="X163" s="10">
        <f t="shared" si="57"/>
        <v>0.99782264659797015</v>
      </c>
      <c r="Y163" s="10">
        <f t="shared" si="58"/>
        <v>0.67307966952172082</v>
      </c>
      <c r="Z163" s="10">
        <f t="shared" si="59"/>
        <v>-0.99782264659797015</v>
      </c>
      <c r="AA163" s="10">
        <f t="shared" si="60"/>
        <v>-0.67307966952172082</v>
      </c>
      <c r="AB163" s="7">
        <f t="shared" si="52"/>
        <v>1.2437355519599143</v>
      </c>
      <c r="AC163" s="7">
        <v>1.279572789102752</v>
      </c>
    </row>
    <row r="164" spans="1:29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11">
        <v>1</v>
      </c>
      <c r="I164" s="11">
        <v>-1</v>
      </c>
      <c r="J164" s="12">
        <v>1</v>
      </c>
      <c r="K164" s="12">
        <v>-1</v>
      </c>
      <c r="L164" s="9">
        <f t="shared" si="51"/>
        <v>-6.0867819742838059E-3</v>
      </c>
      <c r="M164" s="9">
        <f t="shared" si="44"/>
        <v>0</v>
      </c>
      <c r="N164" s="9">
        <f t="shared" si="45"/>
        <v>-3.7787520955612219E-4</v>
      </c>
      <c r="O164" s="9">
        <f t="shared" si="46"/>
        <v>0</v>
      </c>
      <c r="P164" s="9">
        <f t="shared" si="47"/>
        <v>0</v>
      </c>
      <c r="Q164" s="9">
        <f t="shared" si="48"/>
        <v>2.9870443812911481E-2</v>
      </c>
      <c r="R164" s="9">
        <f t="shared" si="49"/>
        <v>0</v>
      </c>
      <c r="S164" s="9">
        <f t="shared" si="50"/>
        <v>-2.9870443812911481E-2</v>
      </c>
      <c r="T164" s="10">
        <f t="shared" si="53"/>
        <v>0.57333526367246579</v>
      </c>
      <c r="U164" s="10">
        <f t="shared" si="54"/>
        <v>0.20046667117976691</v>
      </c>
      <c r="V164" s="10">
        <f t="shared" si="55"/>
        <v>-0.11760309811499181</v>
      </c>
      <c r="W164" s="10">
        <f t="shared" si="56"/>
        <v>0.5810720580388341</v>
      </c>
      <c r="X164" s="10">
        <f t="shared" si="57"/>
        <v>0.99782264659797015</v>
      </c>
      <c r="Y164" s="10">
        <f t="shared" si="58"/>
        <v>0.70295011333463231</v>
      </c>
      <c r="Z164" s="10">
        <f t="shared" si="59"/>
        <v>-0.99782264659797015</v>
      </c>
      <c r="AA164" s="10">
        <f t="shared" si="60"/>
        <v>-0.70295011333463231</v>
      </c>
      <c r="AB164" s="7">
        <f t="shared" si="52"/>
        <v>1.2372708947760742</v>
      </c>
      <c r="AC164" s="7">
        <v>1.280082525647023</v>
      </c>
    </row>
    <row r="165" spans="1:29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11">
        <v>-1</v>
      </c>
      <c r="I165" s="11">
        <v>1</v>
      </c>
      <c r="J165" s="12">
        <v>-1</v>
      </c>
      <c r="K165" s="12">
        <v>-1</v>
      </c>
      <c r="L165" s="9">
        <f t="shared" si="51"/>
        <v>0</v>
      </c>
      <c r="M165" s="9">
        <f t="shared" si="44"/>
        <v>-4.2222733110776067E-3</v>
      </c>
      <c r="N165" s="9">
        <f t="shared" si="45"/>
        <v>0</v>
      </c>
      <c r="O165" s="9">
        <f t="shared" si="46"/>
        <v>1.983888334525696E-2</v>
      </c>
      <c r="P165" s="9">
        <f t="shared" si="47"/>
        <v>3.597166866950019E-2</v>
      </c>
      <c r="Q165" s="9">
        <f t="shared" si="48"/>
        <v>0</v>
      </c>
      <c r="R165" s="9">
        <f t="shared" si="49"/>
        <v>-3.597166866950019E-2</v>
      </c>
      <c r="S165" s="9">
        <f t="shared" si="50"/>
        <v>0</v>
      </c>
      <c r="T165" s="10">
        <f t="shared" si="53"/>
        <v>0.57333526367246579</v>
      </c>
      <c r="U165" s="10">
        <f t="shared" si="54"/>
        <v>0.1962443978686893</v>
      </c>
      <c r="V165" s="10">
        <f t="shared" si="55"/>
        <v>-0.11760309811499181</v>
      </c>
      <c r="W165" s="10">
        <f t="shared" si="56"/>
        <v>0.60091094138409107</v>
      </c>
      <c r="X165" s="10">
        <f t="shared" si="57"/>
        <v>1.0337943152674702</v>
      </c>
      <c r="Y165" s="10">
        <f t="shared" si="58"/>
        <v>0.70295011333463231</v>
      </c>
      <c r="Z165" s="10">
        <f t="shared" si="59"/>
        <v>-1.0337943152674702</v>
      </c>
      <c r="AA165" s="10">
        <f t="shared" si="60"/>
        <v>-0.70295011333463231</v>
      </c>
      <c r="AB165" s="7">
        <f t="shared" si="52"/>
        <v>1.2528875048102535</v>
      </c>
      <c r="AC165" s="7">
        <v>1.34580516019536</v>
      </c>
    </row>
    <row r="166" spans="1:29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11">
        <v>-1</v>
      </c>
      <c r="I166" s="11">
        <v>1</v>
      </c>
      <c r="J166" s="12">
        <v>-1</v>
      </c>
      <c r="K166" s="12">
        <v>1</v>
      </c>
      <c r="L166" s="9">
        <f t="shared" si="51"/>
        <v>0</v>
      </c>
      <c r="M166" s="9">
        <f t="shared" si="44"/>
        <v>1.265304430357372E-2</v>
      </c>
      <c r="N166" s="9">
        <f t="shared" si="45"/>
        <v>0</v>
      </c>
      <c r="O166" s="9">
        <f t="shared" si="46"/>
        <v>5.4310578217547922E-3</v>
      </c>
      <c r="P166" s="9">
        <f t="shared" si="47"/>
        <v>-7.4587903043831227E-3</v>
      </c>
      <c r="Q166" s="9">
        <f t="shared" si="48"/>
        <v>0</v>
      </c>
      <c r="R166" s="9">
        <f t="shared" si="49"/>
        <v>7.4587903043831227E-3</v>
      </c>
      <c r="S166" s="9">
        <f t="shared" si="50"/>
        <v>0</v>
      </c>
      <c r="T166" s="10">
        <f t="shared" si="53"/>
        <v>0.57333526367246579</v>
      </c>
      <c r="U166" s="10">
        <f t="shared" si="54"/>
        <v>0.20889744217226303</v>
      </c>
      <c r="V166" s="10">
        <f t="shared" si="55"/>
        <v>-0.11760309811499181</v>
      </c>
      <c r="W166" s="10">
        <f t="shared" si="56"/>
        <v>0.60634199920584586</v>
      </c>
      <c r="X166" s="10">
        <f t="shared" si="57"/>
        <v>1.0263355249630872</v>
      </c>
      <c r="Y166" s="10">
        <f t="shared" si="58"/>
        <v>0.70295011333463231</v>
      </c>
      <c r="Z166" s="10">
        <f t="shared" si="59"/>
        <v>-1.0263355249630872</v>
      </c>
      <c r="AA166" s="10">
        <f t="shared" si="60"/>
        <v>-0.70295011333463231</v>
      </c>
      <c r="AB166" s="7">
        <f t="shared" si="52"/>
        <v>1.2709716069355819</v>
      </c>
      <c r="AC166" s="7">
        <v>1.3501542181477191</v>
      </c>
    </row>
    <row r="167" spans="1:29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11">
        <v>1</v>
      </c>
      <c r="I167" s="11">
        <v>-1</v>
      </c>
      <c r="J167" s="12">
        <v>1</v>
      </c>
      <c r="K167" s="12">
        <v>1</v>
      </c>
      <c r="L167" s="9">
        <f t="shared" si="51"/>
        <v>2.106612089009496E-2</v>
      </c>
      <c r="M167" s="9">
        <f t="shared" si="44"/>
        <v>0</v>
      </c>
      <c r="N167" s="9">
        <f t="shared" si="45"/>
        <v>-1.13567959260763E-4</v>
      </c>
      <c r="O167" s="9">
        <f t="shared" si="46"/>
        <v>0</v>
      </c>
      <c r="P167" s="9">
        <f t="shared" si="47"/>
        <v>0</v>
      </c>
      <c r="Q167" s="9">
        <f t="shared" si="48"/>
        <v>2.868858305555833E-3</v>
      </c>
      <c r="R167" s="9">
        <f t="shared" si="49"/>
        <v>0</v>
      </c>
      <c r="S167" s="9">
        <f t="shared" si="50"/>
        <v>-2.868858305555833E-3</v>
      </c>
      <c r="T167" s="10">
        <f t="shared" si="53"/>
        <v>0.59440138456256075</v>
      </c>
      <c r="U167" s="10">
        <f t="shared" si="54"/>
        <v>0.20889744217226303</v>
      </c>
      <c r="V167" s="10">
        <f t="shared" si="55"/>
        <v>-0.11771666607425257</v>
      </c>
      <c r="W167" s="10">
        <f t="shared" si="56"/>
        <v>0.60634199920584586</v>
      </c>
      <c r="X167" s="10">
        <f t="shared" si="57"/>
        <v>1.0263355249630872</v>
      </c>
      <c r="Y167" s="10">
        <f t="shared" si="58"/>
        <v>0.70581897164018814</v>
      </c>
      <c r="Z167" s="10">
        <f t="shared" si="59"/>
        <v>-1.0263355249630872</v>
      </c>
      <c r="AA167" s="10">
        <f t="shared" si="60"/>
        <v>-0.70581897164018814</v>
      </c>
      <c r="AB167" s="7">
        <f t="shared" si="52"/>
        <v>1.291924159866416</v>
      </c>
      <c r="AC167" s="7">
        <v>1.36751029179655</v>
      </c>
    </row>
    <row r="168" spans="1:29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11">
        <v>1</v>
      </c>
      <c r="I168" s="11">
        <v>-1</v>
      </c>
      <c r="J168" s="12">
        <v>1</v>
      </c>
      <c r="K168" s="12">
        <v>-1</v>
      </c>
      <c r="L168" s="9">
        <f t="shared" si="51"/>
        <v>6.2817121259411968E-3</v>
      </c>
      <c r="M168" s="9">
        <f t="shared" si="44"/>
        <v>0</v>
      </c>
      <c r="N168" s="9">
        <f t="shared" si="45"/>
        <v>-4.0119449549675612E-2</v>
      </c>
      <c r="O168" s="9">
        <f t="shared" si="46"/>
        <v>0</v>
      </c>
      <c r="P168" s="9">
        <f t="shared" si="47"/>
        <v>0</v>
      </c>
      <c r="Q168" s="9">
        <f t="shared" si="48"/>
        <v>-8.7554909606043507E-3</v>
      </c>
      <c r="R168" s="9">
        <f t="shared" si="49"/>
        <v>0</v>
      </c>
      <c r="S168" s="9">
        <f t="shared" si="50"/>
        <v>8.7554909606043507E-3</v>
      </c>
      <c r="T168" s="10">
        <f t="shared" si="53"/>
        <v>0.60068309668850195</v>
      </c>
      <c r="U168" s="10">
        <f t="shared" si="54"/>
        <v>0.20889744217226303</v>
      </c>
      <c r="V168" s="10">
        <f t="shared" si="55"/>
        <v>-0.15783611562392819</v>
      </c>
      <c r="W168" s="10">
        <f t="shared" si="56"/>
        <v>0.60634199920584586</v>
      </c>
      <c r="X168" s="10">
        <f t="shared" si="57"/>
        <v>1.0263355249630872</v>
      </c>
      <c r="Y168" s="10">
        <f t="shared" si="58"/>
        <v>0.69706348067958379</v>
      </c>
      <c r="Z168" s="10">
        <f t="shared" si="59"/>
        <v>-1.0263355249630872</v>
      </c>
      <c r="AA168" s="10">
        <f t="shared" si="60"/>
        <v>-0.69706348067958379</v>
      </c>
      <c r="AB168" s="7">
        <f t="shared" si="52"/>
        <v>1.2580864224426815</v>
      </c>
      <c r="AC168" s="7">
        <v>1.372430447132581</v>
      </c>
    </row>
    <row r="169" spans="1:29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11">
        <v>-1</v>
      </c>
      <c r="I169" s="11">
        <v>1</v>
      </c>
      <c r="J169" s="12">
        <v>-1</v>
      </c>
      <c r="K169" s="12">
        <v>-1</v>
      </c>
      <c r="L169" s="9">
        <f t="shared" si="51"/>
        <v>0</v>
      </c>
      <c r="M169" s="9">
        <f t="shared" si="44"/>
        <v>5.4633164049966432E-4</v>
      </c>
      <c r="N169" s="9">
        <f t="shared" si="45"/>
        <v>0</v>
      </c>
      <c r="O169" s="9">
        <f t="shared" si="46"/>
        <v>1.9804518498064749E-2</v>
      </c>
      <c r="P169" s="9">
        <f t="shared" si="47"/>
        <v>1.51754701382486E-2</v>
      </c>
      <c r="Q169" s="9">
        <f t="shared" si="48"/>
        <v>0</v>
      </c>
      <c r="R169" s="9">
        <f t="shared" si="49"/>
        <v>-1.51754701382486E-2</v>
      </c>
      <c r="S169" s="9">
        <f t="shared" si="50"/>
        <v>0</v>
      </c>
      <c r="T169" s="10">
        <f t="shared" si="53"/>
        <v>0.60068309668850195</v>
      </c>
      <c r="U169" s="10">
        <f t="shared" si="54"/>
        <v>0.20944377381276269</v>
      </c>
      <c r="V169" s="10">
        <f t="shared" si="55"/>
        <v>-0.15783611562392819</v>
      </c>
      <c r="W169" s="10">
        <f t="shared" si="56"/>
        <v>0.62614651770391061</v>
      </c>
      <c r="X169" s="10">
        <f t="shared" si="57"/>
        <v>1.0415109951013357</v>
      </c>
      <c r="Y169" s="10">
        <f t="shared" si="58"/>
        <v>0.69706348067958379</v>
      </c>
      <c r="Z169" s="10">
        <f t="shared" si="59"/>
        <v>-1.0415109951013357</v>
      </c>
      <c r="AA169" s="10">
        <f t="shared" si="60"/>
        <v>-0.69706348067958379</v>
      </c>
      <c r="AB169" s="7">
        <f t="shared" si="52"/>
        <v>1.2784372725812461</v>
      </c>
      <c r="AC169" s="7">
        <v>1.4084936161394259</v>
      </c>
    </row>
    <row r="170" spans="1:29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11">
        <v>-1</v>
      </c>
      <c r="I170" s="11">
        <v>1</v>
      </c>
      <c r="J170" s="12">
        <v>-1</v>
      </c>
      <c r="K170" s="12">
        <v>1</v>
      </c>
      <c r="L170" s="9">
        <f t="shared" si="51"/>
        <v>0</v>
      </c>
      <c r="M170" s="9">
        <f t="shared" si="44"/>
        <v>5.2871165644816642E-3</v>
      </c>
      <c r="N170" s="9">
        <f t="shared" si="45"/>
        <v>0</v>
      </c>
      <c r="O170" s="9">
        <f t="shared" si="46"/>
        <v>8.4876349859683842E-3</v>
      </c>
      <c r="P170" s="9">
        <f t="shared" si="47"/>
        <v>4.9292530344248187E-3</v>
      </c>
      <c r="Q170" s="9">
        <f t="shared" si="48"/>
        <v>0</v>
      </c>
      <c r="R170" s="9">
        <f t="shared" si="49"/>
        <v>-4.9292530344248187E-3</v>
      </c>
      <c r="S170" s="9">
        <f t="shared" si="50"/>
        <v>0</v>
      </c>
      <c r="T170" s="10">
        <f t="shared" si="53"/>
        <v>0.60068309668850195</v>
      </c>
      <c r="U170" s="10">
        <f t="shared" si="54"/>
        <v>0.21473089037724435</v>
      </c>
      <c r="V170" s="10">
        <f t="shared" si="55"/>
        <v>-0.15783611562392819</v>
      </c>
      <c r="W170" s="10">
        <f t="shared" si="56"/>
        <v>0.63463415268987899</v>
      </c>
      <c r="X170" s="10">
        <f t="shared" si="57"/>
        <v>1.0464402481357604</v>
      </c>
      <c r="Y170" s="10">
        <f t="shared" si="58"/>
        <v>0.69706348067958379</v>
      </c>
      <c r="Z170" s="10">
        <f t="shared" si="59"/>
        <v>-1.0464402481357604</v>
      </c>
      <c r="AA170" s="10">
        <f t="shared" si="60"/>
        <v>-0.69706348067958379</v>
      </c>
      <c r="AB170" s="7">
        <f t="shared" si="52"/>
        <v>1.2922120241316961</v>
      </c>
      <c r="AC170" s="7">
        <v>1.409821605004087</v>
      </c>
    </row>
    <row r="171" spans="1:29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11">
        <v>-1</v>
      </c>
      <c r="I171" s="11">
        <v>1</v>
      </c>
      <c r="J171" s="12">
        <v>-1</v>
      </c>
      <c r="K171" s="12">
        <v>1</v>
      </c>
      <c r="L171" s="9">
        <f t="shared" si="51"/>
        <v>0</v>
      </c>
      <c r="M171" s="9">
        <f t="shared" si="44"/>
        <v>3.9110735098819571E-3</v>
      </c>
      <c r="N171" s="9">
        <f t="shared" si="45"/>
        <v>0</v>
      </c>
      <c r="O171" s="9">
        <f t="shared" si="46"/>
        <v>4.1738659614304341E-3</v>
      </c>
      <c r="P171" s="9">
        <f t="shared" si="47"/>
        <v>5.2016034544544176E-3</v>
      </c>
      <c r="Q171" s="9">
        <f t="shared" si="48"/>
        <v>0</v>
      </c>
      <c r="R171" s="9">
        <f t="shared" si="49"/>
        <v>-5.2016034544544176E-3</v>
      </c>
      <c r="S171" s="9">
        <f t="shared" si="50"/>
        <v>0</v>
      </c>
      <c r="T171" s="10">
        <f t="shared" si="53"/>
        <v>0.60068309668850195</v>
      </c>
      <c r="U171" s="10">
        <f t="shared" si="54"/>
        <v>0.21864196388712631</v>
      </c>
      <c r="V171" s="10">
        <f t="shared" si="55"/>
        <v>-0.15783611562392819</v>
      </c>
      <c r="W171" s="10">
        <f t="shared" si="56"/>
        <v>0.63880801865130943</v>
      </c>
      <c r="X171" s="10">
        <f t="shared" si="57"/>
        <v>1.0516418515902148</v>
      </c>
      <c r="Y171" s="10">
        <f t="shared" si="58"/>
        <v>0.69706348067958379</v>
      </c>
      <c r="Z171" s="10">
        <f t="shared" si="59"/>
        <v>-1.0516418515902148</v>
      </c>
      <c r="AA171" s="10">
        <f t="shared" si="60"/>
        <v>-0.69706348067958379</v>
      </c>
      <c r="AB171" s="7">
        <f t="shared" si="52"/>
        <v>1.3002969636030084</v>
      </c>
      <c r="AC171" s="7">
        <v>1.4106827889705349</v>
      </c>
    </row>
    <row r="172" spans="1:29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11">
        <v>-1</v>
      </c>
      <c r="I172" s="11">
        <v>1</v>
      </c>
      <c r="J172" s="12">
        <v>-1</v>
      </c>
      <c r="K172" s="12">
        <v>1</v>
      </c>
      <c r="L172" s="9">
        <f t="shared" si="51"/>
        <v>0</v>
      </c>
      <c r="M172" s="9">
        <f t="shared" si="44"/>
        <v>6.6807915872998391E-3</v>
      </c>
      <c r="N172" s="9">
        <f t="shared" si="45"/>
        <v>0</v>
      </c>
      <c r="O172" s="9">
        <f t="shared" si="46"/>
        <v>-1.545608214240257E-2</v>
      </c>
      <c r="P172" s="9">
        <f t="shared" si="47"/>
        <v>-5.8106249618687933E-3</v>
      </c>
      <c r="Q172" s="9">
        <f t="shared" si="48"/>
        <v>0</v>
      </c>
      <c r="R172" s="9">
        <f t="shared" si="49"/>
        <v>5.8106249618687933E-3</v>
      </c>
      <c r="S172" s="9">
        <f t="shared" si="50"/>
        <v>0</v>
      </c>
      <c r="T172" s="10">
        <f t="shared" si="53"/>
        <v>0.60068309668850195</v>
      </c>
      <c r="U172" s="10">
        <f t="shared" si="54"/>
        <v>0.22532275547442615</v>
      </c>
      <c r="V172" s="10">
        <f t="shared" si="55"/>
        <v>-0.15783611562392819</v>
      </c>
      <c r="W172" s="10">
        <f t="shared" si="56"/>
        <v>0.62335193650890686</v>
      </c>
      <c r="X172" s="10">
        <f t="shared" si="57"/>
        <v>1.045831226628346</v>
      </c>
      <c r="Y172" s="10">
        <f t="shared" si="58"/>
        <v>0.69706348067958379</v>
      </c>
      <c r="Z172" s="10">
        <f t="shared" si="59"/>
        <v>-1.045831226628346</v>
      </c>
      <c r="AA172" s="10">
        <f t="shared" si="60"/>
        <v>-0.69706348067958379</v>
      </c>
      <c r="AB172" s="7">
        <f t="shared" si="52"/>
        <v>1.2915216730479058</v>
      </c>
      <c r="AC172" s="7">
        <v>1.393381451405278</v>
      </c>
    </row>
    <row r="173" spans="1:29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11">
        <v>-1</v>
      </c>
      <c r="I173" s="11">
        <v>1</v>
      </c>
      <c r="J173" s="12">
        <v>-1</v>
      </c>
      <c r="K173" s="12">
        <v>1</v>
      </c>
      <c r="L173" s="9">
        <f t="shared" si="51"/>
        <v>0</v>
      </c>
      <c r="M173" s="9">
        <f t="shared" si="44"/>
        <v>-1.0687822630213171E-3</v>
      </c>
      <c r="N173" s="9">
        <f t="shared" si="45"/>
        <v>0</v>
      </c>
      <c r="O173" s="9">
        <f t="shared" si="46"/>
        <v>-7.362822759828358E-3</v>
      </c>
      <c r="P173" s="9">
        <f t="shared" si="47"/>
        <v>3.1143198898775371E-3</v>
      </c>
      <c r="Q173" s="9">
        <f t="shared" si="48"/>
        <v>0</v>
      </c>
      <c r="R173" s="9">
        <f t="shared" si="49"/>
        <v>-3.1143198898775371E-3</v>
      </c>
      <c r="S173" s="9">
        <f t="shared" si="50"/>
        <v>0</v>
      </c>
      <c r="T173" s="10">
        <f t="shared" si="53"/>
        <v>0.60068309668850195</v>
      </c>
      <c r="U173" s="10">
        <f t="shared" si="54"/>
        <v>0.22425397321140483</v>
      </c>
      <c r="V173" s="10">
        <f t="shared" si="55"/>
        <v>-0.15783611562392819</v>
      </c>
      <c r="W173" s="10">
        <f t="shared" si="56"/>
        <v>0.6159891137490785</v>
      </c>
      <c r="X173" s="10">
        <f t="shared" si="57"/>
        <v>1.0489455465182236</v>
      </c>
      <c r="Y173" s="10">
        <f t="shared" si="58"/>
        <v>0.69706348067958379</v>
      </c>
      <c r="Z173" s="10">
        <f t="shared" si="59"/>
        <v>-1.0489455465182236</v>
      </c>
      <c r="AA173" s="10">
        <f t="shared" si="60"/>
        <v>-0.69706348067958379</v>
      </c>
      <c r="AB173" s="7">
        <f t="shared" si="52"/>
        <v>1.2830900680250561</v>
      </c>
      <c r="AC173" s="7">
        <v>1.430025731455393</v>
      </c>
    </row>
    <row r="174" spans="1:29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11">
        <v>-1</v>
      </c>
      <c r="I174" s="11">
        <v>1</v>
      </c>
      <c r="J174" s="12">
        <v>-1</v>
      </c>
      <c r="K174" s="12">
        <v>1</v>
      </c>
      <c r="L174" s="9">
        <f t="shared" si="51"/>
        <v>0</v>
      </c>
      <c r="M174" s="9">
        <f t="shared" si="44"/>
        <v>9.924179175015535E-3</v>
      </c>
      <c r="N174" s="9">
        <f t="shared" si="45"/>
        <v>0</v>
      </c>
      <c r="O174" s="9">
        <f t="shared" si="46"/>
        <v>9.3956542307194191E-3</v>
      </c>
      <c r="P174" s="9">
        <f t="shared" si="47"/>
        <v>1.9082515787233412E-2</v>
      </c>
      <c r="Q174" s="9">
        <f t="shared" si="48"/>
        <v>0</v>
      </c>
      <c r="R174" s="9">
        <f t="shared" si="49"/>
        <v>-1.9082515787233412E-2</v>
      </c>
      <c r="S174" s="9">
        <f t="shared" si="50"/>
        <v>0</v>
      </c>
      <c r="T174" s="10">
        <f t="shared" si="53"/>
        <v>0.60068309668850195</v>
      </c>
      <c r="U174" s="10">
        <f t="shared" si="54"/>
        <v>0.23417815238642037</v>
      </c>
      <c r="V174" s="10">
        <f t="shared" si="55"/>
        <v>-0.15783611562392819</v>
      </c>
      <c r="W174" s="10">
        <f t="shared" si="56"/>
        <v>0.62538476797979792</v>
      </c>
      <c r="X174" s="10">
        <f t="shared" si="57"/>
        <v>1.068028062305457</v>
      </c>
      <c r="Y174" s="10">
        <f t="shared" si="58"/>
        <v>0.69706348067958379</v>
      </c>
      <c r="Z174" s="10">
        <f t="shared" si="59"/>
        <v>-1.068028062305457</v>
      </c>
      <c r="AA174" s="10">
        <f t="shared" si="60"/>
        <v>-0.69706348067958379</v>
      </c>
      <c r="AB174" s="7">
        <f t="shared" si="52"/>
        <v>1.3024099014307911</v>
      </c>
      <c r="AC174" s="7">
        <v>1.450358473838179</v>
      </c>
    </row>
    <row r="175" spans="1:29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11">
        <v>-1</v>
      </c>
      <c r="I175" s="11">
        <v>1</v>
      </c>
      <c r="J175" s="12">
        <v>-1</v>
      </c>
      <c r="K175" s="12">
        <v>1</v>
      </c>
      <c r="L175" s="9">
        <f t="shared" si="51"/>
        <v>0</v>
      </c>
      <c r="M175" s="9">
        <f t="shared" si="44"/>
        <v>2.4923827839817841E-4</v>
      </c>
      <c r="N175" s="9">
        <f t="shared" si="45"/>
        <v>0</v>
      </c>
      <c r="O175" s="9">
        <f t="shared" si="46"/>
        <v>-1.626381046712644E-3</v>
      </c>
      <c r="P175" s="9">
        <f t="shared" si="47"/>
        <v>1.308177553893897E-2</v>
      </c>
      <c r="Q175" s="9">
        <f t="shared" si="48"/>
        <v>0</v>
      </c>
      <c r="R175" s="9">
        <f t="shared" si="49"/>
        <v>-1.308177553893897E-2</v>
      </c>
      <c r="S175" s="9">
        <f t="shared" si="50"/>
        <v>0</v>
      </c>
      <c r="T175" s="10">
        <f t="shared" si="53"/>
        <v>0.60068309668850195</v>
      </c>
      <c r="U175" s="10">
        <f t="shared" si="54"/>
        <v>0.23442739066481855</v>
      </c>
      <c r="V175" s="10">
        <f t="shared" si="55"/>
        <v>-0.15783611562392819</v>
      </c>
      <c r="W175" s="10">
        <f t="shared" si="56"/>
        <v>0.62375838693308527</v>
      </c>
      <c r="X175" s="10">
        <f t="shared" si="57"/>
        <v>1.081109837844396</v>
      </c>
      <c r="Y175" s="10">
        <f t="shared" si="58"/>
        <v>0.69706348067958379</v>
      </c>
      <c r="Z175" s="10">
        <f t="shared" si="59"/>
        <v>-1.081109837844396</v>
      </c>
      <c r="AA175" s="10">
        <f t="shared" si="60"/>
        <v>-0.69706348067958379</v>
      </c>
      <c r="AB175" s="7">
        <f t="shared" si="52"/>
        <v>1.3010327586624766</v>
      </c>
      <c r="AC175" s="7">
        <v>1.468268261402808</v>
      </c>
    </row>
    <row r="176" spans="1:29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11">
        <v>-1</v>
      </c>
      <c r="I176" s="11">
        <v>1</v>
      </c>
      <c r="J176" s="12">
        <v>-1</v>
      </c>
      <c r="K176" s="12">
        <v>1</v>
      </c>
      <c r="L176" s="9">
        <f t="shared" si="51"/>
        <v>0</v>
      </c>
      <c r="M176" s="9">
        <f t="shared" si="44"/>
        <v>-8.1001466830965541E-4</v>
      </c>
      <c r="N176" s="9">
        <f t="shared" si="45"/>
        <v>0</v>
      </c>
      <c r="O176" s="9">
        <f t="shared" si="46"/>
        <v>1.190613000962293E-2</v>
      </c>
      <c r="P176" s="9">
        <f t="shared" si="47"/>
        <v>6.2035128732260691E-3</v>
      </c>
      <c r="Q176" s="9">
        <f t="shared" si="48"/>
        <v>0</v>
      </c>
      <c r="R176" s="9">
        <f t="shared" si="49"/>
        <v>-6.2035128732260691E-3</v>
      </c>
      <c r="S176" s="9">
        <f t="shared" si="50"/>
        <v>0</v>
      </c>
      <c r="T176" s="10">
        <f t="shared" si="53"/>
        <v>0.60068309668850195</v>
      </c>
      <c r="U176" s="10">
        <f t="shared" si="54"/>
        <v>0.23361737599650889</v>
      </c>
      <c r="V176" s="10">
        <f t="shared" si="55"/>
        <v>-0.15783611562392819</v>
      </c>
      <c r="W176" s="10">
        <f t="shared" si="56"/>
        <v>0.6356645169427082</v>
      </c>
      <c r="X176" s="10">
        <f t="shared" si="57"/>
        <v>1.087313350717622</v>
      </c>
      <c r="Y176" s="10">
        <f t="shared" si="58"/>
        <v>0.69706348067958379</v>
      </c>
      <c r="Z176" s="10">
        <f t="shared" si="59"/>
        <v>-1.087313350717622</v>
      </c>
      <c r="AA176" s="10">
        <f t="shared" si="60"/>
        <v>-0.69706348067958379</v>
      </c>
      <c r="AB176" s="7">
        <f t="shared" si="52"/>
        <v>1.3121288740037897</v>
      </c>
      <c r="AC176" s="7">
        <v>1.5069212223870081</v>
      </c>
    </row>
    <row r="177" spans="1:29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11">
        <v>-1</v>
      </c>
      <c r="I177" s="11">
        <v>1</v>
      </c>
      <c r="J177" s="12">
        <v>-1</v>
      </c>
      <c r="K177" s="12">
        <v>1</v>
      </c>
      <c r="L177" s="9">
        <f t="shared" si="51"/>
        <v>0</v>
      </c>
      <c r="M177" s="9">
        <f t="shared" si="44"/>
        <v>-8.6017252817170986E-3</v>
      </c>
      <c r="N177" s="9">
        <f t="shared" si="45"/>
        <v>0</v>
      </c>
      <c r="O177" s="9">
        <f t="shared" si="46"/>
        <v>4.8361162221480791E-3</v>
      </c>
      <c r="P177" s="9">
        <f t="shared" si="47"/>
        <v>2.3646124910285948E-3</v>
      </c>
      <c r="Q177" s="9">
        <f t="shared" si="48"/>
        <v>0</v>
      </c>
      <c r="R177" s="9">
        <f t="shared" si="49"/>
        <v>-2.3646124910285948E-3</v>
      </c>
      <c r="S177" s="9">
        <f t="shared" si="50"/>
        <v>0</v>
      </c>
      <c r="T177" s="10">
        <f t="shared" si="53"/>
        <v>0.60068309668850195</v>
      </c>
      <c r="U177" s="10">
        <f t="shared" si="54"/>
        <v>0.22501565071479179</v>
      </c>
      <c r="V177" s="10">
        <f t="shared" si="55"/>
        <v>-0.15783611562392819</v>
      </c>
      <c r="W177" s="10">
        <f t="shared" si="56"/>
        <v>0.64050063316485628</v>
      </c>
      <c r="X177" s="10">
        <f t="shared" si="57"/>
        <v>1.0896779632086506</v>
      </c>
      <c r="Y177" s="10">
        <f t="shared" si="58"/>
        <v>0.69706348067958379</v>
      </c>
      <c r="Z177" s="10">
        <f t="shared" si="59"/>
        <v>-1.0896779632086506</v>
      </c>
      <c r="AA177" s="10">
        <f t="shared" si="60"/>
        <v>-0.69706348067958379</v>
      </c>
      <c r="AB177" s="7">
        <f t="shared" si="52"/>
        <v>1.3083632649442207</v>
      </c>
      <c r="AC177" s="7">
        <v>1.5084756711374241</v>
      </c>
    </row>
    <row r="178" spans="1:29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11">
        <v>1</v>
      </c>
      <c r="I178" s="11">
        <v>-1</v>
      </c>
      <c r="J178" s="12">
        <v>1</v>
      </c>
      <c r="K178" s="12">
        <v>1</v>
      </c>
      <c r="L178" s="9">
        <f t="shared" si="51"/>
        <v>3.8493924675357949E-3</v>
      </c>
      <c r="M178" s="9">
        <f t="shared" si="44"/>
        <v>0</v>
      </c>
      <c r="N178" s="9">
        <f t="shared" si="45"/>
        <v>4.638654928052599E-3</v>
      </c>
      <c r="O178" s="9">
        <f t="shared" si="46"/>
        <v>0</v>
      </c>
      <c r="P178" s="9">
        <f t="shared" si="47"/>
        <v>0</v>
      </c>
      <c r="Q178" s="9">
        <f t="shared" si="48"/>
        <v>2.282884690280151E-3</v>
      </c>
      <c r="R178" s="9">
        <f t="shared" si="49"/>
        <v>0</v>
      </c>
      <c r="S178" s="9">
        <f t="shared" si="50"/>
        <v>-2.282884690280151E-3</v>
      </c>
      <c r="T178" s="10">
        <f t="shared" si="53"/>
        <v>0.60453248915603774</v>
      </c>
      <c r="U178" s="10">
        <f t="shared" si="54"/>
        <v>0.22501565071479179</v>
      </c>
      <c r="V178" s="10">
        <f t="shared" si="55"/>
        <v>-0.15319746069587559</v>
      </c>
      <c r="W178" s="10">
        <f t="shared" si="56"/>
        <v>0.64050063316485628</v>
      </c>
      <c r="X178" s="10">
        <f t="shared" si="57"/>
        <v>1.0896779632086506</v>
      </c>
      <c r="Y178" s="10">
        <f t="shared" si="58"/>
        <v>0.69934636536986394</v>
      </c>
      <c r="Z178" s="10">
        <f t="shared" si="59"/>
        <v>-1.0896779632086506</v>
      </c>
      <c r="AA178" s="10">
        <f t="shared" si="60"/>
        <v>-0.69934636536986394</v>
      </c>
      <c r="AB178" s="7">
        <f t="shared" si="52"/>
        <v>1.3168513123398091</v>
      </c>
      <c r="AC178" s="7">
        <v>1.5185580865139461</v>
      </c>
    </row>
    <row r="179" spans="1:29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11">
        <v>1</v>
      </c>
      <c r="I179" s="11">
        <v>-1</v>
      </c>
      <c r="J179" s="12">
        <v>1</v>
      </c>
      <c r="K179" s="12">
        <v>-1</v>
      </c>
      <c r="L179" s="9">
        <f t="shared" si="51"/>
        <v>1.307813747545516E-2</v>
      </c>
      <c r="M179" s="9">
        <f t="shared" si="44"/>
        <v>0</v>
      </c>
      <c r="N179" s="9">
        <f t="shared" si="45"/>
        <v>-5.62119711219633E-3</v>
      </c>
      <c r="O179" s="9">
        <f t="shared" si="46"/>
        <v>0</v>
      </c>
      <c r="P179" s="9">
        <f t="shared" si="47"/>
        <v>0</v>
      </c>
      <c r="Q179" s="9">
        <f t="shared" si="48"/>
        <v>-6.7938139638688E-3</v>
      </c>
      <c r="R179" s="9">
        <f t="shared" si="49"/>
        <v>0</v>
      </c>
      <c r="S179" s="9">
        <f t="shared" si="50"/>
        <v>6.7938139638688E-3</v>
      </c>
      <c r="T179" s="10">
        <f t="shared" si="53"/>
        <v>0.61761062663149291</v>
      </c>
      <c r="U179" s="10">
        <f t="shared" si="54"/>
        <v>0.22501565071479179</v>
      </c>
      <c r="V179" s="10">
        <f t="shared" si="55"/>
        <v>-0.15881865780807192</v>
      </c>
      <c r="W179" s="10">
        <f t="shared" si="56"/>
        <v>0.64050063316485628</v>
      </c>
      <c r="X179" s="10">
        <f t="shared" si="57"/>
        <v>1.0896779632086506</v>
      </c>
      <c r="Y179" s="10">
        <f t="shared" si="58"/>
        <v>0.69255255140599514</v>
      </c>
      <c r="Z179" s="10">
        <f t="shared" si="59"/>
        <v>-1.0896779632086506</v>
      </c>
      <c r="AA179" s="10">
        <f t="shared" si="60"/>
        <v>-0.69255255140599514</v>
      </c>
      <c r="AB179" s="7">
        <f t="shared" si="52"/>
        <v>1.3243082527030678</v>
      </c>
      <c r="AC179" s="7">
        <v>1.5328241321079361</v>
      </c>
    </row>
    <row r="180" spans="1:29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11">
        <v>1</v>
      </c>
      <c r="I180" s="11">
        <v>-1</v>
      </c>
      <c r="J180" s="12">
        <v>1</v>
      </c>
      <c r="K180" s="12">
        <v>-1</v>
      </c>
      <c r="L180" s="9">
        <f t="shared" si="51"/>
        <v>-4.6306885245674936E-3</v>
      </c>
      <c r="M180" s="9">
        <f t="shared" si="44"/>
        <v>0</v>
      </c>
      <c r="N180" s="9">
        <f t="shared" si="45"/>
        <v>1.9203089975543541E-2</v>
      </c>
      <c r="O180" s="9">
        <f t="shared" si="46"/>
        <v>0</v>
      </c>
      <c r="P180" s="9">
        <f t="shared" si="47"/>
        <v>0</v>
      </c>
      <c r="Q180" s="9">
        <f t="shared" si="48"/>
        <v>-9.1969690142181815E-3</v>
      </c>
      <c r="R180" s="9">
        <f t="shared" si="49"/>
        <v>0</v>
      </c>
      <c r="S180" s="9">
        <f t="shared" si="50"/>
        <v>9.1969690142181815E-3</v>
      </c>
      <c r="T180" s="10">
        <f t="shared" si="53"/>
        <v>0.61297993810692541</v>
      </c>
      <c r="U180" s="10">
        <f t="shared" si="54"/>
        <v>0.22501565071479179</v>
      </c>
      <c r="V180" s="10">
        <f t="shared" si="55"/>
        <v>-0.13961556783252838</v>
      </c>
      <c r="W180" s="10">
        <f t="shared" si="56"/>
        <v>0.64050063316485628</v>
      </c>
      <c r="X180" s="10">
        <f t="shared" si="57"/>
        <v>1.0896779632086506</v>
      </c>
      <c r="Y180" s="10">
        <f t="shared" si="58"/>
        <v>0.68335558239177696</v>
      </c>
      <c r="Z180" s="10">
        <f t="shared" si="59"/>
        <v>-1.0896779632086506</v>
      </c>
      <c r="AA180" s="10">
        <f t="shared" si="60"/>
        <v>-0.68335558239177696</v>
      </c>
      <c r="AB180" s="7">
        <f t="shared" si="52"/>
        <v>1.3388806541540439</v>
      </c>
      <c r="AC180" s="7">
        <v>1.5394102331105159</v>
      </c>
    </row>
    <row r="181" spans="1:29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11">
        <v>-1</v>
      </c>
      <c r="I181" s="11">
        <v>1</v>
      </c>
      <c r="J181" s="12">
        <v>-1</v>
      </c>
      <c r="K181" s="12">
        <v>-1</v>
      </c>
      <c r="L181" s="9">
        <f t="shared" si="51"/>
        <v>0</v>
      </c>
      <c r="M181" s="9">
        <f t="shared" si="44"/>
        <v>1.9832641239647669E-4</v>
      </c>
      <c r="N181" s="9">
        <f t="shared" si="45"/>
        <v>0</v>
      </c>
      <c r="O181" s="9">
        <f t="shared" si="46"/>
        <v>-9.190819958692531E-3</v>
      </c>
      <c r="P181" s="9">
        <f t="shared" si="47"/>
        <v>2.42211354882782E-3</v>
      </c>
      <c r="Q181" s="9">
        <f t="shared" si="48"/>
        <v>0</v>
      </c>
      <c r="R181" s="9">
        <f t="shared" si="49"/>
        <v>-2.42211354882782E-3</v>
      </c>
      <c r="S181" s="9">
        <f t="shared" si="50"/>
        <v>0</v>
      </c>
      <c r="T181" s="10">
        <f t="shared" si="53"/>
        <v>0.61297993810692541</v>
      </c>
      <c r="U181" s="10">
        <f t="shared" si="54"/>
        <v>0.22521397712718827</v>
      </c>
      <c r="V181" s="10">
        <f t="shared" si="55"/>
        <v>-0.13961556783252838</v>
      </c>
      <c r="W181" s="10">
        <f t="shared" si="56"/>
        <v>0.63130981320616375</v>
      </c>
      <c r="X181" s="10">
        <f t="shared" si="57"/>
        <v>1.0921000767574784</v>
      </c>
      <c r="Y181" s="10">
        <f t="shared" si="58"/>
        <v>0.68335558239177696</v>
      </c>
      <c r="Z181" s="10">
        <f t="shared" si="59"/>
        <v>-1.0921000767574784</v>
      </c>
      <c r="AA181" s="10">
        <f t="shared" si="60"/>
        <v>-0.68335558239177696</v>
      </c>
      <c r="AB181" s="7">
        <f t="shared" si="52"/>
        <v>1.3298881606077479</v>
      </c>
      <c r="AC181" s="7">
        <v>1.55988392126522</v>
      </c>
    </row>
    <row r="182" spans="1:29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11">
        <v>1</v>
      </c>
      <c r="I182" s="11">
        <v>-1</v>
      </c>
      <c r="J182" s="12">
        <v>1</v>
      </c>
      <c r="K182" s="12">
        <v>1</v>
      </c>
      <c r="L182" s="9">
        <f t="shared" si="51"/>
        <v>1.881645695014145E-2</v>
      </c>
      <c r="M182" s="9">
        <f t="shared" si="44"/>
        <v>0</v>
      </c>
      <c r="N182" s="9">
        <f t="shared" si="45"/>
        <v>-8.3707388784715064E-3</v>
      </c>
      <c r="O182" s="9">
        <f t="shared" si="46"/>
        <v>0</v>
      </c>
      <c r="P182" s="9">
        <f t="shared" si="47"/>
        <v>0</v>
      </c>
      <c r="Q182" s="9">
        <f t="shared" si="48"/>
        <v>-4.4554779546983614E-3</v>
      </c>
      <c r="R182" s="9">
        <f t="shared" si="49"/>
        <v>0</v>
      </c>
      <c r="S182" s="9">
        <f t="shared" si="50"/>
        <v>4.4554779546983614E-3</v>
      </c>
      <c r="T182" s="10">
        <f t="shared" si="53"/>
        <v>0.63179639505706686</v>
      </c>
      <c r="U182" s="10">
        <f t="shared" si="54"/>
        <v>0.22521397712718827</v>
      </c>
      <c r="V182" s="10">
        <f t="shared" si="55"/>
        <v>-0.14798630671099988</v>
      </c>
      <c r="W182" s="10">
        <f t="shared" si="56"/>
        <v>0.63130981320616375</v>
      </c>
      <c r="X182" s="10">
        <f t="shared" si="57"/>
        <v>1.0921000767574784</v>
      </c>
      <c r="Y182" s="10">
        <f t="shared" si="58"/>
        <v>0.6789001044370786</v>
      </c>
      <c r="Z182" s="10">
        <f t="shared" si="59"/>
        <v>-1.0921000767574784</v>
      </c>
      <c r="AA182" s="10">
        <f t="shared" si="60"/>
        <v>-0.6789001044370786</v>
      </c>
      <c r="AB182" s="7">
        <f t="shared" si="52"/>
        <v>1.3403338786794179</v>
      </c>
      <c r="AC182" s="7">
        <v>1.563180641953438</v>
      </c>
    </row>
    <row r="183" spans="1:29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11">
        <v>-1</v>
      </c>
      <c r="I183" s="11">
        <v>1</v>
      </c>
      <c r="J183" s="12">
        <v>-1</v>
      </c>
      <c r="K183" s="12">
        <v>-1</v>
      </c>
      <c r="L183" s="9">
        <f t="shared" si="51"/>
        <v>0</v>
      </c>
      <c r="M183" s="9">
        <f t="shared" si="44"/>
        <v>-7.1674059653247246E-3</v>
      </c>
      <c r="N183" s="9">
        <f t="shared" si="45"/>
        <v>0</v>
      </c>
      <c r="O183" s="9">
        <f t="shared" si="46"/>
        <v>-1.1333056816163371E-2</v>
      </c>
      <c r="P183" s="9">
        <f t="shared" si="47"/>
        <v>-3.650324776223846E-3</v>
      </c>
      <c r="Q183" s="9">
        <f t="shared" si="48"/>
        <v>0</v>
      </c>
      <c r="R183" s="9">
        <f t="shared" si="49"/>
        <v>3.650324776223846E-3</v>
      </c>
      <c r="S183" s="9">
        <f t="shared" si="50"/>
        <v>0</v>
      </c>
      <c r="T183" s="10">
        <f t="shared" si="53"/>
        <v>0.63179639505706686</v>
      </c>
      <c r="U183" s="10">
        <f t="shared" si="54"/>
        <v>0.21804657116186354</v>
      </c>
      <c r="V183" s="10">
        <f t="shared" si="55"/>
        <v>-0.14798630671099988</v>
      </c>
      <c r="W183" s="10">
        <f t="shared" si="56"/>
        <v>0.61997675639000038</v>
      </c>
      <c r="X183" s="10">
        <f t="shared" si="57"/>
        <v>1.0884497519812546</v>
      </c>
      <c r="Y183" s="10">
        <f t="shared" si="58"/>
        <v>0.6789001044370786</v>
      </c>
      <c r="Z183" s="10">
        <f t="shared" si="59"/>
        <v>-1.0884497519812546</v>
      </c>
      <c r="AA183" s="10">
        <f t="shared" si="60"/>
        <v>-0.6789001044370786</v>
      </c>
      <c r="AB183" s="7">
        <f t="shared" si="52"/>
        <v>1.3218334158979297</v>
      </c>
      <c r="AC183" s="7">
        <v>1.583249654920539</v>
      </c>
    </row>
    <row r="184" spans="1:29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11">
        <v>-1</v>
      </c>
      <c r="I184" s="11">
        <v>1</v>
      </c>
      <c r="J184" s="12">
        <v>-1</v>
      </c>
      <c r="K184" s="12">
        <v>1</v>
      </c>
      <c r="L184" s="9">
        <f t="shared" si="51"/>
        <v>0</v>
      </c>
      <c r="M184" s="9">
        <f t="shared" si="44"/>
        <v>-2.193858495006529E-4</v>
      </c>
      <c r="N184" s="9">
        <f t="shared" si="45"/>
        <v>0</v>
      </c>
      <c r="O184" s="9">
        <f t="shared" si="46"/>
        <v>3.969901101559925E-3</v>
      </c>
      <c r="P184" s="9">
        <f t="shared" si="47"/>
        <v>1.245147295176363E-2</v>
      </c>
      <c r="Q184" s="9">
        <f t="shared" si="48"/>
        <v>0</v>
      </c>
      <c r="R184" s="9">
        <f t="shared" si="49"/>
        <v>-1.245147295176363E-2</v>
      </c>
      <c r="S184" s="9">
        <f t="shared" si="50"/>
        <v>0</v>
      </c>
      <c r="T184" s="10">
        <f t="shared" si="53"/>
        <v>0.63179639505706686</v>
      </c>
      <c r="U184" s="10">
        <f t="shared" si="54"/>
        <v>0.21782718531236289</v>
      </c>
      <c r="V184" s="10">
        <f t="shared" si="55"/>
        <v>-0.14798630671099988</v>
      </c>
      <c r="W184" s="10">
        <f t="shared" si="56"/>
        <v>0.62394665749156031</v>
      </c>
      <c r="X184" s="10">
        <f t="shared" si="57"/>
        <v>1.1009012249330181</v>
      </c>
      <c r="Y184" s="10">
        <f t="shared" si="58"/>
        <v>0.6789001044370786</v>
      </c>
      <c r="Z184" s="10">
        <f t="shared" si="59"/>
        <v>-1.1009012249330181</v>
      </c>
      <c r="AA184" s="10">
        <f t="shared" si="60"/>
        <v>-0.6789001044370786</v>
      </c>
      <c r="AB184" s="7">
        <f t="shared" si="52"/>
        <v>1.3255839311499891</v>
      </c>
      <c r="AC184" s="7">
        <v>1.606657415561507</v>
      </c>
    </row>
    <row r="185" spans="1:29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11">
        <v>1</v>
      </c>
      <c r="I185" s="11">
        <v>-1</v>
      </c>
      <c r="J185" s="12">
        <v>1</v>
      </c>
      <c r="K185" s="12">
        <v>1</v>
      </c>
      <c r="L185" s="9">
        <f t="shared" si="51"/>
        <v>1.9216956464672471E-2</v>
      </c>
      <c r="M185" s="9">
        <f t="shared" si="44"/>
        <v>0</v>
      </c>
      <c r="N185" s="9">
        <f t="shared" si="45"/>
        <v>1.2799047923051751E-2</v>
      </c>
      <c r="O185" s="9">
        <f t="shared" si="46"/>
        <v>0</v>
      </c>
      <c r="P185" s="9">
        <f t="shared" si="47"/>
        <v>0</v>
      </c>
      <c r="Q185" s="9">
        <f t="shared" si="48"/>
        <v>-5.901474264317752E-3</v>
      </c>
      <c r="R185" s="9">
        <f t="shared" si="49"/>
        <v>0</v>
      </c>
      <c r="S185" s="9">
        <f t="shared" si="50"/>
        <v>5.901474264317752E-3</v>
      </c>
      <c r="T185" s="10">
        <f t="shared" si="53"/>
        <v>0.65101335152173934</v>
      </c>
      <c r="U185" s="10">
        <f t="shared" si="54"/>
        <v>0.21782718531236289</v>
      </c>
      <c r="V185" s="10">
        <f t="shared" si="55"/>
        <v>-0.13518725878794813</v>
      </c>
      <c r="W185" s="10">
        <f t="shared" si="56"/>
        <v>0.62394665749156031</v>
      </c>
      <c r="X185" s="10">
        <f t="shared" si="57"/>
        <v>1.1009012249330181</v>
      </c>
      <c r="Y185" s="10">
        <f t="shared" si="58"/>
        <v>0.67299863017276085</v>
      </c>
      <c r="Z185" s="10">
        <f t="shared" si="59"/>
        <v>-1.1009012249330181</v>
      </c>
      <c r="AA185" s="10">
        <f t="shared" si="60"/>
        <v>-0.67299863017276085</v>
      </c>
      <c r="AB185" s="7">
        <f t="shared" si="52"/>
        <v>1.3575999355377133</v>
      </c>
      <c r="AC185" s="7">
        <v>1.636952568145525</v>
      </c>
    </row>
    <row r="186" spans="1:29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11">
        <v>-1</v>
      </c>
      <c r="I186" s="11">
        <v>1</v>
      </c>
      <c r="J186" s="12">
        <v>-1</v>
      </c>
      <c r="K186" s="12">
        <v>-1</v>
      </c>
      <c r="L186" s="9">
        <f t="shared" si="51"/>
        <v>0</v>
      </c>
      <c r="M186" s="9">
        <f t="shared" si="44"/>
        <v>2.6841790251385111E-3</v>
      </c>
      <c r="N186" s="9">
        <f t="shared" si="45"/>
        <v>0</v>
      </c>
      <c r="O186" s="9">
        <f t="shared" si="46"/>
        <v>1.8066681161298059E-2</v>
      </c>
      <c r="P186" s="9">
        <f t="shared" si="47"/>
        <v>-3.5388565890582808E-3</v>
      </c>
      <c r="Q186" s="9">
        <f t="shared" si="48"/>
        <v>0</v>
      </c>
      <c r="R186" s="9">
        <f t="shared" si="49"/>
        <v>3.5388565890582808E-3</v>
      </c>
      <c r="S186" s="9">
        <f t="shared" si="50"/>
        <v>0</v>
      </c>
      <c r="T186" s="10">
        <f t="shared" si="53"/>
        <v>0.65101335152173934</v>
      </c>
      <c r="U186" s="10">
        <f t="shared" si="54"/>
        <v>0.2205113643375014</v>
      </c>
      <c r="V186" s="10">
        <f t="shared" si="55"/>
        <v>-0.13518725878794813</v>
      </c>
      <c r="W186" s="10">
        <f t="shared" si="56"/>
        <v>0.64201333865285837</v>
      </c>
      <c r="X186" s="10">
        <f t="shared" si="57"/>
        <v>1.0973623683439599</v>
      </c>
      <c r="Y186" s="10">
        <f t="shared" si="58"/>
        <v>0.67299863017276085</v>
      </c>
      <c r="Z186" s="10">
        <f t="shared" si="59"/>
        <v>-1.0973623683439599</v>
      </c>
      <c r="AA186" s="10">
        <f t="shared" si="60"/>
        <v>-0.67299863017276085</v>
      </c>
      <c r="AB186" s="7">
        <f t="shared" si="52"/>
        <v>1.3783507957241499</v>
      </c>
      <c r="AC186" s="7">
        <v>1.6491255346172371</v>
      </c>
    </row>
    <row r="187" spans="1:29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11">
        <v>-1</v>
      </c>
      <c r="I187" s="11">
        <v>1</v>
      </c>
      <c r="J187" s="12">
        <v>-1</v>
      </c>
      <c r="K187" s="12">
        <v>1</v>
      </c>
      <c r="L187" s="9">
        <f t="shared" si="51"/>
        <v>0</v>
      </c>
      <c r="M187" s="9">
        <f t="shared" si="44"/>
        <v>4.777033424082977E-3</v>
      </c>
      <c r="N187" s="9">
        <f t="shared" si="45"/>
        <v>0</v>
      </c>
      <c r="O187" s="9">
        <f t="shared" si="46"/>
        <v>-7.8391667020806244E-3</v>
      </c>
      <c r="P187" s="9">
        <f t="shared" si="47"/>
        <v>2.6190367026323269E-2</v>
      </c>
      <c r="Q187" s="9">
        <f t="shared" si="48"/>
        <v>0</v>
      </c>
      <c r="R187" s="9">
        <f t="shared" si="49"/>
        <v>-2.6190367026323269E-2</v>
      </c>
      <c r="S187" s="9">
        <f t="shared" si="50"/>
        <v>0</v>
      </c>
      <c r="T187" s="10">
        <f t="shared" si="53"/>
        <v>0.65101335152173934</v>
      </c>
      <c r="U187" s="10">
        <f t="shared" si="54"/>
        <v>0.22528839776158438</v>
      </c>
      <c r="V187" s="10">
        <f t="shared" si="55"/>
        <v>-0.13518725878794813</v>
      </c>
      <c r="W187" s="10">
        <f t="shared" si="56"/>
        <v>0.63417417195077774</v>
      </c>
      <c r="X187" s="10">
        <f t="shared" si="57"/>
        <v>1.1235527353702832</v>
      </c>
      <c r="Y187" s="10">
        <f t="shared" si="58"/>
        <v>0.67299863017276085</v>
      </c>
      <c r="Z187" s="10">
        <f t="shared" si="59"/>
        <v>-1.1235527353702832</v>
      </c>
      <c r="AA187" s="10">
        <f t="shared" si="60"/>
        <v>-0.67299863017276085</v>
      </c>
      <c r="AB187" s="7">
        <f t="shared" si="52"/>
        <v>1.3752886624461522</v>
      </c>
      <c r="AC187" s="7">
        <v>1.7043224906798771</v>
      </c>
    </row>
    <row r="188" spans="1:29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11">
        <v>-1</v>
      </c>
      <c r="I188" s="11">
        <v>1</v>
      </c>
      <c r="J188" s="12">
        <v>-1</v>
      </c>
      <c r="K188" s="12">
        <v>1</v>
      </c>
      <c r="L188" s="9">
        <f t="shared" si="51"/>
        <v>0</v>
      </c>
      <c r="M188" s="9">
        <f t="shared" si="44"/>
        <v>-4.9350165201832441E-3</v>
      </c>
      <c r="N188" s="9">
        <f t="shared" si="45"/>
        <v>0</v>
      </c>
      <c r="O188" s="9">
        <f t="shared" si="46"/>
        <v>1.4138227736990141E-2</v>
      </c>
      <c r="P188" s="9">
        <f t="shared" si="47"/>
        <v>-5.0449819458576413E-2</v>
      </c>
      <c r="Q188" s="9">
        <f t="shared" si="48"/>
        <v>0</v>
      </c>
      <c r="R188" s="9">
        <f t="shared" si="49"/>
        <v>5.0449819458576413E-2</v>
      </c>
      <c r="S188" s="9">
        <f t="shared" si="50"/>
        <v>0</v>
      </c>
      <c r="T188" s="10">
        <f t="shared" si="53"/>
        <v>0.65101335152173934</v>
      </c>
      <c r="U188" s="10">
        <f t="shared" si="54"/>
        <v>0.22035338124140114</v>
      </c>
      <c r="V188" s="10">
        <f t="shared" si="55"/>
        <v>-0.13518725878794813</v>
      </c>
      <c r="W188" s="10">
        <f t="shared" si="56"/>
        <v>0.64831239968776788</v>
      </c>
      <c r="X188" s="10">
        <f t="shared" si="57"/>
        <v>1.0731029159117067</v>
      </c>
      <c r="Y188" s="10">
        <f t="shared" si="58"/>
        <v>0.67299863017276085</v>
      </c>
      <c r="Z188" s="10">
        <f t="shared" si="59"/>
        <v>-1.0731029159117067</v>
      </c>
      <c r="AA188" s="10">
        <f t="shared" si="60"/>
        <v>-0.67299863017276085</v>
      </c>
      <c r="AB188" s="7">
        <f t="shared" si="52"/>
        <v>1.384491873662959</v>
      </c>
      <c r="AC188" s="7">
        <v>1.6701021810892289</v>
      </c>
    </row>
    <row r="189" spans="1:29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11">
        <v>1</v>
      </c>
      <c r="I189" s="11">
        <v>-1</v>
      </c>
      <c r="J189" s="12">
        <v>1</v>
      </c>
      <c r="K189" s="12">
        <v>1</v>
      </c>
      <c r="L189" s="9">
        <f t="shared" si="51"/>
        <v>-2.6141547801387551E-2</v>
      </c>
      <c r="M189" s="9">
        <f t="shared" si="44"/>
        <v>0</v>
      </c>
      <c r="N189" s="9">
        <f t="shared" si="45"/>
        <v>-2.3534069137912561E-2</v>
      </c>
      <c r="O189" s="9">
        <f t="shared" si="46"/>
        <v>0</v>
      </c>
      <c r="P189" s="9">
        <f t="shared" si="47"/>
        <v>0</v>
      </c>
      <c r="Q189" s="9">
        <f t="shared" si="48"/>
        <v>-4.340725483261143E-3</v>
      </c>
      <c r="R189" s="9">
        <f t="shared" si="49"/>
        <v>0</v>
      </c>
      <c r="S189" s="9">
        <f t="shared" si="50"/>
        <v>4.340725483261143E-3</v>
      </c>
      <c r="T189" s="10">
        <f t="shared" si="53"/>
        <v>0.62487180372035178</v>
      </c>
      <c r="U189" s="10">
        <f t="shared" si="54"/>
        <v>0.22035338124140114</v>
      </c>
      <c r="V189" s="10">
        <f t="shared" si="55"/>
        <v>-0.15872132792586069</v>
      </c>
      <c r="W189" s="10">
        <f t="shared" si="56"/>
        <v>0.64831239968776788</v>
      </c>
      <c r="X189" s="10">
        <f t="shared" si="57"/>
        <v>1.0731029159117067</v>
      </c>
      <c r="Y189" s="10">
        <f t="shared" si="58"/>
        <v>0.6686579046894997</v>
      </c>
      <c r="Z189" s="10">
        <f t="shared" si="59"/>
        <v>-1.0731029159117067</v>
      </c>
      <c r="AA189" s="10">
        <f t="shared" si="60"/>
        <v>-0.6686579046894997</v>
      </c>
      <c r="AB189" s="7">
        <f t="shared" si="52"/>
        <v>1.3348162567236588</v>
      </c>
      <c r="AC189" s="7">
        <v>1.643939055562357</v>
      </c>
    </row>
    <row r="190" spans="1:29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11">
        <v>-1</v>
      </c>
      <c r="I190" s="11">
        <v>1</v>
      </c>
      <c r="J190" s="12">
        <v>-1</v>
      </c>
      <c r="K190" s="12">
        <v>-1</v>
      </c>
      <c r="L190" s="9">
        <f t="shared" si="51"/>
        <v>0</v>
      </c>
      <c r="M190" s="9">
        <f t="shared" si="44"/>
        <v>7.7319381982361426E-3</v>
      </c>
      <c r="N190" s="9">
        <f t="shared" si="45"/>
        <v>0</v>
      </c>
      <c r="O190" s="9">
        <f t="shared" si="46"/>
        <v>5.4768428301287253E-3</v>
      </c>
      <c r="P190" s="9">
        <f t="shared" si="47"/>
        <v>-1.2462232344846219E-2</v>
      </c>
      <c r="Q190" s="9">
        <f t="shared" si="48"/>
        <v>0</v>
      </c>
      <c r="R190" s="9">
        <f t="shared" si="49"/>
        <v>1.2462232344846219E-2</v>
      </c>
      <c r="S190" s="9">
        <f t="shared" si="50"/>
        <v>0</v>
      </c>
      <c r="T190" s="10">
        <f t="shared" si="53"/>
        <v>0.62487180372035178</v>
      </c>
      <c r="U190" s="10">
        <f t="shared" si="54"/>
        <v>0.22808531943963728</v>
      </c>
      <c r="V190" s="10">
        <f t="shared" si="55"/>
        <v>-0.15872132792586069</v>
      </c>
      <c r="W190" s="10">
        <f t="shared" si="56"/>
        <v>0.65378924251789661</v>
      </c>
      <c r="X190" s="10">
        <f t="shared" si="57"/>
        <v>1.0606406835668605</v>
      </c>
      <c r="Y190" s="10">
        <f t="shared" si="58"/>
        <v>0.6686579046894997</v>
      </c>
      <c r="Z190" s="10">
        <f t="shared" si="59"/>
        <v>-1.0606406835668605</v>
      </c>
      <c r="AA190" s="10">
        <f t="shared" si="60"/>
        <v>-0.6686579046894997</v>
      </c>
      <c r="AB190" s="7">
        <f t="shared" si="52"/>
        <v>1.3480250377520235</v>
      </c>
      <c r="AC190" s="7">
        <v>1.650258701604213</v>
      </c>
    </row>
    <row r="191" spans="1:29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11">
        <v>-1</v>
      </c>
      <c r="I191" s="11">
        <v>1</v>
      </c>
      <c r="J191" s="12">
        <v>-1</v>
      </c>
      <c r="K191" s="12">
        <v>1</v>
      </c>
      <c r="L191" s="9">
        <f t="shared" si="51"/>
        <v>0</v>
      </c>
      <c r="M191" s="9">
        <f t="shared" si="44"/>
        <v>8.7428792215901163E-3</v>
      </c>
      <c r="N191" s="9">
        <f t="shared" si="45"/>
        <v>0</v>
      </c>
      <c r="O191" s="9">
        <f t="shared" si="46"/>
        <v>3.3467073488942178E-2</v>
      </c>
      <c r="P191" s="9">
        <f t="shared" si="47"/>
        <v>9.1856954528783952E-3</v>
      </c>
      <c r="Q191" s="9">
        <f t="shared" si="48"/>
        <v>0</v>
      </c>
      <c r="R191" s="9">
        <f t="shared" si="49"/>
        <v>-9.1856954528783952E-3</v>
      </c>
      <c r="S191" s="9">
        <f t="shared" si="50"/>
        <v>0</v>
      </c>
      <c r="T191" s="10">
        <f t="shared" si="53"/>
        <v>0.62487180372035178</v>
      </c>
      <c r="U191" s="10">
        <f t="shared" si="54"/>
        <v>0.2368281986612274</v>
      </c>
      <c r="V191" s="10">
        <f t="shared" si="55"/>
        <v>-0.15872132792586069</v>
      </c>
      <c r="W191" s="10">
        <f t="shared" si="56"/>
        <v>0.68725631600683879</v>
      </c>
      <c r="X191" s="10">
        <f t="shared" si="57"/>
        <v>1.0698263790197389</v>
      </c>
      <c r="Y191" s="10">
        <f t="shared" si="58"/>
        <v>0.6686579046894997</v>
      </c>
      <c r="Z191" s="10">
        <f t="shared" si="59"/>
        <v>-1.0698263790197389</v>
      </c>
      <c r="AA191" s="10">
        <f t="shared" si="60"/>
        <v>-0.6686579046894997</v>
      </c>
      <c r="AB191" s="7">
        <f t="shared" si="52"/>
        <v>1.3902349904625559</v>
      </c>
      <c r="AC191" s="7">
        <v>1.6747376882157949</v>
      </c>
    </row>
    <row r="192" spans="1:29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11">
        <v>-1</v>
      </c>
      <c r="I192" s="11">
        <v>1</v>
      </c>
      <c r="J192" s="12">
        <v>-1</v>
      </c>
      <c r="K192" s="12">
        <v>1</v>
      </c>
      <c r="L192" s="9">
        <f t="shared" si="51"/>
        <v>0</v>
      </c>
      <c r="M192" s="9">
        <f t="shared" si="44"/>
        <v>1.0702613697867069E-2</v>
      </c>
      <c r="N192" s="9">
        <f t="shared" si="45"/>
        <v>0</v>
      </c>
      <c r="O192" s="9">
        <f t="shared" si="46"/>
        <v>9.7952395698687189E-3</v>
      </c>
      <c r="P192" s="9">
        <f t="shared" si="47"/>
        <v>2.3549466685563462E-2</v>
      </c>
      <c r="Q192" s="9">
        <f t="shared" si="48"/>
        <v>0</v>
      </c>
      <c r="R192" s="9">
        <f t="shared" si="49"/>
        <v>-2.3549466685563462E-2</v>
      </c>
      <c r="S192" s="9">
        <f t="shared" si="50"/>
        <v>0</v>
      </c>
      <c r="T192" s="10">
        <f t="shared" si="53"/>
        <v>0.62487180372035178</v>
      </c>
      <c r="U192" s="10">
        <f t="shared" si="54"/>
        <v>0.24753081235909447</v>
      </c>
      <c r="V192" s="10">
        <f t="shared" si="55"/>
        <v>-0.15872132792586069</v>
      </c>
      <c r="W192" s="10">
        <f t="shared" si="56"/>
        <v>0.6970515555767075</v>
      </c>
      <c r="X192" s="10">
        <f t="shared" si="57"/>
        <v>1.0933758457053024</v>
      </c>
      <c r="Y192" s="10">
        <f t="shared" si="58"/>
        <v>0.6686579046894997</v>
      </c>
      <c r="Z192" s="10">
        <f t="shared" si="59"/>
        <v>-1.0933758457053024</v>
      </c>
      <c r="AA192" s="10">
        <f t="shared" si="60"/>
        <v>-0.6686579046894997</v>
      </c>
      <c r="AB192" s="7">
        <f t="shared" si="52"/>
        <v>1.4107328437302917</v>
      </c>
      <c r="AC192" s="7">
        <v>1.6807619383345951</v>
      </c>
    </row>
    <row r="193" spans="1:29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11">
        <v>-1</v>
      </c>
      <c r="I193" s="11">
        <v>1</v>
      </c>
      <c r="J193" s="12">
        <v>-1</v>
      </c>
      <c r="K193" s="12">
        <v>1</v>
      </c>
      <c r="L193" s="9">
        <f t="shared" si="51"/>
        <v>0</v>
      </c>
      <c r="M193" s="9">
        <f t="shared" si="44"/>
        <v>-4.1249514738249671E-3</v>
      </c>
      <c r="N193" s="9">
        <f t="shared" si="45"/>
        <v>0</v>
      </c>
      <c r="O193" s="9">
        <f t="shared" si="46"/>
        <v>3.6298995730215111E-3</v>
      </c>
      <c r="P193" s="9">
        <f t="shared" si="47"/>
        <v>2.4226884761957331E-2</v>
      </c>
      <c r="Q193" s="9">
        <f t="shared" si="48"/>
        <v>0</v>
      </c>
      <c r="R193" s="9">
        <f t="shared" si="49"/>
        <v>-2.4226884761957331E-2</v>
      </c>
      <c r="S193" s="9">
        <f t="shared" si="50"/>
        <v>0</v>
      </c>
      <c r="T193" s="10">
        <f t="shared" si="53"/>
        <v>0.62487180372035178</v>
      </c>
      <c r="U193" s="10">
        <f t="shared" si="54"/>
        <v>0.2434058608852695</v>
      </c>
      <c r="V193" s="10">
        <f t="shared" si="55"/>
        <v>-0.15872132792586069</v>
      </c>
      <c r="W193" s="10">
        <f t="shared" si="56"/>
        <v>0.70068145514972902</v>
      </c>
      <c r="X193" s="10">
        <f t="shared" si="57"/>
        <v>1.1176027304672598</v>
      </c>
      <c r="Y193" s="10">
        <f t="shared" si="58"/>
        <v>0.6686579046894997</v>
      </c>
      <c r="Z193" s="10">
        <f t="shared" si="59"/>
        <v>-1.1176027304672598</v>
      </c>
      <c r="AA193" s="10">
        <f t="shared" si="60"/>
        <v>-0.6686579046894997</v>
      </c>
      <c r="AB193" s="7">
        <f t="shared" si="52"/>
        <v>1.4102377918294882</v>
      </c>
      <c r="AC193" s="7">
        <v>1.717451453865074</v>
      </c>
    </row>
    <row r="194" spans="1:29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11">
        <v>-1</v>
      </c>
      <c r="I194" s="11">
        <v>1</v>
      </c>
      <c r="J194" s="12">
        <v>-1</v>
      </c>
      <c r="K194" s="12">
        <v>1</v>
      </c>
      <c r="L194" s="9">
        <f t="shared" si="51"/>
        <v>0</v>
      </c>
      <c r="M194" s="9">
        <f t="shared" si="44"/>
        <v>-1.384171078120244E-2</v>
      </c>
      <c r="N194" s="9">
        <f t="shared" si="45"/>
        <v>0</v>
      </c>
      <c r="O194" s="9">
        <f t="shared" si="46"/>
        <v>-3.0840974975054891E-3</v>
      </c>
      <c r="P194" s="9">
        <f t="shared" si="47"/>
        <v>1.503110523891704E-2</v>
      </c>
      <c r="Q194" s="9">
        <f t="shared" si="48"/>
        <v>0</v>
      </c>
      <c r="R194" s="9">
        <f t="shared" si="49"/>
        <v>-1.503110523891704E-2</v>
      </c>
      <c r="S194" s="9">
        <f t="shared" si="50"/>
        <v>0</v>
      </c>
      <c r="T194" s="10">
        <f t="shared" si="53"/>
        <v>0.62487180372035178</v>
      </c>
      <c r="U194" s="10">
        <f t="shared" si="54"/>
        <v>0.22956415010406706</v>
      </c>
      <c r="V194" s="10">
        <f t="shared" si="55"/>
        <v>-0.15872132792586069</v>
      </c>
      <c r="W194" s="10">
        <f t="shared" si="56"/>
        <v>0.69759735765222353</v>
      </c>
      <c r="X194" s="10">
        <f t="shared" si="57"/>
        <v>1.1326338357061767</v>
      </c>
      <c r="Y194" s="10">
        <f t="shared" si="58"/>
        <v>0.6686579046894997</v>
      </c>
      <c r="Z194" s="10">
        <f t="shared" si="59"/>
        <v>-1.1326338357061767</v>
      </c>
      <c r="AA194" s="10">
        <f t="shared" si="60"/>
        <v>-0.6686579046894997</v>
      </c>
      <c r="AB194" s="7">
        <f t="shared" si="52"/>
        <v>1.3933119835507803</v>
      </c>
      <c r="AC194" s="7">
        <v>1.7491051419325521</v>
      </c>
    </row>
    <row r="195" spans="1:29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11">
        <v>-1</v>
      </c>
      <c r="I195" s="11">
        <v>1</v>
      </c>
      <c r="J195" s="12">
        <v>-1</v>
      </c>
      <c r="K195" s="12">
        <v>1</v>
      </c>
      <c r="L195" s="9">
        <f t="shared" si="51"/>
        <v>0</v>
      </c>
      <c r="M195" s="9">
        <f t="shared" ref="M195:M258" si="61">IF(H195=-1,-D195,0)</f>
        <v>1.0222833276981591E-3</v>
      </c>
      <c r="N195" s="9">
        <f t="shared" ref="N195:N258" si="62">IF(H195=1,-E195,0)</f>
        <v>0</v>
      </c>
      <c r="O195" s="9">
        <f t="shared" ref="O195:O258" si="63">IF(H195=-1,E195,0)</f>
        <v>4.0446510873923813E-3</v>
      </c>
      <c r="P195" s="9">
        <f t="shared" ref="P195:P258" si="64">IF(I195=1,F195,0)</f>
        <v>-7.6287586864474122E-3</v>
      </c>
      <c r="Q195" s="9">
        <f t="shared" ref="Q195:Q258" si="65">IF($I195=-1,-$F195,0)</f>
        <v>0</v>
      </c>
      <c r="R195" s="9">
        <f t="shared" ref="R195:R258" si="66">IF($I195=1,-$F195,0)</f>
        <v>7.6287586864474122E-3</v>
      </c>
      <c r="S195" s="9">
        <f t="shared" ref="S195:S258" si="67">IF($I195=-1,$F195,0)</f>
        <v>0</v>
      </c>
      <c r="T195" s="10">
        <f t="shared" si="53"/>
        <v>0.62487180372035178</v>
      </c>
      <c r="U195" s="10">
        <f t="shared" si="54"/>
        <v>0.23058643343176521</v>
      </c>
      <c r="V195" s="10">
        <f t="shared" si="55"/>
        <v>-0.15872132792586069</v>
      </c>
      <c r="W195" s="10">
        <f t="shared" si="56"/>
        <v>0.70164200873961591</v>
      </c>
      <c r="X195" s="10">
        <f t="shared" si="57"/>
        <v>1.1250050770197293</v>
      </c>
      <c r="Y195" s="10">
        <f t="shared" si="58"/>
        <v>0.6686579046894997</v>
      </c>
      <c r="Z195" s="10">
        <f t="shared" si="59"/>
        <v>-1.1250050770197293</v>
      </c>
      <c r="AA195" s="10">
        <f t="shared" si="60"/>
        <v>-0.6686579046894997</v>
      </c>
      <c r="AB195" s="7">
        <f t="shared" si="52"/>
        <v>1.398378917965871</v>
      </c>
      <c r="AC195" s="7">
        <v>1.7551460809381929</v>
      </c>
    </row>
    <row r="196" spans="1:29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11">
        <v>1</v>
      </c>
      <c r="I196" s="11">
        <v>-1</v>
      </c>
      <c r="J196" s="12">
        <v>1</v>
      </c>
      <c r="K196" s="12">
        <v>1</v>
      </c>
      <c r="L196" s="9">
        <f t="shared" ref="L196:L259" si="68">IF(H196=1,D196,0)</f>
        <v>-1.9565506686919368E-2</v>
      </c>
      <c r="M196" s="9">
        <f t="shared" si="61"/>
        <v>0</v>
      </c>
      <c r="N196" s="9">
        <f t="shared" si="62"/>
        <v>1.0546934301961519E-3</v>
      </c>
      <c r="O196" s="9">
        <f t="shared" si="63"/>
        <v>0</v>
      </c>
      <c r="P196" s="9">
        <f t="shared" si="64"/>
        <v>0</v>
      </c>
      <c r="Q196" s="9">
        <f t="shared" si="65"/>
        <v>9.9729013807206002E-3</v>
      </c>
      <c r="R196" s="9">
        <f t="shared" si="66"/>
        <v>0</v>
      </c>
      <c r="S196" s="9">
        <f t="shared" si="67"/>
        <v>-9.9729013807206002E-3</v>
      </c>
      <c r="T196" s="10">
        <f t="shared" si="53"/>
        <v>0.60530629703343242</v>
      </c>
      <c r="U196" s="10">
        <f t="shared" si="54"/>
        <v>0.23058643343176521</v>
      </c>
      <c r="V196" s="10">
        <f t="shared" si="55"/>
        <v>-0.15766663449566454</v>
      </c>
      <c r="W196" s="10">
        <f t="shared" si="56"/>
        <v>0.70164200873961591</v>
      </c>
      <c r="X196" s="10">
        <f t="shared" si="57"/>
        <v>1.1250050770197293</v>
      </c>
      <c r="Y196" s="10">
        <f t="shared" si="58"/>
        <v>0.6786308060702203</v>
      </c>
      <c r="Z196" s="10">
        <f t="shared" si="59"/>
        <v>-1.1250050770197293</v>
      </c>
      <c r="AA196" s="10">
        <f t="shared" si="60"/>
        <v>-0.6786308060702203</v>
      </c>
      <c r="AB196" s="7">
        <f t="shared" ref="AB196:AB259" si="69">AB195+SUM(L196:S196)</f>
        <v>1.3798681047091477</v>
      </c>
      <c r="AC196" s="7">
        <v>1.685790543672034</v>
      </c>
    </row>
    <row r="197" spans="1:29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11">
        <v>1</v>
      </c>
      <c r="I197" s="11">
        <v>-1</v>
      </c>
      <c r="J197" s="12">
        <v>1</v>
      </c>
      <c r="K197" s="12">
        <v>-1</v>
      </c>
      <c r="L197" s="9">
        <f t="shared" si="68"/>
        <v>3.9765351056806453E-2</v>
      </c>
      <c r="M197" s="9">
        <f t="shared" si="61"/>
        <v>0</v>
      </c>
      <c r="N197" s="9">
        <f t="shared" si="62"/>
        <v>-2.7214346531511109E-3</v>
      </c>
      <c r="O197" s="9">
        <f t="shared" si="63"/>
        <v>0</v>
      </c>
      <c r="P197" s="9">
        <f t="shared" si="64"/>
        <v>0</v>
      </c>
      <c r="Q197" s="9">
        <f t="shared" si="65"/>
        <v>-3.7972407459660913E-2</v>
      </c>
      <c r="R197" s="9">
        <f t="shared" si="66"/>
        <v>0</v>
      </c>
      <c r="S197" s="9">
        <f t="shared" si="67"/>
        <v>3.7972407459660913E-2</v>
      </c>
      <c r="T197" s="10">
        <f t="shared" si="53"/>
        <v>0.64507164809023887</v>
      </c>
      <c r="U197" s="10">
        <f t="shared" si="54"/>
        <v>0.23058643343176521</v>
      </c>
      <c r="V197" s="10">
        <f t="shared" si="55"/>
        <v>-0.16038806914881565</v>
      </c>
      <c r="W197" s="10">
        <f t="shared" si="56"/>
        <v>0.70164200873961591</v>
      </c>
      <c r="X197" s="10">
        <f t="shared" si="57"/>
        <v>1.1250050770197293</v>
      </c>
      <c r="Y197" s="10">
        <f t="shared" si="58"/>
        <v>0.6406583986105594</v>
      </c>
      <c r="Z197" s="10">
        <f t="shared" si="59"/>
        <v>-1.1250050770197293</v>
      </c>
      <c r="AA197" s="10">
        <f t="shared" si="60"/>
        <v>-0.6406583986105594</v>
      </c>
      <c r="AB197" s="7">
        <f t="shared" si="69"/>
        <v>1.416912021112803</v>
      </c>
      <c r="AC197" s="7">
        <v>1.7055763730136171</v>
      </c>
    </row>
    <row r="198" spans="1:29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11">
        <v>1</v>
      </c>
      <c r="I198" s="11">
        <v>-1</v>
      </c>
      <c r="J198" s="12">
        <v>1</v>
      </c>
      <c r="K198" s="12">
        <v>-1</v>
      </c>
      <c r="L198" s="9">
        <f t="shared" si="68"/>
        <v>6.5670846543383843E-2</v>
      </c>
      <c r="M198" s="9">
        <f t="shared" si="61"/>
        <v>0</v>
      </c>
      <c r="N198" s="9">
        <f t="shared" si="62"/>
        <v>-1.6650503075373859E-3</v>
      </c>
      <c r="O198" s="9">
        <f t="shared" si="63"/>
        <v>0</v>
      </c>
      <c r="P198" s="9">
        <f t="shared" si="64"/>
        <v>0</v>
      </c>
      <c r="Q198" s="9">
        <f t="shared" si="65"/>
        <v>4.2016884652981153E-2</v>
      </c>
      <c r="R198" s="9">
        <f t="shared" si="66"/>
        <v>0</v>
      </c>
      <c r="S198" s="9">
        <f t="shared" si="67"/>
        <v>-4.2016884652981153E-2</v>
      </c>
      <c r="T198" s="10">
        <f t="shared" si="53"/>
        <v>0.71074249463362271</v>
      </c>
      <c r="U198" s="10">
        <f t="shared" si="54"/>
        <v>0.23058643343176521</v>
      </c>
      <c r="V198" s="10">
        <f t="shared" si="55"/>
        <v>-0.16205311945635303</v>
      </c>
      <c r="W198" s="10">
        <f t="shared" si="56"/>
        <v>0.70164200873961591</v>
      </c>
      <c r="X198" s="10">
        <f t="shared" si="57"/>
        <v>1.1250050770197293</v>
      </c>
      <c r="Y198" s="10">
        <f t="shared" si="58"/>
        <v>0.68267528326354054</v>
      </c>
      <c r="Z198" s="10">
        <f t="shared" si="59"/>
        <v>-1.1250050770197293</v>
      </c>
      <c r="AA198" s="10">
        <f t="shared" si="60"/>
        <v>-0.68267528326354054</v>
      </c>
      <c r="AB198" s="7">
        <f t="shared" si="69"/>
        <v>1.4809178173486495</v>
      </c>
      <c r="AC198" s="7">
        <v>1.6168082161034929</v>
      </c>
    </row>
    <row r="199" spans="1:29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11">
        <v>-1</v>
      </c>
      <c r="I199" s="11">
        <v>1</v>
      </c>
      <c r="J199" s="12">
        <v>-1</v>
      </c>
      <c r="K199" s="12">
        <v>-1</v>
      </c>
      <c r="L199" s="9">
        <f t="shared" si="68"/>
        <v>0</v>
      </c>
      <c r="M199" s="9">
        <f t="shared" si="61"/>
        <v>-2.4678704072346069E-2</v>
      </c>
      <c r="N199" s="9">
        <f t="shared" si="62"/>
        <v>0</v>
      </c>
      <c r="O199" s="9">
        <f t="shared" si="63"/>
        <v>1.37038599729189E-2</v>
      </c>
      <c r="P199" s="9">
        <f t="shared" si="64"/>
        <v>2.7953196449690521E-2</v>
      </c>
      <c r="Q199" s="9">
        <f t="shared" si="65"/>
        <v>0</v>
      </c>
      <c r="R199" s="9">
        <f t="shared" si="66"/>
        <v>-2.7953196449690521E-2</v>
      </c>
      <c r="S199" s="9">
        <f t="shared" si="67"/>
        <v>0</v>
      </c>
      <c r="T199" s="10">
        <f t="shared" si="53"/>
        <v>0.71074249463362271</v>
      </c>
      <c r="U199" s="10">
        <f t="shared" si="54"/>
        <v>0.20590772935941914</v>
      </c>
      <c r="V199" s="10">
        <f t="shared" si="55"/>
        <v>-0.16205311945635303</v>
      </c>
      <c r="W199" s="10">
        <f t="shared" si="56"/>
        <v>0.7153458687125348</v>
      </c>
      <c r="X199" s="10">
        <f t="shared" si="57"/>
        <v>1.1529582734694199</v>
      </c>
      <c r="Y199" s="10">
        <f t="shared" si="58"/>
        <v>0.68267528326354054</v>
      </c>
      <c r="Z199" s="10">
        <f t="shared" si="59"/>
        <v>-1.1529582734694199</v>
      </c>
      <c r="AA199" s="10">
        <f t="shared" si="60"/>
        <v>-0.68267528326354054</v>
      </c>
      <c r="AB199" s="7">
        <f t="shared" si="69"/>
        <v>1.4699429732492224</v>
      </c>
      <c r="AC199" s="7">
        <v>1.6952860253908739</v>
      </c>
    </row>
    <row r="200" spans="1:29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11">
        <v>-1</v>
      </c>
      <c r="I200" s="11">
        <v>1</v>
      </c>
      <c r="J200" s="12">
        <v>-1</v>
      </c>
      <c r="K200" s="12">
        <v>1</v>
      </c>
      <c r="L200" s="9">
        <f t="shared" si="68"/>
        <v>0</v>
      </c>
      <c r="M200" s="9">
        <f t="shared" si="61"/>
        <v>1.6460889887104371E-3</v>
      </c>
      <c r="N200" s="9">
        <f t="shared" si="62"/>
        <v>0</v>
      </c>
      <c r="O200" s="9">
        <f t="shared" si="63"/>
        <v>-1.2744780484765791E-2</v>
      </c>
      <c r="P200" s="9">
        <f t="shared" si="64"/>
        <v>8.5786419607747355E-4</v>
      </c>
      <c r="Q200" s="9">
        <f t="shared" si="65"/>
        <v>0</v>
      </c>
      <c r="R200" s="9">
        <f t="shared" si="66"/>
        <v>-8.5786419607747355E-4</v>
      </c>
      <c r="S200" s="9">
        <f t="shared" si="67"/>
        <v>0</v>
      </c>
      <c r="T200" s="10">
        <f t="shared" si="53"/>
        <v>0.71074249463362271</v>
      </c>
      <c r="U200" s="10">
        <f t="shared" si="54"/>
        <v>0.20755381834812958</v>
      </c>
      <c r="V200" s="10">
        <f t="shared" si="55"/>
        <v>-0.16205311945635303</v>
      </c>
      <c r="W200" s="10">
        <f t="shared" si="56"/>
        <v>0.70260108822776901</v>
      </c>
      <c r="X200" s="10">
        <f t="shared" si="57"/>
        <v>1.1538161376654974</v>
      </c>
      <c r="Y200" s="10">
        <f t="shared" si="58"/>
        <v>0.68267528326354054</v>
      </c>
      <c r="Z200" s="10">
        <f t="shared" si="59"/>
        <v>-1.1538161376654974</v>
      </c>
      <c r="AA200" s="10">
        <f t="shared" si="60"/>
        <v>-0.68267528326354054</v>
      </c>
      <c r="AB200" s="7">
        <f t="shared" si="69"/>
        <v>1.458844281753167</v>
      </c>
      <c r="AC200" s="7">
        <v>1.727449271643505</v>
      </c>
    </row>
    <row r="201" spans="1:29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11">
        <v>1</v>
      </c>
      <c r="I201" s="11">
        <v>-1</v>
      </c>
      <c r="J201" s="12">
        <v>1</v>
      </c>
      <c r="K201" s="12">
        <v>1</v>
      </c>
      <c r="L201" s="9">
        <f t="shared" si="68"/>
        <v>-7.6770919622154432E-3</v>
      </c>
      <c r="M201" s="9">
        <f t="shared" si="61"/>
        <v>0</v>
      </c>
      <c r="N201" s="9">
        <f t="shared" si="62"/>
        <v>-2.8159385034979612E-2</v>
      </c>
      <c r="O201" s="9">
        <f t="shared" si="63"/>
        <v>0</v>
      </c>
      <c r="P201" s="9">
        <f t="shared" si="64"/>
        <v>0</v>
      </c>
      <c r="Q201" s="9">
        <f t="shared" si="65"/>
        <v>1.31757476410046E-2</v>
      </c>
      <c r="R201" s="9">
        <f t="shared" si="66"/>
        <v>0</v>
      </c>
      <c r="S201" s="9">
        <f t="shared" si="67"/>
        <v>-1.31757476410046E-2</v>
      </c>
      <c r="T201" s="10">
        <f t="shared" si="53"/>
        <v>0.70306540267140727</v>
      </c>
      <c r="U201" s="10">
        <f t="shared" si="54"/>
        <v>0.20755381834812958</v>
      </c>
      <c r="V201" s="10">
        <f t="shared" si="55"/>
        <v>-0.19021250449133265</v>
      </c>
      <c r="W201" s="10">
        <f t="shared" si="56"/>
        <v>0.70260108822776901</v>
      </c>
      <c r="X201" s="10">
        <f t="shared" si="57"/>
        <v>1.1538161376654974</v>
      </c>
      <c r="Y201" s="10">
        <f t="shared" si="58"/>
        <v>0.69585103090454514</v>
      </c>
      <c r="Z201" s="10">
        <f t="shared" si="59"/>
        <v>-1.1538161376654974</v>
      </c>
      <c r="AA201" s="10">
        <f t="shared" si="60"/>
        <v>-0.69585103090454514</v>
      </c>
      <c r="AB201" s="7">
        <f t="shared" si="69"/>
        <v>1.423007804755972</v>
      </c>
      <c r="AC201" s="7">
        <v>1.745946795327026</v>
      </c>
    </row>
    <row r="202" spans="1:29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11">
        <v>-1</v>
      </c>
      <c r="I202" s="11">
        <v>1</v>
      </c>
      <c r="J202" s="12">
        <v>-1</v>
      </c>
      <c r="K202" s="12">
        <v>-1</v>
      </c>
      <c r="L202" s="9">
        <f t="shared" si="68"/>
        <v>0</v>
      </c>
      <c r="M202" s="9">
        <f t="shared" si="61"/>
        <v>-1.2891173176882381E-2</v>
      </c>
      <c r="N202" s="9">
        <f t="shared" si="62"/>
        <v>0</v>
      </c>
      <c r="O202" s="9">
        <f t="shared" si="63"/>
        <v>1.0971627800424599E-2</v>
      </c>
      <c r="P202" s="9">
        <f t="shared" si="64"/>
        <v>2.1416237895486079E-2</v>
      </c>
      <c r="Q202" s="9">
        <f t="shared" si="65"/>
        <v>0</v>
      </c>
      <c r="R202" s="9">
        <f t="shared" si="66"/>
        <v>-2.1416237895486079E-2</v>
      </c>
      <c r="S202" s="9">
        <f t="shared" si="67"/>
        <v>0</v>
      </c>
      <c r="T202" s="10">
        <f t="shared" si="53"/>
        <v>0.70306540267140727</v>
      </c>
      <c r="U202" s="10">
        <f t="shared" si="54"/>
        <v>0.19466264517124721</v>
      </c>
      <c r="V202" s="10">
        <f t="shared" si="55"/>
        <v>-0.19021250449133265</v>
      </c>
      <c r="W202" s="10">
        <f t="shared" si="56"/>
        <v>0.71357271602819361</v>
      </c>
      <c r="X202" s="10">
        <f t="shared" si="57"/>
        <v>1.1752323755609835</v>
      </c>
      <c r="Y202" s="10">
        <f t="shared" si="58"/>
        <v>0.69585103090454514</v>
      </c>
      <c r="Z202" s="10">
        <f t="shared" si="59"/>
        <v>-1.1752323755609835</v>
      </c>
      <c r="AA202" s="10">
        <f t="shared" si="60"/>
        <v>-0.69585103090454514</v>
      </c>
      <c r="AB202" s="7">
        <f t="shared" si="69"/>
        <v>1.4210882593795142</v>
      </c>
      <c r="AC202" s="7">
        <v>1.78617583793178</v>
      </c>
    </row>
    <row r="203" spans="1:29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11">
        <v>1</v>
      </c>
      <c r="I203" s="11">
        <v>-1</v>
      </c>
      <c r="J203" s="12">
        <v>1</v>
      </c>
      <c r="K203" s="12">
        <v>1</v>
      </c>
      <c r="L203" s="9">
        <f t="shared" si="68"/>
        <v>-3.9777113255939467E-2</v>
      </c>
      <c r="M203" s="9">
        <f t="shared" si="61"/>
        <v>0</v>
      </c>
      <c r="N203" s="9">
        <f t="shared" si="62"/>
        <v>-4.9192841503328921E-2</v>
      </c>
      <c r="O203" s="9">
        <f t="shared" si="63"/>
        <v>0</v>
      </c>
      <c r="P203" s="9">
        <f t="shared" si="64"/>
        <v>0</v>
      </c>
      <c r="Q203" s="9">
        <f t="shared" si="65"/>
        <v>2.0702850534254139E-2</v>
      </c>
      <c r="R203" s="9">
        <f t="shared" si="66"/>
        <v>0</v>
      </c>
      <c r="S203" s="9">
        <f t="shared" si="67"/>
        <v>-2.0702850534254139E-2</v>
      </c>
      <c r="T203" s="10">
        <f t="shared" si="53"/>
        <v>0.6632882894154678</v>
      </c>
      <c r="U203" s="10">
        <f t="shared" si="54"/>
        <v>0.19466264517124721</v>
      </c>
      <c r="V203" s="10">
        <f t="shared" si="55"/>
        <v>-0.23940534599466157</v>
      </c>
      <c r="W203" s="10">
        <f t="shared" si="56"/>
        <v>0.71357271602819361</v>
      </c>
      <c r="X203" s="10">
        <f t="shared" si="57"/>
        <v>1.1752323755609835</v>
      </c>
      <c r="Y203" s="10">
        <f t="shared" si="58"/>
        <v>0.71655388143879928</v>
      </c>
      <c r="Z203" s="10">
        <f t="shared" si="59"/>
        <v>-1.1752323755609835</v>
      </c>
      <c r="AA203" s="10">
        <f t="shared" si="60"/>
        <v>-0.71655388143879928</v>
      </c>
      <c r="AB203" s="7">
        <f t="shared" si="69"/>
        <v>1.3321183046202458</v>
      </c>
      <c r="AC203" s="7">
        <v>1.7212753840628769</v>
      </c>
    </row>
    <row r="204" spans="1:29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11">
        <v>-1</v>
      </c>
      <c r="I204" s="11">
        <v>1</v>
      </c>
      <c r="J204" s="12">
        <v>-1</v>
      </c>
      <c r="K204" s="12">
        <v>-1</v>
      </c>
      <c r="L204" s="9">
        <f t="shared" si="68"/>
        <v>0</v>
      </c>
      <c r="M204" s="9">
        <f t="shared" si="61"/>
        <v>3.338140846534277E-3</v>
      </c>
      <c r="N204" s="9">
        <f t="shared" si="62"/>
        <v>0</v>
      </c>
      <c r="O204" s="9">
        <f t="shared" si="63"/>
        <v>1.0523285845390419E-2</v>
      </c>
      <c r="P204" s="9">
        <f t="shared" si="64"/>
        <v>4.4335285985562238E-2</v>
      </c>
      <c r="Q204" s="9">
        <f t="shared" si="65"/>
        <v>0</v>
      </c>
      <c r="R204" s="9">
        <f t="shared" si="66"/>
        <v>-4.4335285985562238E-2</v>
      </c>
      <c r="S204" s="9">
        <f t="shared" si="67"/>
        <v>0</v>
      </c>
      <c r="T204" s="10">
        <f t="shared" si="53"/>
        <v>0.6632882894154678</v>
      </c>
      <c r="U204" s="10">
        <f t="shared" si="54"/>
        <v>0.19800078601778148</v>
      </c>
      <c r="V204" s="10">
        <f t="shared" si="55"/>
        <v>-0.23940534599466157</v>
      </c>
      <c r="W204" s="10">
        <f t="shared" si="56"/>
        <v>0.72409600187358403</v>
      </c>
      <c r="X204" s="10">
        <f t="shared" si="57"/>
        <v>1.2195676615465456</v>
      </c>
      <c r="Y204" s="10">
        <f t="shared" si="58"/>
        <v>0.71655388143879928</v>
      </c>
      <c r="Z204" s="10">
        <f t="shared" si="59"/>
        <v>-1.2195676615465456</v>
      </c>
      <c r="AA204" s="10">
        <f t="shared" si="60"/>
        <v>-0.71655388143879928</v>
      </c>
      <c r="AB204" s="7">
        <f t="shared" si="69"/>
        <v>1.3459797313121706</v>
      </c>
      <c r="AC204" s="7">
        <v>1.789084767299141</v>
      </c>
    </row>
    <row r="205" spans="1:29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11">
        <v>-1</v>
      </c>
      <c r="I205" s="11">
        <v>1</v>
      </c>
      <c r="J205" s="12">
        <v>-1</v>
      </c>
      <c r="K205" s="12">
        <v>1</v>
      </c>
      <c r="L205" s="9">
        <f t="shared" si="68"/>
        <v>0</v>
      </c>
      <c r="M205" s="9">
        <f t="shared" si="61"/>
        <v>1.4442548038223759E-3</v>
      </c>
      <c r="N205" s="9">
        <f t="shared" si="62"/>
        <v>0</v>
      </c>
      <c r="O205" s="9">
        <f t="shared" si="63"/>
        <v>7.248268766894439E-3</v>
      </c>
      <c r="P205" s="9">
        <f t="shared" si="64"/>
        <v>1.304516870355954E-2</v>
      </c>
      <c r="Q205" s="9">
        <f t="shared" si="65"/>
        <v>0</v>
      </c>
      <c r="R205" s="9">
        <f t="shared" si="66"/>
        <v>-1.304516870355954E-2</v>
      </c>
      <c r="S205" s="9">
        <f t="shared" si="67"/>
        <v>0</v>
      </c>
      <c r="T205" s="10">
        <f t="shared" si="53"/>
        <v>0.6632882894154678</v>
      </c>
      <c r="U205" s="10">
        <f t="shared" si="54"/>
        <v>0.19944504082160386</v>
      </c>
      <c r="V205" s="10">
        <f t="shared" si="55"/>
        <v>-0.23940534599466157</v>
      </c>
      <c r="W205" s="10">
        <f t="shared" si="56"/>
        <v>0.73134427064047847</v>
      </c>
      <c r="X205" s="10">
        <f t="shared" si="57"/>
        <v>1.2326128302501052</v>
      </c>
      <c r="Y205" s="10">
        <f t="shared" si="58"/>
        <v>0.71655388143879928</v>
      </c>
      <c r="Z205" s="10">
        <f t="shared" si="59"/>
        <v>-1.2326128302501052</v>
      </c>
      <c r="AA205" s="10">
        <f t="shared" si="60"/>
        <v>-0.71655388143879928</v>
      </c>
      <c r="AB205" s="7">
        <f t="shared" si="69"/>
        <v>1.3546722548828876</v>
      </c>
      <c r="AC205" s="7">
        <v>1.804396528437638</v>
      </c>
    </row>
    <row r="206" spans="1:29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11">
        <v>1</v>
      </c>
      <c r="I206" s="11">
        <v>-1</v>
      </c>
      <c r="J206" s="12">
        <v>1</v>
      </c>
      <c r="K206" s="12">
        <v>1</v>
      </c>
      <c r="L206" s="9">
        <f t="shared" si="68"/>
        <v>5.0981081936363193E-4</v>
      </c>
      <c r="M206" s="9">
        <f t="shared" si="61"/>
        <v>0</v>
      </c>
      <c r="N206" s="9">
        <f t="shared" si="62"/>
        <v>-1.8930473888803308E-2</v>
      </c>
      <c r="O206" s="9">
        <f t="shared" si="63"/>
        <v>0</v>
      </c>
      <c r="P206" s="9">
        <f t="shared" si="64"/>
        <v>0</v>
      </c>
      <c r="Q206" s="9">
        <f t="shared" si="65"/>
        <v>3.1696625135023908E-2</v>
      </c>
      <c r="R206" s="9">
        <f t="shared" si="66"/>
        <v>0</v>
      </c>
      <c r="S206" s="9">
        <f t="shared" si="67"/>
        <v>-3.1696625135023908E-2</v>
      </c>
      <c r="T206" s="10">
        <f t="shared" ref="T206:T269" si="70">L206+T205</f>
        <v>0.66379810023483143</v>
      </c>
      <c r="U206" s="10">
        <f t="shared" ref="U206:U269" si="71">M206+U205</f>
        <v>0.19944504082160386</v>
      </c>
      <c r="V206" s="10">
        <f t="shared" ref="V206:V269" si="72">N206+V205</f>
        <v>-0.25833581988346488</v>
      </c>
      <c r="W206" s="10">
        <f t="shared" ref="W206:W269" si="73">O206+W205</f>
        <v>0.73134427064047847</v>
      </c>
      <c r="X206" s="10">
        <f t="shared" ref="X206:X269" si="74">P206+X205</f>
        <v>1.2326128302501052</v>
      </c>
      <c r="Y206" s="10">
        <f t="shared" ref="Y206:Y269" si="75">Q206+Y205</f>
        <v>0.74825050657382319</v>
      </c>
      <c r="Z206" s="10">
        <f t="shared" ref="Z206:Z269" si="76">R206+Z205</f>
        <v>-1.2326128302501052</v>
      </c>
      <c r="AA206" s="10">
        <f t="shared" ref="AA206:AA269" si="77">S206+AA205</f>
        <v>-0.74825050657382319</v>
      </c>
      <c r="AB206" s="7">
        <f t="shared" si="69"/>
        <v>1.3362515918134479</v>
      </c>
      <c r="AC206" s="7">
        <v>1.7897466705676519</v>
      </c>
    </row>
    <row r="207" spans="1:29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11">
        <v>-1</v>
      </c>
      <c r="I207" s="11">
        <v>1</v>
      </c>
      <c r="J207" s="12">
        <v>-1</v>
      </c>
      <c r="K207" s="12">
        <v>-1</v>
      </c>
      <c r="L207" s="9">
        <f t="shared" si="68"/>
        <v>0</v>
      </c>
      <c r="M207" s="9">
        <f t="shared" si="61"/>
        <v>4.7651219580187032E-3</v>
      </c>
      <c r="N207" s="9">
        <f t="shared" si="62"/>
        <v>0</v>
      </c>
      <c r="O207" s="9">
        <f t="shared" si="63"/>
        <v>8.7705058723580587E-3</v>
      </c>
      <c r="P207" s="9">
        <f t="shared" si="64"/>
        <v>1.963398090446267E-2</v>
      </c>
      <c r="Q207" s="9">
        <f t="shared" si="65"/>
        <v>0</v>
      </c>
      <c r="R207" s="9">
        <f t="shared" si="66"/>
        <v>-1.963398090446267E-2</v>
      </c>
      <c r="S207" s="9">
        <f t="shared" si="67"/>
        <v>0</v>
      </c>
      <c r="T207" s="10">
        <f t="shared" si="70"/>
        <v>0.66379810023483143</v>
      </c>
      <c r="U207" s="10">
        <f t="shared" si="71"/>
        <v>0.20421016277962256</v>
      </c>
      <c r="V207" s="10">
        <f t="shared" si="72"/>
        <v>-0.25833581988346488</v>
      </c>
      <c r="W207" s="10">
        <f t="shared" si="73"/>
        <v>0.74011477651283653</v>
      </c>
      <c r="X207" s="10">
        <f t="shared" si="74"/>
        <v>1.2522468111545679</v>
      </c>
      <c r="Y207" s="10">
        <f t="shared" si="75"/>
        <v>0.74825050657382319</v>
      </c>
      <c r="Z207" s="10">
        <f t="shared" si="76"/>
        <v>-1.2522468111545679</v>
      </c>
      <c r="AA207" s="10">
        <f t="shared" si="77"/>
        <v>-0.74825050657382319</v>
      </c>
      <c r="AB207" s="7">
        <f t="shared" si="69"/>
        <v>1.3497872196438245</v>
      </c>
      <c r="AC207" s="7">
        <v>1.809307259758058</v>
      </c>
    </row>
    <row r="208" spans="1:29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11">
        <v>-1</v>
      </c>
      <c r="I208" s="11">
        <v>1</v>
      </c>
      <c r="J208" s="12">
        <v>-1</v>
      </c>
      <c r="K208" s="12">
        <v>1</v>
      </c>
      <c r="L208" s="9">
        <f t="shared" si="68"/>
        <v>0</v>
      </c>
      <c r="M208" s="9">
        <f t="shared" si="61"/>
        <v>-1.1115374898164051E-2</v>
      </c>
      <c r="N208" s="9">
        <f t="shared" si="62"/>
        <v>0</v>
      </c>
      <c r="O208" s="9">
        <f t="shared" si="63"/>
        <v>1.9643933721634092E-2</v>
      </c>
      <c r="P208" s="9">
        <f t="shared" si="64"/>
        <v>-1.2148748134702351E-2</v>
      </c>
      <c r="Q208" s="9">
        <f t="shared" si="65"/>
        <v>0</v>
      </c>
      <c r="R208" s="9">
        <f t="shared" si="66"/>
        <v>1.2148748134702351E-2</v>
      </c>
      <c r="S208" s="9">
        <f t="shared" si="67"/>
        <v>0</v>
      </c>
      <c r="T208" s="10">
        <f t="shared" si="70"/>
        <v>0.66379810023483143</v>
      </c>
      <c r="U208" s="10">
        <f t="shared" si="71"/>
        <v>0.19309478788145851</v>
      </c>
      <c r="V208" s="10">
        <f t="shared" si="72"/>
        <v>-0.25833581988346488</v>
      </c>
      <c r="W208" s="10">
        <f t="shared" si="73"/>
        <v>0.75975871023447061</v>
      </c>
      <c r="X208" s="10">
        <f t="shared" si="74"/>
        <v>1.2400980630198655</v>
      </c>
      <c r="Y208" s="10">
        <f t="shared" si="75"/>
        <v>0.74825050657382319</v>
      </c>
      <c r="Z208" s="10">
        <f t="shared" si="76"/>
        <v>-1.2400980630198655</v>
      </c>
      <c r="AA208" s="10">
        <f t="shared" si="77"/>
        <v>-0.74825050657382319</v>
      </c>
      <c r="AB208" s="7">
        <f t="shared" si="69"/>
        <v>1.3583157784672946</v>
      </c>
      <c r="AC208" s="7">
        <v>1.8319075275220931</v>
      </c>
    </row>
    <row r="209" spans="1:29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11">
        <v>-1</v>
      </c>
      <c r="I209" s="11">
        <v>1</v>
      </c>
      <c r="J209" s="12">
        <v>-1</v>
      </c>
      <c r="K209" s="12">
        <v>1</v>
      </c>
      <c r="L209" s="9">
        <f t="shared" si="68"/>
        <v>0</v>
      </c>
      <c r="M209" s="9">
        <f t="shared" si="61"/>
        <v>-1.298848792926977E-2</v>
      </c>
      <c r="N209" s="9">
        <f t="shared" si="62"/>
        <v>0</v>
      </c>
      <c r="O209" s="9">
        <f t="shared" si="63"/>
        <v>5.02572900614906E-3</v>
      </c>
      <c r="P209" s="9">
        <f t="shared" si="64"/>
        <v>1.591992993951008E-2</v>
      </c>
      <c r="Q209" s="9">
        <f t="shared" si="65"/>
        <v>0</v>
      </c>
      <c r="R209" s="9">
        <f t="shared" si="66"/>
        <v>-1.591992993951008E-2</v>
      </c>
      <c r="S209" s="9">
        <f t="shared" si="67"/>
        <v>0</v>
      </c>
      <c r="T209" s="10">
        <f t="shared" si="70"/>
        <v>0.66379810023483143</v>
      </c>
      <c r="U209" s="10">
        <f t="shared" si="71"/>
        <v>0.18010629995218874</v>
      </c>
      <c r="V209" s="10">
        <f t="shared" si="72"/>
        <v>-0.25833581988346488</v>
      </c>
      <c r="W209" s="10">
        <f t="shared" si="73"/>
        <v>0.76478443924061967</v>
      </c>
      <c r="X209" s="10">
        <f t="shared" si="74"/>
        <v>1.2560179929593756</v>
      </c>
      <c r="Y209" s="10">
        <f t="shared" si="75"/>
        <v>0.74825050657382319</v>
      </c>
      <c r="Z209" s="10">
        <f t="shared" si="76"/>
        <v>-1.2560179929593756</v>
      </c>
      <c r="AA209" s="10">
        <f t="shared" si="77"/>
        <v>-0.74825050657382319</v>
      </c>
      <c r="AB209" s="7">
        <f t="shared" si="69"/>
        <v>1.3503530195441737</v>
      </c>
      <c r="AC209" s="7">
        <v>1.8676180512986811</v>
      </c>
    </row>
    <row r="210" spans="1:29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11">
        <v>-1</v>
      </c>
      <c r="I210" s="11">
        <v>1</v>
      </c>
      <c r="J210" s="12">
        <v>-1</v>
      </c>
      <c r="K210" s="12">
        <v>1</v>
      </c>
      <c r="L210" s="9">
        <f t="shared" si="68"/>
        <v>0</v>
      </c>
      <c r="M210" s="9">
        <f t="shared" si="61"/>
        <v>-3.550513197692617E-3</v>
      </c>
      <c r="N210" s="9">
        <f t="shared" si="62"/>
        <v>0</v>
      </c>
      <c r="O210" s="9">
        <f t="shared" si="63"/>
        <v>-8.5348301612558908E-3</v>
      </c>
      <c r="P210" s="9">
        <f t="shared" si="64"/>
        <v>1.90126907208954E-3</v>
      </c>
      <c r="Q210" s="9">
        <f t="shared" si="65"/>
        <v>0</v>
      </c>
      <c r="R210" s="9">
        <f t="shared" si="66"/>
        <v>-1.90126907208954E-3</v>
      </c>
      <c r="S210" s="9">
        <f t="shared" si="67"/>
        <v>0</v>
      </c>
      <c r="T210" s="10">
        <f t="shared" si="70"/>
        <v>0.66379810023483143</v>
      </c>
      <c r="U210" s="10">
        <f t="shared" si="71"/>
        <v>0.17655578675449612</v>
      </c>
      <c r="V210" s="10">
        <f t="shared" si="72"/>
        <v>-0.25833581988346488</v>
      </c>
      <c r="W210" s="10">
        <f t="shared" si="73"/>
        <v>0.75624960907936378</v>
      </c>
      <c r="X210" s="10">
        <f t="shared" si="74"/>
        <v>1.2579192620314652</v>
      </c>
      <c r="Y210" s="10">
        <f t="shared" si="75"/>
        <v>0.74825050657382319</v>
      </c>
      <c r="Z210" s="10">
        <f t="shared" si="76"/>
        <v>-1.2579192620314652</v>
      </c>
      <c r="AA210" s="10">
        <f t="shared" si="77"/>
        <v>-0.74825050657382319</v>
      </c>
      <c r="AB210" s="7">
        <f t="shared" si="69"/>
        <v>1.3382676761852252</v>
      </c>
      <c r="AC210" s="7">
        <v>1.8965020601716569</v>
      </c>
    </row>
    <row r="211" spans="1:29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11">
        <v>1</v>
      </c>
      <c r="I211" s="11">
        <v>-1</v>
      </c>
      <c r="J211" s="12">
        <v>1</v>
      </c>
      <c r="K211" s="12">
        <v>1</v>
      </c>
      <c r="L211" s="9">
        <f t="shared" si="68"/>
        <v>-3.0181610082432479E-2</v>
      </c>
      <c r="M211" s="9">
        <f t="shared" si="61"/>
        <v>0</v>
      </c>
      <c r="N211" s="9">
        <f t="shared" si="62"/>
        <v>-3.4859425718876902E-2</v>
      </c>
      <c r="O211" s="9">
        <f t="shared" si="63"/>
        <v>0</v>
      </c>
      <c r="P211" s="9">
        <f t="shared" si="64"/>
        <v>0</v>
      </c>
      <c r="Q211" s="9">
        <f t="shared" si="65"/>
        <v>-8.1123348560113717E-3</v>
      </c>
      <c r="R211" s="9">
        <f t="shared" si="66"/>
        <v>0</v>
      </c>
      <c r="S211" s="9">
        <f t="shared" si="67"/>
        <v>8.1123348560113717E-3</v>
      </c>
      <c r="T211" s="10">
        <f t="shared" si="70"/>
        <v>0.63361649015239896</v>
      </c>
      <c r="U211" s="10">
        <f t="shared" si="71"/>
        <v>0.17655578675449612</v>
      </c>
      <c r="V211" s="10">
        <f t="shared" si="72"/>
        <v>-0.29319524560234178</v>
      </c>
      <c r="W211" s="10">
        <f t="shared" si="73"/>
        <v>0.75624960907936378</v>
      </c>
      <c r="X211" s="10">
        <f t="shared" si="74"/>
        <v>1.2579192620314652</v>
      </c>
      <c r="Y211" s="10">
        <f t="shared" si="75"/>
        <v>0.74013817171781182</v>
      </c>
      <c r="Z211" s="10">
        <f t="shared" si="76"/>
        <v>-1.2579192620314652</v>
      </c>
      <c r="AA211" s="10">
        <f t="shared" si="77"/>
        <v>-0.74013817171781182</v>
      </c>
      <c r="AB211" s="7">
        <f t="shared" si="69"/>
        <v>1.2732266403839159</v>
      </c>
      <c r="AC211" s="7">
        <v>1.8966885767057611</v>
      </c>
    </row>
    <row r="212" spans="1:29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11">
        <v>1</v>
      </c>
      <c r="I212" s="11">
        <v>-1</v>
      </c>
      <c r="J212" s="12">
        <v>1</v>
      </c>
      <c r="K212" s="12">
        <v>-1</v>
      </c>
      <c r="L212" s="9">
        <f t="shared" si="68"/>
        <v>-8.309359927727189E-2</v>
      </c>
      <c r="M212" s="9">
        <f t="shared" si="61"/>
        <v>0</v>
      </c>
      <c r="N212" s="9">
        <f t="shared" si="62"/>
        <v>-3.3460520555865243E-2</v>
      </c>
      <c r="O212" s="9">
        <f t="shared" si="63"/>
        <v>0</v>
      </c>
      <c r="P212" s="9">
        <f t="shared" si="64"/>
        <v>0</v>
      </c>
      <c r="Q212" s="9">
        <f t="shared" si="65"/>
        <v>-3.2252934734914973E-2</v>
      </c>
      <c r="R212" s="9">
        <f t="shared" si="66"/>
        <v>0</v>
      </c>
      <c r="S212" s="9">
        <f t="shared" si="67"/>
        <v>3.2252934734914973E-2</v>
      </c>
      <c r="T212" s="10">
        <f t="shared" si="70"/>
        <v>0.55052289087512707</v>
      </c>
      <c r="U212" s="10">
        <f t="shared" si="71"/>
        <v>0.17655578675449612</v>
      </c>
      <c r="V212" s="10">
        <f t="shared" si="72"/>
        <v>-0.32665576615820702</v>
      </c>
      <c r="W212" s="10">
        <f t="shared" si="73"/>
        <v>0.75624960907936378</v>
      </c>
      <c r="X212" s="10">
        <f t="shared" si="74"/>
        <v>1.2579192620314652</v>
      </c>
      <c r="Y212" s="10">
        <f t="shared" si="75"/>
        <v>0.70788523698289685</v>
      </c>
      <c r="Z212" s="10">
        <f t="shared" si="76"/>
        <v>-1.2579192620314652</v>
      </c>
      <c r="AA212" s="10">
        <f t="shared" si="77"/>
        <v>-0.70788523698289685</v>
      </c>
      <c r="AB212" s="7">
        <f t="shared" si="69"/>
        <v>1.1566725205507788</v>
      </c>
      <c r="AC212" s="7">
        <v>1.8166565954725951</v>
      </c>
    </row>
    <row r="213" spans="1:29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11">
        <v>1</v>
      </c>
      <c r="I213" s="11">
        <v>-1</v>
      </c>
      <c r="J213" s="12">
        <v>1</v>
      </c>
      <c r="K213" s="12">
        <v>-1</v>
      </c>
      <c r="L213" s="9">
        <f t="shared" si="68"/>
        <v>0.12617956872831779</v>
      </c>
      <c r="M213" s="9">
        <f t="shared" si="61"/>
        <v>0</v>
      </c>
      <c r="N213" s="9">
        <f t="shared" si="62"/>
        <v>-3.5592340462273893E-2</v>
      </c>
      <c r="O213" s="9">
        <f t="shared" si="63"/>
        <v>0</v>
      </c>
      <c r="P213" s="9">
        <f t="shared" si="64"/>
        <v>0</v>
      </c>
      <c r="Q213" s="9">
        <f t="shared" si="65"/>
        <v>-6.9343987070509261E-3</v>
      </c>
      <c r="R213" s="9">
        <f t="shared" si="66"/>
        <v>0</v>
      </c>
      <c r="S213" s="9">
        <f t="shared" si="67"/>
        <v>6.9343987070509261E-3</v>
      </c>
      <c r="T213" s="10">
        <f t="shared" si="70"/>
        <v>0.67670245960344488</v>
      </c>
      <c r="U213" s="10">
        <f t="shared" si="71"/>
        <v>0.17655578675449612</v>
      </c>
      <c r="V213" s="10">
        <f t="shared" si="72"/>
        <v>-0.3622481066204809</v>
      </c>
      <c r="W213" s="10">
        <f t="shared" si="73"/>
        <v>0.75624960907936378</v>
      </c>
      <c r="X213" s="10">
        <f t="shared" si="74"/>
        <v>1.2579192620314652</v>
      </c>
      <c r="Y213" s="10">
        <f t="shared" si="75"/>
        <v>0.70095083827584592</v>
      </c>
      <c r="Z213" s="10">
        <f t="shared" si="76"/>
        <v>-1.2579192620314652</v>
      </c>
      <c r="AA213" s="10">
        <f t="shared" si="77"/>
        <v>-0.70095083827584592</v>
      </c>
      <c r="AB213" s="7">
        <f t="shared" si="69"/>
        <v>1.2472597488168227</v>
      </c>
      <c r="AC213" s="7">
        <v>1.717447693203626</v>
      </c>
    </row>
    <row r="214" spans="1:29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11">
        <v>-1</v>
      </c>
      <c r="I214" s="11">
        <v>1</v>
      </c>
      <c r="J214" s="12">
        <v>-1</v>
      </c>
      <c r="K214" s="12">
        <v>-1</v>
      </c>
      <c r="L214" s="9">
        <f t="shared" si="68"/>
        <v>0</v>
      </c>
      <c r="M214" s="9">
        <f t="shared" si="61"/>
        <v>-4.055448493089564E-2</v>
      </c>
      <c r="N214" s="9">
        <f t="shared" si="62"/>
        <v>0</v>
      </c>
      <c r="O214" s="9">
        <f t="shared" si="63"/>
        <v>-1.631271156349301E-2</v>
      </c>
      <c r="P214" s="9">
        <f t="shared" si="64"/>
        <v>3.180206779905681E-2</v>
      </c>
      <c r="Q214" s="9">
        <f t="shared" si="65"/>
        <v>0</v>
      </c>
      <c r="R214" s="9">
        <f t="shared" si="66"/>
        <v>-3.180206779905681E-2</v>
      </c>
      <c r="S214" s="9">
        <f t="shared" si="67"/>
        <v>0</v>
      </c>
      <c r="T214" s="10">
        <f t="shared" si="70"/>
        <v>0.67670245960344488</v>
      </c>
      <c r="U214" s="10">
        <f t="shared" si="71"/>
        <v>0.13600130182360048</v>
      </c>
      <c r="V214" s="10">
        <f t="shared" si="72"/>
        <v>-0.3622481066204809</v>
      </c>
      <c r="W214" s="10">
        <f t="shared" si="73"/>
        <v>0.73993689751587077</v>
      </c>
      <c r="X214" s="10">
        <f t="shared" si="74"/>
        <v>1.2897213298305221</v>
      </c>
      <c r="Y214" s="10">
        <f t="shared" si="75"/>
        <v>0.70095083827584592</v>
      </c>
      <c r="Z214" s="10">
        <f t="shared" si="76"/>
        <v>-1.2897213298305221</v>
      </c>
      <c r="AA214" s="10">
        <f t="shared" si="77"/>
        <v>-0.70095083827584592</v>
      </c>
      <c r="AB214" s="7">
        <f t="shared" si="69"/>
        <v>1.1903925523224341</v>
      </c>
      <c r="AC214" s="7">
        <v>1.8437579022913879</v>
      </c>
    </row>
    <row r="215" spans="1:29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11">
        <v>-1</v>
      </c>
      <c r="I215" s="11">
        <v>1</v>
      </c>
      <c r="J215" s="12">
        <v>-1</v>
      </c>
      <c r="K215" s="12">
        <v>1</v>
      </c>
      <c r="L215" s="9">
        <f t="shared" si="68"/>
        <v>0</v>
      </c>
      <c r="M215" s="9">
        <f t="shared" si="61"/>
        <v>-3.1709685465570632E-2</v>
      </c>
      <c r="N215" s="9">
        <f t="shared" si="62"/>
        <v>0</v>
      </c>
      <c r="O215" s="9">
        <f t="shared" si="63"/>
        <v>-5.7689029307027573E-3</v>
      </c>
      <c r="P215" s="9">
        <f t="shared" si="64"/>
        <v>-9.187622288678976E-3</v>
      </c>
      <c r="Q215" s="9">
        <f t="shared" si="65"/>
        <v>0</v>
      </c>
      <c r="R215" s="9">
        <f t="shared" si="66"/>
        <v>9.187622288678976E-3</v>
      </c>
      <c r="S215" s="9">
        <f t="shared" si="67"/>
        <v>0</v>
      </c>
      <c r="T215" s="10">
        <f t="shared" si="70"/>
        <v>0.67670245960344488</v>
      </c>
      <c r="U215" s="10">
        <f t="shared" si="71"/>
        <v>0.10429161635802986</v>
      </c>
      <c r="V215" s="10">
        <f t="shared" si="72"/>
        <v>-0.3622481066204809</v>
      </c>
      <c r="W215" s="10">
        <f t="shared" si="73"/>
        <v>0.73416799458516802</v>
      </c>
      <c r="X215" s="10">
        <f t="shared" si="74"/>
        <v>1.280533707541843</v>
      </c>
      <c r="Y215" s="10">
        <f t="shared" si="75"/>
        <v>0.70095083827584592</v>
      </c>
      <c r="Z215" s="10">
        <f t="shared" si="76"/>
        <v>-1.280533707541843</v>
      </c>
      <c r="AA215" s="10">
        <f t="shared" si="77"/>
        <v>-0.70095083827584592</v>
      </c>
      <c r="AB215" s="7">
        <f t="shared" si="69"/>
        <v>1.1529139639261607</v>
      </c>
      <c r="AC215" s="7">
        <v>1.892250775572428</v>
      </c>
    </row>
    <row r="216" spans="1:29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11">
        <v>-1</v>
      </c>
      <c r="I216" s="11">
        <v>1</v>
      </c>
      <c r="J216" s="12">
        <v>-1</v>
      </c>
      <c r="K216" s="12">
        <v>1</v>
      </c>
      <c r="L216" s="9">
        <f t="shared" si="68"/>
        <v>0</v>
      </c>
      <c r="M216" s="9">
        <f t="shared" si="61"/>
        <v>1.364660738711887E-5</v>
      </c>
      <c r="N216" s="9">
        <f t="shared" si="62"/>
        <v>0</v>
      </c>
      <c r="O216" s="9">
        <f t="shared" si="63"/>
        <v>9.5973114134728643E-3</v>
      </c>
      <c r="P216" s="9">
        <f t="shared" si="64"/>
        <v>4.8632860728509808E-2</v>
      </c>
      <c r="Q216" s="9">
        <f t="shared" si="65"/>
        <v>0</v>
      </c>
      <c r="R216" s="9">
        <f t="shared" si="66"/>
        <v>-4.8632860728509808E-2</v>
      </c>
      <c r="S216" s="9">
        <f t="shared" si="67"/>
        <v>0</v>
      </c>
      <c r="T216" s="10">
        <f t="shared" si="70"/>
        <v>0.67670245960344488</v>
      </c>
      <c r="U216" s="10">
        <f t="shared" si="71"/>
        <v>0.10430526296541698</v>
      </c>
      <c r="V216" s="10">
        <f t="shared" si="72"/>
        <v>-0.3622481066204809</v>
      </c>
      <c r="W216" s="10">
        <f t="shared" si="73"/>
        <v>0.74376530599864088</v>
      </c>
      <c r="X216" s="10">
        <f t="shared" si="74"/>
        <v>1.3291665682703528</v>
      </c>
      <c r="Y216" s="10">
        <f t="shared" si="75"/>
        <v>0.70095083827584592</v>
      </c>
      <c r="Z216" s="10">
        <f t="shared" si="76"/>
        <v>-1.3291665682703528</v>
      </c>
      <c r="AA216" s="10">
        <f t="shared" si="77"/>
        <v>-0.70095083827584592</v>
      </c>
      <c r="AB216" s="7">
        <f t="shared" si="69"/>
        <v>1.1625249219470208</v>
      </c>
      <c r="AC216" s="7">
        <v>1.913347088120136</v>
      </c>
    </row>
    <row r="217" spans="1:29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11">
        <v>-1</v>
      </c>
      <c r="I217" s="11">
        <v>1</v>
      </c>
      <c r="J217" s="12">
        <v>-1</v>
      </c>
      <c r="K217" s="12">
        <v>1</v>
      </c>
      <c r="L217" s="9">
        <f t="shared" si="68"/>
        <v>0</v>
      </c>
      <c r="M217" s="9">
        <f t="shared" si="61"/>
        <v>7.8944200111852325E-4</v>
      </c>
      <c r="N217" s="9">
        <f t="shared" si="62"/>
        <v>0</v>
      </c>
      <c r="O217" s="9">
        <f t="shared" si="63"/>
        <v>1.907180820279453E-2</v>
      </c>
      <c r="P217" s="9">
        <f t="shared" si="64"/>
        <v>2.5283718016310349E-2</v>
      </c>
      <c r="Q217" s="9">
        <f t="shared" si="65"/>
        <v>0</v>
      </c>
      <c r="R217" s="9">
        <f t="shared" si="66"/>
        <v>-2.5283718016310349E-2</v>
      </c>
      <c r="S217" s="9">
        <f t="shared" si="67"/>
        <v>0</v>
      </c>
      <c r="T217" s="10">
        <f t="shared" si="70"/>
        <v>0.67670245960344488</v>
      </c>
      <c r="U217" s="10">
        <f t="shared" si="71"/>
        <v>0.1050947049665355</v>
      </c>
      <c r="V217" s="10">
        <f t="shared" si="72"/>
        <v>-0.3622481066204809</v>
      </c>
      <c r="W217" s="10">
        <f t="shared" si="73"/>
        <v>0.76283711420143541</v>
      </c>
      <c r="X217" s="10">
        <f t="shared" si="74"/>
        <v>1.3544502862866632</v>
      </c>
      <c r="Y217" s="10">
        <f t="shared" si="75"/>
        <v>0.70095083827584592</v>
      </c>
      <c r="Z217" s="10">
        <f t="shared" si="76"/>
        <v>-1.3544502862866632</v>
      </c>
      <c r="AA217" s="10">
        <f t="shared" si="77"/>
        <v>-0.70095083827584592</v>
      </c>
      <c r="AB217" s="7">
        <f t="shared" si="69"/>
        <v>1.1823861721509339</v>
      </c>
      <c r="AC217" s="7">
        <v>1.9713533680124891</v>
      </c>
    </row>
    <row r="218" spans="1:29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11">
        <v>-1</v>
      </c>
      <c r="I218" s="11">
        <v>1</v>
      </c>
      <c r="J218" s="12">
        <v>-1</v>
      </c>
      <c r="K218" s="12">
        <v>1</v>
      </c>
      <c r="L218" s="9">
        <f t="shared" si="68"/>
        <v>0</v>
      </c>
      <c r="M218" s="9">
        <f t="shared" si="61"/>
        <v>-2.868134432505753E-2</v>
      </c>
      <c r="N218" s="9">
        <f t="shared" si="62"/>
        <v>0</v>
      </c>
      <c r="O218" s="9">
        <f t="shared" si="63"/>
        <v>-2.4216499146975878E-2</v>
      </c>
      <c r="P218" s="9">
        <f t="shared" si="64"/>
        <v>2.4428279126085251E-2</v>
      </c>
      <c r="Q218" s="9">
        <f t="shared" si="65"/>
        <v>0</v>
      </c>
      <c r="R218" s="9">
        <f t="shared" si="66"/>
        <v>-2.4428279126085251E-2</v>
      </c>
      <c r="S218" s="9">
        <f t="shared" si="67"/>
        <v>0</v>
      </c>
      <c r="T218" s="10">
        <f t="shared" si="70"/>
        <v>0.67670245960344488</v>
      </c>
      <c r="U218" s="10">
        <f t="shared" si="71"/>
        <v>7.6413360641477968E-2</v>
      </c>
      <c r="V218" s="10">
        <f t="shared" si="72"/>
        <v>-0.3622481066204809</v>
      </c>
      <c r="W218" s="10">
        <f t="shared" si="73"/>
        <v>0.73862061505445953</v>
      </c>
      <c r="X218" s="10">
        <f t="shared" si="74"/>
        <v>1.3788785654127484</v>
      </c>
      <c r="Y218" s="10">
        <f t="shared" si="75"/>
        <v>0.70095083827584592</v>
      </c>
      <c r="Z218" s="10">
        <f t="shared" si="76"/>
        <v>-1.3788785654127484</v>
      </c>
      <c r="AA218" s="10">
        <f t="shared" si="77"/>
        <v>-0.70095083827584592</v>
      </c>
      <c r="AB218" s="7">
        <f t="shared" si="69"/>
        <v>1.1294883286789004</v>
      </c>
      <c r="AC218" s="7">
        <v>2.039195901888454</v>
      </c>
    </row>
    <row r="219" spans="1:29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11">
        <v>1</v>
      </c>
      <c r="I219" s="11">
        <v>-1</v>
      </c>
      <c r="J219" s="12">
        <v>1</v>
      </c>
      <c r="K219" s="12">
        <v>1</v>
      </c>
      <c r="L219" s="9">
        <f t="shared" si="68"/>
        <v>1.438680298905215E-2</v>
      </c>
      <c r="M219" s="9">
        <f t="shared" si="61"/>
        <v>0</v>
      </c>
      <c r="N219" s="9">
        <f t="shared" si="62"/>
        <v>6.1083737294953533E-3</v>
      </c>
      <c r="O219" s="9">
        <f t="shared" si="63"/>
        <v>0</v>
      </c>
      <c r="P219" s="9">
        <f t="shared" si="64"/>
        <v>0</v>
      </c>
      <c r="Q219" s="9">
        <f t="shared" si="65"/>
        <v>4.6019132277675068E-2</v>
      </c>
      <c r="R219" s="9">
        <f t="shared" si="66"/>
        <v>0</v>
      </c>
      <c r="S219" s="9">
        <f t="shared" si="67"/>
        <v>-4.6019132277675068E-2</v>
      </c>
      <c r="T219" s="10">
        <f t="shared" si="70"/>
        <v>0.69108926259249703</v>
      </c>
      <c r="U219" s="10">
        <f t="shared" si="71"/>
        <v>7.6413360641477968E-2</v>
      </c>
      <c r="V219" s="10">
        <f t="shared" si="72"/>
        <v>-0.35613973289098555</v>
      </c>
      <c r="W219" s="10">
        <f t="shared" si="73"/>
        <v>0.73862061505445953</v>
      </c>
      <c r="X219" s="10">
        <f t="shared" si="74"/>
        <v>1.3788785654127484</v>
      </c>
      <c r="Y219" s="10">
        <f t="shared" si="75"/>
        <v>0.74696997055352099</v>
      </c>
      <c r="Z219" s="10">
        <f t="shared" si="76"/>
        <v>-1.3788785654127484</v>
      </c>
      <c r="AA219" s="10">
        <f t="shared" si="77"/>
        <v>-0.74696997055352099</v>
      </c>
      <c r="AB219" s="7">
        <f t="shared" si="69"/>
        <v>1.1499835053974479</v>
      </c>
      <c r="AC219" s="7">
        <v>2.0034582422280822</v>
      </c>
    </row>
    <row r="220" spans="1:29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11">
        <v>-1</v>
      </c>
      <c r="I220" s="11">
        <v>1</v>
      </c>
      <c r="J220" s="12">
        <v>-1</v>
      </c>
      <c r="K220" s="12">
        <v>-1</v>
      </c>
      <c r="L220" s="9">
        <f t="shared" si="68"/>
        <v>0</v>
      </c>
      <c r="M220" s="9">
        <f t="shared" si="61"/>
        <v>4.7487023436683207E-2</v>
      </c>
      <c r="N220" s="9">
        <f t="shared" si="62"/>
        <v>0</v>
      </c>
      <c r="O220" s="9">
        <f t="shared" si="63"/>
        <v>-6.9108277296058276E-3</v>
      </c>
      <c r="P220" s="9">
        <f t="shared" si="64"/>
        <v>1.7849188571451902E-2</v>
      </c>
      <c r="Q220" s="9">
        <f t="shared" si="65"/>
        <v>0</v>
      </c>
      <c r="R220" s="9">
        <f t="shared" si="66"/>
        <v>-1.7849188571451902E-2</v>
      </c>
      <c r="S220" s="9">
        <f t="shared" si="67"/>
        <v>0</v>
      </c>
      <c r="T220" s="10">
        <f t="shared" si="70"/>
        <v>0.69108926259249703</v>
      </c>
      <c r="U220" s="10">
        <f t="shared" si="71"/>
        <v>0.12390038407816117</v>
      </c>
      <c r="V220" s="10">
        <f t="shared" si="72"/>
        <v>-0.35613973289098555</v>
      </c>
      <c r="W220" s="10">
        <f t="shared" si="73"/>
        <v>0.7317097873248537</v>
      </c>
      <c r="X220" s="10">
        <f t="shared" si="74"/>
        <v>1.3967277539842002</v>
      </c>
      <c r="Y220" s="10">
        <f t="shared" si="75"/>
        <v>0.74696997055352099</v>
      </c>
      <c r="Z220" s="10">
        <f t="shared" si="76"/>
        <v>-1.3967277539842002</v>
      </c>
      <c r="AA220" s="10">
        <f t="shared" si="77"/>
        <v>-0.74696997055352099</v>
      </c>
      <c r="AB220" s="7">
        <f t="shared" si="69"/>
        <v>1.1905597011045252</v>
      </c>
      <c r="AC220" s="7">
        <v>1.979960266834802</v>
      </c>
    </row>
    <row r="221" spans="1:29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11">
        <v>-1</v>
      </c>
      <c r="I221" s="11">
        <v>1</v>
      </c>
      <c r="J221" s="12">
        <v>-1</v>
      </c>
      <c r="K221" s="12">
        <v>1</v>
      </c>
      <c r="L221" s="9">
        <f t="shared" si="68"/>
        <v>0</v>
      </c>
      <c r="M221" s="9">
        <f t="shared" si="61"/>
        <v>-1.8924314016548701E-2</v>
      </c>
      <c r="N221" s="9">
        <f t="shared" si="62"/>
        <v>0</v>
      </c>
      <c r="O221" s="9">
        <f t="shared" si="63"/>
        <v>-9.1553067599295934E-3</v>
      </c>
      <c r="P221" s="9">
        <f t="shared" si="64"/>
        <v>7.0487960096269675E-2</v>
      </c>
      <c r="Q221" s="9">
        <f t="shared" si="65"/>
        <v>0</v>
      </c>
      <c r="R221" s="9">
        <f t="shared" si="66"/>
        <v>-7.0487960096269675E-2</v>
      </c>
      <c r="S221" s="9">
        <f t="shared" si="67"/>
        <v>0</v>
      </c>
      <c r="T221" s="10">
        <f t="shared" si="70"/>
        <v>0.69108926259249703</v>
      </c>
      <c r="U221" s="10">
        <f t="shared" si="71"/>
        <v>0.10497607006161247</v>
      </c>
      <c r="V221" s="10">
        <f t="shared" si="72"/>
        <v>-0.35613973289098555</v>
      </c>
      <c r="W221" s="10">
        <f t="shared" si="73"/>
        <v>0.72255448056492411</v>
      </c>
      <c r="X221" s="10">
        <f t="shared" si="74"/>
        <v>1.4672157140804698</v>
      </c>
      <c r="Y221" s="10">
        <f t="shared" si="75"/>
        <v>0.74696997055352099</v>
      </c>
      <c r="Z221" s="10">
        <f t="shared" si="76"/>
        <v>-1.4672157140804698</v>
      </c>
      <c r="AA221" s="10">
        <f t="shared" si="77"/>
        <v>-0.74696997055352099</v>
      </c>
      <c r="AB221" s="7">
        <f t="shared" si="69"/>
        <v>1.1624800803280468</v>
      </c>
      <c r="AC221" s="7">
        <v>2.0844755370235371</v>
      </c>
    </row>
    <row r="222" spans="1:29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11">
        <v>-1</v>
      </c>
      <c r="I222" s="11">
        <v>1</v>
      </c>
      <c r="J222" s="12">
        <v>-1</v>
      </c>
      <c r="K222" s="12">
        <v>1</v>
      </c>
      <c r="L222" s="9">
        <f t="shared" si="68"/>
        <v>0</v>
      </c>
      <c r="M222" s="9">
        <f t="shared" si="61"/>
        <v>-1.6294423489302771E-2</v>
      </c>
      <c r="N222" s="9">
        <f t="shared" si="62"/>
        <v>0</v>
      </c>
      <c r="O222" s="9">
        <f t="shared" si="63"/>
        <v>5.0074395225220281E-3</v>
      </c>
      <c r="P222" s="9">
        <f t="shared" si="64"/>
        <v>1.933126192782153E-2</v>
      </c>
      <c r="Q222" s="9">
        <f t="shared" si="65"/>
        <v>0</v>
      </c>
      <c r="R222" s="9">
        <f t="shared" si="66"/>
        <v>-1.933126192782153E-2</v>
      </c>
      <c r="S222" s="9">
        <f t="shared" si="67"/>
        <v>0</v>
      </c>
      <c r="T222" s="10">
        <f t="shared" si="70"/>
        <v>0.69108926259249703</v>
      </c>
      <c r="U222" s="10">
        <f t="shared" si="71"/>
        <v>8.8681646572309702E-2</v>
      </c>
      <c r="V222" s="10">
        <f t="shared" si="72"/>
        <v>-0.35613973289098555</v>
      </c>
      <c r="W222" s="10">
        <f t="shared" si="73"/>
        <v>0.72756192008744613</v>
      </c>
      <c r="X222" s="10">
        <f t="shared" si="74"/>
        <v>1.4865469760082912</v>
      </c>
      <c r="Y222" s="10">
        <f t="shared" si="75"/>
        <v>0.74696997055352099</v>
      </c>
      <c r="Z222" s="10">
        <f t="shared" si="76"/>
        <v>-1.4865469760082912</v>
      </c>
      <c r="AA222" s="10">
        <f t="shared" si="77"/>
        <v>-0.74696997055352099</v>
      </c>
      <c r="AB222" s="7">
        <f t="shared" si="69"/>
        <v>1.151193096361266</v>
      </c>
      <c r="AC222" s="7">
        <v>2.1211937600999859</v>
      </c>
    </row>
    <row r="223" spans="1:29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11">
        <v>-1</v>
      </c>
      <c r="I223" s="11">
        <v>1</v>
      </c>
      <c r="J223" s="12">
        <v>-1</v>
      </c>
      <c r="K223" s="12">
        <v>1</v>
      </c>
      <c r="L223" s="9">
        <f t="shared" si="68"/>
        <v>0</v>
      </c>
      <c r="M223" s="9">
        <f t="shared" si="61"/>
        <v>3.7420615465962648E-2</v>
      </c>
      <c r="N223" s="9">
        <f t="shared" si="62"/>
        <v>0</v>
      </c>
      <c r="O223" s="9">
        <f t="shared" si="63"/>
        <v>-1.0888397416708551E-2</v>
      </c>
      <c r="P223" s="9">
        <f t="shared" si="64"/>
        <v>1.980734870681267E-2</v>
      </c>
      <c r="Q223" s="9">
        <f t="shared" si="65"/>
        <v>0</v>
      </c>
      <c r="R223" s="9">
        <f t="shared" si="66"/>
        <v>-1.980734870681267E-2</v>
      </c>
      <c r="S223" s="9">
        <f t="shared" si="67"/>
        <v>0</v>
      </c>
      <c r="T223" s="10">
        <f t="shared" si="70"/>
        <v>0.69108926259249703</v>
      </c>
      <c r="U223" s="10">
        <f t="shared" si="71"/>
        <v>0.12610226203827235</v>
      </c>
      <c r="V223" s="10">
        <f t="shared" si="72"/>
        <v>-0.35613973289098555</v>
      </c>
      <c r="W223" s="10">
        <f t="shared" si="73"/>
        <v>0.71667352267073758</v>
      </c>
      <c r="X223" s="10">
        <f t="shared" si="74"/>
        <v>1.5063543247151039</v>
      </c>
      <c r="Y223" s="10">
        <f t="shared" si="75"/>
        <v>0.74696997055352099</v>
      </c>
      <c r="Z223" s="10">
        <f t="shared" si="76"/>
        <v>-1.5063543247151039</v>
      </c>
      <c r="AA223" s="10">
        <f t="shared" si="77"/>
        <v>-0.74696997055352099</v>
      </c>
      <c r="AB223" s="7">
        <f t="shared" si="69"/>
        <v>1.17772531441052</v>
      </c>
      <c r="AC223" s="7">
        <v>2.1119556023219759</v>
      </c>
    </row>
    <row r="224" spans="1:29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11">
        <v>-1</v>
      </c>
      <c r="I224" s="11">
        <v>1</v>
      </c>
      <c r="J224" s="12">
        <v>-1</v>
      </c>
      <c r="K224" s="12">
        <v>1</v>
      </c>
      <c r="L224" s="9">
        <f t="shared" si="68"/>
        <v>0</v>
      </c>
      <c r="M224" s="9">
        <f t="shared" si="61"/>
        <v>1.7014929599760031E-2</v>
      </c>
      <c r="N224" s="9">
        <f t="shared" si="62"/>
        <v>0</v>
      </c>
      <c r="O224" s="9">
        <f t="shared" si="63"/>
        <v>7.2848360068952234E-3</v>
      </c>
      <c r="P224" s="9">
        <f t="shared" si="64"/>
        <v>4.6873706956129579E-2</v>
      </c>
      <c r="Q224" s="9">
        <f t="shared" si="65"/>
        <v>0</v>
      </c>
      <c r="R224" s="9">
        <f t="shared" si="66"/>
        <v>-4.6873706956129579E-2</v>
      </c>
      <c r="S224" s="9">
        <f t="shared" si="67"/>
        <v>0</v>
      </c>
      <c r="T224" s="10">
        <f t="shared" si="70"/>
        <v>0.69108926259249703</v>
      </c>
      <c r="U224" s="10">
        <f t="shared" si="71"/>
        <v>0.14311719163803238</v>
      </c>
      <c r="V224" s="10">
        <f t="shared" si="72"/>
        <v>-0.35613973289098555</v>
      </c>
      <c r="W224" s="10">
        <f t="shared" si="73"/>
        <v>0.72395835867763281</v>
      </c>
      <c r="X224" s="10">
        <f t="shared" si="74"/>
        <v>1.5532280316712335</v>
      </c>
      <c r="Y224" s="10">
        <f t="shared" si="75"/>
        <v>0.74696997055352099</v>
      </c>
      <c r="Z224" s="10">
        <f t="shared" si="76"/>
        <v>-1.5532280316712335</v>
      </c>
      <c r="AA224" s="10">
        <f t="shared" si="77"/>
        <v>-0.74696997055352099</v>
      </c>
      <c r="AB224" s="7">
        <f t="shared" si="69"/>
        <v>1.2020250800171752</v>
      </c>
      <c r="AC224" s="7">
        <v>2.1401394952476371</v>
      </c>
    </row>
    <row r="225" spans="1:29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11">
        <v>-1</v>
      </c>
      <c r="I225" s="11">
        <v>1</v>
      </c>
      <c r="J225" s="12">
        <v>-1</v>
      </c>
      <c r="K225" s="12">
        <v>1</v>
      </c>
      <c r="L225" s="9">
        <f t="shared" si="68"/>
        <v>0</v>
      </c>
      <c r="M225" s="9">
        <f t="shared" si="61"/>
        <v>-1.7666221233699101E-2</v>
      </c>
      <c r="N225" s="9">
        <f t="shared" si="62"/>
        <v>0</v>
      </c>
      <c r="O225" s="9">
        <f t="shared" si="63"/>
        <v>5.4014789331912061E-3</v>
      </c>
      <c r="P225" s="9">
        <f t="shared" si="64"/>
        <v>9.2130963252262665E-3</v>
      </c>
      <c r="Q225" s="9">
        <f t="shared" si="65"/>
        <v>0</v>
      </c>
      <c r="R225" s="9">
        <f t="shared" si="66"/>
        <v>-9.2130963252262665E-3</v>
      </c>
      <c r="S225" s="9">
        <f t="shared" si="67"/>
        <v>0</v>
      </c>
      <c r="T225" s="10">
        <f t="shared" si="70"/>
        <v>0.69108926259249703</v>
      </c>
      <c r="U225" s="10">
        <f t="shared" si="71"/>
        <v>0.12545097040433328</v>
      </c>
      <c r="V225" s="10">
        <f t="shared" si="72"/>
        <v>-0.35613973289098555</v>
      </c>
      <c r="W225" s="10">
        <f t="shared" si="73"/>
        <v>0.72935983761082401</v>
      </c>
      <c r="X225" s="10">
        <f t="shared" si="74"/>
        <v>1.5624411279964598</v>
      </c>
      <c r="Y225" s="10">
        <f t="shared" si="75"/>
        <v>0.74696997055352099</v>
      </c>
      <c r="Z225" s="10">
        <f t="shared" si="76"/>
        <v>-1.5624411279964598</v>
      </c>
      <c r="AA225" s="10">
        <f t="shared" si="77"/>
        <v>-0.74696997055352099</v>
      </c>
      <c r="AB225" s="7">
        <f t="shared" si="69"/>
        <v>1.1897603377166672</v>
      </c>
      <c r="AC225" s="7">
        <v>2.1857403806222049</v>
      </c>
    </row>
    <row r="226" spans="1:29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11">
        <v>-1</v>
      </c>
      <c r="I226" s="11">
        <v>1</v>
      </c>
      <c r="J226" s="12">
        <v>-1</v>
      </c>
      <c r="K226" s="12">
        <v>1</v>
      </c>
      <c r="L226" s="9">
        <f t="shared" si="68"/>
        <v>0</v>
      </c>
      <c r="M226" s="9">
        <f t="shared" si="61"/>
        <v>-1.2229061609691391E-2</v>
      </c>
      <c r="N226" s="9">
        <f t="shared" si="62"/>
        <v>0</v>
      </c>
      <c r="O226" s="9">
        <f t="shared" si="63"/>
        <v>-1.249457119786801E-2</v>
      </c>
      <c r="P226" s="9">
        <f t="shared" si="64"/>
        <v>3.0465744343403101E-2</v>
      </c>
      <c r="Q226" s="9">
        <f t="shared" si="65"/>
        <v>0</v>
      </c>
      <c r="R226" s="9">
        <f t="shared" si="66"/>
        <v>-3.0465744343403101E-2</v>
      </c>
      <c r="S226" s="9">
        <f t="shared" si="67"/>
        <v>0</v>
      </c>
      <c r="T226" s="10">
        <f t="shared" si="70"/>
        <v>0.69108926259249703</v>
      </c>
      <c r="U226" s="10">
        <f t="shared" si="71"/>
        <v>0.11322190879464189</v>
      </c>
      <c r="V226" s="10">
        <f t="shared" si="72"/>
        <v>-0.35613973289098555</v>
      </c>
      <c r="W226" s="10">
        <f t="shared" si="73"/>
        <v>0.716865266412956</v>
      </c>
      <c r="X226" s="10">
        <f t="shared" si="74"/>
        <v>1.5929068723398629</v>
      </c>
      <c r="Y226" s="10">
        <f t="shared" si="75"/>
        <v>0.74696997055352099</v>
      </c>
      <c r="Z226" s="10">
        <f t="shared" si="76"/>
        <v>-1.5929068723398629</v>
      </c>
      <c r="AA226" s="10">
        <f t="shared" si="77"/>
        <v>-0.74696997055352099</v>
      </c>
      <c r="AB226" s="7">
        <f t="shared" si="69"/>
        <v>1.1650367049091079</v>
      </c>
      <c r="AC226" s="7">
        <v>2.2377981040202211</v>
      </c>
    </row>
    <row r="227" spans="1:29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11">
        <v>-1</v>
      </c>
      <c r="I227" s="11">
        <v>1</v>
      </c>
      <c r="J227" s="12">
        <v>1</v>
      </c>
      <c r="K227" s="12">
        <v>1</v>
      </c>
      <c r="L227" s="9">
        <f t="shared" si="68"/>
        <v>0</v>
      </c>
      <c r="M227" s="9">
        <f t="shared" si="61"/>
        <v>-1.227379600930156E-2</v>
      </c>
      <c r="N227" s="9">
        <f t="shared" si="62"/>
        <v>0</v>
      </c>
      <c r="O227" s="9">
        <f t="shared" si="63"/>
        <v>5.6375877342584868E-3</v>
      </c>
      <c r="P227" s="9">
        <f t="shared" si="64"/>
        <v>1.1564042957680321E-2</v>
      </c>
      <c r="Q227" s="9">
        <f t="shared" si="65"/>
        <v>0</v>
      </c>
      <c r="R227" s="9">
        <f t="shared" si="66"/>
        <v>-1.1564042957680321E-2</v>
      </c>
      <c r="S227" s="9">
        <f t="shared" si="67"/>
        <v>0</v>
      </c>
      <c r="T227" s="10">
        <f t="shared" si="70"/>
        <v>0.69108926259249703</v>
      </c>
      <c r="U227" s="10">
        <f t="shared" si="71"/>
        <v>0.10094811278534033</v>
      </c>
      <c r="V227" s="10">
        <f t="shared" si="72"/>
        <v>-0.35613973289098555</v>
      </c>
      <c r="W227" s="10">
        <f t="shared" si="73"/>
        <v>0.72250285414721449</v>
      </c>
      <c r="X227" s="10">
        <f t="shared" si="74"/>
        <v>1.6044709152975432</v>
      </c>
      <c r="Y227" s="10">
        <f t="shared" si="75"/>
        <v>0.74696997055352099</v>
      </c>
      <c r="Z227" s="10">
        <f t="shared" si="76"/>
        <v>-1.6044709152975432</v>
      </c>
      <c r="AA227" s="10">
        <f t="shared" si="77"/>
        <v>-0.74696997055352099</v>
      </c>
      <c r="AB227" s="7">
        <f t="shared" si="69"/>
        <v>1.1584004966340649</v>
      </c>
      <c r="AC227" s="7">
        <v>2.2450884700186791</v>
      </c>
    </row>
    <row r="228" spans="1:29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11">
        <v>1</v>
      </c>
      <c r="I228" s="11">
        <v>-1</v>
      </c>
      <c r="J228" s="12">
        <v>1</v>
      </c>
      <c r="K228" s="12">
        <v>-1</v>
      </c>
      <c r="L228" s="9">
        <f t="shared" si="68"/>
        <v>1.700435905875286E-2</v>
      </c>
      <c r="M228" s="9">
        <f t="shared" si="61"/>
        <v>0</v>
      </c>
      <c r="N228" s="9">
        <f t="shared" si="62"/>
        <v>-7.4960514795694433E-3</v>
      </c>
      <c r="O228" s="9">
        <f t="shared" si="63"/>
        <v>0</v>
      </c>
      <c r="P228" s="9">
        <f t="shared" si="64"/>
        <v>0</v>
      </c>
      <c r="Q228" s="9">
        <f t="shared" si="65"/>
        <v>-5.156312301881294E-3</v>
      </c>
      <c r="R228" s="9">
        <f t="shared" si="66"/>
        <v>0</v>
      </c>
      <c r="S228" s="9">
        <f t="shared" si="67"/>
        <v>5.156312301881294E-3</v>
      </c>
      <c r="T228" s="10">
        <f t="shared" si="70"/>
        <v>0.70809362165124989</v>
      </c>
      <c r="U228" s="10">
        <f t="shared" si="71"/>
        <v>0.10094811278534033</v>
      </c>
      <c r="V228" s="10">
        <f t="shared" si="72"/>
        <v>-0.36363578437055499</v>
      </c>
      <c r="W228" s="10">
        <f t="shared" si="73"/>
        <v>0.72250285414721449</v>
      </c>
      <c r="X228" s="10">
        <f t="shared" si="74"/>
        <v>1.6044709152975432</v>
      </c>
      <c r="Y228" s="10">
        <f t="shared" si="75"/>
        <v>0.7418136582516397</v>
      </c>
      <c r="Z228" s="10">
        <f t="shared" si="76"/>
        <v>-1.6044709152975432</v>
      </c>
      <c r="AA228" s="10">
        <f t="shared" si="77"/>
        <v>-0.7418136582516397</v>
      </c>
      <c r="AB228" s="7">
        <f t="shared" si="69"/>
        <v>1.1679088042132482</v>
      </c>
      <c r="AC228" s="7">
        <v>2.2675865147296488</v>
      </c>
    </row>
    <row r="229" spans="1:29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11">
        <v>1</v>
      </c>
      <c r="I229" s="11">
        <v>-1</v>
      </c>
      <c r="J229" s="12">
        <v>1</v>
      </c>
      <c r="K229" s="12">
        <v>-1</v>
      </c>
      <c r="L229" s="9">
        <f t="shared" si="68"/>
        <v>7.0662182858713951E-3</v>
      </c>
      <c r="M229" s="9">
        <f t="shared" si="61"/>
        <v>0</v>
      </c>
      <c r="N229" s="9">
        <f t="shared" si="62"/>
        <v>-2.4350113479276739E-4</v>
      </c>
      <c r="O229" s="9">
        <f t="shared" si="63"/>
        <v>0</v>
      </c>
      <c r="P229" s="9">
        <f t="shared" si="64"/>
        <v>0</v>
      </c>
      <c r="Q229" s="9">
        <f t="shared" si="65"/>
        <v>-6.7446904977427344E-3</v>
      </c>
      <c r="R229" s="9">
        <f t="shared" si="66"/>
        <v>0</v>
      </c>
      <c r="S229" s="9">
        <f t="shared" si="67"/>
        <v>6.7446904977427344E-3</v>
      </c>
      <c r="T229" s="10">
        <f t="shared" si="70"/>
        <v>0.71515983993712129</v>
      </c>
      <c r="U229" s="10">
        <f t="shared" si="71"/>
        <v>0.10094811278534033</v>
      </c>
      <c r="V229" s="10">
        <f t="shared" si="72"/>
        <v>-0.36387928550534776</v>
      </c>
      <c r="W229" s="10">
        <f t="shared" si="73"/>
        <v>0.72250285414721449</v>
      </c>
      <c r="X229" s="10">
        <f t="shared" si="74"/>
        <v>1.6044709152975432</v>
      </c>
      <c r="Y229" s="10">
        <f t="shared" si="75"/>
        <v>0.73506896775389696</v>
      </c>
      <c r="Z229" s="10">
        <f t="shared" si="76"/>
        <v>-1.6044709152975432</v>
      </c>
      <c r="AA229" s="10">
        <f t="shared" si="77"/>
        <v>-0.73506896775389696</v>
      </c>
      <c r="AB229" s="7">
        <f t="shared" si="69"/>
        <v>1.1747315213643268</v>
      </c>
      <c r="AC229" s="7">
        <v>2.292231150394064</v>
      </c>
    </row>
    <row r="230" spans="1:29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11">
        <v>-1</v>
      </c>
      <c r="I230" s="11">
        <v>1</v>
      </c>
      <c r="J230" s="12">
        <v>-1</v>
      </c>
      <c r="K230" s="12">
        <v>-1</v>
      </c>
      <c r="L230" s="9">
        <f t="shared" si="68"/>
        <v>0</v>
      </c>
      <c r="M230" s="9">
        <f t="shared" si="61"/>
        <v>-1.8436080966524489E-2</v>
      </c>
      <c r="N230" s="9">
        <f t="shared" si="62"/>
        <v>0</v>
      </c>
      <c r="O230" s="9">
        <f t="shared" si="63"/>
        <v>-1.13725154964901E-2</v>
      </c>
      <c r="P230" s="9">
        <f t="shared" si="64"/>
        <v>9.1038204296556291E-3</v>
      </c>
      <c r="Q230" s="9">
        <f t="shared" si="65"/>
        <v>0</v>
      </c>
      <c r="R230" s="9">
        <f t="shared" si="66"/>
        <v>-9.1038204296556291E-3</v>
      </c>
      <c r="S230" s="9">
        <f t="shared" si="67"/>
        <v>0</v>
      </c>
      <c r="T230" s="10">
        <f t="shared" si="70"/>
        <v>0.71515983993712129</v>
      </c>
      <c r="U230" s="10">
        <f t="shared" si="71"/>
        <v>8.2512031818815834E-2</v>
      </c>
      <c r="V230" s="10">
        <f t="shared" si="72"/>
        <v>-0.36387928550534776</v>
      </c>
      <c r="W230" s="10">
        <f t="shared" si="73"/>
        <v>0.71113033865072439</v>
      </c>
      <c r="X230" s="10">
        <f t="shared" si="74"/>
        <v>1.6135747357271988</v>
      </c>
      <c r="Y230" s="10">
        <f t="shared" si="75"/>
        <v>0.73506896775389696</v>
      </c>
      <c r="Z230" s="10">
        <f t="shared" si="76"/>
        <v>-1.6135747357271988</v>
      </c>
      <c r="AA230" s="10">
        <f t="shared" si="77"/>
        <v>-0.73506896775389696</v>
      </c>
      <c r="AB230" s="7">
        <f t="shared" si="69"/>
        <v>1.1449229249013122</v>
      </c>
      <c r="AC230" s="7">
        <v>2.3218630100492912</v>
      </c>
    </row>
    <row r="231" spans="1:29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11">
        <v>1</v>
      </c>
      <c r="I231" s="11">
        <v>-1</v>
      </c>
      <c r="J231" s="12">
        <v>1</v>
      </c>
      <c r="K231" s="12">
        <v>1</v>
      </c>
      <c r="L231" s="9">
        <f t="shared" si="68"/>
        <v>-1.975489700036304E-2</v>
      </c>
      <c r="M231" s="9">
        <f t="shared" si="61"/>
        <v>0</v>
      </c>
      <c r="N231" s="9">
        <f t="shared" si="62"/>
        <v>5.0026237131217788E-2</v>
      </c>
      <c r="O231" s="9">
        <f t="shared" si="63"/>
        <v>0</v>
      </c>
      <c r="P231" s="9">
        <f t="shared" si="64"/>
        <v>0</v>
      </c>
      <c r="Q231" s="9">
        <f t="shared" si="65"/>
        <v>1.4286043815575631E-3</v>
      </c>
      <c r="R231" s="9">
        <f t="shared" si="66"/>
        <v>0</v>
      </c>
      <c r="S231" s="9">
        <f t="shared" si="67"/>
        <v>-1.4286043815575631E-3</v>
      </c>
      <c r="T231" s="10">
        <f t="shared" si="70"/>
        <v>0.69540494293675825</v>
      </c>
      <c r="U231" s="10">
        <f t="shared" si="71"/>
        <v>8.2512031818815834E-2</v>
      </c>
      <c r="V231" s="10">
        <f t="shared" si="72"/>
        <v>-0.31385304837412997</v>
      </c>
      <c r="W231" s="10">
        <f t="shared" si="73"/>
        <v>0.71113033865072439</v>
      </c>
      <c r="X231" s="10">
        <f t="shared" si="74"/>
        <v>1.6135747357271988</v>
      </c>
      <c r="Y231" s="10">
        <f t="shared" si="75"/>
        <v>0.73649757213545453</v>
      </c>
      <c r="Z231" s="10">
        <f t="shared" si="76"/>
        <v>-1.6135747357271988</v>
      </c>
      <c r="AA231" s="10">
        <f t="shared" si="77"/>
        <v>-0.73649757213545453</v>
      </c>
      <c r="AB231" s="7">
        <f t="shared" si="69"/>
        <v>1.175194265032167</v>
      </c>
      <c r="AC231" s="7">
        <v>2.2748400124431329</v>
      </c>
    </row>
    <row r="232" spans="1:29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11">
        <v>-1</v>
      </c>
      <c r="I232" s="11">
        <v>1</v>
      </c>
      <c r="J232" s="12">
        <v>-1</v>
      </c>
      <c r="K232" s="12">
        <v>-1</v>
      </c>
      <c r="L232" s="9">
        <f t="shared" si="68"/>
        <v>0</v>
      </c>
      <c r="M232" s="9">
        <f t="shared" si="61"/>
        <v>-1.2474433735060851E-2</v>
      </c>
      <c r="N232" s="9">
        <f t="shared" si="62"/>
        <v>0</v>
      </c>
      <c r="O232" s="9">
        <f t="shared" si="63"/>
        <v>3.5622372828651223E-2</v>
      </c>
      <c r="P232" s="9">
        <f t="shared" si="64"/>
        <v>2.219491727057743E-2</v>
      </c>
      <c r="Q232" s="9">
        <f t="shared" si="65"/>
        <v>0</v>
      </c>
      <c r="R232" s="9">
        <f t="shared" si="66"/>
        <v>-2.219491727057743E-2</v>
      </c>
      <c r="S232" s="9">
        <f t="shared" si="67"/>
        <v>0</v>
      </c>
      <c r="T232" s="10">
        <f t="shared" si="70"/>
        <v>0.69540494293675825</v>
      </c>
      <c r="U232" s="10">
        <f t="shared" si="71"/>
        <v>7.0037598083754982E-2</v>
      </c>
      <c r="V232" s="10">
        <f t="shared" si="72"/>
        <v>-0.31385304837412997</v>
      </c>
      <c r="W232" s="10">
        <f t="shared" si="73"/>
        <v>0.74675271147937561</v>
      </c>
      <c r="X232" s="10">
        <f t="shared" si="74"/>
        <v>1.6357696529977761</v>
      </c>
      <c r="Y232" s="10">
        <f t="shared" si="75"/>
        <v>0.73649757213545453</v>
      </c>
      <c r="Z232" s="10">
        <f t="shared" si="76"/>
        <v>-1.6357696529977761</v>
      </c>
      <c r="AA232" s="10">
        <f t="shared" si="77"/>
        <v>-0.73649757213545453</v>
      </c>
      <c r="AB232" s="7">
        <f t="shared" si="69"/>
        <v>1.1983422041257574</v>
      </c>
      <c r="AC232" s="7">
        <v>2.343229678444017</v>
      </c>
    </row>
    <row r="233" spans="1:29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11">
        <v>-1</v>
      </c>
      <c r="I233" s="11">
        <v>1</v>
      </c>
      <c r="J233" s="12">
        <v>-1</v>
      </c>
      <c r="K233" s="12">
        <v>1</v>
      </c>
      <c r="L233" s="9">
        <f t="shared" si="68"/>
        <v>0</v>
      </c>
      <c r="M233" s="9">
        <f t="shared" si="61"/>
        <v>2.8313591639895112E-2</v>
      </c>
      <c r="N233" s="9">
        <f t="shared" si="62"/>
        <v>0</v>
      </c>
      <c r="O233" s="9">
        <f t="shared" si="63"/>
        <v>2.2300921522953709E-2</v>
      </c>
      <c r="P233" s="9">
        <f t="shared" si="64"/>
        <v>2.0050690844943819E-2</v>
      </c>
      <c r="Q233" s="9">
        <f t="shared" si="65"/>
        <v>0</v>
      </c>
      <c r="R233" s="9">
        <f t="shared" si="66"/>
        <v>-2.0050690844943819E-2</v>
      </c>
      <c r="S233" s="9">
        <f t="shared" si="67"/>
        <v>0</v>
      </c>
      <c r="T233" s="10">
        <f t="shared" si="70"/>
        <v>0.69540494293675825</v>
      </c>
      <c r="U233" s="10">
        <f t="shared" si="71"/>
        <v>9.835118972365009E-2</v>
      </c>
      <c r="V233" s="10">
        <f t="shared" si="72"/>
        <v>-0.31385304837412997</v>
      </c>
      <c r="W233" s="10">
        <f t="shared" si="73"/>
        <v>0.76905363300232932</v>
      </c>
      <c r="X233" s="10">
        <f t="shared" si="74"/>
        <v>1.6558203438427199</v>
      </c>
      <c r="Y233" s="10">
        <f t="shared" si="75"/>
        <v>0.73649757213545453</v>
      </c>
      <c r="Z233" s="10">
        <f t="shared" si="76"/>
        <v>-1.6558203438427199</v>
      </c>
      <c r="AA233" s="10">
        <f t="shared" si="77"/>
        <v>-0.73649757213545453</v>
      </c>
      <c r="AB233" s="7">
        <f t="shared" si="69"/>
        <v>1.2489567172886062</v>
      </c>
      <c r="AC233" s="7">
        <v>2.3358199743225319</v>
      </c>
    </row>
    <row r="234" spans="1:29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11">
        <v>-1</v>
      </c>
      <c r="I234" s="11">
        <v>1</v>
      </c>
      <c r="J234" s="12">
        <v>-1</v>
      </c>
      <c r="K234" s="12">
        <v>1</v>
      </c>
      <c r="L234" s="9">
        <f t="shared" si="68"/>
        <v>0</v>
      </c>
      <c r="M234" s="9">
        <f t="shared" si="61"/>
        <v>-2.5550259004561319E-2</v>
      </c>
      <c r="N234" s="9">
        <f t="shared" si="62"/>
        <v>0</v>
      </c>
      <c r="O234" s="9">
        <f t="shared" si="63"/>
        <v>-6.1673684027755424E-3</v>
      </c>
      <c r="P234" s="9">
        <f t="shared" si="64"/>
        <v>2.8035968740761859E-2</v>
      </c>
      <c r="Q234" s="9">
        <f t="shared" si="65"/>
        <v>0</v>
      </c>
      <c r="R234" s="9">
        <f t="shared" si="66"/>
        <v>-2.8035968740761859E-2</v>
      </c>
      <c r="S234" s="9">
        <f t="shared" si="67"/>
        <v>0</v>
      </c>
      <c r="T234" s="10">
        <f t="shared" si="70"/>
        <v>0.69540494293675825</v>
      </c>
      <c r="U234" s="10">
        <f t="shared" si="71"/>
        <v>7.2800930719088774E-2</v>
      </c>
      <c r="V234" s="10">
        <f t="shared" si="72"/>
        <v>-0.31385304837412997</v>
      </c>
      <c r="W234" s="10">
        <f t="shared" si="73"/>
        <v>0.76288626459955378</v>
      </c>
      <c r="X234" s="10">
        <f t="shared" si="74"/>
        <v>1.6838563125834818</v>
      </c>
      <c r="Y234" s="10">
        <f t="shared" si="75"/>
        <v>0.73649757213545453</v>
      </c>
      <c r="Z234" s="10">
        <f t="shared" si="76"/>
        <v>-1.6838563125834818</v>
      </c>
      <c r="AA234" s="10">
        <f t="shared" si="77"/>
        <v>-0.73649757213545453</v>
      </c>
      <c r="AB234" s="7">
        <f t="shared" si="69"/>
        <v>1.2172390898812693</v>
      </c>
      <c r="AC234" s="7">
        <v>2.3822668812281922</v>
      </c>
    </row>
    <row r="235" spans="1:29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11">
        <v>1</v>
      </c>
      <c r="I235" s="11">
        <v>-1</v>
      </c>
      <c r="J235" s="12">
        <v>1</v>
      </c>
      <c r="K235" s="12">
        <v>1</v>
      </c>
      <c r="L235" s="9">
        <f t="shared" si="68"/>
        <v>2.3190662748362789E-2</v>
      </c>
      <c r="M235" s="9">
        <f t="shared" si="61"/>
        <v>0</v>
      </c>
      <c r="N235" s="9">
        <f t="shared" si="62"/>
        <v>1.662357454088603E-4</v>
      </c>
      <c r="O235" s="9">
        <f t="shared" si="63"/>
        <v>0</v>
      </c>
      <c r="P235" s="9">
        <f t="shared" si="64"/>
        <v>0</v>
      </c>
      <c r="Q235" s="9">
        <f t="shared" si="65"/>
        <v>1.8640057655344929E-2</v>
      </c>
      <c r="R235" s="9">
        <f t="shared" si="66"/>
        <v>0</v>
      </c>
      <c r="S235" s="9">
        <f t="shared" si="67"/>
        <v>-1.8640057655344929E-2</v>
      </c>
      <c r="T235" s="10">
        <f t="shared" si="70"/>
        <v>0.71859560568512104</v>
      </c>
      <c r="U235" s="10">
        <f t="shared" si="71"/>
        <v>7.2800930719088774E-2</v>
      </c>
      <c r="V235" s="10">
        <f t="shared" si="72"/>
        <v>-0.31368681262872111</v>
      </c>
      <c r="W235" s="10">
        <f t="shared" si="73"/>
        <v>0.76288626459955378</v>
      </c>
      <c r="X235" s="10">
        <f t="shared" si="74"/>
        <v>1.6838563125834818</v>
      </c>
      <c r="Y235" s="10">
        <f t="shared" si="75"/>
        <v>0.75513762979079946</v>
      </c>
      <c r="Z235" s="10">
        <f t="shared" si="76"/>
        <v>-1.6838563125834818</v>
      </c>
      <c r="AA235" s="10">
        <f t="shared" si="77"/>
        <v>-0.75513762979079946</v>
      </c>
      <c r="AB235" s="7">
        <f t="shared" si="69"/>
        <v>1.240595988375041</v>
      </c>
      <c r="AC235" s="7">
        <v>2.3294702444948969</v>
      </c>
    </row>
    <row r="236" spans="1:29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11">
        <v>1</v>
      </c>
      <c r="I236" s="11">
        <v>-1</v>
      </c>
      <c r="J236" s="12">
        <v>1</v>
      </c>
      <c r="K236" s="12">
        <v>-1</v>
      </c>
      <c r="L236" s="9">
        <f t="shared" si="68"/>
        <v>1.6815974799750721E-2</v>
      </c>
      <c r="M236" s="9">
        <f t="shared" si="61"/>
        <v>0</v>
      </c>
      <c r="N236" s="9">
        <f t="shared" si="62"/>
        <v>-9.5265295821835849E-3</v>
      </c>
      <c r="O236" s="9">
        <f t="shared" si="63"/>
        <v>0</v>
      </c>
      <c r="P236" s="9">
        <f t="shared" si="64"/>
        <v>0</v>
      </c>
      <c r="Q236" s="9">
        <f t="shared" si="65"/>
        <v>5.5409923942915107E-3</v>
      </c>
      <c r="R236" s="9">
        <f t="shared" si="66"/>
        <v>0</v>
      </c>
      <c r="S236" s="9">
        <f t="shared" si="67"/>
        <v>-5.5409923942915107E-3</v>
      </c>
      <c r="T236" s="10">
        <f t="shared" si="70"/>
        <v>0.73541158048487176</v>
      </c>
      <c r="U236" s="10">
        <f t="shared" si="71"/>
        <v>7.2800930719088774E-2</v>
      </c>
      <c r="V236" s="10">
        <f t="shared" si="72"/>
        <v>-0.3232133422109047</v>
      </c>
      <c r="W236" s="10">
        <f t="shared" si="73"/>
        <v>0.76288626459955378</v>
      </c>
      <c r="X236" s="10">
        <f t="shared" si="74"/>
        <v>1.6838563125834818</v>
      </c>
      <c r="Y236" s="10">
        <f t="shared" si="75"/>
        <v>0.76067862218509097</v>
      </c>
      <c r="Z236" s="10">
        <f t="shared" si="76"/>
        <v>-1.6838563125834818</v>
      </c>
      <c r="AA236" s="10">
        <f t="shared" si="77"/>
        <v>-0.76067862218509097</v>
      </c>
      <c r="AB236" s="7">
        <f t="shared" si="69"/>
        <v>1.2478854335926082</v>
      </c>
      <c r="AC236" s="7">
        <v>2.3013352057379932</v>
      </c>
    </row>
    <row r="237" spans="1:29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11">
        <v>-1</v>
      </c>
      <c r="I237" s="11">
        <v>1</v>
      </c>
      <c r="J237" s="12">
        <v>-1</v>
      </c>
      <c r="K237" s="12">
        <v>-1</v>
      </c>
      <c r="L237" s="9">
        <f t="shared" si="68"/>
        <v>0</v>
      </c>
      <c r="M237" s="9">
        <f t="shared" si="61"/>
        <v>-1.6698733505068671E-2</v>
      </c>
      <c r="N237" s="9">
        <f t="shared" si="62"/>
        <v>0</v>
      </c>
      <c r="O237" s="9">
        <f t="shared" si="63"/>
        <v>1.3729640052377531E-2</v>
      </c>
      <c r="P237" s="9">
        <f t="shared" si="64"/>
        <v>-3.9416337561247183E-2</v>
      </c>
      <c r="Q237" s="9">
        <f t="shared" si="65"/>
        <v>0</v>
      </c>
      <c r="R237" s="9">
        <f t="shared" si="66"/>
        <v>3.9416337561247183E-2</v>
      </c>
      <c r="S237" s="9">
        <f t="shared" si="67"/>
        <v>0</v>
      </c>
      <c r="T237" s="10">
        <f t="shared" si="70"/>
        <v>0.73541158048487176</v>
      </c>
      <c r="U237" s="10">
        <f t="shared" si="71"/>
        <v>5.61021972140201E-2</v>
      </c>
      <c r="V237" s="10">
        <f t="shared" si="72"/>
        <v>-0.3232133422109047</v>
      </c>
      <c r="W237" s="10">
        <f t="shared" si="73"/>
        <v>0.77661590465193131</v>
      </c>
      <c r="X237" s="10">
        <f t="shared" si="74"/>
        <v>1.6444399750222347</v>
      </c>
      <c r="Y237" s="10">
        <f t="shared" si="75"/>
        <v>0.76067862218509097</v>
      </c>
      <c r="Z237" s="10">
        <f t="shared" si="76"/>
        <v>-1.6444399750222347</v>
      </c>
      <c r="AA237" s="10">
        <f t="shared" si="77"/>
        <v>-0.76067862218509097</v>
      </c>
      <c r="AB237" s="7">
        <f t="shared" si="69"/>
        <v>1.244916340139917</v>
      </c>
      <c r="AC237" s="7">
        <v>2.3406435142524669</v>
      </c>
    </row>
    <row r="238" spans="1:29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11">
        <v>-1</v>
      </c>
      <c r="I238" s="11">
        <v>1</v>
      </c>
      <c r="J238" s="12">
        <v>-1</v>
      </c>
      <c r="K238" s="12">
        <v>1</v>
      </c>
      <c r="L238" s="9">
        <f t="shared" si="68"/>
        <v>0</v>
      </c>
      <c r="M238" s="9">
        <f t="shared" si="61"/>
        <v>3.2047412684026111E-2</v>
      </c>
      <c r="N238" s="9">
        <f t="shared" si="62"/>
        <v>0</v>
      </c>
      <c r="O238" s="9">
        <f t="shared" si="63"/>
        <v>-4.2417777482451902E-3</v>
      </c>
      <c r="P238" s="9">
        <f t="shared" si="64"/>
        <v>-6.1910252345177552E-3</v>
      </c>
      <c r="Q238" s="9">
        <f t="shared" si="65"/>
        <v>0</v>
      </c>
      <c r="R238" s="9">
        <f t="shared" si="66"/>
        <v>6.1910252345177552E-3</v>
      </c>
      <c r="S238" s="9">
        <f t="shared" si="67"/>
        <v>0</v>
      </c>
      <c r="T238" s="10">
        <f t="shared" si="70"/>
        <v>0.73541158048487176</v>
      </c>
      <c r="U238" s="10">
        <f t="shared" si="71"/>
        <v>8.8149609898046211E-2</v>
      </c>
      <c r="V238" s="10">
        <f t="shared" si="72"/>
        <v>-0.3232133422109047</v>
      </c>
      <c r="W238" s="10">
        <f t="shared" si="73"/>
        <v>0.77237412690368612</v>
      </c>
      <c r="X238" s="10">
        <f t="shared" si="74"/>
        <v>1.6382489497877168</v>
      </c>
      <c r="Y238" s="10">
        <f t="shared" si="75"/>
        <v>0.76067862218509097</v>
      </c>
      <c r="Z238" s="10">
        <f t="shared" si="76"/>
        <v>-1.6382489497877168</v>
      </c>
      <c r="AA238" s="10">
        <f t="shared" si="77"/>
        <v>-0.76067862218509097</v>
      </c>
      <c r="AB238" s="7">
        <f t="shared" si="69"/>
        <v>1.272721975075698</v>
      </c>
      <c r="AC238" s="7">
        <v>2.2513549465627349</v>
      </c>
    </row>
    <row r="239" spans="1:29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11">
        <v>1</v>
      </c>
      <c r="I239" s="11">
        <v>-1</v>
      </c>
      <c r="J239" s="12">
        <v>1</v>
      </c>
      <c r="K239" s="12">
        <v>1</v>
      </c>
      <c r="L239" s="9">
        <f t="shared" si="68"/>
        <v>5.8830657322931801E-2</v>
      </c>
      <c r="M239" s="9">
        <f t="shared" si="61"/>
        <v>0</v>
      </c>
      <c r="N239" s="9">
        <f t="shared" si="62"/>
        <v>1.6014090677818341E-2</v>
      </c>
      <c r="O239" s="9">
        <f t="shared" si="63"/>
        <v>0</v>
      </c>
      <c r="P239" s="9">
        <f t="shared" si="64"/>
        <v>0</v>
      </c>
      <c r="Q239" s="9">
        <f t="shared" si="65"/>
        <v>4.5558759380792679E-4</v>
      </c>
      <c r="R239" s="9">
        <f t="shared" si="66"/>
        <v>0</v>
      </c>
      <c r="S239" s="9">
        <f t="shared" si="67"/>
        <v>-4.5558759380792679E-4</v>
      </c>
      <c r="T239" s="10">
        <f t="shared" si="70"/>
        <v>0.79424223780780356</v>
      </c>
      <c r="U239" s="10">
        <f t="shared" si="71"/>
        <v>8.8149609898046211E-2</v>
      </c>
      <c r="V239" s="10">
        <f t="shared" si="72"/>
        <v>-0.30719925153308636</v>
      </c>
      <c r="W239" s="10">
        <f t="shared" si="73"/>
        <v>0.77237412690368612</v>
      </c>
      <c r="X239" s="10">
        <f t="shared" si="74"/>
        <v>1.6382489497877168</v>
      </c>
      <c r="Y239" s="10">
        <f t="shared" si="75"/>
        <v>0.7611342097788989</v>
      </c>
      <c r="Z239" s="10">
        <f t="shared" si="76"/>
        <v>-1.6382489497877168</v>
      </c>
      <c r="AA239" s="10">
        <f t="shared" si="77"/>
        <v>-0.7611342097788989</v>
      </c>
      <c r="AB239" s="7">
        <f t="shared" si="69"/>
        <v>1.3475667230764481</v>
      </c>
      <c r="AC239" s="7">
        <v>2.2575144409190981</v>
      </c>
    </row>
    <row r="240" spans="1:29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11">
        <v>1</v>
      </c>
      <c r="I240" s="11">
        <v>-1</v>
      </c>
      <c r="J240" s="12">
        <v>1</v>
      </c>
      <c r="K240" s="12">
        <v>-1</v>
      </c>
      <c r="L240" s="9">
        <f t="shared" si="68"/>
        <v>8.4049131891030804E-3</v>
      </c>
      <c r="M240" s="9">
        <f t="shared" si="61"/>
        <v>0</v>
      </c>
      <c r="N240" s="9">
        <f t="shared" si="62"/>
        <v>-1.4893244713936051E-2</v>
      </c>
      <c r="O240" s="9">
        <f t="shared" si="63"/>
        <v>0</v>
      </c>
      <c r="P240" s="9">
        <f t="shared" si="64"/>
        <v>0</v>
      </c>
      <c r="Q240" s="9">
        <f t="shared" si="65"/>
        <v>-7.180403421903625E-3</v>
      </c>
      <c r="R240" s="9">
        <f t="shared" si="66"/>
        <v>0</v>
      </c>
      <c r="S240" s="9">
        <f t="shared" si="67"/>
        <v>7.180403421903625E-3</v>
      </c>
      <c r="T240" s="10">
        <f t="shared" si="70"/>
        <v>0.80264715099690664</v>
      </c>
      <c r="U240" s="10">
        <f t="shared" si="71"/>
        <v>8.8149609898046211E-2</v>
      </c>
      <c r="V240" s="10">
        <f t="shared" si="72"/>
        <v>-0.32209249624702241</v>
      </c>
      <c r="W240" s="10">
        <f t="shared" si="73"/>
        <v>0.77237412690368612</v>
      </c>
      <c r="X240" s="10">
        <f t="shared" si="74"/>
        <v>1.6382489497877168</v>
      </c>
      <c r="Y240" s="10">
        <f t="shared" si="75"/>
        <v>0.75395380635699527</v>
      </c>
      <c r="Z240" s="10">
        <f t="shared" si="76"/>
        <v>-1.6382489497877168</v>
      </c>
      <c r="AA240" s="10">
        <f t="shared" si="77"/>
        <v>-0.75395380635699527</v>
      </c>
      <c r="AB240" s="7">
        <f t="shared" si="69"/>
        <v>1.3410783915516151</v>
      </c>
      <c r="AC240" s="7">
        <v>2.1751443478941548</v>
      </c>
    </row>
    <row r="241" spans="1:29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11">
        <v>-1</v>
      </c>
      <c r="I241" s="11">
        <v>1</v>
      </c>
      <c r="J241" s="12">
        <v>-1</v>
      </c>
      <c r="K241" s="12">
        <v>-1</v>
      </c>
      <c r="L241" s="9">
        <f t="shared" si="68"/>
        <v>0</v>
      </c>
      <c r="M241" s="9">
        <f t="shared" si="61"/>
        <v>-4.2471497343544828E-2</v>
      </c>
      <c r="N241" s="9">
        <f t="shared" si="62"/>
        <v>0</v>
      </c>
      <c r="O241" s="9">
        <f t="shared" si="63"/>
        <v>-9.3929502476586269E-3</v>
      </c>
      <c r="P241" s="9">
        <f t="shared" si="64"/>
        <v>2.9997192599240829E-2</v>
      </c>
      <c r="Q241" s="9">
        <f t="shared" si="65"/>
        <v>0</v>
      </c>
      <c r="R241" s="9">
        <f t="shared" si="66"/>
        <v>-2.9997192599240829E-2</v>
      </c>
      <c r="S241" s="9">
        <f t="shared" si="67"/>
        <v>0</v>
      </c>
      <c r="T241" s="10">
        <f t="shared" si="70"/>
        <v>0.80264715099690664</v>
      </c>
      <c r="U241" s="10">
        <f t="shared" si="71"/>
        <v>4.5678112554501382E-2</v>
      </c>
      <c r="V241" s="10">
        <f t="shared" si="72"/>
        <v>-0.32209249624702241</v>
      </c>
      <c r="W241" s="10">
        <f t="shared" si="73"/>
        <v>0.76298117665602749</v>
      </c>
      <c r="X241" s="10">
        <f t="shared" si="74"/>
        <v>1.6682461423869577</v>
      </c>
      <c r="Y241" s="10">
        <f t="shared" si="75"/>
        <v>0.75395380635699527</v>
      </c>
      <c r="Z241" s="10">
        <f t="shared" si="76"/>
        <v>-1.6682461423869577</v>
      </c>
      <c r="AA241" s="10">
        <f t="shared" si="77"/>
        <v>-0.75395380635699527</v>
      </c>
      <c r="AB241" s="7">
        <f t="shared" si="69"/>
        <v>1.2892139439604118</v>
      </c>
      <c r="AC241" s="7">
        <v>2.2648059588308</v>
      </c>
    </row>
    <row r="242" spans="1:29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11">
        <v>-1</v>
      </c>
      <c r="I242" s="11">
        <v>1</v>
      </c>
      <c r="J242" s="12">
        <v>-1</v>
      </c>
      <c r="K242" s="12">
        <v>1</v>
      </c>
      <c r="L242" s="9">
        <f t="shared" si="68"/>
        <v>0</v>
      </c>
      <c r="M242" s="9">
        <f t="shared" si="61"/>
        <v>6.4971228771752432E-2</v>
      </c>
      <c r="N242" s="9">
        <f t="shared" si="62"/>
        <v>0</v>
      </c>
      <c r="O242" s="9">
        <f t="shared" si="63"/>
        <v>-1.0059041115307419E-2</v>
      </c>
      <c r="P242" s="9">
        <f t="shared" si="64"/>
        <v>3.735157250942978E-3</v>
      </c>
      <c r="Q242" s="9">
        <f t="shared" si="65"/>
        <v>0</v>
      </c>
      <c r="R242" s="9">
        <f t="shared" si="66"/>
        <v>-3.735157250942978E-3</v>
      </c>
      <c r="S242" s="9">
        <f t="shared" si="67"/>
        <v>0</v>
      </c>
      <c r="T242" s="10">
        <f t="shared" si="70"/>
        <v>0.80264715099690664</v>
      </c>
      <c r="U242" s="10">
        <f t="shared" si="71"/>
        <v>0.11064934132625381</v>
      </c>
      <c r="V242" s="10">
        <f t="shared" si="72"/>
        <v>-0.32209249624702241</v>
      </c>
      <c r="W242" s="10">
        <f t="shared" si="73"/>
        <v>0.75292213554072007</v>
      </c>
      <c r="X242" s="10">
        <f t="shared" si="74"/>
        <v>1.6719812996379007</v>
      </c>
      <c r="Y242" s="10">
        <f t="shared" si="75"/>
        <v>0.75395380635699527</v>
      </c>
      <c r="Z242" s="10">
        <f t="shared" si="76"/>
        <v>-1.6719812996379007</v>
      </c>
      <c r="AA242" s="10">
        <f t="shared" si="77"/>
        <v>-0.75395380635699527</v>
      </c>
      <c r="AB242" s="7">
        <f t="shared" si="69"/>
        <v>1.3441261316168567</v>
      </c>
      <c r="AC242" s="7">
        <v>2.2248208031284382</v>
      </c>
    </row>
    <row r="243" spans="1:29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11">
        <v>-1</v>
      </c>
      <c r="I243" s="11">
        <v>1</v>
      </c>
      <c r="J243" s="12">
        <v>-1</v>
      </c>
      <c r="K243" s="12">
        <v>1</v>
      </c>
      <c r="L243" s="9">
        <f t="shared" si="68"/>
        <v>0</v>
      </c>
      <c r="M243" s="9">
        <f t="shared" si="61"/>
        <v>4.5876222008975683E-2</v>
      </c>
      <c r="N243" s="9">
        <f t="shared" si="62"/>
        <v>0</v>
      </c>
      <c r="O243" s="9">
        <f t="shared" si="63"/>
        <v>-2.5961489164245118E-2</v>
      </c>
      <c r="P243" s="9">
        <f t="shared" si="64"/>
        <v>1.332145561269671E-2</v>
      </c>
      <c r="Q243" s="9">
        <f t="shared" si="65"/>
        <v>0</v>
      </c>
      <c r="R243" s="9">
        <f t="shared" si="66"/>
        <v>-1.332145561269671E-2</v>
      </c>
      <c r="S243" s="9">
        <f t="shared" si="67"/>
        <v>0</v>
      </c>
      <c r="T243" s="10">
        <f t="shared" si="70"/>
        <v>0.80264715099690664</v>
      </c>
      <c r="U243" s="10">
        <f t="shared" si="71"/>
        <v>0.15652556333522949</v>
      </c>
      <c r="V243" s="10">
        <f t="shared" si="72"/>
        <v>-0.32209249624702241</v>
      </c>
      <c r="W243" s="10">
        <f t="shared" si="73"/>
        <v>0.72696064637647495</v>
      </c>
      <c r="X243" s="10">
        <f t="shared" si="74"/>
        <v>1.6853027552505975</v>
      </c>
      <c r="Y243" s="10">
        <f t="shared" si="75"/>
        <v>0.75395380635699527</v>
      </c>
      <c r="Z243" s="10">
        <f t="shared" si="76"/>
        <v>-1.6853027552505975</v>
      </c>
      <c r="AA243" s="10">
        <f t="shared" si="77"/>
        <v>-0.75395380635699527</v>
      </c>
      <c r="AB243" s="7">
        <f t="shared" si="69"/>
        <v>1.3640408644615873</v>
      </c>
      <c r="AC243" s="7">
        <v>2.130332819430893</v>
      </c>
    </row>
    <row r="244" spans="1:29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11">
        <v>-1</v>
      </c>
      <c r="I244" s="11">
        <v>1</v>
      </c>
      <c r="J244" s="12">
        <v>-1</v>
      </c>
      <c r="K244" s="12">
        <v>1</v>
      </c>
      <c r="L244" s="9">
        <f t="shared" si="68"/>
        <v>0</v>
      </c>
      <c r="M244" s="9">
        <f t="shared" si="61"/>
        <v>-3.1898406646399091E-2</v>
      </c>
      <c r="N244" s="9">
        <f t="shared" si="62"/>
        <v>0</v>
      </c>
      <c r="O244" s="9">
        <f t="shared" si="63"/>
        <v>3.1724303537678411E-2</v>
      </c>
      <c r="P244" s="9">
        <f t="shared" si="64"/>
        <v>1.6849724382092202E-2</v>
      </c>
      <c r="Q244" s="9">
        <f t="shared" si="65"/>
        <v>0</v>
      </c>
      <c r="R244" s="9">
        <f t="shared" si="66"/>
        <v>-1.6849724382092202E-2</v>
      </c>
      <c r="S244" s="9">
        <f t="shared" si="67"/>
        <v>0</v>
      </c>
      <c r="T244" s="10">
        <f t="shared" si="70"/>
        <v>0.80264715099690664</v>
      </c>
      <c r="U244" s="10">
        <f t="shared" si="71"/>
        <v>0.1246271566888304</v>
      </c>
      <c r="V244" s="10">
        <f t="shared" si="72"/>
        <v>-0.32209249624702241</v>
      </c>
      <c r="W244" s="10">
        <f t="shared" si="73"/>
        <v>0.75868494991415336</v>
      </c>
      <c r="X244" s="10">
        <f t="shared" si="74"/>
        <v>1.7021524796326897</v>
      </c>
      <c r="Y244" s="10">
        <f t="shared" si="75"/>
        <v>0.75395380635699527</v>
      </c>
      <c r="Z244" s="10">
        <f t="shared" si="76"/>
        <v>-1.7021524796326897</v>
      </c>
      <c r="AA244" s="10">
        <f t="shared" si="77"/>
        <v>-0.75395380635699527</v>
      </c>
      <c r="AB244" s="7">
        <f t="shared" si="69"/>
        <v>1.3638667613528668</v>
      </c>
      <c r="AC244" s="7">
        <v>2.2116928364247199</v>
      </c>
    </row>
    <row r="245" spans="1:29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11">
        <v>1</v>
      </c>
      <c r="I245" s="11">
        <v>-1</v>
      </c>
      <c r="J245" s="12">
        <v>1</v>
      </c>
      <c r="K245" s="12">
        <v>1</v>
      </c>
      <c r="L245" s="9">
        <f t="shared" si="68"/>
        <v>3.3360830493271321E-2</v>
      </c>
      <c r="M245" s="9">
        <f t="shared" si="61"/>
        <v>0</v>
      </c>
      <c r="N245" s="9">
        <f t="shared" si="62"/>
        <v>-2.6690130762190619E-2</v>
      </c>
      <c r="O245" s="9">
        <f t="shared" si="63"/>
        <v>0</v>
      </c>
      <c r="P245" s="9">
        <f t="shared" si="64"/>
        <v>0</v>
      </c>
      <c r="Q245" s="9">
        <f t="shared" si="65"/>
        <v>1.5810211799955679E-2</v>
      </c>
      <c r="R245" s="9">
        <f t="shared" si="66"/>
        <v>0</v>
      </c>
      <c r="S245" s="9">
        <f t="shared" si="67"/>
        <v>-1.5810211799955679E-2</v>
      </c>
      <c r="T245" s="10">
        <f t="shared" si="70"/>
        <v>0.83600798149017796</v>
      </c>
      <c r="U245" s="10">
        <f t="shared" si="71"/>
        <v>0.1246271566888304</v>
      </c>
      <c r="V245" s="10">
        <f t="shared" si="72"/>
        <v>-0.34878262700921303</v>
      </c>
      <c r="W245" s="10">
        <f t="shared" si="73"/>
        <v>0.75868494991415336</v>
      </c>
      <c r="X245" s="10">
        <f t="shared" si="74"/>
        <v>1.7021524796326897</v>
      </c>
      <c r="Y245" s="10">
        <f t="shared" si="75"/>
        <v>0.76976401815695095</v>
      </c>
      <c r="Z245" s="10">
        <f t="shared" si="76"/>
        <v>-1.7021524796326897</v>
      </c>
      <c r="AA245" s="10">
        <f t="shared" si="77"/>
        <v>-0.76976401815695095</v>
      </c>
      <c r="AB245" s="7">
        <f t="shared" si="69"/>
        <v>1.3705374610839476</v>
      </c>
      <c r="AC245" s="7">
        <v>2.2689075080125618</v>
      </c>
    </row>
    <row r="246" spans="1:29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11">
        <v>1</v>
      </c>
      <c r="I246" s="11">
        <v>-1</v>
      </c>
      <c r="J246" s="12">
        <v>1</v>
      </c>
      <c r="K246" s="12">
        <v>-1</v>
      </c>
      <c r="L246" s="9">
        <f t="shared" si="68"/>
        <v>-9.5189650497244926E-3</v>
      </c>
      <c r="M246" s="9">
        <f t="shared" si="61"/>
        <v>0</v>
      </c>
      <c r="N246" s="9">
        <f t="shared" si="62"/>
        <v>4.029111657519191E-2</v>
      </c>
      <c r="O246" s="9">
        <f t="shared" si="63"/>
        <v>0</v>
      </c>
      <c r="P246" s="9">
        <f t="shared" si="64"/>
        <v>0</v>
      </c>
      <c r="Q246" s="9">
        <f t="shared" si="65"/>
        <v>3.5994647823447079E-2</v>
      </c>
      <c r="R246" s="9">
        <f t="shared" si="66"/>
        <v>0</v>
      </c>
      <c r="S246" s="9">
        <f t="shared" si="67"/>
        <v>-3.5994647823447079E-2</v>
      </c>
      <c r="T246" s="10">
        <f t="shared" si="70"/>
        <v>0.82648901644045347</v>
      </c>
      <c r="U246" s="10">
        <f t="shared" si="71"/>
        <v>0.1246271566888304</v>
      </c>
      <c r="V246" s="10">
        <f t="shared" si="72"/>
        <v>-0.30849151043402112</v>
      </c>
      <c r="W246" s="10">
        <f t="shared" si="73"/>
        <v>0.75868494991415336</v>
      </c>
      <c r="X246" s="10">
        <f t="shared" si="74"/>
        <v>1.7021524796326897</v>
      </c>
      <c r="Y246" s="10">
        <f t="shared" si="75"/>
        <v>0.80575866598039803</v>
      </c>
      <c r="Z246" s="10">
        <f t="shared" si="76"/>
        <v>-1.7021524796326897</v>
      </c>
      <c r="AA246" s="10">
        <f t="shared" si="77"/>
        <v>-0.80575866598039803</v>
      </c>
      <c r="AB246" s="7">
        <f t="shared" si="69"/>
        <v>1.4013096126094151</v>
      </c>
      <c r="AC246" s="7">
        <v>2.210924455325149</v>
      </c>
    </row>
    <row r="247" spans="1:29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11">
        <v>1</v>
      </c>
      <c r="I247" s="11">
        <v>-1</v>
      </c>
      <c r="J247" s="12">
        <v>1</v>
      </c>
      <c r="K247" s="12">
        <v>-1</v>
      </c>
      <c r="L247" s="9">
        <f t="shared" si="68"/>
        <v>1.5819258771188841E-2</v>
      </c>
      <c r="M247" s="9">
        <f t="shared" si="61"/>
        <v>0</v>
      </c>
      <c r="N247" s="9">
        <f t="shared" si="62"/>
        <v>4.1089881848044302E-4</v>
      </c>
      <c r="O247" s="9">
        <f t="shared" si="63"/>
        <v>0</v>
      </c>
      <c r="P247" s="9">
        <f t="shared" si="64"/>
        <v>0</v>
      </c>
      <c r="Q247" s="9">
        <f t="shared" si="65"/>
        <v>-1.4461935811890149E-2</v>
      </c>
      <c r="R247" s="9">
        <f t="shared" si="66"/>
        <v>0</v>
      </c>
      <c r="S247" s="9">
        <f t="shared" si="67"/>
        <v>1.4461935811890149E-2</v>
      </c>
      <c r="T247" s="10">
        <f t="shared" si="70"/>
        <v>0.84230827521164231</v>
      </c>
      <c r="U247" s="10">
        <f t="shared" si="71"/>
        <v>0.1246271566888304</v>
      </c>
      <c r="V247" s="10">
        <f t="shared" si="72"/>
        <v>-0.30808061161554068</v>
      </c>
      <c r="W247" s="10">
        <f t="shared" si="73"/>
        <v>0.75868494991415336</v>
      </c>
      <c r="X247" s="10">
        <f t="shared" si="74"/>
        <v>1.7021524796326897</v>
      </c>
      <c r="Y247" s="10">
        <f t="shared" si="75"/>
        <v>0.79129673016850788</v>
      </c>
      <c r="Z247" s="10">
        <f t="shared" si="76"/>
        <v>-1.7021524796326897</v>
      </c>
      <c r="AA247" s="10">
        <f t="shared" si="77"/>
        <v>-0.79129673016850788</v>
      </c>
      <c r="AB247" s="7">
        <f t="shared" si="69"/>
        <v>1.4175397701990844</v>
      </c>
      <c r="AC247" s="7">
        <v>2.2730414178856519</v>
      </c>
    </row>
    <row r="248" spans="1:29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11">
        <v>-1</v>
      </c>
      <c r="I248" s="11">
        <v>1</v>
      </c>
      <c r="J248" s="12">
        <v>-1</v>
      </c>
      <c r="K248" s="12">
        <v>-1</v>
      </c>
      <c r="L248" s="9">
        <f t="shared" si="68"/>
        <v>0</v>
      </c>
      <c r="M248" s="9">
        <f t="shared" si="61"/>
        <v>5.6532403693871913E-3</v>
      </c>
      <c r="N248" s="9">
        <f t="shared" si="62"/>
        <v>0</v>
      </c>
      <c r="O248" s="9">
        <f t="shared" si="63"/>
        <v>4.0875296187974364E-3</v>
      </c>
      <c r="P248" s="9">
        <f t="shared" si="64"/>
        <v>2.1522906024489141E-2</v>
      </c>
      <c r="Q248" s="9">
        <f t="shared" si="65"/>
        <v>0</v>
      </c>
      <c r="R248" s="9">
        <f t="shared" si="66"/>
        <v>-2.1522906024489141E-2</v>
      </c>
      <c r="S248" s="9">
        <f t="shared" si="67"/>
        <v>0</v>
      </c>
      <c r="T248" s="10">
        <f t="shared" si="70"/>
        <v>0.84230827521164231</v>
      </c>
      <c r="U248" s="10">
        <f t="shared" si="71"/>
        <v>0.13028039705821759</v>
      </c>
      <c r="V248" s="10">
        <f t="shared" si="72"/>
        <v>-0.30808061161554068</v>
      </c>
      <c r="W248" s="10">
        <f t="shared" si="73"/>
        <v>0.7627724795329508</v>
      </c>
      <c r="X248" s="10">
        <f t="shared" si="74"/>
        <v>1.7236753856571787</v>
      </c>
      <c r="Y248" s="10">
        <f t="shared" si="75"/>
        <v>0.79129673016850788</v>
      </c>
      <c r="Z248" s="10">
        <f t="shared" si="76"/>
        <v>-1.7236753856571787</v>
      </c>
      <c r="AA248" s="10">
        <f t="shared" si="77"/>
        <v>-0.79129673016850788</v>
      </c>
      <c r="AB248" s="7">
        <f t="shared" si="69"/>
        <v>1.427280540187269</v>
      </c>
      <c r="AC248" s="7">
        <v>2.2484610918470529</v>
      </c>
    </row>
    <row r="249" spans="1:29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11">
        <v>1</v>
      </c>
      <c r="I249" s="11">
        <v>-1</v>
      </c>
      <c r="J249" s="12">
        <v>1</v>
      </c>
      <c r="K249" s="12">
        <v>1</v>
      </c>
      <c r="L249" s="9">
        <f t="shared" si="68"/>
        <v>2.6328618187439919E-2</v>
      </c>
      <c r="M249" s="9">
        <f t="shared" si="61"/>
        <v>0</v>
      </c>
      <c r="N249" s="9">
        <f t="shared" si="62"/>
        <v>-1.346620224712947E-2</v>
      </c>
      <c r="O249" s="9">
        <f t="shared" si="63"/>
        <v>0</v>
      </c>
      <c r="P249" s="9">
        <f t="shared" si="64"/>
        <v>0</v>
      </c>
      <c r="Q249" s="9">
        <f t="shared" si="65"/>
        <v>-5.3432890843728709E-3</v>
      </c>
      <c r="R249" s="9">
        <f t="shared" si="66"/>
        <v>0</v>
      </c>
      <c r="S249" s="9">
        <f t="shared" si="67"/>
        <v>5.3432890843728709E-3</v>
      </c>
      <c r="T249" s="10">
        <f t="shared" si="70"/>
        <v>0.86863689339908223</v>
      </c>
      <c r="U249" s="10">
        <f t="shared" si="71"/>
        <v>0.13028039705821759</v>
      </c>
      <c r="V249" s="10">
        <f t="shared" si="72"/>
        <v>-0.32154681386267014</v>
      </c>
      <c r="W249" s="10">
        <f t="shared" si="73"/>
        <v>0.7627724795329508</v>
      </c>
      <c r="X249" s="10">
        <f t="shared" si="74"/>
        <v>1.7236753856571787</v>
      </c>
      <c r="Y249" s="10">
        <f t="shared" si="75"/>
        <v>0.78595344108413501</v>
      </c>
      <c r="Z249" s="10">
        <f t="shared" si="76"/>
        <v>-1.7236753856571787</v>
      </c>
      <c r="AA249" s="10">
        <f t="shared" si="77"/>
        <v>-0.78595344108413501</v>
      </c>
      <c r="AB249" s="7">
        <f t="shared" si="69"/>
        <v>1.4401429561275794</v>
      </c>
      <c r="AC249" s="7">
        <v>2.2863349306304541</v>
      </c>
    </row>
    <row r="250" spans="1:29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11">
        <v>-1</v>
      </c>
      <c r="I250" s="11">
        <v>1</v>
      </c>
      <c r="J250" s="12">
        <v>-1</v>
      </c>
      <c r="K250" s="12">
        <v>-1</v>
      </c>
      <c r="L250" s="9">
        <f t="shared" si="68"/>
        <v>0</v>
      </c>
      <c r="M250" s="9">
        <f t="shared" si="61"/>
        <v>-8.3338768950933506E-3</v>
      </c>
      <c r="N250" s="9">
        <f t="shared" si="62"/>
        <v>0</v>
      </c>
      <c r="O250" s="9">
        <f t="shared" si="63"/>
        <v>1.0253967038495789E-2</v>
      </c>
      <c r="P250" s="9">
        <f t="shared" si="64"/>
        <v>5.716545940072093E-4</v>
      </c>
      <c r="Q250" s="9">
        <f t="shared" si="65"/>
        <v>0</v>
      </c>
      <c r="R250" s="9">
        <f t="shared" si="66"/>
        <v>-5.716545940072093E-4</v>
      </c>
      <c r="S250" s="9">
        <f t="shared" si="67"/>
        <v>0</v>
      </c>
      <c r="T250" s="10">
        <f t="shared" si="70"/>
        <v>0.86863689339908223</v>
      </c>
      <c r="U250" s="10">
        <f t="shared" si="71"/>
        <v>0.12194652016312424</v>
      </c>
      <c r="V250" s="10">
        <f t="shared" si="72"/>
        <v>-0.32154681386267014</v>
      </c>
      <c r="W250" s="10">
        <f t="shared" si="73"/>
        <v>0.77302644657144659</v>
      </c>
      <c r="X250" s="10">
        <f t="shared" si="74"/>
        <v>1.724247040251186</v>
      </c>
      <c r="Y250" s="10">
        <f t="shared" si="75"/>
        <v>0.78595344108413501</v>
      </c>
      <c r="Z250" s="10">
        <f t="shared" si="76"/>
        <v>-1.724247040251186</v>
      </c>
      <c r="AA250" s="10">
        <f t="shared" si="77"/>
        <v>-0.78595344108413501</v>
      </c>
      <c r="AB250" s="7">
        <f t="shared" si="69"/>
        <v>1.4420630462709818</v>
      </c>
      <c r="AC250" s="7">
        <v>2.302707483901385</v>
      </c>
    </row>
    <row r="251" spans="1:29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11">
        <v>-1</v>
      </c>
      <c r="I251" s="11">
        <v>1</v>
      </c>
      <c r="J251" s="12">
        <v>-1</v>
      </c>
      <c r="K251" s="12">
        <v>1</v>
      </c>
      <c r="L251" s="9">
        <f t="shared" si="68"/>
        <v>0</v>
      </c>
      <c r="M251" s="9">
        <f t="shared" si="61"/>
        <v>1.615198151974973E-3</v>
      </c>
      <c r="N251" s="9">
        <f t="shared" si="62"/>
        <v>0</v>
      </c>
      <c r="O251" s="9">
        <f t="shared" si="63"/>
        <v>1.866718971593662E-2</v>
      </c>
      <c r="P251" s="9">
        <f t="shared" si="64"/>
        <v>-7.6834658899839203E-3</v>
      </c>
      <c r="Q251" s="9">
        <f t="shared" si="65"/>
        <v>0</v>
      </c>
      <c r="R251" s="9">
        <f t="shared" si="66"/>
        <v>7.6834658899839203E-3</v>
      </c>
      <c r="S251" s="9">
        <f t="shared" si="67"/>
        <v>0</v>
      </c>
      <c r="T251" s="10">
        <f t="shared" si="70"/>
        <v>0.86863689339908223</v>
      </c>
      <c r="U251" s="10">
        <f t="shared" si="71"/>
        <v>0.12356171831509921</v>
      </c>
      <c r="V251" s="10">
        <f t="shared" si="72"/>
        <v>-0.32154681386267014</v>
      </c>
      <c r="W251" s="10">
        <f t="shared" si="73"/>
        <v>0.79169363628738321</v>
      </c>
      <c r="X251" s="10">
        <f t="shared" si="74"/>
        <v>1.716563574361202</v>
      </c>
      <c r="Y251" s="10">
        <f t="shared" si="75"/>
        <v>0.78595344108413501</v>
      </c>
      <c r="Z251" s="10">
        <f t="shared" si="76"/>
        <v>-1.716563574361202</v>
      </c>
      <c r="AA251" s="10">
        <f t="shared" si="77"/>
        <v>-0.78595344108413501</v>
      </c>
      <c r="AB251" s="7">
        <f t="shared" si="69"/>
        <v>1.4623454341388935</v>
      </c>
      <c r="AC251" s="7">
        <v>2.307992643727768</v>
      </c>
    </row>
    <row r="252" spans="1:29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11">
        <v>-1</v>
      </c>
      <c r="I252" s="11">
        <v>1</v>
      </c>
      <c r="J252" s="12">
        <v>-1</v>
      </c>
      <c r="K252" s="12">
        <v>1</v>
      </c>
      <c r="L252" s="9">
        <f t="shared" si="68"/>
        <v>0</v>
      </c>
      <c r="M252" s="9">
        <f t="shared" si="61"/>
        <v>-1.556409558544081E-2</v>
      </c>
      <c r="N252" s="9">
        <f t="shared" si="62"/>
        <v>0</v>
      </c>
      <c r="O252" s="9">
        <f t="shared" si="63"/>
        <v>6.4350676354238967E-3</v>
      </c>
      <c r="P252" s="9">
        <f t="shared" si="64"/>
        <v>2.0765485891562241E-2</v>
      </c>
      <c r="Q252" s="9">
        <f t="shared" si="65"/>
        <v>0</v>
      </c>
      <c r="R252" s="9">
        <f t="shared" si="66"/>
        <v>-2.0765485891562241E-2</v>
      </c>
      <c r="S252" s="9">
        <f t="shared" si="67"/>
        <v>0</v>
      </c>
      <c r="T252" s="10">
        <f t="shared" si="70"/>
        <v>0.86863689339908223</v>
      </c>
      <c r="U252" s="10">
        <f t="shared" si="71"/>
        <v>0.1079976227296584</v>
      </c>
      <c r="V252" s="10">
        <f t="shared" si="72"/>
        <v>-0.32154681386267014</v>
      </c>
      <c r="W252" s="10">
        <f t="shared" si="73"/>
        <v>0.7981287039228071</v>
      </c>
      <c r="X252" s="10">
        <f t="shared" si="74"/>
        <v>1.7373290602527642</v>
      </c>
      <c r="Y252" s="10">
        <f t="shared" si="75"/>
        <v>0.78595344108413501</v>
      </c>
      <c r="Z252" s="10">
        <f t="shared" si="76"/>
        <v>-1.7373290602527642</v>
      </c>
      <c r="AA252" s="10">
        <f t="shared" si="77"/>
        <v>-0.78595344108413501</v>
      </c>
      <c r="AB252" s="7">
        <f t="shared" si="69"/>
        <v>1.4532164061888766</v>
      </c>
      <c r="AC252" s="7">
        <v>2.3713100896199482</v>
      </c>
    </row>
    <row r="253" spans="1:29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11">
        <v>-1</v>
      </c>
      <c r="I253" s="11">
        <v>1</v>
      </c>
      <c r="J253" s="12">
        <v>-1</v>
      </c>
      <c r="K253" s="12">
        <v>1</v>
      </c>
      <c r="L253" s="9">
        <f t="shared" si="68"/>
        <v>0</v>
      </c>
      <c r="M253" s="9">
        <f t="shared" si="61"/>
        <v>-7.9481408337445103E-3</v>
      </c>
      <c r="N253" s="9">
        <f t="shared" si="62"/>
        <v>0</v>
      </c>
      <c r="O253" s="9">
        <f t="shared" si="63"/>
        <v>-1.27983076099466E-2</v>
      </c>
      <c r="P253" s="9">
        <f t="shared" si="64"/>
        <v>-8.1609246464321439E-3</v>
      </c>
      <c r="Q253" s="9">
        <f t="shared" si="65"/>
        <v>0</v>
      </c>
      <c r="R253" s="9">
        <f t="shared" si="66"/>
        <v>8.1609246464321439E-3</v>
      </c>
      <c r="S253" s="9">
        <f t="shared" si="67"/>
        <v>0</v>
      </c>
      <c r="T253" s="10">
        <f t="shared" si="70"/>
        <v>0.86863689339908223</v>
      </c>
      <c r="U253" s="10">
        <f t="shared" si="71"/>
        <v>0.10004948189591389</v>
      </c>
      <c r="V253" s="10">
        <f t="shared" si="72"/>
        <v>-0.32154681386267014</v>
      </c>
      <c r="W253" s="10">
        <f t="shared" si="73"/>
        <v>0.7853303963128605</v>
      </c>
      <c r="X253" s="10">
        <f t="shared" si="74"/>
        <v>1.729168135606332</v>
      </c>
      <c r="Y253" s="10">
        <f t="shared" si="75"/>
        <v>0.78595344108413501</v>
      </c>
      <c r="Z253" s="10">
        <f t="shared" si="76"/>
        <v>-1.729168135606332</v>
      </c>
      <c r="AA253" s="10">
        <f t="shared" si="77"/>
        <v>-0.78595344108413501</v>
      </c>
      <c r="AB253" s="7">
        <f t="shared" si="69"/>
        <v>1.4324699577451856</v>
      </c>
      <c r="AC253" s="7">
        <v>2.403785093581412</v>
      </c>
    </row>
    <row r="254" spans="1:29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11">
        <v>-1</v>
      </c>
      <c r="I254" s="11">
        <v>1</v>
      </c>
      <c r="J254" s="12">
        <v>-1</v>
      </c>
      <c r="K254" s="12">
        <v>1</v>
      </c>
      <c r="L254" s="9">
        <f t="shared" si="68"/>
        <v>0</v>
      </c>
      <c r="M254" s="9">
        <f t="shared" si="61"/>
        <v>-2.5071299781027179E-2</v>
      </c>
      <c r="N254" s="9">
        <f t="shared" si="62"/>
        <v>0</v>
      </c>
      <c r="O254" s="9">
        <f t="shared" si="63"/>
        <v>4.3990711427028588E-2</v>
      </c>
      <c r="P254" s="9">
        <f t="shared" si="64"/>
        <v>-1.5432315897249469E-2</v>
      </c>
      <c r="Q254" s="9">
        <f t="shared" si="65"/>
        <v>0</v>
      </c>
      <c r="R254" s="9">
        <f t="shared" si="66"/>
        <v>1.5432315897249469E-2</v>
      </c>
      <c r="S254" s="9">
        <f t="shared" si="67"/>
        <v>0</v>
      </c>
      <c r="T254" s="10">
        <f t="shared" si="70"/>
        <v>0.86863689339908223</v>
      </c>
      <c r="U254" s="10">
        <f t="shared" si="71"/>
        <v>7.4978182114886716E-2</v>
      </c>
      <c r="V254" s="10">
        <f t="shared" si="72"/>
        <v>-0.32154681386267014</v>
      </c>
      <c r="W254" s="10">
        <f t="shared" si="73"/>
        <v>0.8293211077398891</v>
      </c>
      <c r="X254" s="10">
        <f t="shared" si="74"/>
        <v>1.7137358197090826</v>
      </c>
      <c r="Y254" s="10">
        <f t="shared" si="75"/>
        <v>0.78595344108413501</v>
      </c>
      <c r="Z254" s="10">
        <f t="shared" si="76"/>
        <v>-1.7137358197090826</v>
      </c>
      <c r="AA254" s="10">
        <f t="shared" si="77"/>
        <v>-0.78595344108413501</v>
      </c>
      <c r="AB254" s="7">
        <f t="shared" si="69"/>
        <v>1.451389369391187</v>
      </c>
      <c r="AC254" s="7">
        <v>2.3880666592149469</v>
      </c>
    </row>
    <row r="255" spans="1:29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11">
        <v>-1</v>
      </c>
      <c r="I255" s="11">
        <v>1</v>
      </c>
      <c r="J255" s="12">
        <v>-1</v>
      </c>
      <c r="K255" s="12">
        <v>1</v>
      </c>
      <c r="L255" s="9">
        <f t="shared" si="68"/>
        <v>0</v>
      </c>
      <c r="M255" s="9">
        <f t="shared" si="61"/>
        <v>6.7163377164752847E-3</v>
      </c>
      <c r="N255" s="9">
        <f t="shared" si="62"/>
        <v>0</v>
      </c>
      <c r="O255" s="9">
        <f t="shared" si="63"/>
        <v>-3.0094477680093101E-2</v>
      </c>
      <c r="P255" s="9">
        <f t="shared" si="64"/>
        <v>-1.074320599260503E-2</v>
      </c>
      <c r="Q255" s="9">
        <f t="shared" si="65"/>
        <v>0</v>
      </c>
      <c r="R255" s="9">
        <f t="shared" si="66"/>
        <v>1.074320599260503E-2</v>
      </c>
      <c r="S255" s="9">
        <f t="shared" si="67"/>
        <v>0</v>
      </c>
      <c r="T255" s="10">
        <f t="shared" si="70"/>
        <v>0.86863689339908223</v>
      </c>
      <c r="U255" s="10">
        <f t="shared" si="71"/>
        <v>8.1694519831362E-2</v>
      </c>
      <c r="V255" s="10">
        <f t="shared" si="72"/>
        <v>-0.32154681386267014</v>
      </c>
      <c r="W255" s="10">
        <f t="shared" si="73"/>
        <v>0.79922663005979599</v>
      </c>
      <c r="X255" s="10">
        <f t="shared" si="74"/>
        <v>1.7029926137164777</v>
      </c>
      <c r="Y255" s="10">
        <f t="shared" si="75"/>
        <v>0.78595344108413501</v>
      </c>
      <c r="Z255" s="10">
        <f t="shared" si="76"/>
        <v>-1.7029926137164777</v>
      </c>
      <c r="AA255" s="10">
        <f t="shared" si="77"/>
        <v>-0.78595344108413501</v>
      </c>
      <c r="AB255" s="7">
        <f t="shared" si="69"/>
        <v>1.4280112294275691</v>
      </c>
      <c r="AC255" s="7">
        <v>2.3399805261025559</v>
      </c>
    </row>
    <row r="256" spans="1:29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11">
        <v>-1</v>
      </c>
      <c r="I256" s="11">
        <v>1</v>
      </c>
      <c r="J256" s="12">
        <v>-1</v>
      </c>
      <c r="K256" s="12">
        <v>1</v>
      </c>
      <c r="L256" s="9">
        <f t="shared" si="68"/>
        <v>0</v>
      </c>
      <c r="M256" s="9">
        <f t="shared" si="61"/>
        <v>6.8174303094270527E-3</v>
      </c>
      <c r="N256" s="9">
        <f t="shared" si="62"/>
        <v>0</v>
      </c>
      <c r="O256" s="9">
        <f t="shared" si="63"/>
        <v>4.6329681347054841E-3</v>
      </c>
      <c r="P256" s="9">
        <f t="shared" si="64"/>
        <v>4.9943423282756694E-3</v>
      </c>
      <c r="Q256" s="9">
        <f t="shared" si="65"/>
        <v>0</v>
      </c>
      <c r="R256" s="9">
        <f t="shared" si="66"/>
        <v>-4.9943423282756694E-3</v>
      </c>
      <c r="S256" s="9">
        <f t="shared" si="67"/>
        <v>0</v>
      </c>
      <c r="T256" s="10">
        <f t="shared" si="70"/>
        <v>0.86863689339908223</v>
      </c>
      <c r="U256" s="10">
        <f t="shared" si="71"/>
        <v>8.8511950140789053E-2</v>
      </c>
      <c r="V256" s="10">
        <f t="shared" si="72"/>
        <v>-0.32154681386267014</v>
      </c>
      <c r="W256" s="10">
        <f t="shared" si="73"/>
        <v>0.80385959819450148</v>
      </c>
      <c r="X256" s="10">
        <f t="shared" si="74"/>
        <v>1.7079869560447534</v>
      </c>
      <c r="Y256" s="10">
        <f t="shared" si="75"/>
        <v>0.78595344108413501</v>
      </c>
      <c r="Z256" s="10">
        <f t="shared" si="76"/>
        <v>-1.7079869560447534</v>
      </c>
      <c r="AA256" s="10">
        <f t="shared" si="77"/>
        <v>-0.78595344108413501</v>
      </c>
      <c r="AB256" s="7">
        <f t="shared" si="69"/>
        <v>1.4394616278717016</v>
      </c>
      <c r="AC256" s="7">
        <v>2.318859445155383</v>
      </c>
    </row>
    <row r="257" spans="1:29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11">
        <v>1</v>
      </c>
      <c r="I257" s="11">
        <v>-1</v>
      </c>
      <c r="J257" s="12">
        <v>1</v>
      </c>
      <c r="K257" s="12">
        <v>1</v>
      </c>
      <c r="L257" s="9">
        <f t="shared" si="68"/>
        <v>6.8993651449281712E-3</v>
      </c>
      <c r="M257" s="9">
        <f t="shared" si="61"/>
        <v>0</v>
      </c>
      <c r="N257" s="9">
        <f t="shared" si="62"/>
        <v>-1.1453852266020361E-2</v>
      </c>
      <c r="O257" s="9">
        <f t="shared" si="63"/>
        <v>0</v>
      </c>
      <c r="P257" s="9">
        <f t="shared" si="64"/>
        <v>0</v>
      </c>
      <c r="Q257" s="9">
        <f t="shared" si="65"/>
        <v>-4.4098955238720983E-2</v>
      </c>
      <c r="R257" s="9">
        <f t="shared" si="66"/>
        <v>0</v>
      </c>
      <c r="S257" s="9">
        <f t="shared" si="67"/>
        <v>4.4098955238720983E-2</v>
      </c>
      <c r="T257" s="10">
        <f t="shared" si="70"/>
        <v>0.8755362585440104</v>
      </c>
      <c r="U257" s="10">
        <f t="shared" si="71"/>
        <v>8.8511950140789053E-2</v>
      </c>
      <c r="V257" s="10">
        <f t="shared" si="72"/>
        <v>-0.3330006661286905</v>
      </c>
      <c r="W257" s="10">
        <f t="shared" si="73"/>
        <v>0.80385959819450148</v>
      </c>
      <c r="X257" s="10">
        <f t="shared" si="74"/>
        <v>1.7079869560447534</v>
      </c>
      <c r="Y257" s="10">
        <f t="shared" si="75"/>
        <v>0.74185448584541402</v>
      </c>
      <c r="Z257" s="10">
        <f t="shared" si="76"/>
        <v>-1.7079869560447534</v>
      </c>
      <c r="AA257" s="10">
        <f t="shared" si="77"/>
        <v>-0.74185448584541402</v>
      </c>
      <c r="AB257" s="7">
        <f t="shared" si="69"/>
        <v>1.4349071407506093</v>
      </c>
      <c r="AC257" s="7">
        <v>2.4069459505138799</v>
      </c>
    </row>
    <row r="258" spans="1:29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11">
        <v>1</v>
      </c>
      <c r="I258" s="11">
        <v>-1</v>
      </c>
      <c r="J258" s="12">
        <v>1</v>
      </c>
      <c r="K258" s="12">
        <v>-1</v>
      </c>
      <c r="L258" s="9">
        <f t="shared" si="68"/>
        <v>5.5229063045624249E-3</v>
      </c>
      <c r="M258" s="9">
        <f t="shared" si="61"/>
        <v>0</v>
      </c>
      <c r="N258" s="9">
        <f t="shared" si="62"/>
        <v>2.6845082824344951E-4</v>
      </c>
      <c r="O258" s="9">
        <f t="shared" si="63"/>
        <v>0</v>
      </c>
      <c r="P258" s="9">
        <f t="shared" si="64"/>
        <v>0</v>
      </c>
      <c r="Q258" s="9">
        <f t="shared" si="65"/>
        <v>-4.0700255344728884E-3</v>
      </c>
      <c r="R258" s="9">
        <f t="shared" si="66"/>
        <v>0</v>
      </c>
      <c r="S258" s="9">
        <f t="shared" si="67"/>
        <v>4.0700255344728884E-3</v>
      </c>
      <c r="T258" s="10">
        <f t="shared" si="70"/>
        <v>0.88105916484857283</v>
      </c>
      <c r="U258" s="10">
        <f t="shared" si="71"/>
        <v>8.8511950140789053E-2</v>
      </c>
      <c r="V258" s="10">
        <f t="shared" si="72"/>
        <v>-0.33273221530044705</v>
      </c>
      <c r="W258" s="10">
        <f t="shared" si="73"/>
        <v>0.80385959819450148</v>
      </c>
      <c r="X258" s="10">
        <f t="shared" si="74"/>
        <v>1.7079869560447534</v>
      </c>
      <c r="Y258" s="10">
        <f t="shared" si="75"/>
        <v>0.73778446031094114</v>
      </c>
      <c r="Z258" s="10">
        <f t="shared" si="76"/>
        <v>-1.7079869560447534</v>
      </c>
      <c r="AA258" s="10">
        <f t="shared" si="77"/>
        <v>-0.73778446031094114</v>
      </c>
      <c r="AB258" s="7">
        <f t="shared" si="69"/>
        <v>1.4406984978834152</v>
      </c>
      <c r="AC258" s="7">
        <v>2.4519785650756538</v>
      </c>
    </row>
    <row r="259" spans="1:29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11">
        <v>-1</v>
      </c>
      <c r="I259" s="11">
        <v>1</v>
      </c>
      <c r="J259" s="12">
        <v>-1</v>
      </c>
      <c r="K259" s="12">
        <v>-1</v>
      </c>
      <c r="L259" s="9">
        <f t="shared" si="68"/>
        <v>0</v>
      </c>
      <c r="M259" s="9">
        <f t="shared" ref="M259:M278" si="78">IF(H259=-1,-D259,0)</f>
        <v>3.9098161767312511E-3</v>
      </c>
      <c r="N259" s="9">
        <f t="shared" ref="N259:N278" si="79">IF(H259=1,-E259,0)</f>
        <v>0</v>
      </c>
      <c r="O259" s="9">
        <f t="shared" ref="O259:O278" si="80">IF(H259=-1,E259,0)</f>
        <v>2.9164599312065609E-2</v>
      </c>
      <c r="P259" s="9">
        <f t="shared" ref="P259:P278" si="81">IF(I259=1,F259,0)</f>
        <v>-1.3384140943141221E-3</v>
      </c>
      <c r="Q259" s="9">
        <f t="shared" ref="Q259:Q278" si="82">IF($I259=-1,-$F259,0)</f>
        <v>0</v>
      </c>
      <c r="R259" s="9">
        <f t="shared" ref="R259:R278" si="83">IF($I259=1,-$F259,0)</f>
        <v>1.3384140943141221E-3</v>
      </c>
      <c r="S259" s="9">
        <f t="shared" ref="S259:S278" si="84">IF($I259=-1,$F259,0)</f>
        <v>0</v>
      </c>
      <c r="T259" s="10">
        <f t="shared" si="70"/>
        <v>0.88105916484857283</v>
      </c>
      <c r="U259" s="10">
        <f t="shared" si="71"/>
        <v>9.2421766317520304E-2</v>
      </c>
      <c r="V259" s="10">
        <f t="shared" si="72"/>
        <v>-0.33273221530044705</v>
      </c>
      <c r="W259" s="10">
        <f t="shared" si="73"/>
        <v>0.83302419750656709</v>
      </c>
      <c r="X259" s="10">
        <f t="shared" si="74"/>
        <v>1.7066485419504391</v>
      </c>
      <c r="Y259" s="10">
        <f t="shared" si="75"/>
        <v>0.73778446031094114</v>
      </c>
      <c r="Z259" s="10">
        <f t="shared" si="76"/>
        <v>-1.7066485419504391</v>
      </c>
      <c r="AA259" s="10">
        <f t="shared" si="77"/>
        <v>-0.73778446031094114</v>
      </c>
      <c r="AB259" s="7">
        <f t="shared" si="69"/>
        <v>1.4737729133722119</v>
      </c>
      <c r="AC259" s="7">
        <v>2.4682806182406329</v>
      </c>
    </row>
    <row r="260" spans="1:29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11">
        <v>-1</v>
      </c>
      <c r="I260" s="11">
        <v>1</v>
      </c>
      <c r="J260" s="12">
        <v>-1</v>
      </c>
      <c r="K260" s="12">
        <v>1</v>
      </c>
      <c r="L260" s="9">
        <f t="shared" ref="L260:L278" si="85">IF(H260=1,D260,0)</f>
        <v>0</v>
      </c>
      <c r="M260" s="9">
        <f t="shared" si="78"/>
        <v>-1.1581644277732779E-3</v>
      </c>
      <c r="N260" s="9">
        <f t="shared" si="79"/>
        <v>0</v>
      </c>
      <c r="O260" s="9">
        <f t="shared" si="80"/>
        <v>1.6757673707675891E-2</v>
      </c>
      <c r="P260" s="9">
        <f t="shared" si="81"/>
        <v>3.121803858747418E-2</v>
      </c>
      <c r="Q260" s="9">
        <f t="shared" si="82"/>
        <v>0</v>
      </c>
      <c r="R260" s="9">
        <f t="shared" si="83"/>
        <v>-3.121803858747418E-2</v>
      </c>
      <c r="S260" s="9">
        <f t="shared" si="84"/>
        <v>0</v>
      </c>
      <c r="T260" s="10">
        <f t="shared" si="70"/>
        <v>0.88105916484857283</v>
      </c>
      <c r="U260" s="10">
        <f t="shared" si="71"/>
        <v>9.1263601889747026E-2</v>
      </c>
      <c r="V260" s="10">
        <f t="shared" si="72"/>
        <v>-0.33273221530044705</v>
      </c>
      <c r="W260" s="10">
        <f t="shared" si="73"/>
        <v>0.84978187121424298</v>
      </c>
      <c r="X260" s="10">
        <f t="shared" si="74"/>
        <v>1.7378665805379132</v>
      </c>
      <c r="Y260" s="10">
        <f t="shared" si="75"/>
        <v>0.73778446031094114</v>
      </c>
      <c r="Z260" s="10">
        <f t="shared" si="76"/>
        <v>-1.7378665805379132</v>
      </c>
      <c r="AA260" s="10">
        <f t="shared" si="77"/>
        <v>-0.73778446031094114</v>
      </c>
      <c r="AB260" s="7">
        <f t="shared" ref="AB260:AB278" si="86">AB259+SUM(L260:S260)</f>
        <v>1.4893724226521146</v>
      </c>
      <c r="AC260" s="7">
        <v>2.5197693657958391</v>
      </c>
    </row>
    <row r="261" spans="1:29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11">
        <v>-1</v>
      </c>
      <c r="I261" s="11">
        <v>1</v>
      </c>
      <c r="J261" s="12">
        <v>-1</v>
      </c>
      <c r="K261" s="12">
        <v>1</v>
      </c>
      <c r="L261" s="9">
        <f t="shared" si="85"/>
        <v>0</v>
      </c>
      <c r="M261" s="9">
        <f t="shared" si="78"/>
        <v>-1.70714707773556E-3</v>
      </c>
      <c r="N261" s="9">
        <f t="shared" si="79"/>
        <v>0</v>
      </c>
      <c r="O261" s="9">
        <f t="shared" si="80"/>
        <v>1.6413090518260901E-2</v>
      </c>
      <c r="P261" s="9">
        <f t="shared" si="81"/>
        <v>1.331547192758142E-2</v>
      </c>
      <c r="Q261" s="9">
        <f t="shared" si="82"/>
        <v>0</v>
      </c>
      <c r="R261" s="9">
        <f t="shared" si="83"/>
        <v>-1.331547192758142E-2</v>
      </c>
      <c r="S261" s="9">
        <f t="shared" si="84"/>
        <v>0</v>
      </c>
      <c r="T261" s="10">
        <f t="shared" si="70"/>
        <v>0.88105916484857283</v>
      </c>
      <c r="U261" s="10">
        <f t="shared" si="71"/>
        <v>8.9556454812011466E-2</v>
      </c>
      <c r="V261" s="10">
        <f t="shared" si="72"/>
        <v>-0.33273221530044705</v>
      </c>
      <c r="W261" s="10">
        <f t="shared" si="73"/>
        <v>0.86619496173250388</v>
      </c>
      <c r="X261" s="10">
        <f t="shared" si="74"/>
        <v>1.7511820524654946</v>
      </c>
      <c r="Y261" s="10">
        <f t="shared" si="75"/>
        <v>0.73778446031094114</v>
      </c>
      <c r="Z261" s="10">
        <f t="shared" si="76"/>
        <v>-1.7511820524654946</v>
      </c>
      <c r="AA261" s="10">
        <f t="shared" si="77"/>
        <v>-0.73778446031094114</v>
      </c>
      <c r="AB261" s="7">
        <f t="shared" si="86"/>
        <v>1.50407836609264</v>
      </c>
      <c r="AC261" s="7">
        <v>2.5523305831680339</v>
      </c>
    </row>
    <row r="262" spans="1:29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11">
        <v>-1</v>
      </c>
      <c r="I262" s="11">
        <v>1</v>
      </c>
      <c r="J262" s="12">
        <v>-1</v>
      </c>
      <c r="K262" s="12">
        <v>1</v>
      </c>
      <c r="L262" s="9">
        <f t="shared" si="85"/>
        <v>0</v>
      </c>
      <c r="M262" s="9">
        <f t="shared" si="78"/>
        <v>-1.397625858482365E-2</v>
      </c>
      <c r="N262" s="9">
        <f t="shared" si="79"/>
        <v>0</v>
      </c>
      <c r="O262" s="9">
        <f t="shared" si="80"/>
        <v>-1.0349871827254111E-2</v>
      </c>
      <c r="P262" s="9">
        <f t="shared" si="81"/>
        <v>-8.7585502185608677E-3</v>
      </c>
      <c r="Q262" s="9">
        <f t="shared" si="82"/>
        <v>0</v>
      </c>
      <c r="R262" s="9">
        <f t="shared" si="83"/>
        <v>8.7585502185608677E-3</v>
      </c>
      <c r="S262" s="9">
        <f t="shared" si="84"/>
        <v>0</v>
      </c>
      <c r="T262" s="10">
        <f t="shared" si="70"/>
        <v>0.88105916484857283</v>
      </c>
      <c r="U262" s="10">
        <f t="shared" si="71"/>
        <v>7.5580196227187812E-2</v>
      </c>
      <c r="V262" s="10">
        <f t="shared" si="72"/>
        <v>-0.33273221530044705</v>
      </c>
      <c r="W262" s="10">
        <f t="shared" si="73"/>
        <v>0.85584508990524977</v>
      </c>
      <c r="X262" s="10">
        <f t="shared" si="74"/>
        <v>1.7424235022469339</v>
      </c>
      <c r="Y262" s="10">
        <f t="shared" si="75"/>
        <v>0.73778446031094114</v>
      </c>
      <c r="Z262" s="10">
        <f t="shared" si="76"/>
        <v>-1.7424235022469339</v>
      </c>
      <c r="AA262" s="10">
        <f t="shared" si="77"/>
        <v>-0.73778446031094114</v>
      </c>
      <c r="AB262" s="7">
        <f t="shared" si="86"/>
        <v>1.4797522356805621</v>
      </c>
      <c r="AC262" s="7">
        <v>2.511938858285073</v>
      </c>
    </row>
    <row r="263" spans="1:29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11">
        <v>-1</v>
      </c>
      <c r="I263" s="11">
        <v>1</v>
      </c>
      <c r="J263" s="12">
        <v>-1</v>
      </c>
      <c r="K263" s="12">
        <v>1</v>
      </c>
      <c r="L263" s="9">
        <f t="shared" si="85"/>
        <v>0</v>
      </c>
      <c r="M263" s="9">
        <f t="shared" si="78"/>
        <v>7.396600863248004E-3</v>
      </c>
      <c r="N263" s="9">
        <f t="shared" si="79"/>
        <v>0</v>
      </c>
      <c r="O263" s="9">
        <f t="shared" si="80"/>
        <v>-1.225216155157249E-2</v>
      </c>
      <c r="P263" s="9">
        <f t="shared" si="81"/>
        <v>2.993188164738236E-2</v>
      </c>
      <c r="Q263" s="9">
        <f t="shared" si="82"/>
        <v>0</v>
      </c>
      <c r="R263" s="9">
        <f t="shared" si="83"/>
        <v>-2.993188164738236E-2</v>
      </c>
      <c r="S263" s="9">
        <f t="shared" si="84"/>
        <v>0</v>
      </c>
      <c r="T263" s="10">
        <f t="shared" si="70"/>
        <v>0.88105916484857283</v>
      </c>
      <c r="U263" s="10">
        <f t="shared" si="71"/>
        <v>8.2976797090435817E-2</v>
      </c>
      <c r="V263" s="10">
        <f t="shared" si="72"/>
        <v>-0.33273221530044705</v>
      </c>
      <c r="W263" s="10">
        <f t="shared" si="73"/>
        <v>0.84359292835367727</v>
      </c>
      <c r="X263" s="10">
        <f t="shared" si="74"/>
        <v>1.7723553838943162</v>
      </c>
      <c r="Y263" s="10">
        <f t="shared" si="75"/>
        <v>0.73778446031094114</v>
      </c>
      <c r="Z263" s="10">
        <f t="shared" si="76"/>
        <v>-1.7723553838943162</v>
      </c>
      <c r="AA263" s="10">
        <f t="shared" si="77"/>
        <v>-0.73778446031094114</v>
      </c>
      <c r="AB263" s="7">
        <f t="shared" si="86"/>
        <v>1.4748966749922376</v>
      </c>
      <c r="AC263" s="7">
        <v>2.561711090362885</v>
      </c>
    </row>
    <row r="264" spans="1:29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11">
        <v>1</v>
      </c>
      <c r="I264" s="11">
        <v>-1</v>
      </c>
      <c r="J264" s="12">
        <v>1</v>
      </c>
      <c r="K264" s="12">
        <v>1</v>
      </c>
      <c r="L264" s="9">
        <f t="shared" si="85"/>
        <v>2.7401657752254009E-3</v>
      </c>
      <c r="M264" s="9">
        <f t="shared" si="78"/>
        <v>0</v>
      </c>
      <c r="N264" s="9">
        <f t="shared" si="79"/>
        <v>2.7223292211015829E-2</v>
      </c>
      <c r="O264" s="9">
        <f t="shared" si="80"/>
        <v>0</v>
      </c>
      <c r="P264" s="9">
        <f t="shared" si="81"/>
        <v>0</v>
      </c>
      <c r="Q264" s="9">
        <f t="shared" si="82"/>
        <v>-1.258397426519575E-2</v>
      </c>
      <c r="R264" s="9">
        <f t="shared" si="83"/>
        <v>0</v>
      </c>
      <c r="S264" s="9">
        <f t="shared" si="84"/>
        <v>1.258397426519575E-2</v>
      </c>
      <c r="T264" s="10">
        <f t="shared" si="70"/>
        <v>0.88379933062379823</v>
      </c>
      <c r="U264" s="10">
        <f t="shared" si="71"/>
        <v>8.2976797090435817E-2</v>
      </c>
      <c r="V264" s="10">
        <f t="shared" si="72"/>
        <v>-0.30550892308943123</v>
      </c>
      <c r="W264" s="10">
        <f t="shared" si="73"/>
        <v>0.84359292835367727</v>
      </c>
      <c r="X264" s="10">
        <f t="shared" si="74"/>
        <v>1.7723553838943162</v>
      </c>
      <c r="Y264" s="10">
        <f t="shared" si="75"/>
        <v>0.72520048604574538</v>
      </c>
      <c r="Z264" s="10">
        <f t="shared" si="76"/>
        <v>-1.7723553838943162</v>
      </c>
      <c r="AA264" s="10">
        <f t="shared" si="77"/>
        <v>-0.72520048604574538</v>
      </c>
      <c r="AB264" s="7">
        <f t="shared" si="86"/>
        <v>1.504860132978479</v>
      </c>
      <c r="AC264" s="7">
        <v>2.5965600661871289</v>
      </c>
    </row>
    <row r="265" spans="1:29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11">
        <v>-1</v>
      </c>
      <c r="I265" s="11">
        <v>1</v>
      </c>
      <c r="J265" s="12">
        <v>-1</v>
      </c>
      <c r="K265" s="12">
        <v>-1</v>
      </c>
      <c r="L265" s="9">
        <f t="shared" si="85"/>
        <v>0</v>
      </c>
      <c r="M265" s="9">
        <f t="shared" si="78"/>
        <v>6.4659075061866966E-3</v>
      </c>
      <c r="N265" s="9">
        <f t="shared" si="79"/>
        <v>0</v>
      </c>
      <c r="O265" s="9">
        <f t="shared" si="80"/>
        <v>2.324303146473217E-2</v>
      </c>
      <c r="P265" s="9">
        <f t="shared" si="81"/>
        <v>2.0171064671094859E-2</v>
      </c>
      <c r="Q265" s="9">
        <f t="shared" si="82"/>
        <v>0</v>
      </c>
      <c r="R265" s="9">
        <f t="shared" si="83"/>
        <v>-2.0171064671094859E-2</v>
      </c>
      <c r="S265" s="9">
        <f t="shared" si="84"/>
        <v>0</v>
      </c>
      <c r="T265" s="10">
        <f t="shared" si="70"/>
        <v>0.88379933062379823</v>
      </c>
      <c r="U265" s="10">
        <f t="shared" si="71"/>
        <v>8.9442704596622513E-2</v>
      </c>
      <c r="V265" s="10">
        <f t="shared" si="72"/>
        <v>-0.30550892308943123</v>
      </c>
      <c r="W265" s="10">
        <f t="shared" si="73"/>
        <v>0.86683595981840944</v>
      </c>
      <c r="X265" s="10">
        <f t="shared" si="74"/>
        <v>1.7925264485654111</v>
      </c>
      <c r="Y265" s="10">
        <f t="shared" si="75"/>
        <v>0.72520048604574538</v>
      </c>
      <c r="Z265" s="10">
        <f t="shared" si="76"/>
        <v>-1.7925264485654111</v>
      </c>
      <c r="AA265" s="10">
        <f t="shared" si="77"/>
        <v>-0.72520048604574538</v>
      </c>
      <c r="AB265" s="7">
        <f t="shared" si="86"/>
        <v>1.5345690719493978</v>
      </c>
      <c r="AC265" s="7">
        <v>2.6094614250079191</v>
      </c>
    </row>
    <row r="266" spans="1:29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11">
        <v>1</v>
      </c>
      <c r="I266" s="11">
        <v>-1</v>
      </c>
      <c r="J266" s="12">
        <v>1</v>
      </c>
      <c r="K266" s="12">
        <v>1</v>
      </c>
      <c r="L266" s="9">
        <f t="shared" si="85"/>
        <v>5.5964680962656832E-3</v>
      </c>
      <c r="M266" s="9">
        <f t="shared" si="78"/>
        <v>0</v>
      </c>
      <c r="N266" s="9">
        <f t="shared" si="79"/>
        <v>2.2810488295141429E-2</v>
      </c>
      <c r="O266" s="9">
        <f t="shared" si="80"/>
        <v>0</v>
      </c>
      <c r="P266" s="9">
        <f t="shared" si="81"/>
        <v>0</v>
      </c>
      <c r="Q266" s="9">
        <f t="shared" si="82"/>
        <v>5.9367354543300777E-2</v>
      </c>
      <c r="R266" s="9">
        <f t="shared" si="83"/>
        <v>0</v>
      </c>
      <c r="S266" s="9">
        <f t="shared" si="84"/>
        <v>-5.9367354543300777E-2</v>
      </c>
      <c r="T266" s="10">
        <f t="shared" si="70"/>
        <v>0.88939579872006391</v>
      </c>
      <c r="U266" s="10">
        <f t="shared" si="71"/>
        <v>8.9442704596622513E-2</v>
      </c>
      <c r="V266" s="10">
        <f t="shared" si="72"/>
        <v>-0.2826984347942898</v>
      </c>
      <c r="W266" s="10">
        <f t="shared" si="73"/>
        <v>0.86683595981840944</v>
      </c>
      <c r="X266" s="10">
        <f t="shared" si="74"/>
        <v>1.7925264485654111</v>
      </c>
      <c r="Y266" s="10">
        <f t="shared" si="75"/>
        <v>0.78456784058904616</v>
      </c>
      <c r="Z266" s="10">
        <f t="shared" si="76"/>
        <v>-1.7925264485654111</v>
      </c>
      <c r="AA266" s="10">
        <f t="shared" si="77"/>
        <v>-0.78456784058904616</v>
      </c>
      <c r="AB266" s="7">
        <f t="shared" si="86"/>
        <v>1.562976028340805</v>
      </c>
      <c r="AC266" s="7">
        <v>2.6340973198726969</v>
      </c>
    </row>
    <row r="267" spans="1:29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11">
        <v>1</v>
      </c>
      <c r="I267" s="11">
        <v>-1</v>
      </c>
      <c r="J267" s="12">
        <v>1</v>
      </c>
      <c r="K267" s="12">
        <v>-1</v>
      </c>
      <c r="L267" s="9">
        <f t="shared" si="85"/>
        <v>7.1774017959299607E-3</v>
      </c>
      <c r="M267" s="9">
        <f t="shared" si="78"/>
        <v>0</v>
      </c>
      <c r="N267" s="9">
        <f t="shared" si="79"/>
        <v>5.7312763823882404E-3</v>
      </c>
      <c r="O267" s="9">
        <f t="shared" si="80"/>
        <v>0</v>
      </c>
      <c r="P267" s="9">
        <f t="shared" si="81"/>
        <v>0</v>
      </c>
      <c r="Q267" s="9">
        <f t="shared" si="82"/>
        <v>3.0692104617247359E-2</v>
      </c>
      <c r="R267" s="9">
        <f t="shared" si="83"/>
        <v>0</v>
      </c>
      <c r="S267" s="9">
        <f t="shared" si="84"/>
        <v>-3.0692104617247359E-2</v>
      </c>
      <c r="T267" s="10">
        <f t="shared" si="70"/>
        <v>0.89657320051599387</v>
      </c>
      <c r="U267" s="10">
        <f t="shared" si="71"/>
        <v>8.9442704596622513E-2</v>
      </c>
      <c r="V267" s="10">
        <f t="shared" si="72"/>
        <v>-0.27696715841190156</v>
      </c>
      <c r="W267" s="10">
        <f t="shared" si="73"/>
        <v>0.86683595981840944</v>
      </c>
      <c r="X267" s="10">
        <f t="shared" si="74"/>
        <v>1.7925264485654111</v>
      </c>
      <c r="Y267" s="10">
        <f t="shared" si="75"/>
        <v>0.81525994520629352</v>
      </c>
      <c r="Z267" s="10">
        <f t="shared" si="76"/>
        <v>-1.7925264485654111</v>
      </c>
      <c r="AA267" s="10">
        <f t="shared" si="77"/>
        <v>-0.81525994520629352</v>
      </c>
      <c r="AB267" s="7">
        <f t="shared" si="86"/>
        <v>1.5758847065191233</v>
      </c>
      <c r="AC267" s="7">
        <v>2.6555976984525032</v>
      </c>
    </row>
    <row r="268" spans="1:29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11">
        <v>-1</v>
      </c>
      <c r="I268" s="11">
        <v>1</v>
      </c>
      <c r="J268" s="12">
        <v>-1</v>
      </c>
      <c r="K268" s="12">
        <v>-1</v>
      </c>
      <c r="L268" s="9">
        <f t="shared" si="85"/>
        <v>0</v>
      </c>
      <c r="M268" s="9">
        <f t="shared" si="78"/>
        <v>2.5769658325618949E-2</v>
      </c>
      <c r="N268" s="9">
        <f t="shared" si="79"/>
        <v>0</v>
      </c>
      <c r="O268" s="9">
        <f t="shared" si="80"/>
        <v>2.433348415011416E-3</v>
      </c>
      <c r="P268" s="9">
        <f t="shared" si="81"/>
        <v>-1.0317692162005289E-2</v>
      </c>
      <c r="Q268" s="9">
        <f t="shared" si="82"/>
        <v>0</v>
      </c>
      <c r="R268" s="9">
        <f t="shared" si="83"/>
        <v>1.0317692162005289E-2</v>
      </c>
      <c r="S268" s="9">
        <f t="shared" si="84"/>
        <v>0</v>
      </c>
      <c r="T268" s="10">
        <f t="shared" si="70"/>
        <v>0.89657320051599387</v>
      </c>
      <c r="U268" s="10">
        <f t="shared" si="71"/>
        <v>0.11521236292224146</v>
      </c>
      <c r="V268" s="10">
        <f t="shared" si="72"/>
        <v>-0.27696715841190156</v>
      </c>
      <c r="W268" s="10">
        <f t="shared" si="73"/>
        <v>0.86926930823342086</v>
      </c>
      <c r="X268" s="10">
        <f t="shared" si="74"/>
        <v>1.7822087564034057</v>
      </c>
      <c r="Y268" s="10">
        <f t="shared" si="75"/>
        <v>0.81525994520629352</v>
      </c>
      <c r="Z268" s="10">
        <f t="shared" si="76"/>
        <v>-1.7822087564034057</v>
      </c>
      <c r="AA268" s="10">
        <f t="shared" si="77"/>
        <v>-0.81525994520629352</v>
      </c>
      <c r="AB268" s="7">
        <f t="shared" si="86"/>
        <v>1.6040877132597537</v>
      </c>
      <c r="AC268" s="7">
        <v>2.647177747586118</v>
      </c>
    </row>
    <row r="269" spans="1:29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11">
        <v>-1</v>
      </c>
      <c r="I269" s="11">
        <v>1</v>
      </c>
      <c r="J269" s="12">
        <v>-1</v>
      </c>
      <c r="K269" s="12">
        <v>1</v>
      </c>
      <c r="L269" s="9">
        <f t="shared" si="85"/>
        <v>0</v>
      </c>
      <c r="M269" s="9">
        <f t="shared" si="78"/>
        <v>-1.4895143461754251E-2</v>
      </c>
      <c r="N269" s="9">
        <f t="shared" si="79"/>
        <v>0</v>
      </c>
      <c r="O269" s="9">
        <f t="shared" si="80"/>
        <v>3.9809360517639281E-2</v>
      </c>
      <c r="P269" s="9">
        <f t="shared" si="81"/>
        <v>4.6756031294631677E-2</v>
      </c>
      <c r="Q269" s="9">
        <f t="shared" si="82"/>
        <v>0</v>
      </c>
      <c r="R269" s="9">
        <f t="shared" si="83"/>
        <v>-4.6756031294631677E-2</v>
      </c>
      <c r="S269" s="9">
        <f t="shared" si="84"/>
        <v>0</v>
      </c>
      <c r="T269" s="10">
        <f t="shared" si="70"/>
        <v>0.89657320051599387</v>
      </c>
      <c r="U269" s="10">
        <f t="shared" si="71"/>
        <v>0.10031721946048722</v>
      </c>
      <c r="V269" s="10">
        <f t="shared" si="72"/>
        <v>-0.27696715841190156</v>
      </c>
      <c r="W269" s="10">
        <f t="shared" si="73"/>
        <v>0.90907866875106014</v>
      </c>
      <c r="X269" s="10">
        <f t="shared" si="74"/>
        <v>1.8289647876980373</v>
      </c>
      <c r="Y269" s="10">
        <f t="shared" si="75"/>
        <v>0.81525994520629352</v>
      </c>
      <c r="Z269" s="10">
        <f t="shared" si="76"/>
        <v>-1.8289647876980373</v>
      </c>
      <c r="AA269" s="10">
        <f t="shared" si="77"/>
        <v>-0.81525994520629352</v>
      </c>
      <c r="AB269" s="7">
        <f t="shared" si="86"/>
        <v>1.6290019303156387</v>
      </c>
      <c r="AC269" s="7">
        <v>2.7057140672197342</v>
      </c>
    </row>
    <row r="270" spans="1:29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11">
        <v>-1</v>
      </c>
      <c r="I270" s="11">
        <v>1</v>
      </c>
      <c r="J270" s="12">
        <v>-1</v>
      </c>
      <c r="K270" s="12">
        <v>1</v>
      </c>
      <c r="L270" s="9">
        <f t="shared" si="85"/>
        <v>0</v>
      </c>
      <c r="M270" s="9">
        <f t="shared" si="78"/>
        <v>8.4063412140974458E-3</v>
      </c>
      <c r="N270" s="9">
        <f t="shared" si="79"/>
        <v>0</v>
      </c>
      <c r="O270" s="9">
        <f t="shared" si="80"/>
        <v>-1.1027446796406659E-2</v>
      </c>
      <c r="P270" s="9">
        <f t="shared" si="81"/>
        <v>8.7157755752241828E-3</v>
      </c>
      <c r="Q270" s="9">
        <f t="shared" si="82"/>
        <v>0</v>
      </c>
      <c r="R270" s="9">
        <f t="shared" si="83"/>
        <v>-8.7157755752241828E-3</v>
      </c>
      <c r="S270" s="9">
        <f t="shared" si="84"/>
        <v>0</v>
      </c>
      <c r="T270" s="10">
        <f t="shared" ref="T270:T278" si="87">L270+T269</f>
        <v>0.89657320051599387</v>
      </c>
      <c r="U270" s="10">
        <f t="shared" ref="U270:U278" si="88">M270+U269</f>
        <v>0.10872356067458466</v>
      </c>
      <c r="V270" s="10">
        <f t="shared" ref="V270:V278" si="89">N270+V269</f>
        <v>-0.27696715841190156</v>
      </c>
      <c r="W270" s="10">
        <f t="shared" ref="W270:W278" si="90">O270+W269</f>
        <v>0.89805122195465348</v>
      </c>
      <c r="X270" s="10">
        <f t="shared" ref="X270:X278" si="91">P270+X269</f>
        <v>1.8376805632732616</v>
      </c>
      <c r="Y270" s="10">
        <f t="shared" ref="Y270:Y278" si="92">Q270+Y269</f>
        <v>0.81525994520629352</v>
      </c>
      <c r="Z270" s="10">
        <f t="shared" ref="Z270:Z278" si="93">R270+Z269</f>
        <v>-1.8376805632732616</v>
      </c>
      <c r="AA270" s="10">
        <f t="shared" ref="AA270:AA278" si="94">S270+AA269</f>
        <v>-0.81525994520629352</v>
      </c>
      <c r="AB270" s="7">
        <f t="shared" si="86"/>
        <v>1.6263808247333293</v>
      </c>
      <c r="AC270" s="7">
        <v>2.682194504292216</v>
      </c>
    </row>
    <row r="271" spans="1:29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11">
        <v>-1</v>
      </c>
      <c r="I271" s="11">
        <v>1</v>
      </c>
      <c r="J271" s="12">
        <v>-1</v>
      </c>
      <c r="K271" s="12">
        <v>1</v>
      </c>
      <c r="L271" s="9">
        <f t="shared" si="85"/>
        <v>0</v>
      </c>
      <c r="M271" s="9">
        <f t="shared" si="78"/>
        <v>9.9906566732472779E-3</v>
      </c>
      <c r="N271" s="9">
        <f t="shared" si="79"/>
        <v>0</v>
      </c>
      <c r="O271" s="9">
        <f t="shared" si="80"/>
        <v>6.2721624241458551E-3</v>
      </c>
      <c r="P271" s="9">
        <f t="shared" si="81"/>
        <v>5.9639600654837199E-3</v>
      </c>
      <c r="Q271" s="9">
        <f t="shared" si="82"/>
        <v>0</v>
      </c>
      <c r="R271" s="9">
        <f t="shared" si="83"/>
        <v>-5.9639600654837199E-3</v>
      </c>
      <c r="S271" s="9">
        <f t="shared" si="84"/>
        <v>0</v>
      </c>
      <c r="T271" s="10">
        <f t="shared" si="87"/>
        <v>0.89657320051599387</v>
      </c>
      <c r="U271" s="10">
        <f t="shared" si="88"/>
        <v>0.11871421734783194</v>
      </c>
      <c r="V271" s="10">
        <f t="shared" si="89"/>
        <v>-0.27696715841190156</v>
      </c>
      <c r="W271" s="10">
        <f t="shared" si="90"/>
        <v>0.90432338437879933</v>
      </c>
      <c r="X271" s="10">
        <f t="shared" si="91"/>
        <v>1.8436445233387453</v>
      </c>
      <c r="Y271" s="10">
        <f t="shared" si="92"/>
        <v>0.81525994520629352</v>
      </c>
      <c r="Z271" s="10">
        <f t="shared" si="93"/>
        <v>-1.8436445233387453</v>
      </c>
      <c r="AA271" s="10">
        <f t="shared" si="94"/>
        <v>-0.81525994520629352</v>
      </c>
      <c r="AB271" s="7">
        <f t="shared" si="86"/>
        <v>1.6426436438307226</v>
      </c>
      <c r="AC271" s="7">
        <v>2.7094473207969831</v>
      </c>
    </row>
    <row r="272" spans="1:29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11">
        <v>1</v>
      </c>
      <c r="I272" s="11">
        <v>-1</v>
      </c>
      <c r="J272" s="12">
        <v>1</v>
      </c>
      <c r="K272" s="12">
        <v>1</v>
      </c>
      <c r="L272" s="9">
        <f t="shared" si="85"/>
        <v>-4.8247651784222301E-3</v>
      </c>
      <c r="M272" s="9">
        <f t="shared" si="78"/>
        <v>0</v>
      </c>
      <c r="N272" s="9">
        <f t="shared" si="79"/>
        <v>-2.8351407840832229E-2</v>
      </c>
      <c r="O272" s="9">
        <f t="shared" si="80"/>
        <v>0</v>
      </c>
      <c r="P272" s="9">
        <f t="shared" si="81"/>
        <v>0</v>
      </c>
      <c r="Q272" s="9">
        <f t="shared" si="82"/>
        <v>1.644732809261362E-3</v>
      </c>
      <c r="R272" s="9">
        <f t="shared" si="83"/>
        <v>0</v>
      </c>
      <c r="S272" s="9">
        <f t="shared" si="84"/>
        <v>-1.644732809261362E-3</v>
      </c>
      <c r="T272" s="10">
        <f t="shared" si="87"/>
        <v>0.89174843533757164</v>
      </c>
      <c r="U272" s="10">
        <f t="shared" si="88"/>
        <v>0.11871421734783194</v>
      </c>
      <c r="V272" s="10">
        <f t="shared" si="89"/>
        <v>-0.30531856625273379</v>
      </c>
      <c r="W272" s="10">
        <f t="shared" si="90"/>
        <v>0.90432338437879933</v>
      </c>
      <c r="X272" s="10">
        <f t="shared" si="91"/>
        <v>1.8436445233387453</v>
      </c>
      <c r="Y272" s="10">
        <f t="shared" si="92"/>
        <v>0.81690467801555489</v>
      </c>
      <c r="Z272" s="10">
        <f t="shared" si="93"/>
        <v>-1.8436445233387453</v>
      </c>
      <c r="AA272" s="10">
        <f t="shared" si="94"/>
        <v>-0.81690467801555489</v>
      </c>
      <c r="AB272" s="7">
        <f t="shared" si="86"/>
        <v>1.609467470811468</v>
      </c>
      <c r="AC272" s="7">
        <v>2.6972923962901092</v>
      </c>
    </row>
    <row r="273" spans="1:29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11">
        <v>1</v>
      </c>
      <c r="I273" s="11">
        <v>-1</v>
      </c>
      <c r="J273" s="12">
        <v>1</v>
      </c>
      <c r="K273" s="12">
        <v>-1</v>
      </c>
      <c r="L273" s="9">
        <f t="shared" si="85"/>
        <v>-7.7071332159225348E-3</v>
      </c>
      <c r="M273" s="9">
        <f t="shared" si="78"/>
        <v>0</v>
      </c>
      <c r="N273" s="9">
        <f t="shared" si="79"/>
        <v>-3.854075532923718E-3</v>
      </c>
      <c r="O273" s="9">
        <f t="shared" si="80"/>
        <v>0</v>
      </c>
      <c r="P273" s="9">
        <f t="shared" si="81"/>
        <v>0</v>
      </c>
      <c r="Q273" s="9">
        <f t="shared" si="82"/>
        <v>3.07552886760829E-2</v>
      </c>
      <c r="R273" s="9">
        <f t="shared" si="83"/>
        <v>0</v>
      </c>
      <c r="S273" s="9">
        <f t="shared" si="84"/>
        <v>-3.07552886760829E-2</v>
      </c>
      <c r="T273" s="10">
        <f t="shared" si="87"/>
        <v>0.88404130212164911</v>
      </c>
      <c r="U273" s="10">
        <f t="shared" si="88"/>
        <v>0.11871421734783194</v>
      </c>
      <c r="V273" s="10">
        <f t="shared" si="89"/>
        <v>-0.30917264178565751</v>
      </c>
      <c r="W273" s="10">
        <f t="shared" si="90"/>
        <v>0.90432338437879933</v>
      </c>
      <c r="X273" s="10">
        <f t="shared" si="91"/>
        <v>1.8436445233387453</v>
      </c>
      <c r="Y273" s="10">
        <f t="shared" si="92"/>
        <v>0.84765996669163779</v>
      </c>
      <c r="Z273" s="10">
        <f t="shared" si="93"/>
        <v>-1.8436445233387453</v>
      </c>
      <c r="AA273" s="10">
        <f t="shared" si="94"/>
        <v>-0.84765996669163779</v>
      </c>
      <c r="AB273" s="7">
        <f t="shared" si="86"/>
        <v>1.5979062620626219</v>
      </c>
      <c r="AC273" s="7">
        <v>2.641745304078706</v>
      </c>
    </row>
    <row r="274" spans="1:29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11">
        <v>1</v>
      </c>
      <c r="I274" s="11">
        <v>-1</v>
      </c>
      <c r="J274" s="12">
        <v>1</v>
      </c>
      <c r="K274" s="12">
        <v>-1</v>
      </c>
      <c r="L274" s="9">
        <f t="shared" si="85"/>
        <v>5.0847313003916213E-2</v>
      </c>
      <c r="M274" s="9">
        <f t="shared" si="78"/>
        <v>0</v>
      </c>
      <c r="N274" s="9">
        <f t="shared" si="79"/>
        <v>-3.4206800895675633E-2</v>
      </c>
      <c r="O274" s="9">
        <f t="shared" si="80"/>
        <v>0</v>
      </c>
      <c r="P274" s="9">
        <f t="shared" si="81"/>
        <v>0</v>
      </c>
      <c r="Q274" s="9">
        <f t="shared" si="82"/>
        <v>0.10045214054978201</v>
      </c>
      <c r="R274" s="9">
        <f t="shared" si="83"/>
        <v>0</v>
      </c>
      <c r="S274" s="9">
        <f t="shared" si="84"/>
        <v>-0.10045214054978201</v>
      </c>
      <c r="T274" s="10">
        <f t="shared" si="87"/>
        <v>0.93488861512556531</v>
      </c>
      <c r="U274" s="10">
        <f t="shared" si="88"/>
        <v>0.11871421734783194</v>
      </c>
      <c r="V274" s="10">
        <f t="shared" si="89"/>
        <v>-0.34337944268133314</v>
      </c>
      <c r="W274" s="10">
        <f t="shared" si="90"/>
        <v>0.90432338437879933</v>
      </c>
      <c r="X274" s="10">
        <f t="shared" si="91"/>
        <v>1.8436445233387453</v>
      </c>
      <c r="Y274" s="10">
        <f t="shared" si="92"/>
        <v>0.94811210724141981</v>
      </c>
      <c r="Z274" s="10">
        <f t="shared" si="93"/>
        <v>-1.8436445233387453</v>
      </c>
      <c r="AA274" s="10">
        <f t="shared" si="94"/>
        <v>-0.94811210724141981</v>
      </c>
      <c r="AB274" s="7">
        <f t="shared" si="86"/>
        <v>1.6145467741708623</v>
      </c>
      <c r="AC274" s="7">
        <v>2.6438352333767021</v>
      </c>
    </row>
    <row r="275" spans="1:29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11">
        <v>-1</v>
      </c>
      <c r="I275" s="11">
        <v>1</v>
      </c>
      <c r="J275" s="12">
        <v>-1</v>
      </c>
      <c r="K275" s="12">
        <v>-1</v>
      </c>
      <c r="L275" s="9">
        <f t="shared" si="85"/>
        <v>0</v>
      </c>
      <c r="M275" s="9">
        <f t="shared" si="78"/>
        <v>-1.1402910569974001E-2</v>
      </c>
      <c r="N275" s="9">
        <f t="shared" si="79"/>
        <v>0</v>
      </c>
      <c r="O275" s="9">
        <f t="shared" si="80"/>
        <v>2.7302779016475601E-2</v>
      </c>
      <c r="P275" s="9">
        <f t="shared" si="81"/>
        <v>1.204379430636404E-2</v>
      </c>
      <c r="Q275" s="9">
        <f t="shared" si="82"/>
        <v>0</v>
      </c>
      <c r="R275" s="9">
        <f t="shared" si="83"/>
        <v>-1.204379430636404E-2</v>
      </c>
      <c r="S275" s="9">
        <f t="shared" si="84"/>
        <v>0</v>
      </c>
      <c r="T275" s="10">
        <f t="shared" si="87"/>
        <v>0.93488861512556531</v>
      </c>
      <c r="U275" s="10">
        <f t="shared" si="88"/>
        <v>0.10731130677785794</v>
      </c>
      <c r="V275" s="10">
        <f t="shared" si="89"/>
        <v>-0.34337944268133314</v>
      </c>
      <c r="W275" s="10">
        <f t="shared" si="90"/>
        <v>0.93162616339527493</v>
      </c>
      <c r="X275" s="10">
        <f t="shared" si="91"/>
        <v>1.8556883176451093</v>
      </c>
      <c r="Y275" s="10">
        <f t="shared" si="92"/>
        <v>0.94811210724141981</v>
      </c>
      <c r="Z275" s="10">
        <f t="shared" si="93"/>
        <v>-1.8556883176451093</v>
      </c>
      <c r="AA275" s="10">
        <f t="shared" si="94"/>
        <v>-0.94811210724141981</v>
      </c>
      <c r="AB275" s="7">
        <f t="shared" si="86"/>
        <v>1.6304466426173638</v>
      </c>
      <c r="AC275" s="7">
        <v>2.7060042862219729</v>
      </c>
    </row>
    <row r="276" spans="1:29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11">
        <v>-1</v>
      </c>
      <c r="I276" s="11">
        <v>1</v>
      </c>
      <c r="J276" s="12">
        <v>-1</v>
      </c>
      <c r="K276" s="12">
        <v>1</v>
      </c>
      <c r="L276" s="9">
        <f t="shared" si="85"/>
        <v>0</v>
      </c>
      <c r="M276" s="9">
        <f t="shared" si="78"/>
        <v>-2.9180958003939491E-2</v>
      </c>
      <c r="N276" s="9">
        <f t="shared" si="79"/>
        <v>0</v>
      </c>
      <c r="O276" s="9">
        <f t="shared" si="80"/>
        <v>1.7020920487673449E-2</v>
      </c>
      <c r="P276" s="9">
        <f t="shared" si="81"/>
        <v>1.6503335429217669E-2</v>
      </c>
      <c r="Q276" s="9">
        <f t="shared" si="82"/>
        <v>0</v>
      </c>
      <c r="R276" s="9">
        <f t="shared" si="83"/>
        <v>-1.6503335429217669E-2</v>
      </c>
      <c r="S276" s="9">
        <f t="shared" si="84"/>
        <v>0</v>
      </c>
      <c r="T276" s="10">
        <f t="shared" si="87"/>
        <v>0.93488861512556531</v>
      </c>
      <c r="U276" s="10">
        <f t="shared" si="88"/>
        <v>7.8130348773918445E-2</v>
      </c>
      <c r="V276" s="10">
        <f t="shared" si="89"/>
        <v>-0.34337944268133314</v>
      </c>
      <c r="W276" s="10">
        <f t="shared" si="90"/>
        <v>0.94864708388294838</v>
      </c>
      <c r="X276" s="10">
        <f t="shared" si="91"/>
        <v>1.872191653074327</v>
      </c>
      <c r="Y276" s="10">
        <f t="shared" si="92"/>
        <v>0.94811210724141981</v>
      </c>
      <c r="Z276" s="10">
        <f t="shared" si="93"/>
        <v>-1.872191653074327</v>
      </c>
      <c r="AA276" s="10">
        <f t="shared" si="94"/>
        <v>-0.94811210724141981</v>
      </c>
      <c r="AB276" s="7">
        <f t="shared" si="86"/>
        <v>1.6182866051010978</v>
      </c>
      <c r="AC276" s="7">
        <v>2.7565490644019581</v>
      </c>
    </row>
    <row r="277" spans="1:29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11">
        <v>-1</v>
      </c>
      <c r="I277" s="11">
        <v>1</v>
      </c>
      <c r="J277" s="12">
        <v>-1</v>
      </c>
      <c r="K277" s="12">
        <v>1</v>
      </c>
      <c r="L277" s="9">
        <f t="shared" si="85"/>
        <v>0</v>
      </c>
      <c r="M277" s="9">
        <f t="shared" si="78"/>
        <v>-5.1636496140897714E-3</v>
      </c>
      <c r="N277" s="9">
        <f t="shared" si="79"/>
        <v>0</v>
      </c>
      <c r="O277" s="9">
        <f t="shared" si="80"/>
        <v>4.8247440591927537E-3</v>
      </c>
      <c r="P277" s="9">
        <f t="shared" si="81"/>
        <v>4.0913142780306666E-3</v>
      </c>
      <c r="Q277" s="9">
        <f t="shared" si="82"/>
        <v>0</v>
      </c>
      <c r="R277" s="9">
        <f t="shared" si="83"/>
        <v>-4.0913142780306666E-3</v>
      </c>
      <c r="S277" s="9">
        <f t="shared" si="84"/>
        <v>0</v>
      </c>
      <c r="T277" s="10">
        <f t="shared" si="87"/>
        <v>0.93488861512556531</v>
      </c>
      <c r="U277" s="10">
        <f t="shared" si="88"/>
        <v>7.2966699159828674E-2</v>
      </c>
      <c r="V277" s="10">
        <f t="shared" si="89"/>
        <v>-0.34337944268133314</v>
      </c>
      <c r="W277" s="10">
        <f t="shared" si="90"/>
        <v>0.95347182794214114</v>
      </c>
      <c r="X277" s="10">
        <f t="shared" si="91"/>
        <v>1.8762829673523576</v>
      </c>
      <c r="Y277" s="10">
        <f t="shared" si="92"/>
        <v>0.94811210724141981</v>
      </c>
      <c r="Z277" s="10">
        <f t="shared" si="93"/>
        <v>-1.8762829673523576</v>
      </c>
      <c r="AA277" s="10">
        <f t="shared" si="94"/>
        <v>-0.94811210724141981</v>
      </c>
      <c r="AB277" s="7">
        <f t="shared" si="86"/>
        <v>1.6179476995462008</v>
      </c>
      <c r="AC277" s="7">
        <v>2.7795102426250078</v>
      </c>
    </row>
    <row r="278" spans="1:29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11">
        <v>-1</v>
      </c>
      <c r="I278" s="11">
        <v>1</v>
      </c>
      <c r="J278" s="12">
        <v>-1</v>
      </c>
      <c r="K278" s="12">
        <v>1</v>
      </c>
      <c r="L278" s="9">
        <f t="shared" si="85"/>
        <v>0</v>
      </c>
      <c r="M278" s="9">
        <f t="shared" si="78"/>
        <v>-1.4998977325476731E-2</v>
      </c>
      <c r="N278" s="9">
        <f t="shared" si="79"/>
        <v>0</v>
      </c>
      <c r="O278" s="9">
        <f t="shared" si="80"/>
        <v>2.2755625040031808E-3</v>
      </c>
      <c r="P278" s="9">
        <f t="shared" si="81"/>
        <v>5.6146303123538743E-4</v>
      </c>
      <c r="Q278" s="9">
        <f t="shared" si="82"/>
        <v>0</v>
      </c>
      <c r="R278" s="9">
        <f t="shared" si="83"/>
        <v>-5.6146303123538743E-4</v>
      </c>
      <c r="S278" s="9">
        <f t="shared" si="84"/>
        <v>0</v>
      </c>
      <c r="T278" s="15">
        <f t="shared" si="87"/>
        <v>0.93488861512556531</v>
      </c>
      <c r="U278" s="20">
        <f t="shared" si="88"/>
        <v>5.7967721834351942E-2</v>
      </c>
      <c r="V278" s="15">
        <f t="shared" si="89"/>
        <v>-0.34337944268133314</v>
      </c>
      <c r="W278" s="15">
        <f t="shared" si="90"/>
        <v>0.95574739044614432</v>
      </c>
      <c r="X278" s="24">
        <f t="shared" si="91"/>
        <v>1.8768444303835929</v>
      </c>
      <c r="Y278" s="24">
        <f t="shared" si="92"/>
        <v>0.94811210724141981</v>
      </c>
      <c r="Z278" s="19">
        <f t="shared" si="93"/>
        <v>-1.8768444303835929</v>
      </c>
      <c r="AA278" s="19">
        <f t="shared" si="94"/>
        <v>-0.94811210724141981</v>
      </c>
      <c r="AB278" s="19">
        <f t="shared" si="86"/>
        <v>1.6052242847247271</v>
      </c>
      <c r="AC278" s="7">
        <v>2.8004000561701399</v>
      </c>
    </row>
    <row r="282" spans="1:29" x14ac:dyDescent="0.25">
      <c r="T282" s="17" t="s">
        <v>31</v>
      </c>
      <c r="U282" s="13"/>
    </row>
    <row r="283" spans="1:29" x14ac:dyDescent="0.25">
      <c r="T283" s="21" t="s">
        <v>32</v>
      </c>
      <c r="U283" s="22"/>
    </row>
    <row r="284" spans="1:29" x14ac:dyDescent="0.25">
      <c r="T284" s="19" t="s">
        <v>33</v>
      </c>
      <c r="U28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3959-56FB-4672-AF27-881AB36FD627}">
  <dimension ref="A1:AC1048576"/>
  <sheetViews>
    <sheetView zoomScale="85" zoomScaleNormal="85" workbookViewId="0">
      <pane xSplit="1" ySplit="1" topLeftCell="B252" activePane="bottomRight" state="frozen"/>
      <selection pane="topRight" activeCell="B1" sqref="B1"/>
      <selection pane="bottomLeft" activeCell="A2" sqref="A2"/>
      <selection pane="bottomRight" activeCell="H1" sqref="H1:K1048576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28" bestFit="1" customWidth="1"/>
    <col min="9" max="9" width="15" style="28" bestFit="1" customWidth="1"/>
    <col min="10" max="10" width="14.5703125" style="28" bestFit="1" customWidth="1"/>
    <col min="11" max="11" width="14.42578125" style="28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  <col min="30" max="16384" width="9.140625" style="8"/>
  </cols>
  <sheetData>
    <row r="1" spans="1:2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8" t="s">
        <v>29</v>
      </c>
      <c r="I1" s="28" t="s">
        <v>30</v>
      </c>
      <c r="J1" s="28" t="s">
        <v>28</v>
      </c>
      <c r="K1" s="28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</row>
    <row r="2" spans="1:29" x14ac:dyDescent="0.25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28">
        <v>-1</v>
      </c>
      <c r="I2" s="28">
        <v>0</v>
      </c>
      <c r="J2" s="28">
        <v>-1</v>
      </c>
      <c r="K2" s="28">
        <v>0</v>
      </c>
      <c r="L2" s="9">
        <f>IF(H2=1,D2,0)</f>
        <v>0</v>
      </c>
      <c r="M2" s="9">
        <f>IF(H2=-1,-D2,0)</f>
        <v>4.1722756203997791E-2</v>
      </c>
      <c r="N2" s="9">
        <f>IF(H2=1,-E2,0)</f>
        <v>0</v>
      </c>
      <c r="O2" s="9">
        <f>IF(H2=-1,E2,0)</f>
        <v>1.486144974689496E-2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4.1722756203997791E-2</v>
      </c>
      <c r="V2" s="10">
        <f>N2</f>
        <v>0</v>
      </c>
      <c r="W2" s="10">
        <f>O2</f>
        <v>1.486144974689496E-2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25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28">
        <v>1</v>
      </c>
      <c r="I3" s="28">
        <v>1</v>
      </c>
      <c r="J3" s="28">
        <v>1</v>
      </c>
      <c r="K3" s="28">
        <v>1</v>
      </c>
      <c r="L3" s="9">
        <f>IF(H3=1,D3,0)</f>
        <v>-2.1353700696120751E-2</v>
      </c>
      <c r="M3" s="9">
        <f t="shared" ref="M3:M66" si="1">IF(H3=-1,-D3,0)</f>
        <v>0</v>
      </c>
      <c r="N3" s="9">
        <f t="shared" ref="N3:N66" si="2">IF(H3=1,-E3,0)</f>
        <v>-3.458280026252925E-3</v>
      </c>
      <c r="O3" s="9">
        <f t="shared" ref="O3:O66" si="3">IF(H3=-1,E3,0)</f>
        <v>0</v>
      </c>
      <c r="P3" s="9">
        <f t="shared" ref="P3:P66" si="4">IF(I3=1,F3,0)</f>
        <v>-1.127441942065821E-2</v>
      </c>
      <c r="Q3" s="9">
        <f t="shared" ref="Q3:Q66" si="5">IF($I3=-1,-$F3,0)</f>
        <v>0</v>
      </c>
      <c r="R3" s="9">
        <f t="shared" ref="R3:R66" si="6">IF($I3=1,-$F3,0)</f>
        <v>1.127441942065821E-2</v>
      </c>
      <c r="S3" s="9">
        <f t="shared" ref="S3:S66" si="7">IF($I3=-1,$F3,0)</f>
        <v>0</v>
      </c>
      <c r="T3" s="10">
        <f>L3+T2</f>
        <v>-2.1353700696120751E-2</v>
      </c>
      <c r="U3" s="10">
        <f>M3+U2</f>
        <v>4.1722756203997791E-2</v>
      </c>
      <c r="V3" s="10">
        <f t="shared" ref="V3:AA18" si="8">N3+V2</f>
        <v>-3.458280026252925E-3</v>
      </c>
      <c r="W3" s="10">
        <f t="shared" si="8"/>
        <v>1.486144974689496E-2</v>
      </c>
      <c r="X3" s="10">
        <f t="shared" si="8"/>
        <v>-1.127441942065821E-2</v>
      </c>
      <c r="Y3" s="10">
        <f t="shared" si="8"/>
        <v>0</v>
      </c>
      <c r="Z3" s="10">
        <f t="shared" si="8"/>
        <v>1.127441942065821E-2</v>
      </c>
      <c r="AA3" s="10">
        <f t="shared" si="8"/>
        <v>0</v>
      </c>
      <c r="AB3" s="7">
        <f>AB2+SUM(L3:S3)</f>
        <v>3.177222522851908E-2</v>
      </c>
      <c r="AC3" s="7">
        <v>-9.6333951281998287E-2</v>
      </c>
    </row>
    <row r="4" spans="1:29" x14ac:dyDescent="0.25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28">
        <v>-1</v>
      </c>
      <c r="I4" s="28">
        <v>-1</v>
      </c>
      <c r="J4" s="28">
        <v>-1</v>
      </c>
      <c r="K4" s="28">
        <v>-1</v>
      </c>
      <c r="L4" s="9">
        <f t="shared" ref="L4:L67" si="9">IF(H4=1,D4,0)</f>
        <v>0</v>
      </c>
      <c r="M4" s="9">
        <f t="shared" si="1"/>
        <v>1.78007468992375E-2</v>
      </c>
      <c r="N4" s="9">
        <f t="shared" si="2"/>
        <v>0</v>
      </c>
      <c r="O4" s="9">
        <f t="shared" si="3"/>
        <v>2.5719946974226079E-2</v>
      </c>
      <c r="P4" s="9">
        <f t="shared" si="4"/>
        <v>0</v>
      </c>
      <c r="Q4" s="9">
        <f t="shared" si="5"/>
        <v>3.1047380250574189E-2</v>
      </c>
      <c r="R4" s="9">
        <f t="shared" si="6"/>
        <v>0</v>
      </c>
      <c r="S4" s="9">
        <f t="shared" si="7"/>
        <v>-3.1047380250574189E-2</v>
      </c>
      <c r="T4" s="10">
        <f>L4+T3</f>
        <v>-2.1353700696120751E-2</v>
      </c>
      <c r="U4" s="10">
        <f t="shared" ref="U4:AA19" si="10">M4+U3</f>
        <v>5.9523503103235287E-2</v>
      </c>
      <c r="V4" s="10">
        <f t="shared" si="8"/>
        <v>-3.458280026252925E-3</v>
      </c>
      <c r="W4" s="10">
        <f t="shared" si="8"/>
        <v>4.0581396721121037E-2</v>
      </c>
      <c r="X4" s="10">
        <f t="shared" si="8"/>
        <v>-1.127441942065821E-2</v>
      </c>
      <c r="Y4" s="10">
        <f t="shared" si="8"/>
        <v>3.1047380250574189E-2</v>
      </c>
      <c r="Z4" s="10">
        <f t="shared" si="8"/>
        <v>1.127441942065821E-2</v>
      </c>
      <c r="AA4" s="10">
        <f t="shared" si="8"/>
        <v>-3.1047380250574189E-2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25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28">
        <v>-1</v>
      </c>
      <c r="I5" s="28">
        <v>1</v>
      </c>
      <c r="J5" s="28">
        <v>-1</v>
      </c>
      <c r="K5" s="28">
        <v>1</v>
      </c>
      <c r="L5" s="9">
        <f t="shared" si="9"/>
        <v>0</v>
      </c>
      <c r="M5" s="9">
        <f t="shared" si="1"/>
        <v>5.6751736528826147E-4</v>
      </c>
      <c r="N5" s="9">
        <f t="shared" si="2"/>
        <v>0</v>
      </c>
      <c r="O5" s="9">
        <f t="shared" si="3"/>
        <v>-6.2806661223496763E-3</v>
      </c>
      <c r="P5" s="9">
        <f t="shared" si="4"/>
        <v>2.5647469094507321E-2</v>
      </c>
      <c r="Q5" s="9">
        <f t="shared" si="5"/>
        <v>0</v>
      </c>
      <c r="R5" s="9">
        <f t="shared" si="6"/>
        <v>-2.5647469094507321E-2</v>
      </c>
      <c r="S5" s="9">
        <f t="shared" si="7"/>
        <v>0</v>
      </c>
      <c r="T5" s="10">
        <f>L5+T4</f>
        <v>-2.1353700696120751E-2</v>
      </c>
      <c r="U5" s="10">
        <f t="shared" si="10"/>
        <v>6.0091020468523548E-2</v>
      </c>
      <c r="V5" s="10">
        <f t="shared" si="8"/>
        <v>-3.458280026252925E-3</v>
      </c>
      <c r="W5" s="10">
        <f t="shared" si="8"/>
        <v>3.430073059877136E-2</v>
      </c>
      <c r="X5" s="10">
        <f t="shared" si="8"/>
        <v>1.4373049673849111E-2</v>
      </c>
      <c r="Y5" s="10">
        <f t="shared" si="8"/>
        <v>3.1047380250574189E-2</v>
      </c>
      <c r="Z5" s="10">
        <f t="shared" si="8"/>
        <v>-1.4373049673849111E-2</v>
      </c>
      <c r="AA5" s="10">
        <f t="shared" si="8"/>
        <v>-3.1047380250574189E-2</v>
      </c>
      <c r="AB5" s="7">
        <f t="shared" si="11"/>
        <v>6.9579770344921243E-2</v>
      </c>
      <c r="AC5" s="7">
        <v>5.1193350125372072E-2</v>
      </c>
    </row>
    <row r="6" spans="1:29" x14ac:dyDescent="0.25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28">
        <v>1</v>
      </c>
      <c r="I6" s="28">
        <v>1</v>
      </c>
      <c r="J6" s="28">
        <v>1</v>
      </c>
      <c r="K6" s="28">
        <v>1</v>
      </c>
      <c r="L6" s="9">
        <f t="shared" si="9"/>
        <v>-1.943166553330344E-2</v>
      </c>
      <c r="M6" s="9">
        <f t="shared" si="1"/>
        <v>0</v>
      </c>
      <c r="N6" s="9">
        <f t="shared" si="2"/>
        <v>-1.862020068494186E-2</v>
      </c>
      <c r="O6" s="9">
        <f t="shared" si="3"/>
        <v>0</v>
      </c>
      <c r="P6" s="9">
        <f t="shared" si="4"/>
        <v>-2.0782399830664881E-2</v>
      </c>
      <c r="Q6" s="9">
        <f t="shared" si="5"/>
        <v>0</v>
      </c>
      <c r="R6" s="9">
        <f t="shared" si="6"/>
        <v>2.0782399830664881E-2</v>
      </c>
      <c r="S6" s="9">
        <f t="shared" si="7"/>
        <v>0</v>
      </c>
      <c r="T6" s="10">
        <f t="shared" ref="T6:AA21" si="12">L6+T5</f>
        <v>-4.0785366229424191E-2</v>
      </c>
      <c r="U6" s="10">
        <f t="shared" si="10"/>
        <v>6.0091020468523548E-2</v>
      </c>
      <c r="V6" s="10">
        <f t="shared" si="8"/>
        <v>-2.2078480711194785E-2</v>
      </c>
      <c r="W6" s="10">
        <f t="shared" si="8"/>
        <v>3.430073059877136E-2</v>
      </c>
      <c r="X6" s="10">
        <f t="shared" si="8"/>
        <v>-6.4093501568157699E-3</v>
      </c>
      <c r="Y6" s="10">
        <f t="shared" si="8"/>
        <v>3.1047380250574189E-2</v>
      </c>
      <c r="Z6" s="10">
        <f t="shared" si="8"/>
        <v>6.4093501568157699E-3</v>
      </c>
      <c r="AA6" s="10">
        <f t="shared" si="8"/>
        <v>-3.1047380250574189E-2</v>
      </c>
      <c r="AB6" s="7">
        <f t="shared" si="11"/>
        <v>3.1527904126675943E-2</v>
      </c>
      <c r="AC6" s="7">
        <v>-5.3738688844074964E-3</v>
      </c>
    </row>
    <row r="7" spans="1:29" x14ac:dyDescent="0.25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28">
        <v>-1</v>
      </c>
      <c r="I7" s="28">
        <v>-1</v>
      </c>
      <c r="J7" s="28">
        <v>-1</v>
      </c>
      <c r="K7" s="28">
        <v>-1</v>
      </c>
      <c r="L7" s="9">
        <f t="shared" si="9"/>
        <v>0</v>
      </c>
      <c r="M7" s="9">
        <f t="shared" si="1"/>
        <v>2.935793416884824E-2</v>
      </c>
      <c r="N7" s="9">
        <f t="shared" si="2"/>
        <v>0</v>
      </c>
      <c r="O7" s="9">
        <f t="shared" si="3"/>
        <v>7.0222996522653069E-3</v>
      </c>
      <c r="P7" s="9">
        <f t="shared" si="4"/>
        <v>0</v>
      </c>
      <c r="Q7" s="9">
        <f t="shared" si="5"/>
        <v>-3.59635319274767E-2</v>
      </c>
      <c r="R7" s="9">
        <f t="shared" si="6"/>
        <v>0</v>
      </c>
      <c r="S7" s="9">
        <f t="shared" si="7"/>
        <v>3.59635319274767E-2</v>
      </c>
      <c r="T7" s="10">
        <f t="shared" si="12"/>
        <v>-4.0785366229424191E-2</v>
      </c>
      <c r="U7" s="10">
        <f t="shared" si="10"/>
        <v>8.9448954637371791E-2</v>
      </c>
      <c r="V7" s="10">
        <f t="shared" si="8"/>
        <v>-2.2078480711194785E-2</v>
      </c>
      <c r="W7" s="10">
        <f t="shared" si="8"/>
        <v>4.1323030251036667E-2</v>
      </c>
      <c r="X7" s="10">
        <f t="shared" si="8"/>
        <v>-6.4093501568157699E-3</v>
      </c>
      <c r="Y7" s="10">
        <f t="shared" si="8"/>
        <v>-4.9161516769025103E-3</v>
      </c>
      <c r="Z7" s="10">
        <f t="shared" si="8"/>
        <v>6.4093501568157699E-3</v>
      </c>
      <c r="AA7" s="10">
        <f t="shared" si="8"/>
        <v>4.9161516769025103E-3</v>
      </c>
      <c r="AB7" s="7">
        <f t="shared" si="11"/>
        <v>6.7908137947789493E-2</v>
      </c>
      <c r="AC7" s="7">
        <v>-2.802007346142887E-2</v>
      </c>
    </row>
    <row r="8" spans="1:29" x14ac:dyDescent="0.25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28">
        <v>1</v>
      </c>
      <c r="I8" s="28">
        <v>1</v>
      </c>
      <c r="J8" s="28">
        <v>1</v>
      </c>
      <c r="K8" s="28">
        <v>1</v>
      </c>
      <c r="L8" s="9">
        <f t="shared" si="9"/>
        <v>1.3288164484369199E-2</v>
      </c>
      <c r="M8" s="9">
        <f t="shared" si="1"/>
        <v>0</v>
      </c>
      <c r="N8" s="9">
        <f t="shared" si="2"/>
        <v>-1.958944926716466E-2</v>
      </c>
      <c r="O8" s="9">
        <f t="shared" si="3"/>
        <v>0</v>
      </c>
      <c r="P8" s="9">
        <f t="shared" si="4"/>
        <v>-3.0999563916162539E-2</v>
      </c>
      <c r="Q8" s="9">
        <f t="shared" si="5"/>
        <v>0</v>
      </c>
      <c r="R8" s="9">
        <f t="shared" si="6"/>
        <v>3.0999563916162539E-2</v>
      </c>
      <c r="S8" s="9">
        <f t="shared" si="7"/>
        <v>0</v>
      </c>
      <c r="T8" s="10">
        <f t="shared" si="12"/>
        <v>-2.7497201745054992E-2</v>
      </c>
      <c r="U8" s="10">
        <f t="shared" si="10"/>
        <v>8.9448954637371791E-2</v>
      </c>
      <c r="V8" s="10">
        <f t="shared" si="8"/>
        <v>-4.1667929978359441E-2</v>
      </c>
      <c r="W8" s="10">
        <f t="shared" si="8"/>
        <v>4.1323030251036667E-2</v>
      </c>
      <c r="X8" s="10">
        <f t="shared" si="8"/>
        <v>-3.7408914072978305E-2</v>
      </c>
      <c r="Y8" s="10">
        <f t="shared" si="8"/>
        <v>-4.9161516769025103E-3</v>
      </c>
      <c r="Z8" s="10">
        <f t="shared" si="8"/>
        <v>3.7408914072978305E-2</v>
      </c>
      <c r="AA8" s="10">
        <f t="shared" si="8"/>
        <v>4.9161516769025103E-3</v>
      </c>
      <c r="AB8" s="7">
        <f t="shared" si="11"/>
        <v>6.1606853164994035E-2</v>
      </c>
      <c r="AC8" s="7">
        <v>-4.0369236003721443E-2</v>
      </c>
    </row>
    <row r="9" spans="1:29" x14ac:dyDescent="0.25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28">
        <v>-1</v>
      </c>
      <c r="I9" s="28">
        <v>-1</v>
      </c>
      <c r="J9" s="28">
        <v>-1</v>
      </c>
      <c r="K9" s="28">
        <v>-1</v>
      </c>
      <c r="L9" s="9">
        <f t="shared" si="9"/>
        <v>0</v>
      </c>
      <c r="M9" s="9">
        <f t="shared" si="1"/>
        <v>5.5650671691803599E-2</v>
      </c>
      <c r="N9" s="9">
        <f t="shared" si="2"/>
        <v>0</v>
      </c>
      <c r="O9" s="9">
        <f t="shared" si="3"/>
        <v>3.2797872118050853E-2</v>
      </c>
      <c r="P9" s="9">
        <f t="shared" si="4"/>
        <v>0</v>
      </c>
      <c r="Q9" s="9">
        <f t="shared" si="5"/>
        <v>1.851686913615436E-2</v>
      </c>
      <c r="R9" s="9">
        <f t="shared" si="6"/>
        <v>0</v>
      </c>
      <c r="S9" s="9">
        <f t="shared" si="7"/>
        <v>-1.851686913615436E-2</v>
      </c>
      <c r="T9" s="10">
        <f t="shared" si="12"/>
        <v>-2.7497201745054992E-2</v>
      </c>
      <c r="U9" s="10">
        <f t="shared" si="10"/>
        <v>0.14509962632917539</v>
      </c>
      <c r="V9" s="10">
        <f t="shared" si="8"/>
        <v>-4.1667929978359441E-2</v>
      </c>
      <c r="W9" s="10">
        <f t="shared" si="8"/>
        <v>7.4120902369087527E-2</v>
      </c>
      <c r="X9" s="10">
        <f t="shared" si="8"/>
        <v>-3.7408914072978305E-2</v>
      </c>
      <c r="Y9" s="10">
        <f t="shared" si="8"/>
        <v>1.360071745925185E-2</v>
      </c>
      <c r="Z9" s="10">
        <f t="shared" si="8"/>
        <v>3.7408914072978305E-2</v>
      </c>
      <c r="AA9" s="10">
        <f t="shared" si="8"/>
        <v>-1.360071745925185E-2</v>
      </c>
      <c r="AB9" s="7">
        <f t="shared" si="11"/>
        <v>0.15005539697484849</v>
      </c>
      <c r="AC9" s="7">
        <v>-3.5352963424969852E-2</v>
      </c>
    </row>
    <row r="10" spans="1:29" x14ac:dyDescent="0.25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28">
        <v>-1</v>
      </c>
      <c r="I10" s="28">
        <v>1</v>
      </c>
      <c r="J10" s="28">
        <v>-1</v>
      </c>
      <c r="K10" s="28">
        <v>1</v>
      </c>
      <c r="L10" s="9">
        <f t="shared" si="9"/>
        <v>0</v>
      </c>
      <c r="M10" s="9">
        <f t="shared" si="1"/>
        <v>-6.5363248575294186E-3</v>
      </c>
      <c r="N10" s="9">
        <f t="shared" si="2"/>
        <v>0</v>
      </c>
      <c r="O10" s="9">
        <f t="shared" si="3"/>
        <v>1.927873048507411E-2</v>
      </c>
      <c r="P10" s="9">
        <f t="shared" si="4"/>
        <v>3.8751710430242607E-2</v>
      </c>
      <c r="Q10" s="9">
        <f t="shared" si="5"/>
        <v>0</v>
      </c>
      <c r="R10" s="9">
        <f t="shared" si="6"/>
        <v>-3.8751710430242607E-2</v>
      </c>
      <c r="S10" s="9">
        <f t="shared" si="7"/>
        <v>0</v>
      </c>
      <c r="T10" s="10">
        <f t="shared" si="12"/>
        <v>-2.7497201745054992E-2</v>
      </c>
      <c r="U10" s="10">
        <f t="shared" si="10"/>
        <v>0.13856330147164597</v>
      </c>
      <c r="V10" s="10">
        <f t="shared" si="8"/>
        <v>-4.1667929978359441E-2</v>
      </c>
      <c r="W10" s="10">
        <f t="shared" si="8"/>
        <v>9.3399632854161641E-2</v>
      </c>
      <c r="X10" s="10">
        <f t="shared" si="8"/>
        <v>1.3427963572643017E-3</v>
      </c>
      <c r="Y10" s="10">
        <f t="shared" si="8"/>
        <v>1.360071745925185E-2</v>
      </c>
      <c r="Z10" s="10">
        <f t="shared" si="8"/>
        <v>-1.3427963572643017E-3</v>
      </c>
      <c r="AA10" s="10">
        <f t="shared" si="8"/>
        <v>-1.360071745925185E-2</v>
      </c>
      <c r="AB10" s="7">
        <f t="shared" si="11"/>
        <v>0.16279780260239318</v>
      </c>
      <c r="AC10" s="7">
        <v>4.7416891525050693E-2</v>
      </c>
    </row>
    <row r="11" spans="1:29" x14ac:dyDescent="0.25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28">
        <v>1</v>
      </c>
      <c r="I11" s="28">
        <v>1</v>
      </c>
      <c r="J11" s="28">
        <v>1</v>
      </c>
      <c r="K11" s="28">
        <v>1</v>
      </c>
      <c r="L11" s="9">
        <f t="shared" si="9"/>
        <v>4.57029779187067E-2</v>
      </c>
      <c r="M11" s="9">
        <f t="shared" si="1"/>
        <v>0</v>
      </c>
      <c r="N11" s="9">
        <f t="shared" si="2"/>
        <v>1.5470853433114939E-3</v>
      </c>
      <c r="O11" s="9">
        <f t="shared" si="3"/>
        <v>0</v>
      </c>
      <c r="P11" s="9">
        <f t="shared" si="4"/>
        <v>1.61363743238957E-2</v>
      </c>
      <c r="Q11" s="9">
        <f t="shared" si="5"/>
        <v>0</v>
      </c>
      <c r="R11" s="9">
        <f t="shared" si="6"/>
        <v>-1.61363743238957E-2</v>
      </c>
      <c r="S11" s="9">
        <f t="shared" si="7"/>
        <v>0</v>
      </c>
      <c r="T11" s="10">
        <f t="shared" si="12"/>
        <v>1.8205776173651708E-2</v>
      </c>
      <c r="U11" s="10">
        <f t="shared" si="10"/>
        <v>0.13856330147164597</v>
      </c>
      <c r="V11" s="10">
        <f t="shared" si="8"/>
        <v>-4.0120844635047948E-2</v>
      </c>
      <c r="W11" s="10">
        <f t="shared" si="8"/>
        <v>9.3399632854161641E-2</v>
      </c>
      <c r="X11" s="10">
        <f t="shared" si="8"/>
        <v>1.7479170681160002E-2</v>
      </c>
      <c r="Y11" s="10">
        <f t="shared" si="8"/>
        <v>1.360071745925185E-2</v>
      </c>
      <c r="Z11" s="10">
        <f t="shared" si="8"/>
        <v>-1.7479170681160002E-2</v>
      </c>
      <c r="AA11" s="10">
        <f t="shared" si="8"/>
        <v>-1.360071745925185E-2</v>
      </c>
      <c r="AB11" s="7">
        <f t="shared" si="11"/>
        <v>0.21004786586441138</v>
      </c>
      <c r="AC11" s="7">
        <v>0.10183121091010611</v>
      </c>
    </row>
    <row r="12" spans="1:29" x14ac:dyDescent="0.25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28">
        <v>-1</v>
      </c>
      <c r="I12" s="28">
        <v>-1</v>
      </c>
      <c r="J12" s="28">
        <v>-1</v>
      </c>
      <c r="K12" s="28">
        <v>-1</v>
      </c>
      <c r="L12" s="9">
        <f t="shared" si="9"/>
        <v>0</v>
      </c>
      <c r="M12" s="9">
        <f t="shared" si="1"/>
        <v>1.8113439969254849E-2</v>
      </c>
      <c r="N12" s="9">
        <f t="shared" si="2"/>
        <v>0</v>
      </c>
      <c r="O12" s="9">
        <f t="shared" si="3"/>
        <v>-1.3126019970565389E-2</v>
      </c>
      <c r="P12" s="9">
        <f t="shared" si="4"/>
        <v>0</v>
      </c>
      <c r="Q12" s="9">
        <f t="shared" si="5"/>
        <v>-2.3687673858548419E-2</v>
      </c>
      <c r="R12" s="9">
        <f t="shared" si="6"/>
        <v>0</v>
      </c>
      <c r="S12" s="9">
        <f t="shared" si="7"/>
        <v>2.3687673858548419E-2</v>
      </c>
      <c r="T12" s="10">
        <f t="shared" si="12"/>
        <v>1.8205776173651708E-2</v>
      </c>
      <c r="U12" s="10">
        <f t="shared" si="10"/>
        <v>0.15667674144090082</v>
      </c>
      <c r="V12" s="10">
        <f t="shared" si="8"/>
        <v>-4.0120844635047948E-2</v>
      </c>
      <c r="W12" s="10">
        <f t="shared" si="8"/>
        <v>8.0273612883596246E-2</v>
      </c>
      <c r="X12" s="10">
        <f t="shared" si="8"/>
        <v>1.7479170681160002E-2</v>
      </c>
      <c r="Y12" s="10">
        <f t="shared" si="8"/>
        <v>-1.0086956399296569E-2</v>
      </c>
      <c r="Z12" s="10">
        <f t="shared" si="8"/>
        <v>-1.7479170681160002E-2</v>
      </c>
      <c r="AA12" s="10">
        <f t="shared" si="8"/>
        <v>1.0086956399296569E-2</v>
      </c>
      <c r="AB12" s="7">
        <f t="shared" si="11"/>
        <v>0.21503528586310083</v>
      </c>
      <c r="AC12" s="7">
        <v>0.1133810498872404</v>
      </c>
    </row>
    <row r="13" spans="1:29" x14ac:dyDescent="0.25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28">
        <v>-1</v>
      </c>
      <c r="I13" s="28">
        <v>1</v>
      </c>
      <c r="J13" s="28">
        <v>-1</v>
      </c>
      <c r="K13" s="28">
        <v>1</v>
      </c>
      <c r="L13" s="9">
        <f t="shared" si="9"/>
        <v>0</v>
      </c>
      <c r="M13" s="9">
        <f t="shared" si="1"/>
        <v>-2.4216137979320429E-3</v>
      </c>
      <c r="N13" s="9">
        <f t="shared" si="2"/>
        <v>0</v>
      </c>
      <c r="O13" s="9">
        <f t="shared" si="3"/>
        <v>-3.8721073276863138E-2</v>
      </c>
      <c r="P13" s="9">
        <f t="shared" si="4"/>
        <v>3.5798401806402043E-2</v>
      </c>
      <c r="Q13" s="9">
        <f t="shared" si="5"/>
        <v>0</v>
      </c>
      <c r="R13" s="9">
        <f t="shared" si="6"/>
        <v>-3.5798401806402043E-2</v>
      </c>
      <c r="S13" s="9">
        <f t="shared" si="7"/>
        <v>0</v>
      </c>
      <c r="T13" s="10">
        <f t="shared" si="12"/>
        <v>1.8205776173651708E-2</v>
      </c>
      <c r="U13" s="10">
        <f t="shared" si="10"/>
        <v>0.15425512764296878</v>
      </c>
      <c r="V13" s="10">
        <f t="shared" si="8"/>
        <v>-4.0120844635047948E-2</v>
      </c>
      <c r="W13" s="10">
        <f t="shared" si="8"/>
        <v>4.1552539606733108E-2</v>
      </c>
      <c r="X13" s="10">
        <f t="shared" si="8"/>
        <v>5.3277572487562042E-2</v>
      </c>
      <c r="Y13" s="10">
        <f t="shared" si="8"/>
        <v>-1.0086956399296569E-2</v>
      </c>
      <c r="Z13" s="10">
        <f t="shared" si="8"/>
        <v>-5.3277572487562042E-2</v>
      </c>
      <c r="AA13" s="10">
        <f t="shared" si="8"/>
        <v>1.0086956399296569E-2</v>
      </c>
      <c r="AB13" s="7">
        <f t="shared" si="11"/>
        <v>0.17389259878830565</v>
      </c>
      <c r="AC13" s="7">
        <v>0.1322781134359047</v>
      </c>
    </row>
    <row r="14" spans="1:29" x14ac:dyDescent="0.25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28">
        <v>-1</v>
      </c>
      <c r="I14" s="28">
        <v>1</v>
      </c>
      <c r="J14" s="28">
        <v>-1</v>
      </c>
      <c r="K14" s="28">
        <v>1</v>
      </c>
      <c r="L14" s="9">
        <f t="shared" si="9"/>
        <v>0</v>
      </c>
      <c r="M14" s="9">
        <f t="shared" si="1"/>
        <v>-6.7214851149153274E-3</v>
      </c>
      <c r="N14" s="9">
        <f t="shared" si="2"/>
        <v>0</v>
      </c>
      <c r="O14" s="9">
        <f t="shared" si="3"/>
        <v>7.9375803346507512E-3</v>
      </c>
      <c r="P14" s="9">
        <f t="shared" si="4"/>
        <v>-1.374462595288106E-2</v>
      </c>
      <c r="Q14" s="9">
        <f t="shared" si="5"/>
        <v>0</v>
      </c>
      <c r="R14" s="9">
        <f t="shared" si="6"/>
        <v>1.374462595288106E-2</v>
      </c>
      <c r="S14" s="9">
        <f t="shared" si="7"/>
        <v>0</v>
      </c>
      <c r="T14" s="10">
        <f t="shared" si="12"/>
        <v>1.8205776173651708E-2</v>
      </c>
      <c r="U14" s="10">
        <f t="shared" si="10"/>
        <v>0.14753364252805345</v>
      </c>
      <c r="V14" s="10">
        <f t="shared" si="8"/>
        <v>-4.0120844635047948E-2</v>
      </c>
      <c r="W14" s="10">
        <f t="shared" si="8"/>
        <v>4.9490119941383859E-2</v>
      </c>
      <c r="X14" s="10">
        <f t="shared" si="8"/>
        <v>3.9532946534680979E-2</v>
      </c>
      <c r="Y14" s="10">
        <f t="shared" si="8"/>
        <v>-1.0086956399296569E-2</v>
      </c>
      <c r="Z14" s="10">
        <f t="shared" si="8"/>
        <v>-3.9532946534680979E-2</v>
      </c>
      <c r="AA14" s="10">
        <f t="shared" si="8"/>
        <v>1.0086956399296569E-2</v>
      </c>
      <c r="AB14" s="7">
        <f t="shared" si="11"/>
        <v>0.17510869400804108</v>
      </c>
      <c r="AC14" s="7">
        <v>0.15325968276089399</v>
      </c>
    </row>
    <row r="15" spans="1:29" x14ac:dyDescent="0.25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28">
        <v>1</v>
      </c>
      <c r="I15" s="28">
        <v>1</v>
      </c>
      <c r="J15" s="28">
        <v>1</v>
      </c>
      <c r="K15" s="28">
        <v>1</v>
      </c>
      <c r="L15" s="9">
        <f t="shared" si="9"/>
        <v>-2.537947808176888E-2</v>
      </c>
      <c r="M15" s="9">
        <f t="shared" si="1"/>
        <v>0</v>
      </c>
      <c r="N15" s="9">
        <f t="shared" si="2"/>
        <v>-3.8051791672164548E-2</v>
      </c>
      <c r="O15" s="9">
        <f t="shared" si="3"/>
        <v>0</v>
      </c>
      <c r="P15" s="9">
        <f t="shared" si="4"/>
        <v>2.199538650546207E-2</v>
      </c>
      <c r="Q15" s="9">
        <f t="shared" si="5"/>
        <v>0</v>
      </c>
      <c r="R15" s="9">
        <f t="shared" si="6"/>
        <v>-2.199538650546207E-2</v>
      </c>
      <c r="S15" s="9">
        <f t="shared" si="7"/>
        <v>0</v>
      </c>
      <c r="T15" s="10">
        <f t="shared" si="12"/>
        <v>-7.1737019081171728E-3</v>
      </c>
      <c r="U15" s="10">
        <f t="shared" si="10"/>
        <v>0.14753364252805345</v>
      </c>
      <c r="V15" s="10">
        <f t="shared" si="8"/>
        <v>-7.8172636307212495E-2</v>
      </c>
      <c r="W15" s="10">
        <f t="shared" si="8"/>
        <v>4.9490119941383859E-2</v>
      </c>
      <c r="X15" s="10">
        <f t="shared" si="8"/>
        <v>6.1528333040143046E-2</v>
      </c>
      <c r="Y15" s="10">
        <f t="shared" si="8"/>
        <v>-1.0086956399296569E-2</v>
      </c>
      <c r="Z15" s="10">
        <f t="shared" si="8"/>
        <v>-6.1528333040143046E-2</v>
      </c>
      <c r="AA15" s="10">
        <f t="shared" si="8"/>
        <v>1.0086956399296569E-2</v>
      </c>
      <c r="AB15" s="7">
        <f t="shared" si="11"/>
        <v>0.11167742425410765</v>
      </c>
      <c r="AC15" s="7">
        <v>0.14308219723530469</v>
      </c>
    </row>
    <row r="16" spans="1:29" x14ac:dyDescent="0.25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28">
        <v>-1</v>
      </c>
      <c r="I16" s="28">
        <v>-1</v>
      </c>
      <c r="J16" s="28">
        <v>-1</v>
      </c>
      <c r="K16" s="28">
        <v>-1</v>
      </c>
      <c r="L16" s="9">
        <f t="shared" si="9"/>
        <v>0</v>
      </c>
      <c r="M16" s="9">
        <f t="shared" si="1"/>
        <v>-4.3670511769591247E-3</v>
      </c>
      <c r="N16" s="9">
        <f t="shared" si="2"/>
        <v>0</v>
      </c>
      <c r="O16" s="9">
        <f t="shared" si="3"/>
        <v>1.276731806987808E-2</v>
      </c>
      <c r="P16" s="9">
        <f t="shared" si="4"/>
        <v>0</v>
      </c>
      <c r="Q16" s="9">
        <f t="shared" si="5"/>
        <v>-4.2507846677938721E-2</v>
      </c>
      <c r="R16" s="9">
        <f t="shared" si="6"/>
        <v>0</v>
      </c>
      <c r="S16" s="9">
        <f t="shared" si="7"/>
        <v>4.2507846677938721E-2</v>
      </c>
      <c r="T16" s="10">
        <f t="shared" si="12"/>
        <v>-7.1737019081171728E-3</v>
      </c>
      <c r="U16" s="10">
        <f t="shared" si="10"/>
        <v>0.14316659135109433</v>
      </c>
      <c r="V16" s="10">
        <f t="shared" si="8"/>
        <v>-7.8172636307212495E-2</v>
      </c>
      <c r="W16" s="10">
        <f t="shared" si="8"/>
        <v>6.2257438011261941E-2</v>
      </c>
      <c r="X16" s="10">
        <f t="shared" si="8"/>
        <v>6.1528333040143046E-2</v>
      </c>
      <c r="Y16" s="10">
        <f t="shared" si="8"/>
        <v>-5.259480307723529E-2</v>
      </c>
      <c r="Z16" s="10">
        <f t="shared" si="8"/>
        <v>-6.1528333040143046E-2</v>
      </c>
      <c r="AA16" s="10">
        <f t="shared" si="8"/>
        <v>5.259480307723529E-2</v>
      </c>
      <c r="AB16" s="7">
        <f t="shared" si="11"/>
        <v>0.1200776911470266</v>
      </c>
      <c r="AC16" s="7">
        <v>0.19581808369583359</v>
      </c>
    </row>
    <row r="17" spans="1:29" x14ac:dyDescent="0.25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28">
        <v>1</v>
      </c>
      <c r="I17" s="28">
        <v>1</v>
      </c>
      <c r="J17" s="28">
        <v>1</v>
      </c>
      <c r="K17" s="28">
        <v>1</v>
      </c>
      <c r="L17" s="9">
        <f t="shared" si="9"/>
        <v>2.1367308150597179E-2</v>
      </c>
      <c r="M17" s="9">
        <f t="shared" si="1"/>
        <v>0</v>
      </c>
      <c r="N17" s="9">
        <f t="shared" si="2"/>
        <v>1.5866273036471031E-2</v>
      </c>
      <c r="O17" s="9">
        <f t="shared" si="3"/>
        <v>0</v>
      </c>
      <c r="P17" s="9">
        <f t="shared" si="4"/>
        <v>3.0044991389092108E-3</v>
      </c>
      <c r="Q17" s="9">
        <f t="shared" si="5"/>
        <v>0</v>
      </c>
      <c r="R17" s="9">
        <f t="shared" si="6"/>
        <v>-3.0044991389092108E-3</v>
      </c>
      <c r="S17" s="9">
        <f t="shared" si="7"/>
        <v>0</v>
      </c>
      <c r="T17" s="10">
        <f t="shared" si="12"/>
        <v>1.4193606242480006E-2</v>
      </c>
      <c r="U17" s="10">
        <f t="shared" si="10"/>
        <v>0.14316659135109433</v>
      </c>
      <c r="V17" s="10">
        <f t="shared" si="8"/>
        <v>-6.2306363270741461E-2</v>
      </c>
      <c r="W17" s="10">
        <f t="shared" si="8"/>
        <v>6.2257438011261941E-2</v>
      </c>
      <c r="X17" s="10">
        <f t="shared" si="8"/>
        <v>6.4532832179052257E-2</v>
      </c>
      <c r="Y17" s="10">
        <f t="shared" si="8"/>
        <v>-5.259480307723529E-2</v>
      </c>
      <c r="Z17" s="10">
        <f t="shared" si="8"/>
        <v>-6.4532832179052257E-2</v>
      </c>
      <c r="AA17" s="10">
        <f t="shared" si="8"/>
        <v>5.259480307723529E-2</v>
      </c>
      <c r="AB17" s="7">
        <f t="shared" si="11"/>
        <v>0.15731127233409481</v>
      </c>
      <c r="AC17" s="7">
        <v>0.20710432713903479</v>
      </c>
    </row>
    <row r="18" spans="1:29" x14ac:dyDescent="0.25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28">
        <v>-1</v>
      </c>
      <c r="I18" s="28">
        <v>-1</v>
      </c>
      <c r="J18" s="28">
        <v>-1</v>
      </c>
      <c r="K18" s="28">
        <v>-1</v>
      </c>
      <c r="L18" s="9">
        <f t="shared" si="9"/>
        <v>0</v>
      </c>
      <c r="M18" s="9">
        <f t="shared" si="1"/>
        <v>-2.1733808493392459E-2</v>
      </c>
      <c r="N18" s="9">
        <f t="shared" si="2"/>
        <v>0</v>
      </c>
      <c r="O18" s="9">
        <f t="shared" si="3"/>
        <v>-1.3943475659631501E-2</v>
      </c>
      <c r="P18" s="9">
        <f t="shared" si="4"/>
        <v>0</v>
      </c>
      <c r="Q18" s="9">
        <f t="shared" si="5"/>
        <v>-3.8459154044356851E-3</v>
      </c>
      <c r="R18" s="9">
        <f t="shared" si="6"/>
        <v>0</v>
      </c>
      <c r="S18" s="9">
        <f t="shared" si="7"/>
        <v>3.8459154044356851E-3</v>
      </c>
      <c r="T18" s="10">
        <f t="shared" si="12"/>
        <v>1.4193606242480006E-2</v>
      </c>
      <c r="U18" s="10">
        <f t="shared" si="10"/>
        <v>0.12143278285770187</v>
      </c>
      <c r="V18" s="10">
        <f t="shared" si="8"/>
        <v>-6.2306363270741461E-2</v>
      </c>
      <c r="W18" s="10">
        <f t="shared" si="8"/>
        <v>4.8313962351630442E-2</v>
      </c>
      <c r="X18" s="10">
        <f t="shared" si="8"/>
        <v>6.4532832179052257E-2</v>
      </c>
      <c r="Y18" s="10">
        <f t="shared" si="8"/>
        <v>-5.6440718481670975E-2</v>
      </c>
      <c r="Z18" s="10">
        <f t="shared" si="8"/>
        <v>-6.4532832179052257E-2</v>
      </c>
      <c r="AA18" s="10">
        <f t="shared" si="8"/>
        <v>5.6440718481670975E-2</v>
      </c>
      <c r="AB18" s="7">
        <f t="shared" si="11"/>
        <v>0.12163398818107085</v>
      </c>
      <c r="AC18" s="7">
        <v>0.25661662234210031</v>
      </c>
    </row>
    <row r="19" spans="1:29" x14ac:dyDescent="0.25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28">
        <v>-1</v>
      </c>
      <c r="I19" s="28">
        <v>1</v>
      </c>
      <c r="J19" s="28">
        <v>-1</v>
      </c>
      <c r="K19" s="28">
        <v>1</v>
      </c>
      <c r="L19" s="9">
        <f t="shared" si="9"/>
        <v>0</v>
      </c>
      <c r="M19" s="9">
        <f t="shared" si="1"/>
        <v>8.1388937318258581E-3</v>
      </c>
      <c r="N19" s="9">
        <f t="shared" si="2"/>
        <v>0</v>
      </c>
      <c r="O19" s="9">
        <f t="shared" si="3"/>
        <v>-3.795916915062536E-3</v>
      </c>
      <c r="P19" s="9">
        <f t="shared" si="4"/>
        <v>1.876801723312238E-2</v>
      </c>
      <c r="Q19" s="9">
        <f t="shared" si="5"/>
        <v>0</v>
      </c>
      <c r="R19" s="9">
        <f t="shared" si="6"/>
        <v>-1.876801723312238E-2</v>
      </c>
      <c r="S19" s="9">
        <f t="shared" si="7"/>
        <v>0</v>
      </c>
      <c r="T19" s="10">
        <f t="shared" si="12"/>
        <v>1.4193606242480006E-2</v>
      </c>
      <c r="U19" s="10">
        <f t="shared" si="10"/>
        <v>0.12957167658952773</v>
      </c>
      <c r="V19" s="10">
        <f t="shared" si="10"/>
        <v>-6.2306363270741461E-2</v>
      </c>
      <c r="W19" s="10">
        <f t="shared" si="10"/>
        <v>4.4518045436567906E-2</v>
      </c>
      <c r="X19" s="10">
        <f t="shared" si="10"/>
        <v>8.3300849412174638E-2</v>
      </c>
      <c r="Y19" s="10">
        <f t="shared" si="10"/>
        <v>-5.6440718481670975E-2</v>
      </c>
      <c r="Z19" s="10">
        <f t="shared" si="10"/>
        <v>-8.3300849412174638E-2</v>
      </c>
      <c r="AA19" s="10">
        <f t="shared" si="10"/>
        <v>5.6440718481670975E-2</v>
      </c>
      <c r="AB19" s="7">
        <f t="shared" si="11"/>
        <v>0.12597696499783417</v>
      </c>
      <c r="AC19" s="7">
        <v>0.27663216711394761</v>
      </c>
    </row>
    <row r="20" spans="1:29" x14ac:dyDescent="0.25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28">
        <v>1</v>
      </c>
      <c r="I20" s="28">
        <v>1</v>
      </c>
      <c r="J20" s="28">
        <v>1</v>
      </c>
      <c r="K20" s="28">
        <v>1</v>
      </c>
      <c r="L20" s="9">
        <f t="shared" si="9"/>
        <v>3.7560016768719562E-3</v>
      </c>
      <c r="M20" s="9">
        <f t="shared" si="1"/>
        <v>0</v>
      </c>
      <c r="N20" s="9">
        <f t="shared" si="2"/>
        <v>-8.8822473437140115E-3</v>
      </c>
      <c r="O20" s="9">
        <f t="shared" si="3"/>
        <v>0</v>
      </c>
      <c r="P20" s="9">
        <f t="shared" si="4"/>
        <v>8.6220386005328997E-3</v>
      </c>
      <c r="Q20" s="9">
        <f t="shared" si="5"/>
        <v>0</v>
      </c>
      <c r="R20" s="9">
        <f t="shared" si="6"/>
        <v>-8.6220386005328997E-3</v>
      </c>
      <c r="S20" s="9">
        <f t="shared" si="7"/>
        <v>0</v>
      </c>
      <c r="T20" s="10">
        <f t="shared" si="12"/>
        <v>1.7949607919351962E-2</v>
      </c>
      <c r="U20" s="10">
        <f t="shared" si="12"/>
        <v>0.12957167658952773</v>
      </c>
      <c r="V20" s="10">
        <f t="shared" si="12"/>
        <v>-7.1188610614455472E-2</v>
      </c>
      <c r="W20" s="10">
        <f t="shared" si="12"/>
        <v>4.4518045436567906E-2</v>
      </c>
      <c r="X20" s="10">
        <f t="shared" si="12"/>
        <v>9.1922888012707538E-2</v>
      </c>
      <c r="Y20" s="10">
        <f t="shared" si="12"/>
        <v>-5.6440718481670975E-2</v>
      </c>
      <c r="Z20" s="10">
        <f t="shared" si="12"/>
        <v>-9.1922888012707538E-2</v>
      </c>
      <c r="AA20" s="10">
        <f t="shared" si="12"/>
        <v>5.6440718481670975E-2</v>
      </c>
      <c r="AB20" s="7">
        <f t="shared" si="11"/>
        <v>0.12085071933099212</v>
      </c>
      <c r="AC20" s="7">
        <v>0.29037563156884533</v>
      </c>
    </row>
    <row r="21" spans="1:29" x14ac:dyDescent="0.25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28">
        <v>1</v>
      </c>
      <c r="I21" s="28">
        <v>-1</v>
      </c>
      <c r="J21" s="28">
        <v>1</v>
      </c>
      <c r="K21" s="28">
        <v>-1</v>
      </c>
      <c r="L21" s="9">
        <f t="shared" si="9"/>
        <v>1.8476374260886549E-2</v>
      </c>
      <c r="M21" s="9">
        <f t="shared" si="1"/>
        <v>0</v>
      </c>
      <c r="N21" s="9">
        <f t="shared" si="2"/>
        <v>9.6614090114085505E-3</v>
      </c>
      <c r="O21" s="9">
        <f t="shared" si="3"/>
        <v>0</v>
      </c>
      <c r="P21" s="9">
        <f t="shared" si="4"/>
        <v>0</v>
      </c>
      <c r="Q21" s="9">
        <f t="shared" si="5"/>
        <v>-1.1831285546346271E-2</v>
      </c>
      <c r="R21" s="9">
        <f t="shared" si="6"/>
        <v>0</v>
      </c>
      <c r="S21" s="9">
        <f t="shared" si="7"/>
        <v>1.1831285546346271E-2</v>
      </c>
      <c r="T21" s="10">
        <f t="shared" si="12"/>
        <v>3.6425982180238514E-2</v>
      </c>
      <c r="U21" s="10">
        <f t="shared" si="12"/>
        <v>0.12957167658952773</v>
      </c>
      <c r="V21" s="10">
        <f t="shared" si="12"/>
        <v>-6.1527201603046922E-2</v>
      </c>
      <c r="W21" s="10">
        <f t="shared" si="12"/>
        <v>4.4518045436567906E-2</v>
      </c>
      <c r="X21" s="10">
        <f t="shared" si="12"/>
        <v>9.1922888012707538E-2</v>
      </c>
      <c r="Y21" s="10">
        <f t="shared" si="12"/>
        <v>-6.8272004028017252E-2</v>
      </c>
      <c r="Z21" s="10">
        <f t="shared" si="12"/>
        <v>-9.1922888012707538E-2</v>
      </c>
      <c r="AA21" s="10">
        <f t="shared" si="12"/>
        <v>6.8272004028017252E-2</v>
      </c>
      <c r="AB21" s="7">
        <f t="shared" si="11"/>
        <v>0.14898850260328722</v>
      </c>
      <c r="AC21" s="7">
        <v>0.27804399364064247</v>
      </c>
    </row>
    <row r="22" spans="1:29" x14ac:dyDescent="0.25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28">
        <v>-1</v>
      </c>
      <c r="I22" s="28">
        <v>-1</v>
      </c>
      <c r="J22" s="28">
        <v>-1</v>
      </c>
      <c r="K22" s="28">
        <v>-1</v>
      </c>
      <c r="L22" s="9">
        <f t="shared" si="9"/>
        <v>0</v>
      </c>
      <c r="M22" s="9">
        <f t="shared" si="1"/>
        <v>2.9063585368370389E-2</v>
      </c>
      <c r="N22" s="9">
        <f t="shared" si="2"/>
        <v>0</v>
      </c>
      <c r="O22" s="9">
        <f t="shared" si="3"/>
        <v>-1.0376442161348139E-2</v>
      </c>
      <c r="P22" s="9">
        <f t="shared" si="4"/>
        <v>0</v>
      </c>
      <c r="Q22" s="9">
        <f t="shared" si="5"/>
        <v>-1.350588220593207E-2</v>
      </c>
      <c r="R22" s="9">
        <f t="shared" si="6"/>
        <v>0</v>
      </c>
      <c r="S22" s="9">
        <f t="shared" si="7"/>
        <v>1.350588220593207E-2</v>
      </c>
      <c r="T22" s="10">
        <f t="shared" ref="T22:AA85" si="13">L22+T21</f>
        <v>3.6425982180238514E-2</v>
      </c>
      <c r="U22" s="10">
        <f t="shared" si="13"/>
        <v>0.15863526195789812</v>
      </c>
      <c r="V22" s="10">
        <f t="shared" si="13"/>
        <v>-6.1527201603046922E-2</v>
      </c>
      <c r="W22" s="10">
        <f t="shared" si="13"/>
        <v>3.414160327521977E-2</v>
      </c>
      <c r="X22" s="10">
        <f t="shared" si="13"/>
        <v>9.1922888012707538E-2</v>
      </c>
      <c r="Y22" s="10">
        <f t="shared" si="13"/>
        <v>-8.1777886233949326E-2</v>
      </c>
      <c r="Z22" s="10">
        <f t="shared" si="13"/>
        <v>-9.1922888012707538E-2</v>
      </c>
      <c r="AA22" s="10">
        <f t="shared" si="13"/>
        <v>8.1777886233949326E-2</v>
      </c>
      <c r="AB22" s="7">
        <f t="shared" si="11"/>
        <v>0.16767564581030947</v>
      </c>
      <c r="AC22" s="7">
        <v>0.25957608323656001</v>
      </c>
    </row>
    <row r="23" spans="1:29" x14ac:dyDescent="0.25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28">
        <v>-1</v>
      </c>
      <c r="I23" s="28">
        <v>1</v>
      </c>
      <c r="J23" s="28">
        <v>-1</v>
      </c>
      <c r="K23" s="28">
        <v>1</v>
      </c>
      <c r="L23" s="9">
        <f t="shared" si="9"/>
        <v>0</v>
      </c>
      <c r="M23" s="9">
        <f t="shared" si="1"/>
        <v>-2.7528552981758488E-2</v>
      </c>
      <c r="N23" s="9">
        <f t="shared" si="2"/>
        <v>0</v>
      </c>
      <c r="O23" s="9">
        <f t="shared" si="3"/>
        <v>1.6560145460553181E-2</v>
      </c>
      <c r="P23" s="9">
        <f t="shared" si="4"/>
        <v>-8.8000344321050861E-3</v>
      </c>
      <c r="Q23" s="9">
        <f t="shared" si="5"/>
        <v>0</v>
      </c>
      <c r="R23" s="9">
        <f t="shared" si="6"/>
        <v>8.8000344321050861E-3</v>
      </c>
      <c r="S23" s="9">
        <f t="shared" si="7"/>
        <v>0</v>
      </c>
      <c r="T23" s="10">
        <f t="shared" si="13"/>
        <v>3.6425982180238514E-2</v>
      </c>
      <c r="U23" s="10">
        <f t="shared" si="13"/>
        <v>0.13110670897613963</v>
      </c>
      <c r="V23" s="10">
        <f t="shared" si="13"/>
        <v>-6.1527201603046922E-2</v>
      </c>
      <c r="W23" s="10">
        <f t="shared" si="13"/>
        <v>5.0701748735772947E-2</v>
      </c>
      <c r="X23" s="10">
        <f t="shared" si="13"/>
        <v>8.3122853580602452E-2</v>
      </c>
      <c r="Y23" s="10">
        <f t="shared" si="13"/>
        <v>-8.1777886233949326E-2</v>
      </c>
      <c r="Z23" s="10">
        <f t="shared" si="13"/>
        <v>-8.3122853580602452E-2</v>
      </c>
      <c r="AA23" s="10">
        <f t="shared" si="13"/>
        <v>8.1777886233949326E-2</v>
      </c>
      <c r="AB23" s="7">
        <f t="shared" si="11"/>
        <v>0.15670723828910416</v>
      </c>
      <c r="AC23" s="7">
        <v>0.27711949054938978</v>
      </c>
    </row>
    <row r="24" spans="1:29" x14ac:dyDescent="0.25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28">
        <v>-1</v>
      </c>
      <c r="I24" s="28">
        <v>1</v>
      </c>
      <c r="J24" s="28">
        <v>-1</v>
      </c>
      <c r="K24" s="28">
        <v>1</v>
      </c>
      <c r="L24" s="9">
        <f t="shared" si="9"/>
        <v>0</v>
      </c>
      <c r="M24" s="9">
        <f t="shared" si="1"/>
        <v>-6.7399691569599574E-3</v>
      </c>
      <c r="N24" s="9">
        <f t="shared" si="2"/>
        <v>0</v>
      </c>
      <c r="O24" s="9">
        <f t="shared" si="3"/>
        <v>1.532124259657874E-2</v>
      </c>
      <c r="P24" s="9">
        <f t="shared" si="4"/>
        <v>1.636861555413072E-2</v>
      </c>
      <c r="Q24" s="9">
        <f t="shared" si="5"/>
        <v>0</v>
      </c>
      <c r="R24" s="9">
        <f t="shared" si="6"/>
        <v>-1.636861555413072E-2</v>
      </c>
      <c r="S24" s="9">
        <f t="shared" si="7"/>
        <v>0</v>
      </c>
      <c r="T24" s="10">
        <f t="shared" si="13"/>
        <v>3.6425982180238514E-2</v>
      </c>
      <c r="U24" s="10">
        <f t="shared" si="13"/>
        <v>0.12436673981917967</v>
      </c>
      <c r="V24" s="10">
        <f t="shared" si="13"/>
        <v>-6.1527201603046922E-2</v>
      </c>
      <c r="W24" s="10">
        <f t="shared" si="13"/>
        <v>6.6022991332351691E-2</v>
      </c>
      <c r="X24" s="10">
        <f t="shared" si="13"/>
        <v>9.9491469134733168E-2</v>
      </c>
      <c r="Y24" s="10">
        <f t="shared" si="13"/>
        <v>-8.1777886233949326E-2</v>
      </c>
      <c r="Z24" s="10">
        <f t="shared" si="13"/>
        <v>-9.9491469134733168E-2</v>
      </c>
      <c r="AA24" s="10">
        <f t="shared" si="13"/>
        <v>8.1777886233949326E-2</v>
      </c>
      <c r="AB24" s="7">
        <f t="shared" si="11"/>
        <v>0.16528851172872294</v>
      </c>
      <c r="AC24" s="7">
        <v>0.29588387761050339</v>
      </c>
    </row>
    <row r="25" spans="1:29" x14ac:dyDescent="0.25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28">
        <v>1</v>
      </c>
      <c r="I25" s="28">
        <v>1</v>
      </c>
      <c r="J25" s="28">
        <v>1</v>
      </c>
      <c r="K25" s="28">
        <v>1</v>
      </c>
      <c r="L25" s="9">
        <f t="shared" si="9"/>
        <v>8.7956890346071459E-3</v>
      </c>
      <c r="M25" s="9">
        <f t="shared" si="1"/>
        <v>0</v>
      </c>
      <c r="N25" s="9">
        <f t="shared" si="2"/>
        <v>7.6560428455463292E-4</v>
      </c>
      <c r="O25" s="9">
        <f t="shared" si="3"/>
        <v>0</v>
      </c>
      <c r="P25" s="9">
        <f t="shared" si="4"/>
        <v>-2.7185738024280259E-2</v>
      </c>
      <c r="Q25" s="9">
        <f t="shared" si="5"/>
        <v>0</v>
      </c>
      <c r="R25" s="9">
        <f t="shared" si="6"/>
        <v>2.7185738024280259E-2</v>
      </c>
      <c r="S25" s="9">
        <f t="shared" si="7"/>
        <v>0</v>
      </c>
      <c r="T25" s="10">
        <f t="shared" si="13"/>
        <v>4.522167121484566E-2</v>
      </c>
      <c r="U25" s="10">
        <f t="shared" si="13"/>
        <v>0.12436673981917967</v>
      </c>
      <c r="V25" s="10">
        <f t="shared" si="13"/>
        <v>-6.0761597318492289E-2</v>
      </c>
      <c r="W25" s="10">
        <f t="shared" si="13"/>
        <v>6.6022991332351691E-2</v>
      </c>
      <c r="X25" s="10">
        <f t="shared" si="13"/>
        <v>7.2305731110452909E-2</v>
      </c>
      <c r="Y25" s="10">
        <f t="shared" si="13"/>
        <v>-8.1777886233949326E-2</v>
      </c>
      <c r="Z25" s="10">
        <f t="shared" si="13"/>
        <v>-7.2305731110452909E-2</v>
      </c>
      <c r="AA25" s="10">
        <f t="shared" si="13"/>
        <v>8.1777886233949326E-2</v>
      </c>
      <c r="AB25" s="7">
        <f t="shared" si="11"/>
        <v>0.17484980504788472</v>
      </c>
      <c r="AC25" s="7">
        <v>0.26369152433821641</v>
      </c>
    </row>
    <row r="26" spans="1:29" x14ac:dyDescent="0.25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28">
        <v>1</v>
      </c>
      <c r="I26" s="28">
        <v>-1</v>
      </c>
      <c r="J26" s="28">
        <v>1</v>
      </c>
      <c r="K26" s="28">
        <v>-1</v>
      </c>
      <c r="L26" s="9">
        <f t="shared" si="9"/>
        <v>5.7664263219470158E-3</v>
      </c>
      <c r="M26" s="9">
        <f t="shared" si="1"/>
        <v>0</v>
      </c>
      <c r="N26" s="9">
        <f t="shared" si="2"/>
        <v>-1.4183360699532851E-2</v>
      </c>
      <c r="O26" s="9">
        <f t="shared" si="3"/>
        <v>0</v>
      </c>
      <c r="P26" s="9">
        <f t="shared" si="4"/>
        <v>0</v>
      </c>
      <c r="Q26" s="9">
        <f t="shared" si="5"/>
        <v>3.6391475953699071E-2</v>
      </c>
      <c r="R26" s="9">
        <f t="shared" si="6"/>
        <v>0</v>
      </c>
      <c r="S26" s="9">
        <f t="shared" si="7"/>
        <v>-3.6391475953699071E-2</v>
      </c>
      <c r="T26" s="10">
        <f t="shared" si="13"/>
        <v>5.0988097536792676E-2</v>
      </c>
      <c r="U26" s="10">
        <f t="shared" si="13"/>
        <v>0.12436673981917967</v>
      </c>
      <c r="V26" s="10">
        <f t="shared" si="13"/>
        <v>-7.4944958018025143E-2</v>
      </c>
      <c r="W26" s="10">
        <f t="shared" si="13"/>
        <v>6.6022991332351691E-2</v>
      </c>
      <c r="X26" s="10">
        <f t="shared" si="13"/>
        <v>7.2305731110452909E-2</v>
      </c>
      <c r="Y26" s="10">
        <f t="shared" si="13"/>
        <v>-4.5386410280250256E-2</v>
      </c>
      <c r="Z26" s="10">
        <f t="shared" si="13"/>
        <v>-7.2305731110452909E-2</v>
      </c>
      <c r="AA26" s="10">
        <f t="shared" si="13"/>
        <v>4.5386410280250256E-2</v>
      </c>
      <c r="AB26" s="7">
        <f t="shared" si="11"/>
        <v>0.16643287067029888</v>
      </c>
      <c r="AC26" s="7">
        <v>0.26677280476778958</v>
      </c>
    </row>
    <row r="27" spans="1:29" x14ac:dyDescent="0.25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28">
        <v>1</v>
      </c>
      <c r="I27" s="28">
        <v>-1</v>
      </c>
      <c r="J27" s="28">
        <v>1</v>
      </c>
      <c r="K27" s="28">
        <v>-1</v>
      </c>
      <c r="L27" s="9">
        <f t="shared" si="9"/>
        <v>1.950631359998956E-3</v>
      </c>
      <c r="M27" s="9">
        <f t="shared" si="1"/>
        <v>0</v>
      </c>
      <c r="N27" s="9">
        <f t="shared" si="2"/>
        <v>1.5992616299567719E-2</v>
      </c>
      <c r="O27" s="9">
        <f t="shared" si="3"/>
        <v>0</v>
      </c>
      <c r="P27" s="9">
        <f t="shared" si="4"/>
        <v>0</v>
      </c>
      <c r="Q27" s="9">
        <f t="shared" si="5"/>
        <v>-1.324192018605397E-2</v>
      </c>
      <c r="R27" s="9">
        <f t="shared" si="6"/>
        <v>0</v>
      </c>
      <c r="S27" s="9">
        <f t="shared" si="7"/>
        <v>1.324192018605397E-2</v>
      </c>
      <c r="T27" s="10">
        <f t="shared" si="13"/>
        <v>5.2938728896791631E-2</v>
      </c>
      <c r="U27" s="10">
        <f t="shared" si="13"/>
        <v>0.12436673981917967</v>
      </c>
      <c r="V27" s="10">
        <f t="shared" si="13"/>
        <v>-5.8952341718457424E-2</v>
      </c>
      <c r="W27" s="10">
        <f t="shared" si="13"/>
        <v>6.6022991332351691E-2</v>
      </c>
      <c r="X27" s="10">
        <f t="shared" si="13"/>
        <v>7.2305731110452909E-2</v>
      </c>
      <c r="Y27" s="10">
        <f t="shared" si="13"/>
        <v>-5.8628330466304224E-2</v>
      </c>
      <c r="Z27" s="10">
        <f t="shared" si="13"/>
        <v>-7.2305731110452909E-2</v>
      </c>
      <c r="AA27" s="10">
        <f t="shared" si="13"/>
        <v>5.8628330466304224E-2</v>
      </c>
      <c r="AB27" s="7">
        <f t="shared" si="11"/>
        <v>0.18437611832986556</v>
      </c>
      <c r="AC27" s="7">
        <v>0.27709750302482949</v>
      </c>
    </row>
    <row r="28" spans="1:29" x14ac:dyDescent="0.25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28">
        <v>1</v>
      </c>
      <c r="I28" s="28">
        <v>-1</v>
      </c>
      <c r="J28" s="28">
        <v>1</v>
      </c>
      <c r="K28" s="28">
        <v>-1</v>
      </c>
      <c r="L28" s="9">
        <f t="shared" si="9"/>
        <v>1.7722429227709498E-2</v>
      </c>
      <c r="M28" s="9">
        <f t="shared" si="1"/>
        <v>0</v>
      </c>
      <c r="N28" s="9">
        <f t="shared" si="2"/>
        <v>1.8256870750822381E-3</v>
      </c>
      <c r="O28" s="9">
        <f t="shared" si="3"/>
        <v>0</v>
      </c>
      <c r="P28" s="9">
        <f t="shared" si="4"/>
        <v>0</v>
      </c>
      <c r="Q28" s="9">
        <f t="shared" si="5"/>
        <v>-1.523284351360177E-2</v>
      </c>
      <c r="R28" s="9">
        <f t="shared" si="6"/>
        <v>0</v>
      </c>
      <c r="S28" s="9">
        <f t="shared" si="7"/>
        <v>1.523284351360177E-2</v>
      </c>
      <c r="T28" s="10">
        <f t="shared" si="13"/>
        <v>7.0661158124501133E-2</v>
      </c>
      <c r="U28" s="10">
        <f t="shared" si="13"/>
        <v>0.12436673981917967</v>
      </c>
      <c r="V28" s="10">
        <f t="shared" si="13"/>
        <v>-5.7126654643375185E-2</v>
      </c>
      <c r="W28" s="10">
        <f t="shared" si="13"/>
        <v>6.6022991332351691E-2</v>
      </c>
      <c r="X28" s="10">
        <f t="shared" si="13"/>
        <v>7.2305731110452909E-2</v>
      </c>
      <c r="Y28" s="10">
        <f t="shared" si="13"/>
        <v>-7.3861173979905992E-2</v>
      </c>
      <c r="Z28" s="10">
        <f t="shared" si="13"/>
        <v>-7.2305731110452909E-2</v>
      </c>
      <c r="AA28" s="10">
        <f t="shared" si="13"/>
        <v>7.3861173979905992E-2</v>
      </c>
      <c r="AB28" s="7">
        <f t="shared" si="11"/>
        <v>0.2039242346326573</v>
      </c>
      <c r="AC28" s="7">
        <v>0.29058385211662419</v>
      </c>
    </row>
    <row r="29" spans="1:29" x14ac:dyDescent="0.25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28">
        <v>-1</v>
      </c>
      <c r="I29" s="28">
        <v>-1</v>
      </c>
      <c r="J29" s="28">
        <v>-1</v>
      </c>
      <c r="K29" s="28">
        <v>-1</v>
      </c>
      <c r="L29" s="9">
        <f t="shared" si="9"/>
        <v>0</v>
      </c>
      <c r="M29" s="9">
        <f t="shared" si="1"/>
        <v>-4.0206493505484664E-3</v>
      </c>
      <c r="N29" s="9">
        <f t="shared" si="2"/>
        <v>0</v>
      </c>
      <c r="O29" s="9">
        <f t="shared" si="3"/>
        <v>-1.496609826230633E-2</v>
      </c>
      <c r="P29" s="9">
        <f t="shared" si="4"/>
        <v>0</v>
      </c>
      <c r="Q29" s="9">
        <f t="shared" si="5"/>
        <v>-3.56028068054699E-2</v>
      </c>
      <c r="R29" s="9">
        <f t="shared" si="6"/>
        <v>0</v>
      </c>
      <c r="S29" s="9">
        <f t="shared" si="7"/>
        <v>3.56028068054699E-2</v>
      </c>
      <c r="T29" s="10">
        <f t="shared" si="13"/>
        <v>7.0661158124501133E-2</v>
      </c>
      <c r="U29" s="10">
        <f t="shared" si="13"/>
        <v>0.12034609046863121</v>
      </c>
      <c r="V29" s="10">
        <f t="shared" si="13"/>
        <v>-5.7126654643375185E-2</v>
      </c>
      <c r="W29" s="10">
        <f t="shared" si="13"/>
        <v>5.1056893070045364E-2</v>
      </c>
      <c r="X29" s="10">
        <f t="shared" si="13"/>
        <v>7.2305731110452909E-2</v>
      </c>
      <c r="Y29" s="10">
        <f t="shared" si="13"/>
        <v>-0.10946398078537589</v>
      </c>
      <c r="Z29" s="10">
        <f t="shared" si="13"/>
        <v>-7.2305731110452909E-2</v>
      </c>
      <c r="AA29" s="10">
        <f t="shared" si="13"/>
        <v>0.10946398078537589</v>
      </c>
      <c r="AB29" s="7">
        <f t="shared" si="11"/>
        <v>0.1849374870198025</v>
      </c>
      <c r="AC29" s="7">
        <v>0.33453187638071752</v>
      </c>
    </row>
    <row r="30" spans="1:29" x14ac:dyDescent="0.25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28">
        <v>1</v>
      </c>
      <c r="I30" s="28">
        <v>1</v>
      </c>
      <c r="J30" s="28">
        <v>1</v>
      </c>
      <c r="K30" s="28">
        <v>1</v>
      </c>
      <c r="L30" s="9">
        <f t="shared" si="9"/>
        <v>4.0047232207830463E-3</v>
      </c>
      <c r="M30" s="9">
        <f t="shared" si="1"/>
        <v>0</v>
      </c>
      <c r="N30" s="9">
        <f t="shared" si="2"/>
        <v>3.2044002069699928E-3</v>
      </c>
      <c r="O30" s="9">
        <f t="shared" si="3"/>
        <v>0</v>
      </c>
      <c r="P30" s="9">
        <f t="shared" si="4"/>
        <v>1.8883103659042E-3</v>
      </c>
      <c r="Q30" s="9">
        <f t="shared" si="5"/>
        <v>0</v>
      </c>
      <c r="R30" s="9">
        <f t="shared" si="6"/>
        <v>-1.8883103659042E-3</v>
      </c>
      <c r="S30" s="9">
        <f t="shared" si="7"/>
        <v>0</v>
      </c>
      <c r="T30" s="10">
        <f t="shared" si="13"/>
        <v>7.466588134528418E-2</v>
      </c>
      <c r="U30" s="10">
        <f t="shared" si="13"/>
        <v>0.12034609046863121</v>
      </c>
      <c r="V30" s="10">
        <f t="shared" si="13"/>
        <v>-5.3922254436405193E-2</v>
      </c>
      <c r="W30" s="10">
        <f t="shared" si="13"/>
        <v>5.1056893070045364E-2</v>
      </c>
      <c r="X30" s="10">
        <f t="shared" si="13"/>
        <v>7.4194041476357109E-2</v>
      </c>
      <c r="Y30" s="10">
        <f t="shared" si="13"/>
        <v>-0.10946398078537589</v>
      </c>
      <c r="Z30" s="10">
        <f t="shared" si="13"/>
        <v>-7.4194041476357109E-2</v>
      </c>
      <c r="AA30" s="10">
        <f t="shared" si="13"/>
        <v>0.10946398078537589</v>
      </c>
      <c r="AB30" s="7">
        <f t="shared" si="11"/>
        <v>0.19214661044755554</v>
      </c>
      <c r="AC30" s="7">
        <v>0.36446218232457062</v>
      </c>
    </row>
    <row r="31" spans="1:29" x14ac:dyDescent="0.25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28">
        <v>1</v>
      </c>
      <c r="I31" s="28">
        <v>-1</v>
      </c>
      <c r="J31" s="28">
        <v>1</v>
      </c>
      <c r="K31" s="28">
        <v>-1</v>
      </c>
      <c r="L31" s="9">
        <f t="shared" si="9"/>
        <v>1.3748420119299221E-2</v>
      </c>
      <c r="M31" s="9">
        <f t="shared" si="1"/>
        <v>0</v>
      </c>
      <c r="N31" s="9">
        <f t="shared" si="2"/>
        <v>-3.4884840607457561E-3</v>
      </c>
      <c r="O31" s="9">
        <f t="shared" si="3"/>
        <v>0</v>
      </c>
      <c r="P31" s="9">
        <f t="shared" si="4"/>
        <v>0</v>
      </c>
      <c r="Q31" s="9">
        <f t="shared" si="5"/>
        <v>2.018477097283122E-2</v>
      </c>
      <c r="R31" s="9">
        <f t="shared" si="6"/>
        <v>0</v>
      </c>
      <c r="S31" s="9">
        <f t="shared" si="7"/>
        <v>-2.018477097283122E-2</v>
      </c>
      <c r="T31" s="10">
        <f t="shared" si="13"/>
        <v>8.84143014645834E-2</v>
      </c>
      <c r="U31" s="10">
        <f t="shared" si="13"/>
        <v>0.12034609046863121</v>
      </c>
      <c r="V31" s="10">
        <f t="shared" si="13"/>
        <v>-5.7410738497150948E-2</v>
      </c>
      <c r="W31" s="10">
        <f t="shared" si="13"/>
        <v>5.1056893070045364E-2</v>
      </c>
      <c r="X31" s="10">
        <f t="shared" si="13"/>
        <v>7.4194041476357109E-2</v>
      </c>
      <c r="Y31" s="10">
        <f t="shared" si="13"/>
        <v>-8.9279209812544669E-2</v>
      </c>
      <c r="Z31" s="10">
        <f t="shared" si="13"/>
        <v>-7.4194041476357109E-2</v>
      </c>
      <c r="AA31" s="10">
        <f t="shared" si="13"/>
        <v>8.9279209812544669E-2</v>
      </c>
      <c r="AB31" s="7">
        <f t="shared" si="11"/>
        <v>0.20240654650610901</v>
      </c>
      <c r="AC31" s="7">
        <v>0.34217435058566648</v>
      </c>
    </row>
    <row r="32" spans="1:29" x14ac:dyDescent="0.25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28">
        <v>-1</v>
      </c>
      <c r="I32" s="28">
        <v>-1</v>
      </c>
      <c r="J32" s="28">
        <v>-1</v>
      </c>
      <c r="K32" s="28">
        <v>-1</v>
      </c>
      <c r="L32" s="9">
        <f t="shared" si="9"/>
        <v>0</v>
      </c>
      <c r="M32" s="9">
        <f t="shared" si="1"/>
        <v>-1.708929655990055E-2</v>
      </c>
      <c r="N32" s="9">
        <f t="shared" si="2"/>
        <v>0</v>
      </c>
      <c r="O32" s="9">
        <f t="shared" si="3"/>
        <v>-4.7983080293456659E-3</v>
      </c>
      <c r="P32" s="9">
        <f t="shared" si="4"/>
        <v>0</v>
      </c>
      <c r="Q32" s="9">
        <f t="shared" si="5"/>
        <v>-1.6120656861561829E-2</v>
      </c>
      <c r="R32" s="9">
        <f t="shared" si="6"/>
        <v>0</v>
      </c>
      <c r="S32" s="9">
        <f t="shared" si="7"/>
        <v>1.6120656861561829E-2</v>
      </c>
      <c r="T32" s="10">
        <f t="shared" si="13"/>
        <v>8.84143014645834E-2</v>
      </c>
      <c r="U32" s="10">
        <f t="shared" si="13"/>
        <v>0.10325679390873066</v>
      </c>
      <c r="V32" s="10">
        <f t="shared" si="13"/>
        <v>-5.7410738497150948E-2</v>
      </c>
      <c r="W32" s="10">
        <f t="shared" si="13"/>
        <v>4.6258585040699698E-2</v>
      </c>
      <c r="X32" s="10">
        <f t="shared" si="13"/>
        <v>7.4194041476357109E-2</v>
      </c>
      <c r="Y32" s="10">
        <f t="shared" si="13"/>
        <v>-0.1053998666741065</v>
      </c>
      <c r="Z32" s="10">
        <f t="shared" si="13"/>
        <v>-7.4194041476357109E-2</v>
      </c>
      <c r="AA32" s="10">
        <f t="shared" si="13"/>
        <v>0.1053998666741065</v>
      </c>
      <c r="AB32" s="7">
        <f t="shared" si="11"/>
        <v>0.1805189419168628</v>
      </c>
      <c r="AC32" s="7">
        <v>0.36329086728774268</v>
      </c>
    </row>
    <row r="33" spans="1:29" x14ac:dyDescent="0.25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28">
        <v>1</v>
      </c>
      <c r="I33" s="28">
        <v>1</v>
      </c>
      <c r="J33" s="28">
        <v>1</v>
      </c>
      <c r="K33" s="28">
        <v>1</v>
      </c>
      <c r="L33" s="9">
        <f t="shared" si="9"/>
        <v>-1.009193205521175E-3</v>
      </c>
      <c r="M33" s="9">
        <f t="shared" si="1"/>
        <v>0</v>
      </c>
      <c r="N33" s="9">
        <f t="shared" si="2"/>
        <v>-1.0362394448728111E-2</v>
      </c>
      <c r="O33" s="9">
        <f t="shared" si="3"/>
        <v>0</v>
      </c>
      <c r="P33" s="9">
        <f t="shared" si="4"/>
        <v>1.7837170024897708E-2</v>
      </c>
      <c r="Q33" s="9">
        <f t="shared" si="5"/>
        <v>0</v>
      </c>
      <c r="R33" s="9">
        <f t="shared" si="6"/>
        <v>-1.7837170024897708E-2</v>
      </c>
      <c r="S33" s="9">
        <f t="shared" si="7"/>
        <v>0</v>
      </c>
      <c r="T33" s="10">
        <f t="shared" si="13"/>
        <v>8.7405108259062225E-2</v>
      </c>
      <c r="U33" s="10">
        <f t="shared" si="13"/>
        <v>0.10325679390873066</v>
      </c>
      <c r="V33" s="10">
        <f t="shared" si="13"/>
        <v>-6.7773132945879055E-2</v>
      </c>
      <c r="W33" s="10">
        <f t="shared" si="13"/>
        <v>4.6258585040699698E-2</v>
      </c>
      <c r="X33" s="10">
        <f t="shared" si="13"/>
        <v>9.2031211501254817E-2</v>
      </c>
      <c r="Y33" s="10">
        <f t="shared" si="13"/>
        <v>-0.1053998666741065</v>
      </c>
      <c r="Z33" s="10">
        <f t="shared" si="13"/>
        <v>-9.2031211501254817E-2</v>
      </c>
      <c r="AA33" s="10">
        <f t="shared" si="13"/>
        <v>0.1053998666741065</v>
      </c>
      <c r="AB33" s="7">
        <f t="shared" si="11"/>
        <v>0.16914735426261351</v>
      </c>
      <c r="AC33" s="7">
        <v>0.34529520539511283</v>
      </c>
    </row>
    <row r="34" spans="1:29" x14ac:dyDescent="0.25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28">
        <v>1</v>
      </c>
      <c r="I34" s="28">
        <v>-1</v>
      </c>
      <c r="J34" s="28">
        <v>1</v>
      </c>
      <c r="K34" s="28">
        <v>-1</v>
      </c>
      <c r="L34" s="9">
        <f t="shared" si="9"/>
        <v>-1.989333887360889E-3</v>
      </c>
      <c r="M34" s="9">
        <f t="shared" si="1"/>
        <v>0</v>
      </c>
      <c r="N34" s="9">
        <f t="shared" si="2"/>
        <v>-1.896700529611273E-2</v>
      </c>
      <c r="O34" s="9">
        <f t="shared" si="3"/>
        <v>0</v>
      </c>
      <c r="P34" s="9">
        <f t="shared" si="4"/>
        <v>0</v>
      </c>
      <c r="Q34" s="9">
        <f t="shared" si="5"/>
        <v>-1.083611030251797E-2</v>
      </c>
      <c r="R34" s="9">
        <f t="shared" si="6"/>
        <v>0</v>
      </c>
      <c r="S34" s="9">
        <f t="shared" si="7"/>
        <v>1.083611030251797E-2</v>
      </c>
      <c r="T34" s="10">
        <f t="shared" si="13"/>
        <v>8.5415774371701336E-2</v>
      </c>
      <c r="U34" s="10">
        <f t="shared" si="13"/>
        <v>0.10325679390873066</v>
      </c>
      <c r="V34" s="10">
        <f t="shared" si="13"/>
        <v>-8.6740138241991782E-2</v>
      </c>
      <c r="W34" s="10">
        <f t="shared" si="13"/>
        <v>4.6258585040699698E-2</v>
      </c>
      <c r="X34" s="10">
        <f t="shared" si="13"/>
        <v>9.2031211501254817E-2</v>
      </c>
      <c r="Y34" s="10">
        <f t="shared" si="13"/>
        <v>-0.11623597697662447</v>
      </c>
      <c r="Z34" s="10">
        <f t="shared" si="13"/>
        <v>-9.2031211501254817E-2</v>
      </c>
      <c r="AA34" s="10">
        <f t="shared" si="13"/>
        <v>0.11623597697662447</v>
      </c>
      <c r="AB34" s="7">
        <f t="shared" si="11"/>
        <v>0.1481910150791399</v>
      </c>
      <c r="AC34" s="7">
        <v>0.32732344108896139</v>
      </c>
    </row>
    <row r="35" spans="1:29" x14ac:dyDescent="0.25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28">
        <v>-1</v>
      </c>
      <c r="I35" s="28">
        <v>-1</v>
      </c>
      <c r="J35" s="28">
        <v>-1</v>
      </c>
      <c r="K35" s="28">
        <v>-1</v>
      </c>
      <c r="L35" s="9">
        <f t="shared" si="9"/>
        <v>0</v>
      </c>
      <c r="M35" s="9">
        <f t="shared" si="1"/>
        <v>-3.0719770505799331E-3</v>
      </c>
      <c r="N35" s="9">
        <f t="shared" si="2"/>
        <v>0</v>
      </c>
      <c r="O35" s="9">
        <f t="shared" si="3"/>
        <v>1.669294460527437E-2</v>
      </c>
      <c r="P35" s="9">
        <f t="shared" si="4"/>
        <v>0</v>
      </c>
      <c r="Q35" s="9">
        <f t="shared" si="5"/>
        <v>-1.156173082509959E-2</v>
      </c>
      <c r="R35" s="9">
        <f t="shared" si="6"/>
        <v>0</v>
      </c>
      <c r="S35" s="9">
        <f t="shared" si="7"/>
        <v>1.156173082509959E-2</v>
      </c>
      <c r="T35" s="10">
        <f t="shared" si="13"/>
        <v>8.5415774371701336E-2</v>
      </c>
      <c r="U35" s="10">
        <f t="shared" si="13"/>
        <v>0.10018481685815073</v>
      </c>
      <c r="V35" s="10">
        <f t="shared" si="13"/>
        <v>-8.6740138241991782E-2</v>
      </c>
      <c r="W35" s="10">
        <f t="shared" si="13"/>
        <v>6.2951529645974072E-2</v>
      </c>
      <c r="X35" s="10">
        <f t="shared" si="13"/>
        <v>9.2031211501254817E-2</v>
      </c>
      <c r="Y35" s="10">
        <f t="shared" si="13"/>
        <v>-0.12779770780172406</v>
      </c>
      <c r="Z35" s="10">
        <f t="shared" si="13"/>
        <v>-9.2031211501254817E-2</v>
      </c>
      <c r="AA35" s="10">
        <f t="shared" si="13"/>
        <v>0.12779770780172406</v>
      </c>
      <c r="AB35" s="7">
        <f t="shared" si="11"/>
        <v>0.16181198263383434</v>
      </c>
      <c r="AC35" s="7">
        <v>0.35942543779483799</v>
      </c>
    </row>
    <row r="36" spans="1:29" x14ac:dyDescent="0.25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28">
        <v>-1</v>
      </c>
      <c r="I36" s="28">
        <v>1</v>
      </c>
      <c r="J36" s="28">
        <v>-1</v>
      </c>
      <c r="K36" s="28">
        <v>1</v>
      </c>
      <c r="L36" s="9">
        <f t="shared" si="9"/>
        <v>0</v>
      </c>
      <c r="M36" s="9">
        <f t="shared" si="1"/>
        <v>1.8850487705647009E-2</v>
      </c>
      <c r="N36" s="9">
        <f t="shared" si="2"/>
        <v>0</v>
      </c>
      <c r="O36" s="9">
        <f t="shared" si="3"/>
        <v>1.9365892432761211E-2</v>
      </c>
      <c r="P36" s="9">
        <f t="shared" si="4"/>
        <v>5.4774618271681286E-3</v>
      </c>
      <c r="Q36" s="9">
        <f t="shared" si="5"/>
        <v>0</v>
      </c>
      <c r="R36" s="9">
        <f t="shared" si="6"/>
        <v>-5.4774618271681286E-3</v>
      </c>
      <c r="S36" s="9">
        <f t="shared" si="7"/>
        <v>0</v>
      </c>
      <c r="T36" s="10">
        <f t="shared" si="13"/>
        <v>8.5415774371701336E-2</v>
      </c>
      <c r="U36" s="10">
        <f t="shared" si="13"/>
        <v>0.11903530456379774</v>
      </c>
      <c r="V36" s="10">
        <f t="shared" si="13"/>
        <v>-8.6740138241991782E-2</v>
      </c>
      <c r="W36" s="10">
        <f t="shared" si="13"/>
        <v>8.2317422078735283E-2</v>
      </c>
      <c r="X36" s="10">
        <f t="shared" si="13"/>
        <v>9.7508673328422946E-2</v>
      </c>
      <c r="Y36" s="10">
        <f t="shared" si="13"/>
        <v>-0.12779770780172406</v>
      </c>
      <c r="Z36" s="10">
        <f t="shared" si="13"/>
        <v>-9.7508673328422946E-2</v>
      </c>
      <c r="AA36" s="10">
        <f t="shared" si="13"/>
        <v>0.12779770780172406</v>
      </c>
      <c r="AB36" s="7">
        <f t="shared" si="11"/>
        <v>0.20002836277224256</v>
      </c>
      <c r="AC36" s="7">
        <v>0.36120853539742348</v>
      </c>
    </row>
    <row r="37" spans="1:29" x14ac:dyDescent="0.25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28">
        <v>-1</v>
      </c>
      <c r="I37" s="28">
        <v>1</v>
      </c>
      <c r="J37" s="28">
        <v>-1</v>
      </c>
      <c r="K37" s="28">
        <v>1</v>
      </c>
      <c r="L37" s="9">
        <f t="shared" si="9"/>
        <v>0</v>
      </c>
      <c r="M37" s="9">
        <f t="shared" si="1"/>
        <v>-1.6705690651236389E-3</v>
      </c>
      <c r="N37" s="9">
        <f t="shared" si="2"/>
        <v>0</v>
      </c>
      <c r="O37" s="9">
        <f t="shared" si="3"/>
        <v>-4.6160898041524012E-3</v>
      </c>
      <c r="P37" s="9">
        <f t="shared" si="4"/>
        <v>1.7940667277864138E-2</v>
      </c>
      <c r="Q37" s="9">
        <f t="shared" si="5"/>
        <v>0</v>
      </c>
      <c r="R37" s="9">
        <f t="shared" si="6"/>
        <v>-1.7940667277864138E-2</v>
      </c>
      <c r="S37" s="9">
        <f t="shared" si="7"/>
        <v>0</v>
      </c>
      <c r="T37" s="10">
        <f t="shared" si="13"/>
        <v>8.5415774371701336E-2</v>
      </c>
      <c r="U37" s="10">
        <f t="shared" si="13"/>
        <v>0.1173647354986741</v>
      </c>
      <c r="V37" s="10">
        <f t="shared" si="13"/>
        <v>-8.6740138241991782E-2</v>
      </c>
      <c r="W37" s="10">
        <f t="shared" si="13"/>
        <v>7.7701332274582882E-2</v>
      </c>
      <c r="X37" s="10">
        <f t="shared" si="13"/>
        <v>0.11544934060628709</v>
      </c>
      <c r="Y37" s="10">
        <f t="shared" si="13"/>
        <v>-0.12779770780172406</v>
      </c>
      <c r="Z37" s="10">
        <f t="shared" si="13"/>
        <v>-0.11544934060628709</v>
      </c>
      <c r="AA37" s="10">
        <f t="shared" si="13"/>
        <v>0.12779770780172406</v>
      </c>
      <c r="AB37" s="7">
        <f t="shared" si="11"/>
        <v>0.19374170390296652</v>
      </c>
      <c r="AC37" s="7">
        <v>0.39904651411953063</v>
      </c>
    </row>
    <row r="38" spans="1:29" x14ac:dyDescent="0.25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28">
        <v>1</v>
      </c>
      <c r="I38" s="28">
        <v>1</v>
      </c>
      <c r="J38" s="28">
        <v>1</v>
      </c>
      <c r="K38" s="28">
        <v>1</v>
      </c>
      <c r="L38" s="9">
        <f t="shared" si="9"/>
        <v>1.0922253866132441E-3</v>
      </c>
      <c r="M38" s="9">
        <f t="shared" si="1"/>
        <v>0</v>
      </c>
      <c r="N38" s="9">
        <f t="shared" si="2"/>
        <v>-2.33642713146065E-2</v>
      </c>
      <c r="O38" s="9">
        <f t="shared" si="3"/>
        <v>0</v>
      </c>
      <c r="P38" s="9">
        <f t="shared" si="4"/>
        <v>-6.897210664049136E-3</v>
      </c>
      <c r="Q38" s="9">
        <f t="shared" si="5"/>
        <v>0</v>
      </c>
      <c r="R38" s="9">
        <f t="shared" si="6"/>
        <v>6.897210664049136E-3</v>
      </c>
      <c r="S38" s="9">
        <f t="shared" si="7"/>
        <v>0</v>
      </c>
      <c r="T38" s="10">
        <f t="shared" si="13"/>
        <v>8.650799975831458E-2</v>
      </c>
      <c r="U38" s="10">
        <f t="shared" si="13"/>
        <v>0.1173647354986741</v>
      </c>
      <c r="V38" s="10">
        <f t="shared" si="13"/>
        <v>-0.11010440955659828</v>
      </c>
      <c r="W38" s="10">
        <f t="shared" si="13"/>
        <v>7.7701332274582882E-2</v>
      </c>
      <c r="X38" s="10">
        <f t="shared" si="13"/>
        <v>0.10855212994223795</v>
      </c>
      <c r="Y38" s="10">
        <f t="shared" si="13"/>
        <v>-0.12779770780172406</v>
      </c>
      <c r="Z38" s="10">
        <f t="shared" si="13"/>
        <v>-0.10855212994223795</v>
      </c>
      <c r="AA38" s="10">
        <f t="shared" si="13"/>
        <v>0.12779770780172406</v>
      </c>
      <c r="AB38" s="7">
        <f t="shared" si="11"/>
        <v>0.17146965797497327</v>
      </c>
      <c r="AC38" s="7">
        <v>0.39005356487816362</v>
      </c>
    </row>
    <row r="39" spans="1:29" x14ac:dyDescent="0.25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28">
        <v>-1</v>
      </c>
      <c r="I39" s="28">
        <v>-1</v>
      </c>
      <c r="J39" s="28">
        <v>-1</v>
      </c>
      <c r="K39" s="28">
        <v>-1</v>
      </c>
      <c r="L39" s="9">
        <f t="shared" si="9"/>
        <v>0</v>
      </c>
      <c r="M39" s="9">
        <f t="shared" si="1"/>
        <v>-1.3952550693553171E-2</v>
      </c>
      <c r="N39" s="9">
        <f t="shared" si="2"/>
        <v>0</v>
      </c>
      <c r="O39" s="9">
        <f t="shared" si="3"/>
        <v>-1.1890033877296259E-2</v>
      </c>
      <c r="P39" s="9">
        <f t="shared" si="4"/>
        <v>0</v>
      </c>
      <c r="Q39" s="9">
        <f t="shared" si="5"/>
        <v>-7.5538140546146382E-3</v>
      </c>
      <c r="R39" s="9">
        <f t="shared" si="6"/>
        <v>0</v>
      </c>
      <c r="S39" s="9">
        <f t="shared" si="7"/>
        <v>7.5538140546146382E-3</v>
      </c>
      <c r="T39" s="10">
        <f t="shared" si="13"/>
        <v>8.650799975831458E-2</v>
      </c>
      <c r="U39" s="10">
        <f t="shared" si="13"/>
        <v>0.10341218480512093</v>
      </c>
      <c r="V39" s="10">
        <f t="shared" si="13"/>
        <v>-0.11010440955659828</v>
      </c>
      <c r="W39" s="10">
        <f t="shared" si="13"/>
        <v>6.5811298397286624E-2</v>
      </c>
      <c r="X39" s="10">
        <f t="shared" si="13"/>
        <v>0.10855212994223795</v>
      </c>
      <c r="Y39" s="10">
        <f t="shared" si="13"/>
        <v>-0.1353515218563387</v>
      </c>
      <c r="Z39" s="10">
        <f t="shared" si="13"/>
        <v>-0.10855212994223795</v>
      </c>
      <c r="AA39" s="10">
        <f t="shared" si="13"/>
        <v>0.1353515218563387</v>
      </c>
      <c r="AB39" s="7">
        <f t="shared" si="11"/>
        <v>0.14562707340412384</v>
      </c>
      <c r="AC39" s="7">
        <v>0.39834344415354239</v>
      </c>
    </row>
    <row r="40" spans="1:29" x14ac:dyDescent="0.25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28">
        <v>1</v>
      </c>
      <c r="I40" s="28">
        <v>1</v>
      </c>
      <c r="J40" s="28">
        <v>1</v>
      </c>
      <c r="K40" s="28">
        <v>1</v>
      </c>
      <c r="L40" s="9">
        <f t="shared" si="9"/>
        <v>1.707709698465909E-2</v>
      </c>
      <c r="M40" s="9">
        <f t="shared" si="1"/>
        <v>0</v>
      </c>
      <c r="N40" s="9">
        <f t="shared" si="2"/>
        <v>1.8108628355203989E-2</v>
      </c>
      <c r="O40" s="9">
        <f t="shared" si="3"/>
        <v>0</v>
      </c>
      <c r="P40" s="9">
        <f t="shared" si="4"/>
        <v>-2.8103858588412689E-2</v>
      </c>
      <c r="Q40" s="9">
        <f t="shared" si="5"/>
        <v>0</v>
      </c>
      <c r="R40" s="9">
        <f t="shared" si="6"/>
        <v>2.8103858588412689E-2</v>
      </c>
      <c r="S40" s="9">
        <f t="shared" si="7"/>
        <v>0</v>
      </c>
      <c r="T40" s="10">
        <f t="shared" si="13"/>
        <v>0.10358509674297367</v>
      </c>
      <c r="U40" s="10">
        <f t="shared" si="13"/>
        <v>0.10341218480512093</v>
      </c>
      <c r="V40" s="10">
        <f t="shared" si="13"/>
        <v>-9.1995781201394289E-2</v>
      </c>
      <c r="W40" s="10">
        <f t="shared" si="13"/>
        <v>6.5811298397286624E-2</v>
      </c>
      <c r="X40" s="10">
        <f t="shared" si="13"/>
        <v>8.0448271353825263E-2</v>
      </c>
      <c r="Y40" s="10">
        <f t="shared" si="13"/>
        <v>-0.1353515218563387</v>
      </c>
      <c r="Z40" s="10">
        <f t="shared" si="13"/>
        <v>-8.0448271353825263E-2</v>
      </c>
      <c r="AA40" s="10">
        <f t="shared" si="13"/>
        <v>0.1353515218563387</v>
      </c>
      <c r="AB40" s="7">
        <f t="shared" si="11"/>
        <v>0.18081279874398692</v>
      </c>
      <c r="AC40" s="7">
        <v>0.37535667502527797</v>
      </c>
    </row>
    <row r="41" spans="1:29" x14ac:dyDescent="0.25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28">
        <v>-1</v>
      </c>
      <c r="I41" s="28">
        <v>-1</v>
      </c>
      <c r="J41" s="28">
        <v>-1</v>
      </c>
      <c r="K41" s="28">
        <v>-1</v>
      </c>
      <c r="L41" s="9">
        <f t="shared" si="9"/>
        <v>0</v>
      </c>
      <c r="M41" s="9">
        <f t="shared" si="1"/>
        <v>2.7204645949528978E-3</v>
      </c>
      <c r="N41" s="9">
        <f t="shared" si="2"/>
        <v>0</v>
      </c>
      <c r="O41" s="9">
        <f t="shared" si="3"/>
        <v>-4.4717668762676022E-3</v>
      </c>
      <c r="P41" s="9">
        <f t="shared" si="4"/>
        <v>0</v>
      </c>
      <c r="Q41" s="9">
        <f t="shared" si="5"/>
        <v>-1.739920876654721E-2</v>
      </c>
      <c r="R41" s="9">
        <f t="shared" si="6"/>
        <v>0</v>
      </c>
      <c r="S41" s="9">
        <f t="shared" si="7"/>
        <v>1.739920876654721E-2</v>
      </c>
      <c r="T41" s="10">
        <f t="shared" si="13"/>
        <v>0.10358509674297367</v>
      </c>
      <c r="U41" s="10">
        <f t="shared" si="13"/>
        <v>0.10613264940007383</v>
      </c>
      <c r="V41" s="10">
        <f t="shared" si="13"/>
        <v>-9.1995781201394289E-2</v>
      </c>
      <c r="W41" s="10">
        <f t="shared" si="13"/>
        <v>6.1339531521019022E-2</v>
      </c>
      <c r="X41" s="10">
        <f t="shared" si="13"/>
        <v>8.0448271353825263E-2</v>
      </c>
      <c r="Y41" s="10">
        <f t="shared" si="13"/>
        <v>-0.15275073062288591</v>
      </c>
      <c r="Z41" s="10">
        <f t="shared" si="13"/>
        <v>-8.0448271353825263E-2</v>
      </c>
      <c r="AA41" s="10">
        <f t="shared" si="13"/>
        <v>0.15275073062288591</v>
      </c>
      <c r="AB41" s="7">
        <f t="shared" si="11"/>
        <v>0.17906149646267222</v>
      </c>
      <c r="AC41" s="7">
        <v>0.41861505997257831</v>
      </c>
    </row>
    <row r="42" spans="1:29" x14ac:dyDescent="0.25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28">
        <v>-1</v>
      </c>
      <c r="I42" s="28">
        <v>1</v>
      </c>
      <c r="J42" s="28">
        <v>-1</v>
      </c>
      <c r="K42" s="28">
        <v>1</v>
      </c>
      <c r="L42" s="9">
        <f t="shared" si="9"/>
        <v>0</v>
      </c>
      <c r="M42" s="9">
        <f t="shared" si="1"/>
        <v>1.204074378787434E-2</v>
      </c>
      <c r="N42" s="9">
        <f t="shared" si="2"/>
        <v>0</v>
      </c>
      <c r="O42" s="9">
        <f t="shared" si="3"/>
        <v>1.9369391412684681E-2</v>
      </c>
      <c r="P42" s="9">
        <f t="shared" si="4"/>
        <v>5.4019445998462201E-3</v>
      </c>
      <c r="Q42" s="9">
        <f t="shared" si="5"/>
        <v>0</v>
      </c>
      <c r="R42" s="9">
        <f t="shared" si="6"/>
        <v>-5.4019445998462201E-3</v>
      </c>
      <c r="S42" s="9">
        <f t="shared" si="7"/>
        <v>0</v>
      </c>
      <c r="T42" s="10">
        <f t="shared" si="13"/>
        <v>0.10358509674297367</v>
      </c>
      <c r="U42" s="10">
        <f t="shared" si="13"/>
        <v>0.11817339318794817</v>
      </c>
      <c r="V42" s="10">
        <f t="shared" si="13"/>
        <v>-9.1995781201394289E-2</v>
      </c>
      <c r="W42" s="10">
        <f t="shared" si="13"/>
        <v>8.07089229337037E-2</v>
      </c>
      <c r="X42" s="10">
        <f t="shared" si="13"/>
        <v>8.5850215953671483E-2</v>
      </c>
      <c r="Y42" s="10">
        <f t="shared" si="13"/>
        <v>-0.15275073062288591</v>
      </c>
      <c r="Z42" s="10">
        <f t="shared" si="13"/>
        <v>-8.5850215953671483E-2</v>
      </c>
      <c r="AA42" s="10">
        <f t="shared" si="13"/>
        <v>0.15275073062288591</v>
      </c>
      <c r="AB42" s="7">
        <f t="shared" si="11"/>
        <v>0.21047163166323124</v>
      </c>
      <c r="AC42" s="7">
        <v>0.4169259891506677</v>
      </c>
    </row>
    <row r="43" spans="1:29" x14ac:dyDescent="0.25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28">
        <v>-1</v>
      </c>
      <c r="I43" s="28">
        <v>1</v>
      </c>
      <c r="J43" s="28">
        <v>-1</v>
      </c>
      <c r="K43" s="28">
        <v>1</v>
      </c>
      <c r="L43" s="9">
        <f t="shared" si="9"/>
        <v>0</v>
      </c>
      <c r="M43" s="9">
        <f t="shared" si="1"/>
        <v>-7.5641466990244988E-3</v>
      </c>
      <c r="N43" s="9">
        <f t="shared" si="2"/>
        <v>0</v>
      </c>
      <c r="O43" s="9">
        <f t="shared" si="3"/>
        <v>-1.340158722774942E-2</v>
      </c>
      <c r="P43" s="9">
        <f t="shared" si="4"/>
        <v>3.3844050679922473E-2</v>
      </c>
      <c r="Q43" s="9">
        <f t="shared" si="5"/>
        <v>0</v>
      </c>
      <c r="R43" s="9">
        <f t="shared" si="6"/>
        <v>-3.3844050679922473E-2</v>
      </c>
      <c r="S43" s="9">
        <f t="shared" si="7"/>
        <v>0</v>
      </c>
      <c r="T43" s="10">
        <f t="shared" si="13"/>
        <v>0.10358509674297367</v>
      </c>
      <c r="U43" s="10">
        <f t="shared" si="13"/>
        <v>0.11060924648892367</v>
      </c>
      <c r="V43" s="10">
        <f t="shared" si="13"/>
        <v>-9.1995781201394289E-2</v>
      </c>
      <c r="W43" s="10">
        <f t="shared" si="13"/>
        <v>6.7307335705954277E-2</v>
      </c>
      <c r="X43" s="10">
        <f t="shared" si="13"/>
        <v>0.11969426663359395</v>
      </c>
      <c r="Y43" s="10">
        <f t="shared" si="13"/>
        <v>-0.15275073062288591</v>
      </c>
      <c r="Z43" s="10">
        <f t="shared" si="13"/>
        <v>-0.11969426663359395</v>
      </c>
      <c r="AA43" s="10">
        <f t="shared" si="13"/>
        <v>0.15275073062288591</v>
      </c>
      <c r="AB43" s="7">
        <f t="shared" si="11"/>
        <v>0.18950589773645732</v>
      </c>
      <c r="AC43" s="7">
        <v>0.44115153475905572</v>
      </c>
    </row>
    <row r="44" spans="1:29" x14ac:dyDescent="0.25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28">
        <v>-1</v>
      </c>
      <c r="I44" s="28">
        <v>1</v>
      </c>
      <c r="J44" s="28">
        <v>-1</v>
      </c>
      <c r="K44" s="28">
        <v>1</v>
      </c>
      <c r="L44" s="9">
        <f t="shared" si="9"/>
        <v>0</v>
      </c>
      <c r="M44" s="9">
        <f t="shared" si="1"/>
        <v>8.0281595170902387E-3</v>
      </c>
      <c r="N44" s="9">
        <f t="shared" si="2"/>
        <v>0</v>
      </c>
      <c r="O44" s="9">
        <f t="shared" si="3"/>
        <v>-7.4864482983161285E-4</v>
      </c>
      <c r="P44" s="9">
        <f t="shared" si="4"/>
        <v>-1.5822348533060748E-2</v>
      </c>
      <c r="Q44" s="9">
        <f t="shared" si="5"/>
        <v>0</v>
      </c>
      <c r="R44" s="9">
        <f t="shared" si="6"/>
        <v>1.5822348533060748E-2</v>
      </c>
      <c r="S44" s="9">
        <f t="shared" si="7"/>
        <v>0</v>
      </c>
      <c r="T44" s="10">
        <f t="shared" si="13"/>
        <v>0.10358509674297367</v>
      </c>
      <c r="U44" s="10">
        <f t="shared" si="13"/>
        <v>0.11863740600601391</v>
      </c>
      <c r="V44" s="10">
        <f t="shared" si="13"/>
        <v>-9.1995781201394289E-2</v>
      </c>
      <c r="W44" s="10">
        <f t="shared" si="13"/>
        <v>6.6558690876122664E-2</v>
      </c>
      <c r="X44" s="10">
        <f t="shared" si="13"/>
        <v>0.1038719181005332</v>
      </c>
      <c r="Y44" s="10">
        <f t="shared" si="13"/>
        <v>-0.15275073062288591</v>
      </c>
      <c r="Z44" s="10">
        <f t="shared" si="13"/>
        <v>-0.1038719181005332</v>
      </c>
      <c r="AA44" s="10">
        <f t="shared" si="13"/>
        <v>0.15275073062288591</v>
      </c>
      <c r="AB44" s="7">
        <f t="shared" si="11"/>
        <v>0.19678541242371594</v>
      </c>
      <c r="AC44" s="7">
        <v>0.44721878413807908</v>
      </c>
    </row>
    <row r="45" spans="1:29" x14ac:dyDescent="0.25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28">
        <v>-1</v>
      </c>
      <c r="I45" s="28">
        <v>1</v>
      </c>
      <c r="J45" s="28">
        <v>-1</v>
      </c>
      <c r="K45" s="28">
        <v>1</v>
      </c>
      <c r="L45" s="9">
        <f t="shared" si="9"/>
        <v>0</v>
      </c>
      <c r="M45" s="9">
        <f t="shared" si="1"/>
        <v>-1.912521600976214E-3</v>
      </c>
      <c r="N45" s="9">
        <f t="shared" si="2"/>
        <v>0</v>
      </c>
      <c r="O45" s="9">
        <f t="shared" si="3"/>
        <v>-1.880796693564846E-2</v>
      </c>
      <c r="P45" s="9">
        <f t="shared" si="4"/>
        <v>-1.9679550459246191E-3</v>
      </c>
      <c r="Q45" s="9">
        <f t="shared" si="5"/>
        <v>0</v>
      </c>
      <c r="R45" s="9">
        <f t="shared" si="6"/>
        <v>1.9679550459246191E-3</v>
      </c>
      <c r="S45" s="9">
        <f t="shared" si="7"/>
        <v>0</v>
      </c>
      <c r="T45" s="10">
        <f t="shared" si="13"/>
        <v>0.10358509674297367</v>
      </c>
      <c r="U45" s="10">
        <f t="shared" si="13"/>
        <v>0.1167248844050377</v>
      </c>
      <c r="V45" s="10">
        <f t="shared" si="13"/>
        <v>-9.1995781201394289E-2</v>
      </c>
      <c r="W45" s="10">
        <f t="shared" si="13"/>
        <v>4.7750723940474207E-2</v>
      </c>
      <c r="X45" s="10">
        <f t="shared" si="13"/>
        <v>0.10190396305460858</v>
      </c>
      <c r="Y45" s="10">
        <f t="shared" si="13"/>
        <v>-0.15275073062288591</v>
      </c>
      <c r="Z45" s="10">
        <f t="shared" si="13"/>
        <v>-0.10190396305460858</v>
      </c>
      <c r="AA45" s="10">
        <f t="shared" si="13"/>
        <v>0.15275073062288591</v>
      </c>
      <c r="AB45" s="7">
        <f t="shared" si="11"/>
        <v>0.17606492388709127</v>
      </c>
      <c r="AC45" s="7">
        <v>0.46387115570287929</v>
      </c>
    </row>
    <row r="46" spans="1:29" x14ac:dyDescent="0.25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28">
        <v>-1</v>
      </c>
      <c r="I46" s="28">
        <v>1</v>
      </c>
      <c r="J46" s="28">
        <v>-1</v>
      </c>
      <c r="K46" s="28">
        <v>1</v>
      </c>
      <c r="L46" s="9">
        <f t="shared" si="9"/>
        <v>0</v>
      </c>
      <c r="M46" s="9">
        <f t="shared" si="1"/>
        <v>-4.294409491087281E-3</v>
      </c>
      <c r="N46" s="9">
        <f t="shared" si="2"/>
        <v>0</v>
      </c>
      <c r="O46" s="9">
        <f t="shared" si="3"/>
        <v>-1.150469816720723E-2</v>
      </c>
      <c r="P46" s="9">
        <f t="shared" si="4"/>
        <v>-2.1570385020627252E-3</v>
      </c>
      <c r="Q46" s="9">
        <f t="shared" si="5"/>
        <v>0</v>
      </c>
      <c r="R46" s="9">
        <f t="shared" si="6"/>
        <v>2.1570385020627252E-3</v>
      </c>
      <c r="S46" s="9">
        <f t="shared" si="7"/>
        <v>0</v>
      </c>
      <c r="T46" s="10">
        <f t="shared" si="13"/>
        <v>0.10358509674297367</v>
      </c>
      <c r="U46" s="10">
        <f t="shared" si="13"/>
        <v>0.11243047491395042</v>
      </c>
      <c r="V46" s="10">
        <f t="shared" si="13"/>
        <v>-9.1995781201394289E-2</v>
      </c>
      <c r="W46" s="10">
        <f t="shared" si="13"/>
        <v>3.6246025773266979E-2</v>
      </c>
      <c r="X46" s="10">
        <f t="shared" si="13"/>
        <v>9.9746924552545857E-2</v>
      </c>
      <c r="Y46" s="10">
        <f t="shared" si="13"/>
        <v>-0.15275073062288591</v>
      </c>
      <c r="Z46" s="10">
        <f t="shared" si="13"/>
        <v>-9.9746924552545857E-2</v>
      </c>
      <c r="AA46" s="10">
        <f t="shared" si="13"/>
        <v>0.15275073062288591</v>
      </c>
      <c r="AB46" s="7">
        <f t="shared" si="11"/>
        <v>0.16026581622879676</v>
      </c>
      <c r="AC46" s="7">
        <v>0.47669799775347038</v>
      </c>
    </row>
    <row r="47" spans="1:29" x14ac:dyDescent="0.25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28">
        <v>1</v>
      </c>
      <c r="I47" s="28">
        <v>1</v>
      </c>
      <c r="J47" s="28">
        <v>1</v>
      </c>
      <c r="K47" s="28">
        <v>1</v>
      </c>
      <c r="L47" s="9">
        <f t="shared" si="9"/>
        <v>3.6213730805622069E-3</v>
      </c>
      <c r="M47" s="9">
        <f t="shared" si="1"/>
        <v>0</v>
      </c>
      <c r="N47" s="9">
        <f t="shared" si="2"/>
        <v>9.0144167273940035E-3</v>
      </c>
      <c r="O47" s="9">
        <f t="shared" si="3"/>
        <v>0</v>
      </c>
      <c r="P47" s="9">
        <f t="shared" si="4"/>
        <v>8.0688660622649788E-3</v>
      </c>
      <c r="Q47" s="9">
        <f t="shared" si="5"/>
        <v>0</v>
      </c>
      <c r="R47" s="9">
        <f t="shared" si="6"/>
        <v>-8.0688660622649788E-3</v>
      </c>
      <c r="S47" s="9">
        <f t="shared" si="7"/>
        <v>0</v>
      </c>
      <c r="T47" s="10">
        <f t="shared" si="13"/>
        <v>0.10720646982353588</v>
      </c>
      <c r="U47" s="10">
        <f t="shared" si="13"/>
        <v>0.11243047491395042</v>
      </c>
      <c r="V47" s="10">
        <f t="shared" si="13"/>
        <v>-8.2981364474000285E-2</v>
      </c>
      <c r="W47" s="10">
        <f t="shared" si="13"/>
        <v>3.6246025773266979E-2</v>
      </c>
      <c r="X47" s="10">
        <f t="shared" si="13"/>
        <v>0.10781579061481084</v>
      </c>
      <c r="Y47" s="10">
        <f t="shared" si="13"/>
        <v>-0.15275073062288591</v>
      </c>
      <c r="Z47" s="10">
        <f t="shared" si="13"/>
        <v>-0.10781579061481084</v>
      </c>
      <c r="AA47" s="10">
        <f t="shared" si="13"/>
        <v>0.15275073062288591</v>
      </c>
      <c r="AB47" s="7">
        <f t="shared" si="11"/>
        <v>0.17290160603675298</v>
      </c>
      <c r="AC47" s="7">
        <v>0.44701421732009972</v>
      </c>
    </row>
    <row r="48" spans="1:29" x14ac:dyDescent="0.25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28">
        <v>1</v>
      </c>
      <c r="I48" s="28">
        <v>-1</v>
      </c>
      <c r="J48" s="28">
        <v>1</v>
      </c>
      <c r="K48" s="28">
        <v>-1</v>
      </c>
      <c r="L48" s="9">
        <f t="shared" si="9"/>
        <v>1.8276688387726892E-2</v>
      </c>
      <c r="M48" s="9">
        <f t="shared" si="1"/>
        <v>0</v>
      </c>
      <c r="N48" s="9">
        <f t="shared" si="2"/>
        <v>-3.067910039963317E-3</v>
      </c>
      <c r="O48" s="9">
        <f t="shared" si="3"/>
        <v>0</v>
      </c>
      <c r="P48" s="9">
        <f t="shared" si="4"/>
        <v>0</v>
      </c>
      <c r="Q48" s="9">
        <f t="shared" si="5"/>
        <v>1.283862143800729E-2</v>
      </c>
      <c r="R48" s="9">
        <f t="shared" si="6"/>
        <v>0</v>
      </c>
      <c r="S48" s="9">
        <f t="shared" si="7"/>
        <v>-1.283862143800729E-2</v>
      </c>
      <c r="T48" s="10">
        <f t="shared" si="13"/>
        <v>0.12548315821126277</v>
      </c>
      <c r="U48" s="10">
        <f t="shared" si="13"/>
        <v>0.11243047491395042</v>
      </c>
      <c r="V48" s="10">
        <f t="shared" si="13"/>
        <v>-8.6049274513963603E-2</v>
      </c>
      <c r="W48" s="10">
        <f t="shared" si="13"/>
        <v>3.6246025773266979E-2</v>
      </c>
      <c r="X48" s="10">
        <f t="shared" si="13"/>
        <v>0.10781579061481084</v>
      </c>
      <c r="Y48" s="10">
        <f t="shared" si="13"/>
        <v>-0.13991210918487862</v>
      </c>
      <c r="Z48" s="10">
        <f t="shared" si="13"/>
        <v>-0.10781579061481084</v>
      </c>
      <c r="AA48" s="10">
        <f t="shared" si="13"/>
        <v>0.13991210918487862</v>
      </c>
      <c r="AB48" s="7">
        <f t="shared" si="11"/>
        <v>0.18811038438451655</v>
      </c>
      <c r="AC48" s="7">
        <v>0.45056181099299419</v>
      </c>
    </row>
    <row r="49" spans="1:29" x14ac:dyDescent="0.25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28">
        <v>1</v>
      </c>
      <c r="I49" s="28">
        <v>-1</v>
      </c>
      <c r="J49" s="28">
        <v>1</v>
      </c>
      <c r="K49" s="28">
        <v>-1</v>
      </c>
      <c r="L49" s="9">
        <f t="shared" si="9"/>
        <v>1.2968428901967701E-2</v>
      </c>
      <c r="M49" s="9">
        <f t="shared" si="1"/>
        <v>0</v>
      </c>
      <c r="N49" s="9">
        <f t="shared" si="2"/>
        <v>-6.2251171959197826E-3</v>
      </c>
      <c r="O49" s="9">
        <f t="shared" si="3"/>
        <v>0</v>
      </c>
      <c r="P49" s="9">
        <f t="shared" si="4"/>
        <v>0</v>
      </c>
      <c r="Q49" s="9">
        <f t="shared" si="5"/>
        <v>3.3320454252384608E-3</v>
      </c>
      <c r="R49" s="9">
        <f t="shared" si="6"/>
        <v>0</v>
      </c>
      <c r="S49" s="9">
        <f t="shared" si="7"/>
        <v>-3.3320454252384608E-3</v>
      </c>
      <c r="T49" s="10">
        <f t="shared" si="13"/>
        <v>0.13845158711323047</v>
      </c>
      <c r="U49" s="10">
        <f t="shared" si="13"/>
        <v>0.11243047491395042</v>
      </c>
      <c r="V49" s="10">
        <f t="shared" si="13"/>
        <v>-9.2274391709883385E-2</v>
      </c>
      <c r="W49" s="10">
        <f t="shared" si="13"/>
        <v>3.6246025773266979E-2</v>
      </c>
      <c r="X49" s="10">
        <f t="shared" si="13"/>
        <v>0.10781579061481084</v>
      </c>
      <c r="Y49" s="10">
        <f t="shared" si="13"/>
        <v>-0.13658006375964016</v>
      </c>
      <c r="Z49" s="10">
        <f t="shared" si="13"/>
        <v>-0.10781579061481084</v>
      </c>
      <c r="AA49" s="10">
        <f t="shared" si="13"/>
        <v>0.13658006375964016</v>
      </c>
      <c r="AB49" s="7">
        <f t="shared" si="11"/>
        <v>0.19485369609056447</v>
      </c>
      <c r="AC49" s="7">
        <v>0.45567070346676619</v>
      </c>
    </row>
    <row r="50" spans="1:29" x14ac:dyDescent="0.25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28">
        <v>1</v>
      </c>
      <c r="I50" s="28">
        <v>-1</v>
      </c>
      <c r="J50" s="28">
        <v>1</v>
      </c>
      <c r="K50" s="28">
        <v>-1</v>
      </c>
      <c r="L50" s="9">
        <f t="shared" si="9"/>
        <v>3.928410193723475E-3</v>
      </c>
      <c r="M50" s="9">
        <f t="shared" si="1"/>
        <v>0</v>
      </c>
      <c r="N50" s="9">
        <f t="shared" si="2"/>
        <v>-1.1429033000811771E-2</v>
      </c>
      <c r="O50" s="9">
        <f t="shared" si="3"/>
        <v>0</v>
      </c>
      <c r="P50" s="9">
        <f t="shared" si="4"/>
        <v>0</v>
      </c>
      <c r="Q50" s="9">
        <f t="shared" si="5"/>
        <v>-4.3378440335328777E-4</v>
      </c>
      <c r="R50" s="9">
        <f t="shared" si="6"/>
        <v>0</v>
      </c>
      <c r="S50" s="9">
        <f t="shared" si="7"/>
        <v>4.3378440335328777E-4</v>
      </c>
      <c r="T50" s="10">
        <f t="shared" si="13"/>
        <v>0.14237999730695394</v>
      </c>
      <c r="U50" s="10">
        <f t="shared" si="13"/>
        <v>0.11243047491395042</v>
      </c>
      <c r="V50" s="10">
        <f t="shared" si="13"/>
        <v>-0.10370342471069516</v>
      </c>
      <c r="W50" s="10">
        <f t="shared" si="13"/>
        <v>3.6246025773266979E-2</v>
      </c>
      <c r="X50" s="10">
        <f t="shared" si="13"/>
        <v>0.10781579061481084</v>
      </c>
      <c r="Y50" s="10">
        <f t="shared" si="13"/>
        <v>-0.13701384816299345</v>
      </c>
      <c r="Z50" s="10">
        <f t="shared" si="13"/>
        <v>-0.10781579061481084</v>
      </c>
      <c r="AA50" s="10">
        <f t="shared" si="13"/>
        <v>0.13701384816299345</v>
      </c>
      <c r="AB50" s="7">
        <f t="shared" si="11"/>
        <v>0.18735307328347617</v>
      </c>
      <c r="AC50" s="7">
        <v>0.47747097607430028</v>
      </c>
    </row>
    <row r="51" spans="1:29" x14ac:dyDescent="0.25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28">
        <v>1</v>
      </c>
      <c r="I51" s="28">
        <v>-1</v>
      </c>
      <c r="J51" s="28">
        <v>1</v>
      </c>
      <c r="K51" s="28">
        <v>-1</v>
      </c>
      <c r="L51" s="9">
        <f t="shared" si="9"/>
        <v>1.5986451176445701E-2</v>
      </c>
      <c r="M51" s="9">
        <f t="shared" si="1"/>
        <v>0</v>
      </c>
      <c r="N51" s="9">
        <f t="shared" si="2"/>
        <v>2.975525022354653E-3</v>
      </c>
      <c r="O51" s="9">
        <f t="shared" si="3"/>
        <v>0</v>
      </c>
      <c r="P51" s="9">
        <f t="shared" si="4"/>
        <v>0</v>
      </c>
      <c r="Q51" s="9">
        <f t="shared" si="5"/>
        <v>2.6861866207525949E-3</v>
      </c>
      <c r="R51" s="9">
        <f t="shared" si="6"/>
        <v>0</v>
      </c>
      <c r="S51" s="9">
        <f t="shared" si="7"/>
        <v>-2.6861866207525949E-3</v>
      </c>
      <c r="T51" s="10">
        <f t="shared" si="13"/>
        <v>0.15836644848339965</v>
      </c>
      <c r="U51" s="10">
        <f t="shared" si="13"/>
        <v>0.11243047491395042</v>
      </c>
      <c r="V51" s="10">
        <f t="shared" si="13"/>
        <v>-0.10072789968834051</v>
      </c>
      <c r="W51" s="10">
        <f t="shared" si="13"/>
        <v>3.6246025773266979E-2</v>
      </c>
      <c r="X51" s="10">
        <f t="shared" si="13"/>
        <v>0.10781579061481084</v>
      </c>
      <c r="Y51" s="10">
        <f t="shared" si="13"/>
        <v>-0.13432766154224085</v>
      </c>
      <c r="Z51" s="10">
        <f t="shared" si="13"/>
        <v>-0.10781579061481084</v>
      </c>
      <c r="AA51" s="10">
        <f t="shared" si="13"/>
        <v>0.13432766154224085</v>
      </c>
      <c r="AB51" s="7">
        <f t="shared" si="11"/>
        <v>0.20631504948227652</v>
      </c>
      <c r="AC51" s="7">
        <v>0.50434586349975863</v>
      </c>
    </row>
    <row r="52" spans="1:29" x14ac:dyDescent="0.25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28">
        <v>-1</v>
      </c>
      <c r="I52" s="28">
        <v>-1</v>
      </c>
      <c r="J52" s="28">
        <v>-1</v>
      </c>
      <c r="K52" s="28">
        <v>-1</v>
      </c>
      <c r="L52" s="9">
        <f t="shared" si="9"/>
        <v>0</v>
      </c>
      <c r="M52" s="9">
        <f t="shared" si="1"/>
        <v>-6.9645335188366353E-3</v>
      </c>
      <c r="N52" s="9">
        <f t="shared" si="2"/>
        <v>0</v>
      </c>
      <c r="O52" s="9">
        <f t="shared" si="3"/>
        <v>2.559095742070927E-2</v>
      </c>
      <c r="P52" s="9">
        <f t="shared" si="4"/>
        <v>0</v>
      </c>
      <c r="Q52" s="9">
        <f t="shared" si="5"/>
        <v>-1.072814323251625E-2</v>
      </c>
      <c r="R52" s="9">
        <f t="shared" si="6"/>
        <v>0</v>
      </c>
      <c r="S52" s="9">
        <f t="shared" si="7"/>
        <v>1.072814323251625E-2</v>
      </c>
      <c r="T52" s="10">
        <f t="shared" si="13"/>
        <v>0.15836644848339965</v>
      </c>
      <c r="U52" s="10">
        <f t="shared" si="13"/>
        <v>0.10546594139511378</v>
      </c>
      <c r="V52" s="10">
        <f t="shared" si="13"/>
        <v>-0.10072789968834051</v>
      </c>
      <c r="W52" s="10">
        <f t="shared" si="13"/>
        <v>6.183698319397625E-2</v>
      </c>
      <c r="X52" s="10">
        <f t="shared" si="13"/>
        <v>0.10781579061481084</v>
      </c>
      <c r="Y52" s="10">
        <f t="shared" si="13"/>
        <v>-0.1450558047747571</v>
      </c>
      <c r="Z52" s="10">
        <f t="shared" si="13"/>
        <v>-0.10781579061481084</v>
      </c>
      <c r="AA52" s="10">
        <f t="shared" si="13"/>
        <v>0.1450558047747571</v>
      </c>
      <c r="AB52" s="7">
        <f t="shared" si="11"/>
        <v>0.22494147338414916</v>
      </c>
      <c r="AC52" s="7">
        <v>0.53555238207119993</v>
      </c>
    </row>
    <row r="53" spans="1:29" x14ac:dyDescent="0.25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28">
        <v>-1</v>
      </c>
      <c r="I53" s="28">
        <v>1</v>
      </c>
      <c r="J53" s="28">
        <v>-1</v>
      </c>
      <c r="K53" s="28">
        <v>1</v>
      </c>
      <c r="L53" s="9">
        <f t="shared" si="9"/>
        <v>0</v>
      </c>
      <c r="M53" s="9">
        <f t="shared" si="1"/>
        <v>6.1377970568798901E-4</v>
      </c>
      <c r="N53" s="9">
        <f t="shared" si="2"/>
        <v>0</v>
      </c>
      <c r="O53" s="9">
        <f t="shared" si="3"/>
        <v>1.3454984350713789E-2</v>
      </c>
      <c r="P53" s="9">
        <f t="shared" si="4"/>
        <v>6.0279551769139017E-3</v>
      </c>
      <c r="Q53" s="9">
        <f t="shared" si="5"/>
        <v>0</v>
      </c>
      <c r="R53" s="9">
        <f t="shared" si="6"/>
        <v>-6.0279551769139017E-3</v>
      </c>
      <c r="S53" s="9">
        <f t="shared" si="7"/>
        <v>0</v>
      </c>
      <c r="T53" s="10">
        <f t="shared" si="13"/>
        <v>0.15836644848339965</v>
      </c>
      <c r="U53" s="10">
        <f t="shared" si="13"/>
        <v>0.10607972110080177</v>
      </c>
      <c r="V53" s="10">
        <f t="shared" si="13"/>
        <v>-0.10072789968834051</v>
      </c>
      <c r="W53" s="10">
        <f t="shared" si="13"/>
        <v>7.5291967544690044E-2</v>
      </c>
      <c r="X53" s="10">
        <f t="shared" si="13"/>
        <v>0.11384374579172474</v>
      </c>
      <c r="Y53" s="10">
        <f t="shared" si="13"/>
        <v>-0.1450558047747571</v>
      </c>
      <c r="Z53" s="10">
        <f t="shared" si="13"/>
        <v>-0.11384374579172474</v>
      </c>
      <c r="AA53" s="10">
        <f t="shared" ref="AA53:AA116" si="14">S53+AA52</f>
        <v>0.1450558047747571</v>
      </c>
      <c r="AB53" s="7">
        <f t="shared" si="11"/>
        <v>0.23901023744055094</v>
      </c>
      <c r="AC53" s="7">
        <v>0.55556204509355556</v>
      </c>
    </row>
    <row r="54" spans="1:29" x14ac:dyDescent="0.25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28">
        <v>-1</v>
      </c>
      <c r="I54" s="28">
        <v>1</v>
      </c>
      <c r="J54" s="28">
        <v>-1</v>
      </c>
      <c r="K54" s="28">
        <v>1</v>
      </c>
      <c r="L54" s="9">
        <f t="shared" si="9"/>
        <v>0</v>
      </c>
      <c r="M54" s="9">
        <f t="shared" si="1"/>
        <v>-6.8599264193114351E-5</v>
      </c>
      <c r="N54" s="9">
        <f t="shared" si="2"/>
        <v>0</v>
      </c>
      <c r="O54" s="9">
        <f t="shared" si="3"/>
        <v>-1.503746284739216E-2</v>
      </c>
      <c r="P54" s="9">
        <f t="shared" si="4"/>
        <v>4.5236298135979958E-3</v>
      </c>
      <c r="Q54" s="9">
        <f t="shared" si="5"/>
        <v>0</v>
      </c>
      <c r="R54" s="9">
        <f t="shared" si="6"/>
        <v>-4.5236298135979958E-3</v>
      </c>
      <c r="S54" s="9">
        <f t="shared" si="7"/>
        <v>0</v>
      </c>
      <c r="T54" s="10">
        <f t="shared" ref="T54:Z117" si="15">L54+T53</f>
        <v>0.15836644848339965</v>
      </c>
      <c r="U54" s="10">
        <f t="shared" si="15"/>
        <v>0.10601112183660866</v>
      </c>
      <c r="V54" s="10">
        <f t="shared" si="15"/>
        <v>-0.10072789968834051</v>
      </c>
      <c r="W54" s="10">
        <f t="shared" si="15"/>
        <v>6.0254504697297886E-2</v>
      </c>
      <c r="X54" s="10">
        <f t="shared" si="15"/>
        <v>0.11836737560532273</v>
      </c>
      <c r="Y54" s="10">
        <f t="shared" si="15"/>
        <v>-0.1450558047747571</v>
      </c>
      <c r="Z54" s="10">
        <f t="shared" si="15"/>
        <v>-0.11836737560532273</v>
      </c>
      <c r="AA54" s="10">
        <f t="shared" si="14"/>
        <v>0.1450558047747571</v>
      </c>
      <c r="AB54" s="7">
        <f t="shared" si="11"/>
        <v>0.22390417532896567</v>
      </c>
      <c r="AC54" s="7">
        <v>0.569021674729556</v>
      </c>
    </row>
    <row r="55" spans="1:29" x14ac:dyDescent="0.25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28">
        <v>-1</v>
      </c>
      <c r="I55" s="28">
        <v>1</v>
      </c>
      <c r="J55" s="28">
        <v>-1</v>
      </c>
      <c r="K55" s="28">
        <v>1</v>
      </c>
      <c r="L55" s="9">
        <f t="shared" si="9"/>
        <v>0</v>
      </c>
      <c r="M55" s="9">
        <f t="shared" si="1"/>
        <v>1.284332244556152E-3</v>
      </c>
      <c r="N55" s="9">
        <f t="shared" si="2"/>
        <v>0</v>
      </c>
      <c r="O55" s="9">
        <f t="shared" si="3"/>
        <v>-6.21051548451379E-4</v>
      </c>
      <c r="P55" s="9">
        <f t="shared" si="4"/>
        <v>-3.8441757076947969E-3</v>
      </c>
      <c r="Q55" s="9">
        <f t="shared" si="5"/>
        <v>0</v>
      </c>
      <c r="R55" s="9">
        <f t="shared" si="6"/>
        <v>3.8441757076947969E-3</v>
      </c>
      <c r="S55" s="9">
        <f t="shared" si="7"/>
        <v>0</v>
      </c>
      <c r="T55" s="10">
        <f t="shared" si="15"/>
        <v>0.15836644848339965</v>
      </c>
      <c r="U55" s="10">
        <f t="shared" si="15"/>
        <v>0.10729545408116481</v>
      </c>
      <c r="V55" s="10">
        <f t="shared" si="15"/>
        <v>-0.10072789968834051</v>
      </c>
      <c r="W55" s="10">
        <f t="shared" si="15"/>
        <v>5.9633453148846507E-2</v>
      </c>
      <c r="X55" s="10">
        <f t="shared" si="15"/>
        <v>0.11452319989762794</v>
      </c>
      <c r="Y55" s="10">
        <f t="shared" si="15"/>
        <v>-0.1450558047747571</v>
      </c>
      <c r="Z55" s="10">
        <f t="shared" si="15"/>
        <v>-0.11452319989762794</v>
      </c>
      <c r="AA55" s="10">
        <f t="shared" si="14"/>
        <v>0.1450558047747571</v>
      </c>
      <c r="AB55" s="7">
        <f t="shared" si="11"/>
        <v>0.22456745602507044</v>
      </c>
      <c r="AC55" s="7">
        <v>0.58419714150073609</v>
      </c>
    </row>
    <row r="56" spans="1:29" x14ac:dyDescent="0.25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28">
        <v>-1</v>
      </c>
      <c r="I56" s="28">
        <v>1</v>
      </c>
      <c r="J56" s="28">
        <v>-1</v>
      </c>
      <c r="K56" s="28">
        <v>1</v>
      </c>
      <c r="L56" s="9">
        <f t="shared" si="9"/>
        <v>0</v>
      </c>
      <c r="M56" s="9">
        <f t="shared" si="1"/>
        <v>3.3609754446328077E-2</v>
      </c>
      <c r="N56" s="9">
        <f t="shared" si="2"/>
        <v>0</v>
      </c>
      <c r="O56" s="9">
        <f t="shared" si="3"/>
        <v>2.1890740124195229E-2</v>
      </c>
      <c r="P56" s="9">
        <f t="shared" si="4"/>
        <v>1.012701941498295E-2</v>
      </c>
      <c r="Q56" s="9">
        <f t="shared" si="5"/>
        <v>0</v>
      </c>
      <c r="R56" s="9">
        <f t="shared" si="6"/>
        <v>-1.012701941498295E-2</v>
      </c>
      <c r="S56" s="9">
        <f t="shared" si="7"/>
        <v>0</v>
      </c>
      <c r="T56" s="10">
        <f t="shared" si="15"/>
        <v>0.15836644848339965</v>
      </c>
      <c r="U56" s="10">
        <f t="shared" si="15"/>
        <v>0.14090520852749289</v>
      </c>
      <c r="V56" s="10">
        <f t="shared" si="15"/>
        <v>-0.10072789968834051</v>
      </c>
      <c r="W56" s="10">
        <f t="shared" si="15"/>
        <v>8.1524193273041737E-2</v>
      </c>
      <c r="X56" s="10">
        <f t="shared" si="15"/>
        <v>0.12465021931261089</v>
      </c>
      <c r="Y56" s="10">
        <f t="shared" si="15"/>
        <v>-0.1450558047747571</v>
      </c>
      <c r="Z56" s="10">
        <f t="shared" si="15"/>
        <v>-0.12465021931261089</v>
      </c>
      <c r="AA56" s="10">
        <f t="shared" si="14"/>
        <v>0.1450558047747571</v>
      </c>
      <c r="AB56" s="7">
        <f t="shared" si="11"/>
        <v>0.28006795059559375</v>
      </c>
      <c r="AC56" s="7">
        <v>0.56534460873587966</v>
      </c>
    </row>
    <row r="57" spans="1:29" x14ac:dyDescent="0.25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28">
        <v>-1</v>
      </c>
      <c r="I57" s="28">
        <v>1</v>
      </c>
      <c r="J57" s="28">
        <v>-1</v>
      </c>
      <c r="K57" s="28">
        <v>1</v>
      </c>
      <c r="L57" s="9">
        <f t="shared" si="9"/>
        <v>0</v>
      </c>
      <c r="M57" s="9">
        <f t="shared" si="1"/>
        <v>9.011396355272927E-3</v>
      </c>
      <c r="N57" s="9">
        <f t="shared" si="2"/>
        <v>0</v>
      </c>
      <c r="O57" s="9">
        <f t="shared" si="3"/>
        <v>-1.647253380803371E-2</v>
      </c>
      <c r="P57" s="9">
        <f t="shared" si="4"/>
        <v>-9.4865546170606052E-3</v>
      </c>
      <c r="Q57" s="9">
        <f t="shared" si="5"/>
        <v>0</v>
      </c>
      <c r="R57" s="9">
        <f t="shared" si="6"/>
        <v>9.4865546170606052E-3</v>
      </c>
      <c r="S57" s="9">
        <f t="shared" si="7"/>
        <v>0</v>
      </c>
      <c r="T57" s="10">
        <f t="shared" si="15"/>
        <v>0.15836644848339965</v>
      </c>
      <c r="U57" s="10">
        <f t="shared" si="15"/>
        <v>0.14991660488276581</v>
      </c>
      <c r="V57" s="10">
        <f t="shared" si="15"/>
        <v>-0.10072789968834051</v>
      </c>
      <c r="W57" s="10">
        <f t="shared" si="15"/>
        <v>6.505165946500803E-2</v>
      </c>
      <c r="X57" s="10">
        <f t="shared" si="15"/>
        <v>0.11516366469555028</v>
      </c>
      <c r="Y57" s="10">
        <f t="shared" si="15"/>
        <v>-0.1450558047747571</v>
      </c>
      <c r="Z57" s="10">
        <f t="shared" si="15"/>
        <v>-0.11516366469555028</v>
      </c>
      <c r="AA57" s="10">
        <f t="shared" si="14"/>
        <v>0.1450558047747571</v>
      </c>
      <c r="AB57" s="7">
        <f t="shared" si="11"/>
        <v>0.27260681314283297</v>
      </c>
      <c r="AC57" s="7">
        <v>0.57766265089555746</v>
      </c>
    </row>
    <row r="58" spans="1:29" x14ac:dyDescent="0.25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28">
        <v>-1</v>
      </c>
      <c r="I58" s="28">
        <v>1</v>
      </c>
      <c r="J58" s="28">
        <v>-1</v>
      </c>
      <c r="K58" s="28">
        <v>1</v>
      </c>
      <c r="L58" s="9">
        <f t="shared" si="9"/>
        <v>0</v>
      </c>
      <c r="M58" s="9">
        <f t="shared" si="1"/>
        <v>-1.6302069550870879E-3</v>
      </c>
      <c r="N58" s="9">
        <f t="shared" si="2"/>
        <v>0</v>
      </c>
      <c r="O58" s="9">
        <f t="shared" si="3"/>
        <v>3.2532336885998658E-3</v>
      </c>
      <c r="P58" s="9">
        <f t="shared" si="4"/>
        <v>1.7100449573474119E-2</v>
      </c>
      <c r="Q58" s="9">
        <f t="shared" si="5"/>
        <v>0</v>
      </c>
      <c r="R58" s="9">
        <f t="shared" si="6"/>
        <v>-1.7100449573474119E-2</v>
      </c>
      <c r="S58" s="9">
        <f t="shared" si="7"/>
        <v>0</v>
      </c>
      <c r="T58" s="10">
        <f t="shared" si="15"/>
        <v>0.15836644848339965</v>
      </c>
      <c r="U58" s="10">
        <f t="shared" si="15"/>
        <v>0.14828639792767873</v>
      </c>
      <c r="V58" s="10">
        <f t="shared" si="15"/>
        <v>-0.10072789968834051</v>
      </c>
      <c r="W58" s="10">
        <f t="shared" si="15"/>
        <v>6.8304893153607896E-2</v>
      </c>
      <c r="X58" s="10">
        <f t="shared" si="15"/>
        <v>0.1322641142690244</v>
      </c>
      <c r="Y58" s="10">
        <f t="shared" si="15"/>
        <v>-0.1450558047747571</v>
      </c>
      <c r="Z58" s="10">
        <f t="shared" si="15"/>
        <v>-0.1322641142690244</v>
      </c>
      <c r="AA58" s="10">
        <f t="shared" si="14"/>
        <v>0.1450558047747571</v>
      </c>
      <c r="AB58" s="7">
        <f t="shared" si="11"/>
        <v>0.27422983987634575</v>
      </c>
      <c r="AC58" s="7">
        <v>0.6212765395112968</v>
      </c>
    </row>
    <row r="59" spans="1:29" x14ac:dyDescent="0.25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28">
        <v>-1</v>
      </c>
      <c r="I59" s="28">
        <v>1</v>
      </c>
      <c r="J59" s="28">
        <v>-1</v>
      </c>
      <c r="K59" s="28">
        <v>1</v>
      </c>
      <c r="L59" s="9">
        <f t="shared" si="9"/>
        <v>0</v>
      </c>
      <c r="M59" s="9">
        <f t="shared" si="1"/>
        <v>-5.1911934823870576E-3</v>
      </c>
      <c r="N59" s="9">
        <f t="shared" si="2"/>
        <v>0</v>
      </c>
      <c r="O59" s="9">
        <f t="shared" si="3"/>
        <v>-9.3088948040344066E-3</v>
      </c>
      <c r="P59" s="9">
        <f t="shared" si="4"/>
        <v>1.7820497241849639E-2</v>
      </c>
      <c r="Q59" s="9">
        <f t="shared" si="5"/>
        <v>0</v>
      </c>
      <c r="R59" s="9">
        <f t="shared" si="6"/>
        <v>-1.7820497241849639E-2</v>
      </c>
      <c r="S59" s="9">
        <f t="shared" si="7"/>
        <v>0</v>
      </c>
      <c r="T59" s="10">
        <f t="shared" si="15"/>
        <v>0.15836644848339965</v>
      </c>
      <c r="U59" s="10">
        <f t="shared" si="15"/>
        <v>0.14309520444529167</v>
      </c>
      <c r="V59" s="10">
        <f t="shared" si="15"/>
        <v>-0.10072789968834051</v>
      </c>
      <c r="W59" s="10">
        <f t="shared" si="15"/>
        <v>5.8995998349573489E-2</v>
      </c>
      <c r="X59" s="10">
        <f t="shared" si="15"/>
        <v>0.15008461151087404</v>
      </c>
      <c r="Y59" s="10">
        <f t="shared" si="15"/>
        <v>-0.1450558047747571</v>
      </c>
      <c r="Z59" s="10">
        <f t="shared" si="15"/>
        <v>-0.15008461151087404</v>
      </c>
      <c r="AA59" s="10">
        <f t="shared" si="14"/>
        <v>0.1450558047747571</v>
      </c>
      <c r="AB59" s="7">
        <f t="shared" si="11"/>
        <v>0.25972975158992428</v>
      </c>
      <c r="AC59" s="7">
        <v>0.65492782138832939</v>
      </c>
    </row>
    <row r="60" spans="1:29" x14ac:dyDescent="0.25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28">
        <v>-1</v>
      </c>
      <c r="I60" s="28">
        <v>1</v>
      </c>
      <c r="J60" s="28">
        <v>-1</v>
      </c>
      <c r="K60" s="28">
        <v>1</v>
      </c>
      <c r="L60" s="9">
        <f t="shared" si="9"/>
        <v>0</v>
      </c>
      <c r="M60" s="9">
        <f t="shared" si="1"/>
        <v>1.0041474830769779E-2</v>
      </c>
      <c r="N60" s="9">
        <f t="shared" si="2"/>
        <v>0</v>
      </c>
      <c r="O60" s="9">
        <f t="shared" si="3"/>
        <v>2.3251804754761411E-2</v>
      </c>
      <c r="P60" s="9">
        <f t="shared" si="4"/>
        <v>-2.766709161470382E-2</v>
      </c>
      <c r="Q60" s="9">
        <f t="shared" si="5"/>
        <v>0</v>
      </c>
      <c r="R60" s="9">
        <f t="shared" si="6"/>
        <v>2.766709161470382E-2</v>
      </c>
      <c r="S60" s="9">
        <f t="shared" si="7"/>
        <v>0</v>
      </c>
      <c r="T60" s="10">
        <f t="shared" si="15"/>
        <v>0.15836644848339965</v>
      </c>
      <c r="U60" s="10">
        <f t="shared" si="15"/>
        <v>0.15313667927606145</v>
      </c>
      <c r="V60" s="10">
        <f t="shared" si="15"/>
        <v>-0.10072789968834051</v>
      </c>
      <c r="W60" s="10">
        <f t="shared" si="15"/>
        <v>8.2247803104334896E-2</v>
      </c>
      <c r="X60" s="10">
        <f t="shared" si="15"/>
        <v>0.12241751989617022</v>
      </c>
      <c r="Y60" s="10">
        <f t="shared" si="15"/>
        <v>-0.1450558047747571</v>
      </c>
      <c r="Z60" s="10">
        <f t="shared" si="15"/>
        <v>-0.12241751989617022</v>
      </c>
      <c r="AA60" s="10">
        <f t="shared" si="14"/>
        <v>0.1450558047747571</v>
      </c>
      <c r="AB60" s="7">
        <f t="shared" si="11"/>
        <v>0.29302303117545547</v>
      </c>
      <c r="AC60" s="7">
        <v>0.64106106008477548</v>
      </c>
    </row>
    <row r="61" spans="1:29" x14ac:dyDescent="0.25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28">
        <v>-1</v>
      </c>
      <c r="I61" s="28">
        <v>1</v>
      </c>
      <c r="J61" s="28">
        <v>-1</v>
      </c>
      <c r="K61" s="28">
        <v>1</v>
      </c>
      <c r="L61" s="9">
        <f t="shared" si="9"/>
        <v>0</v>
      </c>
      <c r="M61" s="9">
        <f t="shared" si="1"/>
        <v>5.425121853899173E-2</v>
      </c>
      <c r="N61" s="9">
        <f t="shared" si="2"/>
        <v>0</v>
      </c>
      <c r="O61" s="9">
        <f t="shared" si="3"/>
        <v>2.1290770437722761E-2</v>
      </c>
      <c r="P61" s="9">
        <f t="shared" si="4"/>
        <v>1.765465344645167E-2</v>
      </c>
      <c r="Q61" s="9">
        <f t="shared" si="5"/>
        <v>0</v>
      </c>
      <c r="R61" s="9">
        <f t="shared" si="6"/>
        <v>-1.765465344645167E-2</v>
      </c>
      <c r="S61" s="9">
        <f t="shared" si="7"/>
        <v>0</v>
      </c>
      <c r="T61" s="10">
        <f t="shared" si="15"/>
        <v>0.15836644848339965</v>
      </c>
      <c r="U61" s="10">
        <f t="shared" si="15"/>
        <v>0.20738789781505318</v>
      </c>
      <c r="V61" s="10">
        <f t="shared" si="15"/>
        <v>-0.10072789968834051</v>
      </c>
      <c r="W61" s="10">
        <f t="shared" si="15"/>
        <v>0.10353857354205766</v>
      </c>
      <c r="X61" s="10">
        <f t="shared" si="15"/>
        <v>0.1400721733426219</v>
      </c>
      <c r="Y61" s="10">
        <f t="shared" si="15"/>
        <v>-0.1450558047747571</v>
      </c>
      <c r="Z61" s="10">
        <f t="shared" si="15"/>
        <v>-0.1400721733426219</v>
      </c>
      <c r="AA61" s="10">
        <f t="shared" si="14"/>
        <v>0.1450558047747571</v>
      </c>
      <c r="AB61" s="7">
        <f t="shared" si="11"/>
        <v>0.36856502015216996</v>
      </c>
      <c r="AC61" s="7">
        <v>0.61045261307473153</v>
      </c>
    </row>
    <row r="62" spans="1:29" x14ac:dyDescent="0.25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28">
        <v>1</v>
      </c>
      <c r="I62" s="28">
        <v>1</v>
      </c>
      <c r="J62" s="28">
        <v>1</v>
      </c>
      <c r="K62" s="28">
        <v>1</v>
      </c>
      <c r="L62" s="9">
        <f t="shared" si="9"/>
        <v>1.886349029587242E-2</v>
      </c>
      <c r="M62" s="9">
        <f t="shared" si="1"/>
        <v>0</v>
      </c>
      <c r="N62" s="9">
        <f t="shared" si="2"/>
        <v>-1.8455264577928791E-2</v>
      </c>
      <c r="O62" s="9">
        <f t="shared" si="3"/>
        <v>0</v>
      </c>
      <c r="P62" s="9">
        <f t="shared" si="4"/>
        <v>1.454629168941224E-2</v>
      </c>
      <c r="Q62" s="9">
        <f t="shared" si="5"/>
        <v>0</v>
      </c>
      <c r="R62" s="9">
        <f t="shared" si="6"/>
        <v>-1.454629168941224E-2</v>
      </c>
      <c r="S62" s="9">
        <f t="shared" si="7"/>
        <v>0</v>
      </c>
      <c r="T62" s="10">
        <f t="shared" si="15"/>
        <v>0.17722993877927207</v>
      </c>
      <c r="U62" s="10">
        <f t="shared" si="15"/>
        <v>0.20738789781505318</v>
      </c>
      <c r="V62" s="10">
        <f t="shared" si="15"/>
        <v>-0.11918316426626929</v>
      </c>
      <c r="W62" s="10">
        <f t="shared" si="15"/>
        <v>0.10353857354205766</v>
      </c>
      <c r="X62" s="10">
        <f t="shared" si="15"/>
        <v>0.15461846503203414</v>
      </c>
      <c r="Y62" s="10">
        <f t="shared" si="15"/>
        <v>-0.1450558047747571</v>
      </c>
      <c r="Z62" s="10">
        <f t="shared" si="15"/>
        <v>-0.15461846503203414</v>
      </c>
      <c r="AA62" s="10">
        <f t="shared" si="14"/>
        <v>0.1450558047747571</v>
      </c>
      <c r="AB62" s="7">
        <f t="shared" si="11"/>
        <v>0.3689732458701136</v>
      </c>
      <c r="AC62" s="7">
        <v>0.62542826298602383</v>
      </c>
    </row>
    <row r="63" spans="1:29" x14ac:dyDescent="0.25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28">
        <v>-1</v>
      </c>
      <c r="I63" s="28">
        <v>-1</v>
      </c>
      <c r="J63" s="28">
        <v>-1</v>
      </c>
      <c r="K63" s="28">
        <v>-1</v>
      </c>
      <c r="L63" s="9">
        <f t="shared" si="9"/>
        <v>0</v>
      </c>
      <c r="M63" s="9">
        <f t="shared" si="1"/>
        <v>-5.8891676542460747E-3</v>
      </c>
      <c r="N63" s="9">
        <f t="shared" si="2"/>
        <v>0</v>
      </c>
      <c r="O63" s="9">
        <f t="shared" si="3"/>
        <v>6.5922870617832752E-3</v>
      </c>
      <c r="P63" s="9">
        <f t="shared" si="4"/>
        <v>0</v>
      </c>
      <c r="Q63" s="9">
        <f t="shared" si="5"/>
        <v>1.208025752725317E-2</v>
      </c>
      <c r="R63" s="9">
        <f t="shared" si="6"/>
        <v>0</v>
      </c>
      <c r="S63" s="9">
        <f t="shared" si="7"/>
        <v>-1.208025752725317E-2</v>
      </c>
      <c r="T63" s="10">
        <f t="shared" si="15"/>
        <v>0.17722993877927207</v>
      </c>
      <c r="U63" s="10">
        <f t="shared" si="15"/>
        <v>0.2014987301608071</v>
      </c>
      <c r="V63" s="10">
        <f t="shared" si="15"/>
        <v>-0.11918316426626929</v>
      </c>
      <c r="W63" s="10">
        <f t="shared" si="15"/>
        <v>0.11013086060384093</v>
      </c>
      <c r="X63" s="10">
        <f t="shared" si="15"/>
        <v>0.15461846503203414</v>
      </c>
      <c r="Y63" s="10">
        <f t="shared" si="15"/>
        <v>-0.13297554724750393</v>
      </c>
      <c r="Z63" s="10">
        <f t="shared" si="15"/>
        <v>-0.15461846503203414</v>
      </c>
      <c r="AA63" s="10">
        <f t="shared" si="14"/>
        <v>0.13297554724750393</v>
      </c>
      <c r="AB63" s="7">
        <f t="shared" si="11"/>
        <v>0.3696763652776508</v>
      </c>
      <c r="AC63" s="7">
        <v>0.66422422972306139</v>
      </c>
    </row>
    <row r="64" spans="1:29" x14ac:dyDescent="0.25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28">
        <v>1</v>
      </c>
      <c r="I64" s="28">
        <v>1</v>
      </c>
      <c r="J64" s="28">
        <v>1</v>
      </c>
      <c r="K64" s="28">
        <v>1</v>
      </c>
      <c r="L64" s="9">
        <f t="shared" si="9"/>
        <v>3.293690866686183E-2</v>
      </c>
      <c r="M64" s="9">
        <f t="shared" si="1"/>
        <v>0</v>
      </c>
      <c r="N64" s="9">
        <f t="shared" si="2"/>
        <v>5.2356919299942914E-3</v>
      </c>
      <c r="O64" s="9">
        <f t="shared" si="3"/>
        <v>0</v>
      </c>
      <c r="P64" s="9">
        <f t="shared" si="4"/>
        <v>2.134214033313464E-2</v>
      </c>
      <c r="Q64" s="9">
        <f t="shared" si="5"/>
        <v>0</v>
      </c>
      <c r="R64" s="9">
        <f t="shared" si="6"/>
        <v>-2.134214033313464E-2</v>
      </c>
      <c r="S64" s="9">
        <f t="shared" si="7"/>
        <v>0</v>
      </c>
      <c r="T64" s="10">
        <f t="shared" si="15"/>
        <v>0.2101668474461339</v>
      </c>
      <c r="U64" s="10">
        <f t="shared" si="15"/>
        <v>0.2014987301608071</v>
      </c>
      <c r="V64" s="10">
        <f t="shared" si="15"/>
        <v>-0.113947472336275</v>
      </c>
      <c r="W64" s="10">
        <f t="shared" si="15"/>
        <v>0.11013086060384093</v>
      </c>
      <c r="X64" s="10">
        <f t="shared" si="15"/>
        <v>0.17596060536516878</v>
      </c>
      <c r="Y64" s="10">
        <f t="shared" si="15"/>
        <v>-0.13297554724750393</v>
      </c>
      <c r="Z64" s="10">
        <f t="shared" si="15"/>
        <v>-0.17596060536516878</v>
      </c>
      <c r="AA64" s="10">
        <f t="shared" si="14"/>
        <v>0.13297554724750393</v>
      </c>
      <c r="AB64" s="7">
        <f t="shared" si="11"/>
        <v>0.40784896587450692</v>
      </c>
      <c r="AC64" s="7">
        <v>0.6785560433197646</v>
      </c>
    </row>
    <row r="65" spans="1:29" x14ac:dyDescent="0.25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28">
        <v>1</v>
      </c>
      <c r="I65" s="28">
        <v>-1</v>
      </c>
      <c r="J65" s="28">
        <v>1</v>
      </c>
      <c r="K65" s="28">
        <v>-1</v>
      </c>
      <c r="L65" s="9">
        <f t="shared" si="9"/>
        <v>4.9102356439569173E-2</v>
      </c>
      <c r="M65" s="9">
        <f t="shared" si="1"/>
        <v>0</v>
      </c>
      <c r="N65" s="9">
        <f t="shared" si="2"/>
        <v>-1.0217238085820091E-2</v>
      </c>
      <c r="O65" s="9">
        <f t="shared" si="3"/>
        <v>0</v>
      </c>
      <c r="P65" s="9">
        <f t="shared" si="4"/>
        <v>0</v>
      </c>
      <c r="Q65" s="9">
        <f t="shared" si="5"/>
        <v>4.3781927750352723E-2</v>
      </c>
      <c r="R65" s="9">
        <f t="shared" si="6"/>
        <v>0</v>
      </c>
      <c r="S65" s="9">
        <f t="shared" si="7"/>
        <v>-4.3781927750352723E-2</v>
      </c>
      <c r="T65" s="10">
        <f t="shared" si="15"/>
        <v>0.25926920388570307</v>
      </c>
      <c r="U65" s="10">
        <f t="shared" si="15"/>
        <v>0.2014987301608071</v>
      </c>
      <c r="V65" s="10">
        <f t="shared" si="15"/>
        <v>-0.12416471042209509</v>
      </c>
      <c r="W65" s="10">
        <f t="shared" si="15"/>
        <v>0.11013086060384093</v>
      </c>
      <c r="X65" s="10">
        <f t="shared" si="15"/>
        <v>0.17596060536516878</v>
      </c>
      <c r="Y65" s="10">
        <f t="shared" si="15"/>
        <v>-8.9193619497151211E-2</v>
      </c>
      <c r="Z65" s="10">
        <f t="shared" si="15"/>
        <v>-0.17596060536516878</v>
      </c>
      <c r="AA65" s="10">
        <f t="shared" si="14"/>
        <v>8.9193619497151211E-2</v>
      </c>
      <c r="AB65" s="7">
        <f t="shared" si="11"/>
        <v>0.446734084228256</v>
      </c>
      <c r="AC65" s="7">
        <v>0.64189571467319917</v>
      </c>
    </row>
    <row r="66" spans="1:29" x14ac:dyDescent="0.25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28">
        <v>-1</v>
      </c>
      <c r="I66" s="28">
        <v>-1</v>
      </c>
      <c r="J66" s="28">
        <v>-1</v>
      </c>
      <c r="K66" s="28">
        <v>-1</v>
      </c>
      <c r="L66" s="9">
        <f t="shared" si="9"/>
        <v>0</v>
      </c>
      <c r="M66" s="9">
        <f t="shared" si="1"/>
        <v>1.290665167643801E-2</v>
      </c>
      <c r="N66" s="9">
        <f t="shared" si="2"/>
        <v>0</v>
      </c>
      <c r="O66" s="9">
        <f t="shared" si="3"/>
        <v>1.909186852489653E-2</v>
      </c>
      <c r="P66" s="9">
        <f t="shared" si="4"/>
        <v>0</v>
      </c>
      <c r="Q66" s="9">
        <f t="shared" si="5"/>
        <v>-1.53237439125119E-2</v>
      </c>
      <c r="R66" s="9">
        <f t="shared" si="6"/>
        <v>0</v>
      </c>
      <c r="S66" s="9">
        <f t="shared" si="7"/>
        <v>1.53237439125119E-2</v>
      </c>
      <c r="T66" s="10">
        <f t="shared" si="15"/>
        <v>0.25926920388570307</v>
      </c>
      <c r="U66" s="10">
        <f t="shared" si="15"/>
        <v>0.21440538183724511</v>
      </c>
      <c r="V66" s="10">
        <f t="shared" si="15"/>
        <v>-0.12416471042209509</v>
      </c>
      <c r="W66" s="10">
        <f t="shared" si="15"/>
        <v>0.12922272912873747</v>
      </c>
      <c r="X66" s="10">
        <f t="shared" si="15"/>
        <v>0.17596060536516878</v>
      </c>
      <c r="Y66" s="10">
        <f t="shared" si="15"/>
        <v>-0.10451736340966311</v>
      </c>
      <c r="Z66" s="10">
        <f t="shared" si="15"/>
        <v>-0.17596060536516878</v>
      </c>
      <c r="AA66" s="10">
        <f t="shared" si="14"/>
        <v>0.10451736340966311</v>
      </c>
      <c r="AB66" s="7">
        <f t="shared" si="11"/>
        <v>0.47873260442959054</v>
      </c>
      <c r="AC66" s="7">
        <v>0.63179887386201317</v>
      </c>
    </row>
    <row r="67" spans="1:29" x14ac:dyDescent="0.25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28">
        <v>1</v>
      </c>
      <c r="I67" s="28">
        <v>1</v>
      </c>
      <c r="J67" s="28">
        <v>1</v>
      </c>
      <c r="K67" s="28">
        <v>1</v>
      </c>
      <c r="L67" s="9">
        <f t="shared" si="9"/>
        <v>2.6363391013461971E-2</v>
      </c>
      <c r="M67" s="9">
        <f t="shared" ref="M67:M130" si="16">IF(H67=-1,-D67,0)</f>
        <v>0</v>
      </c>
      <c r="N67" s="9">
        <f t="shared" ref="N67:N130" si="17">IF(H67=1,-E67,0)</f>
        <v>1.317107702125675E-2</v>
      </c>
      <c r="O67" s="9">
        <f t="shared" ref="O67:O130" si="18">IF(H67=-1,E67,0)</f>
        <v>0</v>
      </c>
      <c r="P67" s="9">
        <f t="shared" ref="P67:P130" si="19">IF(I67=1,F67,0)</f>
        <v>-5.0741651228619067E-2</v>
      </c>
      <c r="Q67" s="9">
        <f t="shared" ref="Q67:Q130" si="20">IF($I67=-1,-$F67,0)</f>
        <v>0</v>
      </c>
      <c r="R67" s="9">
        <f t="shared" ref="R67:R130" si="21">IF($I67=1,-$F67,0)</f>
        <v>5.0741651228619067E-2</v>
      </c>
      <c r="S67" s="9">
        <f t="shared" ref="S67:S130" si="22">IF($I67=-1,$F67,0)</f>
        <v>0</v>
      </c>
      <c r="T67" s="10">
        <f t="shared" si="15"/>
        <v>0.28563259489916504</v>
      </c>
      <c r="U67" s="10">
        <f t="shared" si="15"/>
        <v>0.21440538183724511</v>
      </c>
      <c r="V67" s="10">
        <f t="shared" si="15"/>
        <v>-0.11099363340083834</v>
      </c>
      <c r="W67" s="10">
        <f t="shared" si="15"/>
        <v>0.12922272912873747</v>
      </c>
      <c r="X67" s="10">
        <f t="shared" si="15"/>
        <v>0.12521895413654971</v>
      </c>
      <c r="Y67" s="10">
        <f t="shared" si="15"/>
        <v>-0.10451736340966311</v>
      </c>
      <c r="Z67" s="10">
        <f t="shared" si="15"/>
        <v>-0.12521895413654971</v>
      </c>
      <c r="AA67" s="10">
        <f t="shared" si="14"/>
        <v>0.10451736340966311</v>
      </c>
      <c r="AB67" s="7">
        <f t="shared" si="11"/>
        <v>0.51826707246430925</v>
      </c>
      <c r="AC67" s="7">
        <v>0.57154380599767662</v>
      </c>
    </row>
    <row r="68" spans="1:29" x14ac:dyDescent="0.25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28">
        <v>-1</v>
      </c>
      <c r="I68" s="28">
        <v>-1</v>
      </c>
      <c r="J68" s="28">
        <v>-1</v>
      </c>
      <c r="K68" s="28">
        <v>-1</v>
      </c>
      <c r="L68" s="9">
        <f t="shared" ref="L68:L131" si="23">IF(H68=1,D68,0)</f>
        <v>0</v>
      </c>
      <c r="M68" s="9">
        <f t="shared" si="16"/>
        <v>1.295359154683318E-2</v>
      </c>
      <c r="N68" s="9">
        <f t="shared" si="17"/>
        <v>0</v>
      </c>
      <c r="O68" s="9">
        <f t="shared" si="18"/>
        <v>2.4058146654731379E-2</v>
      </c>
      <c r="P68" s="9">
        <f t="shared" si="19"/>
        <v>0</v>
      </c>
      <c r="Q68" s="9">
        <f t="shared" si="20"/>
        <v>2.4733629724777662E-2</v>
      </c>
      <c r="R68" s="9">
        <f t="shared" si="21"/>
        <v>0</v>
      </c>
      <c r="S68" s="9">
        <f t="shared" si="22"/>
        <v>-2.4733629724777662E-2</v>
      </c>
      <c r="T68" s="10">
        <f t="shared" si="15"/>
        <v>0.28563259489916504</v>
      </c>
      <c r="U68" s="10">
        <f t="shared" si="15"/>
        <v>0.22735897338407829</v>
      </c>
      <c r="V68" s="10">
        <f t="shared" si="15"/>
        <v>-0.11099363340083834</v>
      </c>
      <c r="W68" s="10">
        <f t="shared" si="15"/>
        <v>0.15328087578346886</v>
      </c>
      <c r="X68" s="10">
        <f t="shared" si="15"/>
        <v>0.12521895413654971</v>
      </c>
      <c r="Y68" s="10">
        <f t="shared" si="15"/>
        <v>-7.9783733684885449E-2</v>
      </c>
      <c r="Z68" s="10">
        <f t="shared" si="15"/>
        <v>-0.12521895413654971</v>
      </c>
      <c r="AA68" s="10">
        <f t="shared" si="14"/>
        <v>7.9783733684885449E-2</v>
      </c>
      <c r="AB68" s="7">
        <f t="shared" ref="AB68:AB131" si="24">AB67+SUM(L68:S68)</f>
        <v>0.55527881066587381</v>
      </c>
      <c r="AC68" s="7">
        <v>0.54662531932467462</v>
      </c>
    </row>
    <row r="69" spans="1:29" x14ac:dyDescent="0.25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28">
        <v>1</v>
      </c>
      <c r="I69" s="28">
        <v>1</v>
      </c>
      <c r="J69" s="28">
        <v>1</v>
      </c>
      <c r="K69" s="28">
        <v>1</v>
      </c>
      <c r="L69" s="9">
        <f t="shared" si="23"/>
        <v>-2.049086896211905E-2</v>
      </c>
      <c r="M69" s="9">
        <f t="shared" si="16"/>
        <v>0</v>
      </c>
      <c r="N69" s="9">
        <f t="shared" si="17"/>
        <v>-6.267309853198233E-3</v>
      </c>
      <c r="O69" s="9">
        <f t="shared" si="18"/>
        <v>0</v>
      </c>
      <c r="P69" s="9">
        <f t="shared" si="19"/>
        <v>-3.089347531705644E-2</v>
      </c>
      <c r="Q69" s="9">
        <f t="shared" si="20"/>
        <v>0</v>
      </c>
      <c r="R69" s="9">
        <f t="shared" si="21"/>
        <v>3.089347531705644E-2</v>
      </c>
      <c r="S69" s="9">
        <f t="shared" si="22"/>
        <v>0</v>
      </c>
      <c r="T69" s="10">
        <f t="shared" si="15"/>
        <v>0.26514172593704599</v>
      </c>
      <c r="U69" s="10">
        <f t="shared" si="15"/>
        <v>0.22735897338407829</v>
      </c>
      <c r="V69" s="10">
        <f t="shared" si="15"/>
        <v>-0.11726094325403658</v>
      </c>
      <c r="W69" s="10">
        <f t="shared" si="15"/>
        <v>0.15328087578346886</v>
      </c>
      <c r="X69" s="10">
        <f t="shared" si="15"/>
        <v>9.4325478819493269E-2</v>
      </c>
      <c r="Y69" s="10">
        <f t="shared" si="15"/>
        <v>-7.9783733684885449E-2</v>
      </c>
      <c r="Z69" s="10">
        <f t="shared" si="15"/>
        <v>-9.4325478819493269E-2</v>
      </c>
      <c r="AA69" s="10">
        <f t="shared" si="14"/>
        <v>7.9783733684885449E-2</v>
      </c>
      <c r="AB69" s="7">
        <f t="shared" si="24"/>
        <v>0.52852063185055653</v>
      </c>
      <c r="AC69" s="7">
        <v>0.54053253086568753</v>
      </c>
    </row>
    <row r="70" spans="1:29" x14ac:dyDescent="0.25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28">
        <v>-1</v>
      </c>
      <c r="I70" s="28">
        <v>-1</v>
      </c>
      <c r="J70" s="28">
        <v>-1</v>
      </c>
      <c r="K70" s="28">
        <v>-1</v>
      </c>
      <c r="L70" s="9">
        <f t="shared" si="23"/>
        <v>0</v>
      </c>
      <c r="M70" s="9">
        <f t="shared" si="16"/>
        <v>2.0072994852474708E-3</v>
      </c>
      <c r="N70" s="9">
        <f t="shared" si="17"/>
        <v>0</v>
      </c>
      <c r="O70" s="9">
        <f t="shared" si="18"/>
        <v>-2.2026535917929471E-4</v>
      </c>
      <c r="P70" s="9">
        <f t="shared" si="19"/>
        <v>0</v>
      </c>
      <c r="Q70" s="9">
        <f t="shared" si="20"/>
        <v>-3.7722013373681418E-2</v>
      </c>
      <c r="R70" s="9">
        <f t="shared" si="21"/>
        <v>0</v>
      </c>
      <c r="S70" s="9">
        <f t="shared" si="22"/>
        <v>3.7722013373681418E-2</v>
      </c>
      <c r="T70" s="10">
        <f t="shared" si="15"/>
        <v>0.26514172593704599</v>
      </c>
      <c r="U70" s="10">
        <f t="shared" si="15"/>
        <v>0.22936627286932576</v>
      </c>
      <c r="V70" s="10">
        <f t="shared" si="15"/>
        <v>-0.11726094325403658</v>
      </c>
      <c r="W70" s="10">
        <f t="shared" si="15"/>
        <v>0.15306061042428956</v>
      </c>
      <c r="X70" s="10">
        <f t="shared" si="15"/>
        <v>9.4325478819493269E-2</v>
      </c>
      <c r="Y70" s="10">
        <f t="shared" si="15"/>
        <v>-0.11750574705856687</v>
      </c>
      <c r="Z70" s="10">
        <f t="shared" si="15"/>
        <v>-9.4325478819493269E-2</v>
      </c>
      <c r="AA70" s="10">
        <f t="shared" si="14"/>
        <v>0.11750574705856687</v>
      </c>
      <c r="AB70" s="7">
        <f t="shared" si="24"/>
        <v>0.53030766597662471</v>
      </c>
      <c r="AC70" s="7">
        <v>0.58843255332646882</v>
      </c>
    </row>
    <row r="71" spans="1:29" x14ac:dyDescent="0.25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28">
        <v>-1</v>
      </c>
      <c r="I71" s="28">
        <v>1</v>
      </c>
      <c r="J71" s="28">
        <v>-1</v>
      </c>
      <c r="K71" s="28">
        <v>1</v>
      </c>
      <c r="L71" s="9">
        <f t="shared" si="23"/>
        <v>0</v>
      </c>
      <c r="M71" s="9">
        <f t="shared" si="16"/>
        <v>-6.2905598640223834E-3</v>
      </c>
      <c r="N71" s="9">
        <f t="shared" si="17"/>
        <v>0</v>
      </c>
      <c r="O71" s="9">
        <f t="shared" si="18"/>
        <v>-2.3671050236772181E-2</v>
      </c>
      <c r="P71" s="9">
        <f t="shared" si="19"/>
        <v>9.4964849146609298E-3</v>
      </c>
      <c r="Q71" s="9">
        <f t="shared" si="20"/>
        <v>0</v>
      </c>
      <c r="R71" s="9">
        <f t="shared" si="21"/>
        <v>-9.4964849146609298E-3</v>
      </c>
      <c r="S71" s="9">
        <f t="shared" si="22"/>
        <v>0</v>
      </c>
      <c r="T71" s="10">
        <f t="shared" si="15"/>
        <v>0.26514172593704599</v>
      </c>
      <c r="U71" s="10">
        <f t="shared" si="15"/>
        <v>0.22307571300530338</v>
      </c>
      <c r="V71" s="10">
        <f t="shared" si="15"/>
        <v>-0.11726094325403658</v>
      </c>
      <c r="W71" s="10">
        <f t="shared" si="15"/>
        <v>0.12938956018751738</v>
      </c>
      <c r="X71" s="10">
        <f t="shared" si="15"/>
        <v>0.1038219637341542</v>
      </c>
      <c r="Y71" s="10">
        <f t="shared" si="15"/>
        <v>-0.11750574705856687</v>
      </c>
      <c r="Z71" s="10">
        <f t="shared" si="15"/>
        <v>-0.1038219637341542</v>
      </c>
      <c r="AA71" s="10">
        <f t="shared" si="14"/>
        <v>0.11750574705856687</v>
      </c>
      <c r="AB71" s="7">
        <f t="shared" si="24"/>
        <v>0.50034605587583014</v>
      </c>
      <c r="AC71" s="7">
        <v>0.60433384460287154</v>
      </c>
    </row>
    <row r="72" spans="1:29" x14ac:dyDescent="0.25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28">
        <v>1</v>
      </c>
      <c r="I72" s="28">
        <v>1</v>
      </c>
      <c r="J72" s="28">
        <v>1</v>
      </c>
      <c r="K72" s="28">
        <v>1</v>
      </c>
      <c r="L72" s="9">
        <f t="shared" si="23"/>
        <v>-2.733020299140199E-2</v>
      </c>
      <c r="M72" s="9">
        <f t="shared" si="16"/>
        <v>0</v>
      </c>
      <c r="N72" s="9">
        <f t="shared" si="17"/>
        <v>-2.789601485088045E-2</v>
      </c>
      <c r="O72" s="9">
        <f t="shared" si="18"/>
        <v>0</v>
      </c>
      <c r="P72" s="9">
        <f t="shared" si="19"/>
        <v>-2.856638548452772E-2</v>
      </c>
      <c r="Q72" s="9">
        <f t="shared" si="20"/>
        <v>0</v>
      </c>
      <c r="R72" s="9">
        <f t="shared" si="21"/>
        <v>2.856638548452772E-2</v>
      </c>
      <c r="S72" s="9">
        <f t="shared" si="22"/>
        <v>0</v>
      </c>
      <c r="T72" s="10">
        <f t="shared" si="15"/>
        <v>0.237811522945644</v>
      </c>
      <c r="U72" s="10">
        <f t="shared" si="15"/>
        <v>0.22307571300530338</v>
      </c>
      <c r="V72" s="10">
        <f t="shared" si="15"/>
        <v>-0.14515695810491702</v>
      </c>
      <c r="W72" s="10">
        <f t="shared" si="15"/>
        <v>0.12938956018751738</v>
      </c>
      <c r="X72" s="10">
        <f t="shared" si="15"/>
        <v>7.5255578249626476E-2</v>
      </c>
      <c r="Y72" s="10">
        <f t="shared" si="15"/>
        <v>-0.11750574705856687</v>
      </c>
      <c r="Z72" s="10">
        <f t="shared" si="15"/>
        <v>-7.5255578249626476E-2</v>
      </c>
      <c r="AA72" s="10">
        <f t="shared" si="14"/>
        <v>0.11750574705856687</v>
      </c>
      <c r="AB72" s="7">
        <f t="shared" si="24"/>
        <v>0.44511983803354771</v>
      </c>
      <c r="AC72" s="7">
        <v>0.51866161883654571</v>
      </c>
    </row>
    <row r="73" spans="1:29" x14ac:dyDescent="0.25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28">
        <v>-1</v>
      </c>
      <c r="I73" s="28">
        <v>-1</v>
      </c>
      <c r="J73" s="28">
        <v>-1</v>
      </c>
      <c r="K73" s="28">
        <v>-1</v>
      </c>
      <c r="L73" s="9">
        <f t="shared" si="23"/>
        <v>0</v>
      </c>
      <c r="M73" s="9">
        <f t="shared" si="16"/>
        <v>4.3006930684579281E-3</v>
      </c>
      <c r="N73" s="9">
        <f t="shared" si="17"/>
        <v>0</v>
      </c>
      <c r="O73" s="9">
        <f t="shared" si="18"/>
        <v>1.4712372207237871E-2</v>
      </c>
      <c r="P73" s="9">
        <f t="shared" si="19"/>
        <v>0</v>
      </c>
      <c r="Q73" s="9">
        <f t="shared" si="20"/>
        <v>5.4371724093247309E-3</v>
      </c>
      <c r="R73" s="9">
        <f t="shared" si="21"/>
        <v>0</v>
      </c>
      <c r="S73" s="9">
        <f t="shared" si="22"/>
        <v>-5.4371724093247309E-3</v>
      </c>
      <c r="T73" s="10">
        <f t="shared" si="15"/>
        <v>0.237811522945644</v>
      </c>
      <c r="U73" s="10">
        <f t="shared" si="15"/>
        <v>0.22737640607376131</v>
      </c>
      <c r="V73" s="10">
        <f t="shared" si="15"/>
        <v>-0.14515695810491702</v>
      </c>
      <c r="W73" s="10">
        <f t="shared" si="15"/>
        <v>0.14410193239475524</v>
      </c>
      <c r="X73" s="10">
        <f t="shared" si="15"/>
        <v>7.5255578249626476E-2</v>
      </c>
      <c r="Y73" s="10">
        <f t="shared" si="15"/>
        <v>-0.11206857464924214</v>
      </c>
      <c r="Z73" s="10">
        <f t="shared" si="15"/>
        <v>-7.5255578249626476E-2</v>
      </c>
      <c r="AA73" s="10">
        <f t="shared" si="14"/>
        <v>0.11206857464924214</v>
      </c>
      <c r="AB73" s="7">
        <f t="shared" si="24"/>
        <v>0.46413290330924351</v>
      </c>
      <c r="AC73" s="7">
        <v>0.51164397699438369</v>
      </c>
    </row>
    <row r="74" spans="1:29" x14ac:dyDescent="0.25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28">
        <v>1</v>
      </c>
      <c r="I74" s="28">
        <v>1</v>
      </c>
      <c r="J74" s="28">
        <v>1</v>
      </c>
      <c r="K74" s="28">
        <v>1</v>
      </c>
      <c r="L74" s="9">
        <f t="shared" si="23"/>
        <v>8.2112144585057001E-3</v>
      </c>
      <c r="M74" s="9">
        <f t="shared" si="16"/>
        <v>0</v>
      </c>
      <c r="N74" s="9">
        <f t="shared" si="17"/>
        <v>-7.5486851000283739E-3</v>
      </c>
      <c r="O74" s="9">
        <f t="shared" si="18"/>
        <v>0</v>
      </c>
      <c r="P74" s="9">
        <f t="shared" si="19"/>
        <v>1.954646840344521E-3</v>
      </c>
      <c r="Q74" s="9">
        <f t="shared" si="20"/>
        <v>0</v>
      </c>
      <c r="R74" s="9">
        <f t="shared" si="21"/>
        <v>-1.954646840344521E-3</v>
      </c>
      <c r="S74" s="9">
        <f t="shared" si="22"/>
        <v>0</v>
      </c>
      <c r="T74" s="10">
        <f t="shared" si="15"/>
        <v>0.24602273740414971</v>
      </c>
      <c r="U74" s="10">
        <f t="shared" si="15"/>
        <v>0.22737640607376131</v>
      </c>
      <c r="V74" s="10">
        <f t="shared" si="15"/>
        <v>-0.1527056432049454</v>
      </c>
      <c r="W74" s="10">
        <f t="shared" si="15"/>
        <v>0.14410193239475524</v>
      </c>
      <c r="X74" s="10">
        <f t="shared" si="15"/>
        <v>7.7210225089970996E-2</v>
      </c>
      <c r="Y74" s="10">
        <f t="shared" si="15"/>
        <v>-0.11206857464924214</v>
      </c>
      <c r="Z74" s="10">
        <f t="shared" si="15"/>
        <v>-7.7210225089970996E-2</v>
      </c>
      <c r="AA74" s="10">
        <f t="shared" si="14"/>
        <v>0.11206857464924214</v>
      </c>
      <c r="AB74" s="7">
        <f t="shared" si="24"/>
        <v>0.46479543266772083</v>
      </c>
      <c r="AC74" s="7">
        <v>0.528513567727945</v>
      </c>
    </row>
    <row r="75" spans="1:29" x14ac:dyDescent="0.25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28">
        <v>1</v>
      </c>
      <c r="I75" s="28">
        <v>-1</v>
      </c>
      <c r="J75" s="28">
        <v>1</v>
      </c>
      <c r="K75" s="28">
        <v>-1</v>
      </c>
      <c r="L75" s="9">
        <f t="shared" si="23"/>
        <v>-4.0381679180580887E-2</v>
      </c>
      <c r="M75" s="9">
        <f t="shared" si="16"/>
        <v>0</v>
      </c>
      <c r="N75" s="9">
        <f t="shared" si="17"/>
        <v>-1.05061330802646E-2</v>
      </c>
      <c r="O75" s="9">
        <f t="shared" si="18"/>
        <v>0</v>
      </c>
      <c r="P75" s="9">
        <f t="shared" si="19"/>
        <v>0</v>
      </c>
      <c r="Q75" s="9">
        <f t="shared" si="20"/>
        <v>1.33766415721801E-2</v>
      </c>
      <c r="R75" s="9">
        <f t="shared" si="21"/>
        <v>0</v>
      </c>
      <c r="S75" s="9">
        <f t="shared" si="22"/>
        <v>-1.33766415721801E-2</v>
      </c>
      <c r="T75" s="10">
        <f t="shared" si="15"/>
        <v>0.20564105822356882</v>
      </c>
      <c r="U75" s="10">
        <f t="shared" si="15"/>
        <v>0.22737640607376131</v>
      </c>
      <c r="V75" s="10">
        <f t="shared" si="15"/>
        <v>-0.16321177628521</v>
      </c>
      <c r="W75" s="10">
        <f t="shared" si="15"/>
        <v>0.14410193239475524</v>
      </c>
      <c r="X75" s="10">
        <f t="shared" si="15"/>
        <v>7.7210225089970996E-2</v>
      </c>
      <c r="Y75" s="10">
        <f t="shared" si="15"/>
        <v>-9.8691933077062033E-2</v>
      </c>
      <c r="Z75" s="10">
        <f t="shared" si="15"/>
        <v>-7.7210225089970996E-2</v>
      </c>
      <c r="AA75" s="10">
        <f t="shared" si="14"/>
        <v>9.8691933077062033E-2</v>
      </c>
      <c r="AB75" s="7">
        <f t="shared" si="24"/>
        <v>0.41390762040687534</v>
      </c>
      <c r="AC75" s="7">
        <v>0.4391498026503835</v>
      </c>
    </row>
    <row r="76" spans="1:29" x14ac:dyDescent="0.25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28">
        <v>1</v>
      </c>
      <c r="I76" s="28">
        <v>-1</v>
      </c>
      <c r="J76" s="28">
        <v>1</v>
      </c>
      <c r="K76" s="28">
        <v>-1</v>
      </c>
      <c r="L76" s="9">
        <f t="shared" si="23"/>
        <v>2.0614681242287491E-2</v>
      </c>
      <c r="M76" s="9">
        <f t="shared" si="16"/>
        <v>0</v>
      </c>
      <c r="N76" s="9">
        <f t="shared" si="17"/>
        <v>2.3835432990195419E-2</v>
      </c>
      <c r="O76" s="9">
        <f t="shared" si="18"/>
        <v>0</v>
      </c>
      <c r="P76" s="9">
        <f t="shared" si="19"/>
        <v>0</v>
      </c>
      <c r="Q76" s="9">
        <f t="shared" si="20"/>
        <v>0.1448908688971601</v>
      </c>
      <c r="R76" s="9">
        <f t="shared" si="21"/>
        <v>0</v>
      </c>
      <c r="S76" s="9">
        <f t="shared" si="22"/>
        <v>-0.1448908688971601</v>
      </c>
      <c r="T76" s="10">
        <f t="shared" si="15"/>
        <v>0.22625573946585631</v>
      </c>
      <c r="U76" s="10">
        <f t="shared" si="15"/>
        <v>0.22737640607376131</v>
      </c>
      <c r="V76" s="10">
        <f t="shared" si="15"/>
        <v>-0.13937634329501458</v>
      </c>
      <c r="W76" s="10">
        <f t="shared" si="15"/>
        <v>0.14410193239475524</v>
      </c>
      <c r="X76" s="10">
        <f t="shared" si="15"/>
        <v>7.7210225089970996E-2</v>
      </c>
      <c r="Y76" s="10">
        <f t="shared" si="15"/>
        <v>4.6198935820098069E-2</v>
      </c>
      <c r="Z76" s="10">
        <f t="shared" si="15"/>
        <v>-7.7210225089970996E-2</v>
      </c>
      <c r="AA76" s="10">
        <f t="shared" si="14"/>
        <v>-4.6198935820098069E-2</v>
      </c>
      <c r="AB76" s="7">
        <f t="shared" si="24"/>
        <v>0.45835773463935825</v>
      </c>
      <c r="AC76" s="7">
        <v>0.29344567057534449</v>
      </c>
    </row>
    <row r="77" spans="1:29" x14ac:dyDescent="0.25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28">
        <v>1</v>
      </c>
      <c r="I77" s="28">
        <v>-1</v>
      </c>
      <c r="J77" s="28">
        <v>1</v>
      </c>
      <c r="K77" s="28">
        <v>-1</v>
      </c>
      <c r="L77" s="9">
        <f t="shared" si="23"/>
        <v>0.12792914896507249</v>
      </c>
      <c r="M77" s="9">
        <f t="shared" si="16"/>
        <v>0</v>
      </c>
      <c r="N77" s="9">
        <f t="shared" si="17"/>
        <v>-2.7467418618786651E-2</v>
      </c>
      <c r="O77" s="9">
        <f t="shared" si="18"/>
        <v>0</v>
      </c>
      <c r="P77" s="9">
        <f t="shared" si="19"/>
        <v>0</v>
      </c>
      <c r="Q77" s="9">
        <f t="shared" si="20"/>
        <v>2.7547214869506401E-2</v>
      </c>
      <c r="R77" s="9">
        <f t="shared" si="21"/>
        <v>0</v>
      </c>
      <c r="S77" s="9">
        <f t="shared" si="22"/>
        <v>-2.7547214869506401E-2</v>
      </c>
      <c r="T77" s="10">
        <f t="shared" si="15"/>
        <v>0.35418488843092877</v>
      </c>
      <c r="U77" s="10">
        <f t="shared" si="15"/>
        <v>0.22737640607376131</v>
      </c>
      <c r="V77" s="10">
        <f t="shared" si="15"/>
        <v>-0.16684376191380124</v>
      </c>
      <c r="W77" s="10">
        <f t="shared" si="15"/>
        <v>0.14410193239475524</v>
      </c>
      <c r="X77" s="10">
        <f t="shared" si="15"/>
        <v>7.7210225089970996E-2</v>
      </c>
      <c r="Y77" s="10">
        <f t="shared" si="15"/>
        <v>7.3746150689604467E-2</v>
      </c>
      <c r="Z77" s="10">
        <f t="shared" si="15"/>
        <v>-7.7210225089970996E-2</v>
      </c>
      <c r="AA77" s="10">
        <f t="shared" si="14"/>
        <v>-7.3746150689604467E-2</v>
      </c>
      <c r="AB77" s="7">
        <f t="shared" si="24"/>
        <v>0.55881946498564405</v>
      </c>
      <c r="AC77" s="7">
        <v>0.23947101210538729</v>
      </c>
    </row>
    <row r="78" spans="1:29" x14ac:dyDescent="0.25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28">
        <v>1</v>
      </c>
      <c r="I78" s="28">
        <v>-1</v>
      </c>
      <c r="J78" s="28">
        <v>1</v>
      </c>
      <c r="K78" s="28">
        <v>-1</v>
      </c>
      <c r="L78" s="9">
        <f t="shared" si="23"/>
        <v>2.3530380839905659E-2</v>
      </c>
      <c r="M78" s="9">
        <f t="shared" si="16"/>
        <v>0</v>
      </c>
      <c r="N78" s="9">
        <f t="shared" si="17"/>
        <v>2.0439188547375031E-2</v>
      </c>
      <c r="O78" s="9">
        <f t="shared" si="18"/>
        <v>0</v>
      </c>
      <c r="P78" s="9">
        <f t="shared" si="19"/>
        <v>0</v>
      </c>
      <c r="Q78" s="9">
        <f t="shared" si="20"/>
        <v>1.835274626979877E-2</v>
      </c>
      <c r="R78" s="9">
        <f t="shared" si="21"/>
        <v>0</v>
      </c>
      <c r="S78" s="9">
        <f t="shared" si="22"/>
        <v>-1.835274626979877E-2</v>
      </c>
      <c r="T78" s="10">
        <f t="shared" si="15"/>
        <v>0.37771526927083443</v>
      </c>
      <c r="U78" s="10">
        <f t="shared" si="15"/>
        <v>0.22737640607376131</v>
      </c>
      <c r="V78" s="10">
        <f t="shared" si="15"/>
        <v>-0.14640457336642621</v>
      </c>
      <c r="W78" s="10">
        <f t="shared" si="15"/>
        <v>0.14410193239475524</v>
      </c>
      <c r="X78" s="10">
        <f t="shared" si="15"/>
        <v>7.7210225089970996E-2</v>
      </c>
      <c r="Y78" s="10">
        <f t="shared" si="15"/>
        <v>9.2098896959403237E-2</v>
      </c>
      <c r="Z78" s="10">
        <f t="shared" si="15"/>
        <v>-7.7210225089970996E-2</v>
      </c>
      <c r="AA78" s="10">
        <f t="shared" si="14"/>
        <v>-9.2098896959403237E-2</v>
      </c>
      <c r="AB78" s="7">
        <f t="shared" si="24"/>
        <v>0.60278903437292475</v>
      </c>
      <c r="AC78" s="7">
        <v>0.25821304401159489</v>
      </c>
    </row>
    <row r="79" spans="1:29" x14ac:dyDescent="0.25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28">
        <v>-1</v>
      </c>
      <c r="I79" s="28">
        <v>-1</v>
      </c>
      <c r="J79" s="28">
        <v>-1</v>
      </c>
      <c r="K79" s="28">
        <v>-1</v>
      </c>
      <c r="L79" s="9">
        <f t="shared" si="23"/>
        <v>0</v>
      </c>
      <c r="M79" s="9">
        <f t="shared" si="16"/>
        <v>1.9905661305834599E-3</v>
      </c>
      <c r="N79" s="9">
        <f t="shared" si="17"/>
        <v>0</v>
      </c>
      <c r="O79" s="9">
        <f t="shared" si="18"/>
        <v>-3.6371146237892497E-2</v>
      </c>
      <c r="P79" s="9">
        <f t="shared" si="19"/>
        <v>0</v>
      </c>
      <c r="Q79" s="9">
        <f t="shared" si="20"/>
        <v>-9.7613569844824388E-3</v>
      </c>
      <c r="R79" s="9">
        <f t="shared" si="21"/>
        <v>0</v>
      </c>
      <c r="S79" s="9">
        <f t="shared" si="22"/>
        <v>9.7613569844824388E-3</v>
      </c>
      <c r="T79" s="10">
        <f t="shared" si="15"/>
        <v>0.37771526927083443</v>
      </c>
      <c r="U79" s="10">
        <f t="shared" si="15"/>
        <v>0.22936697220434477</v>
      </c>
      <c r="V79" s="10">
        <f t="shared" si="15"/>
        <v>-0.14640457336642621</v>
      </c>
      <c r="W79" s="10">
        <f t="shared" si="15"/>
        <v>0.10773078615686274</v>
      </c>
      <c r="X79" s="10">
        <f t="shared" si="15"/>
        <v>7.7210225089970996E-2</v>
      </c>
      <c r="Y79" s="10">
        <f t="shared" si="15"/>
        <v>8.2337539974920798E-2</v>
      </c>
      <c r="Z79" s="10">
        <f t="shared" si="15"/>
        <v>-7.7210225089970996E-2</v>
      </c>
      <c r="AA79" s="10">
        <f t="shared" si="14"/>
        <v>-8.2337539974920798E-2</v>
      </c>
      <c r="AB79" s="7">
        <f t="shared" si="24"/>
        <v>0.5684084542656157</v>
      </c>
      <c r="AC79" s="7">
        <v>0.17839426761156441</v>
      </c>
    </row>
    <row r="80" spans="1:29" x14ac:dyDescent="0.25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28">
        <v>1</v>
      </c>
      <c r="I80" s="28">
        <v>1</v>
      </c>
      <c r="J80" s="28">
        <v>1</v>
      </c>
      <c r="K80" s="28">
        <v>1</v>
      </c>
      <c r="L80" s="9">
        <f t="shared" si="23"/>
        <v>-8.5724016159275385E-3</v>
      </c>
      <c r="M80" s="9">
        <f t="shared" si="16"/>
        <v>0</v>
      </c>
      <c r="N80" s="9">
        <f t="shared" si="17"/>
        <v>2.8880358899958439E-2</v>
      </c>
      <c r="O80" s="9">
        <f t="shared" si="18"/>
        <v>0</v>
      </c>
      <c r="P80" s="9">
        <f t="shared" si="19"/>
        <v>4.9510470024054509E-2</v>
      </c>
      <c r="Q80" s="9">
        <f t="shared" si="20"/>
        <v>0</v>
      </c>
      <c r="R80" s="9">
        <f t="shared" si="21"/>
        <v>-4.9510470024054509E-2</v>
      </c>
      <c r="S80" s="9">
        <f t="shared" si="22"/>
        <v>0</v>
      </c>
      <c r="T80" s="10">
        <f t="shared" si="15"/>
        <v>0.36914286765490689</v>
      </c>
      <c r="U80" s="10">
        <f t="shared" si="15"/>
        <v>0.22936697220434477</v>
      </c>
      <c r="V80" s="10">
        <f t="shared" si="15"/>
        <v>-0.11752421446646777</v>
      </c>
      <c r="W80" s="10">
        <f t="shared" si="15"/>
        <v>0.10773078615686274</v>
      </c>
      <c r="X80" s="10">
        <f t="shared" si="15"/>
        <v>0.12672069511402551</v>
      </c>
      <c r="Y80" s="10">
        <f t="shared" si="15"/>
        <v>8.2337539974920798E-2</v>
      </c>
      <c r="Z80" s="10">
        <f t="shared" si="15"/>
        <v>-0.12672069511402551</v>
      </c>
      <c r="AA80" s="10">
        <f t="shared" si="14"/>
        <v>-8.2337539974920798E-2</v>
      </c>
      <c r="AB80" s="7">
        <f t="shared" si="24"/>
        <v>0.5887164115496466</v>
      </c>
      <c r="AC80" s="7">
        <v>6.9329975239351027E-2</v>
      </c>
    </row>
    <row r="81" spans="1:29" x14ac:dyDescent="0.25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28">
        <v>-1</v>
      </c>
      <c r="I81" s="28">
        <v>-1</v>
      </c>
      <c r="J81" s="28">
        <v>-1</v>
      </c>
      <c r="K81" s="28">
        <v>-1</v>
      </c>
      <c r="L81" s="9">
        <f t="shared" si="23"/>
        <v>0</v>
      </c>
      <c r="M81" s="9">
        <f t="shared" si="16"/>
        <v>-3.9714469920009272E-2</v>
      </c>
      <c r="N81" s="9">
        <f t="shared" si="17"/>
        <v>0</v>
      </c>
      <c r="O81" s="9">
        <f t="shared" si="18"/>
        <v>1.7379348294892741E-2</v>
      </c>
      <c r="P81" s="9">
        <f t="shared" si="19"/>
        <v>0</v>
      </c>
      <c r="Q81" s="9">
        <f t="shared" si="20"/>
        <v>6.7962672189040507E-2</v>
      </c>
      <c r="R81" s="9">
        <f t="shared" si="21"/>
        <v>0</v>
      </c>
      <c r="S81" s="9">
        <f t="shared" si="22"/>
        <v>-6.7962672189040507E-2</v>
      </c>
      <c r="T81" s="10">
        <f t="shared" si="15"/>
        <v>0.36914286765490689</v>
      </c>
      <c r="U81" s="10">
        <f t="shared" si="15"/>
        <v>0.1896525022843355</v>
      </c>
      <c r="V81" s="10">
        <f t="shared" si="15"/>
        <v>-0.11752421446646777</v>
      </c>
      <c r="W81" s="10">
        <f t="shared" si="15"/>
        <v>0.12511013445175548</v>
      </c>
      <c r="X81" s="10">
        <f t="shared" si="15"/>
        <v>0.12672069511402551</v>
      </c>
      <c r="Y81" s="10">
        <f t="shared" si="15"/>
        <v>0.15030021216396131</v>
      </c>
      <c r="Z81" s="10">
        <f t="shared" si="15"/>
        <v>-0.12672069511402551</v>
      </c>
      <c r="AA81" s="10">
        <f t="shared" si="14"/>
        <v>-0.15030021216396131</v>
      </c>
      <c r="AB81" s="7">
        <f t="shared" si="24"/>
        <v>0.56638128992453007</v>
      </c>
      <c r="AC81" s="7">
        <v>0.15890209923143339</v>
      </c>
    </row>
    <row r="82" spans="1:29" x14ac:dyDescent="0.25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28">
        <v>-1</v>
      </c>
      <c r="I82" s="28">
        <v>1</v>
      </c>
      <c r="J82" s="28">
        <v>-1</v>
      </c>
      <c r="K82" s="28">
        <v>1</v>
      </c>
      <c r="L82" s="9">
        <f t="shared" si="23"/>
        <v>0</v>
      </c>
      <c r="M82" s="9">
        <f t="shared" si="16"/>
        <v>-3.3933429598343327E-2</v>
      </c>
      <c r="N82" s="9">
        <f t="shared" si="17"/>
        <v>0</v>
      </c>
      <c r="O82" s="9">
        <f t="shared" si="18"/>
        <v>-3.5016451376242097E-2</v>
      </c>
      <c r="P82" s="9">
        <f t="shared" si="19"/>
        <v>2.739369441695072E-2</v>
      </c>
      <c r="Q82" s="9">
        <f t="shared" si="20"/>
        <v>0</v>
      </c>
      <c r="R82" s="9">
        <f t="shared" si="21"/>
        <v>-2.739369441695072E-2</v>
      </c>
      <c r="S82" s="9">
        <f t="shared" si="22"/>
        <v>0</v>
      </c>
      <c r="T82" s="10">
        <f t="shared" si="15"/>
        <v>0.36914286765490689</v>
      </c>
      <c r="U82" s="10">
        <f t="shared" si="15"/>
        <v>0.15571907268599217</v>
      </c>
      <c r="V82" s="10">
        <f t="shared" si="15"/>
        <v>-0.11752421446646777</v>
      </c>
      <c r="W82" s="10">
        <f t="shared" si="15"/>
        <v>9.0093683075513381E-2</v>
      </c>
      <c r="X82" s="10">
        <f t="shared" si="15"/>
        <v>0.15411438953097623</v>
      </c>
      <c r="Y82" s="10">
        <f t="shared" si="15"/>
        <v>0.15030021216396131</v>
      </c>
      <c r="Z82" s="10">
        <f t="shared" si="15"/>
        <v>-0.15411438953097623</v>
      </c>
      <c r="AA82" s="10">
        <f t="shared" si="14"/>
        <v>-0.15030021216396131</v>
      </c>
      <c r="AB82" s="7">
        <f t="shared" si="24"/>
        <v>0.49743140894994464</v>
      </c>
      <c r="AC82" s="7">
        <v>0.25728616310347802</v>
      </c>
    </row>
    <row r="83" spans="1:29" x14ac:dyDescent="0.25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28">
        <v>-1</v>
      </c>
      <c r="I83" s="28">
        <v>1</v>
      </c>
      <c r="J83" s="28">
        <v>-1</v>
      </c>
      <c r="K83" s="28">
        <v>1</v>
      </c>
      <c r="L83" s="9">
        <f t="shared" si="23"/>
        <v>0</v>
      </c>
      <c r="M83" s="9">
        <f t="shared" si="16"/>
        <v>-3.7276745372446192E-2</v>
      </c>
      <c r="N83" s="9">
        <f t="shared" si="17"/>
        <v>0</v>
      </c>
      <c r="O83" s="9">
        <f t="shared" si="18"/>
        <v>-3.5771461720889301E-3</v>
      </c>
      <c r="P83" s="9">
        <f t="shared" si="19"/>
        <v>3.9427661095328033E-2</v>
      </c>
      <c r="Q83" s="9">
        <f t="shared" si="20"/>
        <v>0</v>
      </c>
      <c r="R83" s="9">
        <f t="shared" si="21"/>
        <v>-3.9427661095328033E-2</v>
      </c>
      <c r="S83" s="9">
        <f t="shared" si="22"/>
        <v>0</v>
      </c>
      <c r="T83" s="10">
        <f t="shared" si="15"/>
        <v>0.36914286765490689</v>
      </c>
      <c r="U83" s="10">
        <f t="shared" si="15"/>
        <v>0.11844232731354598</v>
      </c>
      <c r="V83" s="10">
        <f t="shared" si="15"/>
        <v>-0.11752421446646777</v>
      </c>
      <c r="W83" s="10">
        <f t="shared" si="15"/>
        <v>8.6516536903424451E-2</v>
      </c>
      <c r="X83" s="10">
        <f t="shared" si="15"/>
        <v>0.19354205062630425</v>
      </c>
      <c r="Y83" s="10">
        <f t="shared" si="15"/>
        <v>0.15030021216396131</v>
      </c>
      <c r="Z83" s="10">
        <f t="shared" si="15"/>
        <v>-0.19354205062630425</v>
      </c>
      <c r="AA83" s="10">
        <f t="shared" si="14"/>
        <v>-0.15030021216396131</v>
      </c>
      <c r="AB83" s="7">
        <f t="shared" si="24"/>
        <v>0.45657751740540953</v>
      </c>
      <c r="AC83" s="7">
        <v>0.31702967772106361</v>
      </c>
    </row>
    <row r="84" spans="1:29" x14ac:dyDescent="0.25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28">
        <v>-1</v>
      </c>
      <c r="I84" s="28">
        <v>1</v>
      </c>
      <c r="J84" s="28">
        <v>-1</v>
      </c>
      <c r="K84" s="28">
        <v>1</v>
      </c>
      <c r="L84" s="9">
        <f t="shared" si="23"/>
        <v>0</v>
      </c>
      <c r="M84" s="9">
        <f t="shared" si="16"/>
        <v>1.6904021416241921E-4</v>
      </c>
      <c r="N84" s="9">
        <f t="shared" si="17"/>
        <v>0</v>
      </c>
      <c r="O84" s="9">
        <f t="shared" si="18"/>
        <v>3.1264166454139541E-2</v>
      </c>
      <c r="P84" s="9">
        <f t="shared" si="19"/>
        <v>2.200910553779856E-2</v>
      </c>
      <c r="Q84" s="9">
        <f t="shared" si="20"/>
        <v>0</v>
      </c>
      <c r="R84" s="9">
        <f t="shared" si="21"/>
        <v>-2.200910553779856E-2</v>
      </c>
      <c r="S84" s="9">
        <f t="shared" si="22"/>
        <v>0</v>
      </c>
      <c r="T84" s="10">
        <f t="shared" si="15"/>
        <v>0.36914286765490689</v>
      </c>
      <c r="U84" s="10">
        <f t="shared" si="15"/>
        <v>0.1186113675277084</v>
      </c>
      <c r="V84" s="10">
        <f t="shared" si="15"/>
        <v>-0.11752421446646777</v>
      </c>
      <c r="W84" s="10">
        <f t="shared" si="15"/>
        <v>0.11778070335756399</v>
      </c>
      <c r="X84" s="10">
        <f t="shared" si="15"/>
        <v>0.21555115616410281</v>
      </c>
      <c r="Y84" s="10">
        <f t="shared" si="15"/>
        <v>0.15030021216396131</v>
      </c>
      <c r="Z84" s="10">
        <f t="shared" si="15"/>
        <v>-0.21555115616410281</v>
      </c>
      <c r="AA84" s="10">
        <f t="shared" si="14"/>
        <v>-0.15030021216396131</v>
      </c>
      <c r="AB84" s="7">
        <f t="shared" si="24"/>
        <v>0.48801072407371149</v>
      </c>
      <c r="AC84" s="7">
        <v>0.31802884341737281</v>
      </c>
    </row>
    <row r="85" spans="1:29" x14ac:dyDescent="0.25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28">
        <v>-1</v>
      </c>
      <c r="I85" s="28">
        <v>1</v>
      </c>
      <c r="J85" s="28">
        <v>-1</v>
      </c>
      <c r="K85" s="28">
        <v>1</v>
      </c>
      <c r="L85" s="9">
        <f t="shared" si="23"/>
        <v>0</v>
      </c>
      <c r="M85" s="9">
        <f t="shared" si="16"/>
        <v>-3.3870868820203848E-2</v>
      </c>
      <c r="N85" s="9">
        <f t="shared" si="17"/>
        <v>0</v>
      </c>
      <c r="O85" s="9">
        <f t="shared" si="18"/>
        <v>2.298695640891513E-2</v>
      </c>
      <c r="P85" s="9">
        <f t="shared" si="19"/>
        <v>-4.3330083383508973E-2</v>
      </c>
      <c r="Q85" s="9">
        <f t="shared" si="20"/>
        <v>0</v>
      </c>
      <c r="R85" s="9">
        <f t="shared" si="21"/>
        <v>4.3330083383508973E-2</v>
      </c>
      <c r="S85" s="9">
        <f t="shared" si="22"/>
        <v>0</v>
      </c>
      <c r="T85" s="10">
        <f t="shared" si="15"/>
        <v>0.36914286765490689</v>
      </c>
      <c r="U85" s="10">
        <f t="shared" si="15"/>
        <v>8.4740498707504552E-2</v>
      </c>
      <c r="V85" s="10">
        <f t="shared" si="15"/>
        <v>-0.11752421446646777</v>
      </c>
      <c r="W85" s="10">
        <f t="shared" si="15"/>
        <v>0.14076765976647912</v>
      </c>
      <c r="X85" s="10">
        <f t="shared" si="15"/>
        <v>0.17222107278059384</v>
      </c>
      <c r="Y85" s="10">
        <f t="shared" si="15"/>
        <v>0.15030021216396131</v>
      </c>
      <c r="Z85" s="10">
        <f t="shared" si="15"/>
        <v>-0.17222107278059384</v>
      </c>
      <c r="AA85" s="10">
        <f t="shared" si="14"/>
        <v>-0.15030021216396131</v>
      </c>
      <c r="AB85" s="7">
        <f t="shared" si="24"/>
        <v>0.47712681166242277</v>
      </c>
      <c r="AC85" s="7">
        <v>0.39174213920396078</v>
      </c>
    </row>
    <row r="86" spans="1:29" x14ac:dyDescent="0.25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28">
        <v>-1</v>
      </c>
      <c r="I86" s="28">
        <v>1</v>
      </c>
      <c r="J86" s="28">
        <v>-1</v>
      </c>
      <c r="K86" s="28">
        <v>1</v>
      </c>
      <c r="L86" s="9">
        <f t="shared" si="23"/>
        <v>0</v>
      </c>
      <c r="M86" s="9">
        <f t="shared" si="16"/>
        <v>4.9206132855534879E-3</v>
      </c>
      <c r="N86" s="9">
        <f t="shared" si="17"/>
        <v>0</v>
      </c>
      <c r="O86" s="9">
        <f t="shared" si="18"/>
        <v>2.9940695062022019E-2</v>
      </c>
      <c r="P86" s="9">
        <f t="shared" si="19"/>
        <v>2.4140895162283679E-2</v>
      </c>
      <c r="Q86" s="9">
        <f t="shared" si="20"/>
        <v>0</v>
      </c>
      <c r="R86" s="9">
        <f t="shared" si="21"/>
        <v>-2.4140895162283679E-2</v>
      </c>
      <c r="S86" s="9">
        <f t="shared" si="22"/>
        <v>0</v>
      </c>
      <c r="T86" s="10">
        <f t="shared" si="15"/>
        <v>0.36914286765490689</v>
      </c>
      <c r="U86" s="10">
        <f t="shared" si="15"/>
        <v>8.966111199305804E-2</v>
      </c>
      <c r="V86" s="10">
        <f t="shared" si="15"/>
        <v>-0.11752421446646777</v>
      </c>
      <c r="W86" s="10">
        <f t="shared" si="15"/>
        <v>0.17070835482850114</v>
      </c>
      <c r="X86" s="10">
        <f t="shared" si="15"/>
        <v>0.19636196794287752</v>
      </c>
      <c r="Y86" s="10">
        <f t="shared" si="15"/>
        <v>0.15030021216396131</v>
      </c>
      <c r="Z86" s="10">
        <f t="shared" si="15"/>
        <v>-0.19636196794287752</v>
      </c>
      <c r="AA86" s="10">
        <f t="shared" si="14"/>
        <v>-0.15030021216396131</v>
      </c>
      <c r="AB86" s="7">
        <f t="shared" si="24"/>
        <v>0.51198812000999827</v>
      </c>
      <c r="AC86" s="7">
        <v>0.42911737494667129</v>
      </c>
    </row>
    <row r="87" spans="1:29" x14ac:dyDescent="0.25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28">
        <v>-1</v>
      </c>
      <c r="I87" s="28">
        <v>1</v>
      </c>
      <c r="J87" s="28">
        <v>-1</v>
      </c>
      <c r="K87" s="28">
        <v>1</v>
      </c>
      <c r="L87" s="9">
        <f t="shared" si="23"/>
        <v>0</v>
      </c>
      <c r="M87" s="9">
        <f t="shared" si="16"/>
        <v>1.3638821985546329E-2</v>
      </c>
      <c r="N87" s="9">
        <f t="shared" si="17"/>
        <v>0</v>
      </c>
      <c r="O87" s="9">
        <f t="shared" si="18"/>
        <v>2.5586219501963159E-2</v>
      </c>
      <c r="P87" s="9">
        <f t="shared" si="19"/>
        <v>5.0966240374167304E-3</v>
      </c>
      <c r="Q87" s="9">
        <f t="shared" si="20"/>
        <v>0</v>
      </c>
      <c r="R87" s="9">
        <f t="shared" si="21"/>
        <v>-5.0966240374167304E-3</v>
      </c>
      <c r="S87" s="9">
        <f t="shared" si="22"/>
        <v>0</v>
      </c>
      <c r="T87" s="10">
        <f t="shared" si="15"/>
        <v>0.36914286765490689</v>
      </c>
      <c r="U87" s="10">
        <f t="shared" si="15"/>
        <v>0.10329993397860437</v>
      </c>
      <c r="V87" s="10">
        <f t="shared" si="15"/>
        <v>-0.11752421446646777</v>
      </c>
      <c r="W87" s="10">
        <f t="shared" si="15"/>
        <v>0.19629457433046429</v>
      </c>
      <c r="X87" s="10">
        <f t="shared" si="15"/>
        <v>0.20145859198029425</v>
      </c>
      <c r="Y87" s="10">
        <f t="shared" si="15"/>
        <v>0.15030021216396131</v>
      </c>
      <c r="Z87" s="10">
        <f t="shared" si="15"/>
        <v>-0.20145859198029425</v>
      </c>
      <c r="AA87" s="10">
        <f t="shared" si="14"/>
        <v>-0.15030021216396131</v>
      </c>
      <c r="AB87" s="7">
        <f t="shared" si="24"/>
        <v>0.55121316149750776</v>
      </c>
      <c r="AC87" s="7">
        <v>0.46489984531036982</v>
      </c>
    </row>
    <row r="88" spans="1:29" x14ac:dyDescent="0.25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28">
        <v>-1</v>
      </c>
      <c r="I88" s="28">
        <v>1</v>
      </c>
      <c r="J88" s="28">
        <v>-1</v>
      </c>
      <c r="K88" s="28">
        <v>1</v>
      </c>
      <c r="L88" s="9">
        <f t="shared" si="23"/>
        <v>0</v>
      </c>
      <c r="M88" s="9">
        <f t="shared" si="16"/>
        <v>4.308525226800175E-2</v>
      </c>
      <c r="N88" s="9">
        <f t="shared" si="17"/>
        <v>0</v>
      </c>
      <c r="O88" s="9">
        <f t="shared" si="18"/>
        <v>-3.358903625060528E-3</v>
      </c>
      <c r="P88" s="9">
        <f t="shared" si="19"/>
        <v>2.5266409483466479E-3</v>
      </c>
      <c r="Q88" s="9">
        <f t="shared" si="20"/>
        <v>0</v>
      </c>
      <c r="R88" s="9">
        <f t="shared" si="21"/>
        <v>-2.5266409483466479E-3</v>
      </c>
      <c r="S88" s="9">
        <f t="shared" si="22"/>
        <v>0</v>
      </c>
      <c r="T88" s="10">
        <f t="shared" si="15"/>
        <v>0.36914286765490689</v>
      </c>
      <c r="U88" s="10">
        <f t="shared" si="15"/>
        <v>0.14638518624660612</v>
      </c>
      <c r="V88" s="10">
        <f t="shared" si="15"/>
        <v>-0.11752421446646777</v>
      </c>
      <c r="W88" s="10">
        <f t="shared" si="15"/>
        <v>0.19293567070540377</v>
      </c>
      <c r="X88" s="10">
        <f t="shared" si="15"/>
        <v>0.2039852329286409</v>
      </c>
      <c r="Y88" s="10">
        <f t="shared" si="15"/>
        <v>0.15030021216396131</v>
      </c>
      <c r="Z88" s="10">
        <f t="shared" si="15"/>
        <v>-0.2039852329286409</v>
      </c>
      <c r="AA88" s="10">
        <f t="shared" si="14"/>
        <v>-0.15030021216396131</v>
      </c>
      <c r="AB88" s="7">
        <f t="shared" si="24"/>
        <v>0.59093951014044899</v>
      </c>
      <c r="AC88" s="7">
        <v>0.44737664518418369</v>
      </c>
    </row>
    <row r="89" spans="1:29" x14ac:dyDescent="0.25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28">
        <v>-1</v>
      </c>
      <c r="I89" s="28">
        <v>1</v>
      </c>
      <c r="J89" s="28">
        <v>-1</v>
      </c>
      <c r="K89" s="28">
        <v>1</v>
      </c>
      <c r="L89" s="9">
        <f t="shared" si="23"/>
        <v>0</v>
      </c>
      <c r="M89" s="9">
        <f t="shared" si="16"/>
        <v>-4.8764891546986266E-3</v>
      </c>
      <c r="N89" s="9">
        <f t="shared" si="17"/>
        <v>0</v>
      </c>
      <c r="O89" s="9">
        <f t="shared" si="18"/>
        <v>1.5790483099045179E-2</v>
      </c>
      <c r="P89" s="9">
        <f t="shared" si="19"/>
        <v>3.4097587039318533E-2</v>
      </c>
      <c r="Q89" s="9">
        <f t="shared" si="20"/>
        <v>0</v>
      </c>
      <c r="R89" s="9">
        <f t="shared" si="21"/>
        <v>-3.4097587039318533E-2</v>
      </c>
      <c r="S89" s="9">
        <f t="shared" si="22"/>
        <v>0</v>
      </c>
      <c r="T89" s="10">
        <f t="shared" si="15"/>
        <v>0.36914286765490689</v>
      </c>
      <c r="U89" s="10">
        <f t="shared" si="15"/>
        <v>0.1415086970919075</v>
      </c>
      <c r="V89" s="10">
        <f t="shared" si="15"/>
        <v>-0.11752421446646777</v>
      </c>
      <c r="W89" s="10">
        <f t="shared" si="15"/>
        <v>0.20872615380444895</v>
      </c>
      <c r="X89" s="10">
        <f t="shared" si="15"/>
        <v>0.23808281996795944</v>
      </c>
      <c r="Y89" s="10">
        <f t="shared" si="15"/>
        <v>0.15030021216396131</v>
      </c>
      <c r="Z89" s="10">
        <f t="shared" si="15"/>
        <v>-0.23808281996795944</v>
      </c>
      <c r="AA89" s="10">
        <f t="shared" si="14"/>
        <v>-0.15030021216396131</v>
      </c>
      <c r="AB89" s="7">
        <f t="shared" si="24"/>
        <v>0.60185350408479554</v>
      </c>
      <c r="AC89" s="7">
        <v>0.50812505477479653</v>
      </c>
    </row>
    <row r="90" spans="1:29" x14ac:dyDescent="0.25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28">
        <v>-1</v>
      </c>
      <c r="I90" s="28">
        <v>1</v>
      </c>
      <c r="J90" s="28">
        <v>-1</v>
      </c>
      <c r="K90" s="28">
        <v>1</v>
      </c>
      <c r="L90" s="9">
        <f t="shared" si="23"/>
        <v>0</v>
      </c>
      <c r="M90" s="9">
        <f t="shared" si="16"/>
        <v>-1.0572474053984759E-3</v>
      </c>
      <c r="N90" s="9">
        <f t="shared" si="17"/>
        <v>0</v>
      </c>
      <c r="O90" s="9">
        <f t="shared" si="18"/>
        <v>-1.0121531200303459E-2</v>
      </c>
      <c r="P90" s="9">
        <f t="shared" si="19"/>
        <v>8.2766618055040153E-3</v>
      </c>
      <c r="Q90" s="9">
        <f t="shared" si="20"/>
        <v>0</v>
      </c>
      <c r="R90" s="9">
        <f t="shared" si="21"/>
        <v>-8.2766618055040153E-3</v>
      </c>
      <c r="S90" s="9">
        <f t="shared" si="22"/>
        <v>0</v>
      </c>
      <c r="T90" s="10">
        <f t="shared" si="15"/>
        <v>0.36914286765490689</v>
      </c>
      <c r="U90" s="10">
        <f t="shared" si="15"/>
        <v>0.14045144968650902</v>
      </c>
      <c r="V90" s="10">
        <f t="shared" si="15"/>
        <v>-0.11752421446646777</v>
      </c>
      <c r="W90" s="10">
        <f t="shared" ref="W90:AA153" si="25">O90+W89</f>
        <v>0.19860462260414549</v>
      </c>
      <c r="X90" s="10">
        <f t="shared" si="25"/>
        <v>0.24635948177346345</v>
      </c>
      <c r="Y90" s="10">
        <f t="shared" si="25"/>
        <v>0.15030021216396131</v>
      </c>
      <c r="Z90" s="10">
        <f t="shared" si="25"/>
        <v>-0.24635948177346345</v>
      </c>
      <c r="AA90" s="10">
        <f t="shared" si="14"/>
        <v>-0.15030021216396131</v>
      </c>
      <c r="AB90" s="7">
        <f t="shared" si="24"/>
        <v>0.59067472547909361</v>
      </c>
      <c r="AC90" s="7">
        <v>0.52750814274802582</v>
      </c>
    </row>
    <row r="91" spans="1:29" x14ac:dyDescent="0.25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28">
        <v>1</v>
      </c>
      <c r="I91" s="28">
        <v>1</v>
      </c>
      <c r="J91" s="28">
        <v>1</v>
      </c>
      <c r="K91" s="28">
        <v>1</v>
      </c>
      <c r="L91" s="9">
        <f t="shared" si="23"/>
        <v>-2.1774215815850258E-2</v>
      </c>
      <c r="M91" s="9">
        <f t="shared" si="16"/>
        <v>0</v>
      </c>
      <c r="N91" s="9">
        <f t="shared" si="17"/>
        <v>-7.97830739722305E-3</v>
      </c>
      <c r="O91" s="9">
        <f t="shared" si="18"/>
        <v>0</v>
      </c>
      <c r="P91" s="9">
        <f t="shared" si="19"/>
        <v>2.785981521645442E-2</v>
      </c>
      <c r="Q91" s="9">
        <f t="shared" si="20"/>
        <v>0</v>
      </c>
      <c r="R91" s="9">
        <f t="shared" si="21"/>
        <v>-2.785981521645442E-2</v>
      </c>
      <c r="S91" s="9">
        <f t="shared" si="22"/>
        <v>0</v>
      </c>
      <c r="T91" s="10">
        <f t="shared" ref="T91:X154" si="26">L91+T90</f>
        <v>0.34736865183905663</v>
      </c>
      <c r="U91" s="10">
        <f t="shared" si="26"/>
        <v>0.14045144968650902</v>
      </c>
      <c r="V91" s="10">
        <f t="shared" si="26"/>
        <v>-0.12550252186369082</v>
      </c>
      <c r="W91" s="10">
        <f t="shared" si="25"/>
        <v>0.19860462260414549</v>
      </c>
      <c r="X91" s="10">
        <f t="shared" si="25"/>
        <v>0.27421929698991787</v>
      </c>
      <c r="Y91" s="10">
        <f t="shared" si="25"/>
        <v>0.15030021216396131</v>
      </c>
      <c r="Z91" s="10">
        <f t="shared" si="25"/>
        <v>-0.27421929698991787</v>
      </c>
      <c r="AA91" s="10">
        <f t="shared" si="14"/>
        <v>-0.15030021216396131</v>
      </c>
      <c r="AB91" s="7">
        <f t="shared" si="24"/>
        <v>0.5609222022660203</v>
      </c>
      <c r="AC91" s="7">
        <v>0.49152443385029132</v>
      </c>
    </row>
    <row r="92" spans="1:29" x14ac:dyDescent="0.25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28">
        <v>-1</v>
      </c>
      <c r="I92" s="28">
        <v>-1</v>
      </c>
      <c r="J92" s="28">
        <v>-1</v>
      </c>
      <c r="K92" s="28">
        <v>-1</v>
      </c>
      <c r="L92" s="9">
        <f t="shared" si="23"/>
        <v>0</v>
      </c>
      <c r="M92" s="9">
        <f t="shared" si="16"/>
        <v>3.6679436318350911E-3</v>
      </c>
      <c r="N92" s="9">
        <f t="shared" si="17"/>
        <v>0</v>
      </c>
      <c r="O92" s="9">
        <f t="shared" si="18"/>
        <v>2.8813313910169391E-2</v>
      </c>
      <c r="P92" s="9">
        <f t="shared" si="19"/>
        <v>0</v>
      </c>
      <c r="Q92" s="9">
        <f t="shared" si="20"/>
        <v>6.1278702151450481E-3</v>
      </c>
      <c r="R92" s="9">
        <f t="shared" si="21"/>
        <v>0</v>
      </c>
      <c r="S92" s="9">
        <f t="shared" si="22"/>
        <v>-6.1278702151450481E-3</v>
      </c>
      <c r="T92" s="10">
        <f t="shared" si="26"/>
        <v>0.34736865183905663</v>
      </c>
      <c r="U92" s="10">
        <f t="shared" si="26"/>
        <v>0.14411939331834411</v>
      </c>
      <c r="V92" s="10">
        <f t="shared" si="26"/>
        <v>-0.12550252186369082</v>
      </c>
      <c r="W92" s="10">
        <f t="shared" si="25"/>
        <v>0.22741793651431488</v>
      </c>
      <c r="X92" s="10">
        <f t="shared" si="25"/>
        <v>0.27421929698991787</v>
      </c>
      <c r="Y92" s="10">
        <f t="shared" si="25"/>
        <v>0.15642808237910635</v>
      </c>
      <c r="Z92" s="10">
        <f t="shared" si="25"/>
        <v>-0.27421929698991787</v>
      </c>
      <c r="AA92" s="10">
        <f t="shared" si="14"/>
        <v>-0.15642808237910635</v>
      </c>
      <c r="AB92" s="7">
        <f t="shared" si="24"/>
        <v>0.59340345980802478</v>
      </c>
      <c r="AC92" s="7">
        <v>0.52336744737123875</v>
      </c>
    </row>
    <row r="93" spans="1:29" x14ac:dyDescent="0.25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28">
        <v>-1</v>
      </c>
      <c r="I93" s="28">
        <v>1</v>
      </c>
      <c r="J93" s="28">
        <v>-1</v>
      </c>
      <c r="K93" s="28">
        <v>1</v>
      </c>
      <c r="L93" s="9">
        <f t="shared" si="23"/>
        <v>0</v>
      </c>
      <c r="M93" s="9">
        <f t="shared" si="16"/>
        <v>-8.92086015876703E-3</v>
      </c>
      <c r="N93" s="9">
        <f t="shared" si="17"/>
        <v>0</v>
      </c>
      <c r="O93" s="9">
        <f t="shared" si="18"/>
        <v>-1.92345637026109E-2</v>
      </c>
      <c r="P93" s="9">
        <f t="shared" si="19"/>
        <v>3.1367671260531298E-2</v>
      </c>
      <c r="Q93" s="9">
        <f t="shared" si="20"/>
        <v>0</v>
      </c>
      <c r="R93" s="9">
        <f t="shared" si="21"/>
        <v>-3.1367671260531298E-2</v>
      </c>
      <c r="S93" s="9">
        <f t="shared" si="22"/>
        <v>0</v>
      </c>
      <c r="T93" s="10">
        <f t="shared" si="26"/>
        <v>0.34736865183905663</v>
      </c>
      <c r="U93" s="10">
        <f t="shared" si="26"/>
        <v>0.13519853315957708</v>
      </c>
      <c r="V93" s="10">
        <f t="shared" si="26"/>
        <v>-0.12550252186369082</v>
      </c>
      <c r="W93" s="10">
        <f t="shared" si="25"/>
        <v>0.20818337281170399</v>
      </c>
      <c r="X93" s="10">
        <f t="shared" si="25"/>
        <v>0.30558696825044918</v>
      </c>
      <c r="Y93" s="10">
        <f t="shared" si="25"/>
        <v>0.15642808237910635</v>
      </c>
      <c r="Z93" s="10">
        <f t="shared" si="25"/>
        <v>-0.30558696825044918</v>
      </c>
      <c r="AA93" s="10">
        <f t="shared" si="14"/>
        <v>-0.15642808237910635</v>
      </c>
      <c r="AB93" s="7">
        <f t="shared" si="24"/>
        <v>0.56524803594664685</v>
      </c>
      <c r="AC93" s="7">
        <v>0.58278988741933513</v>
      </c>
    </row>
    <row r="94" spans="1:29" x14ac:dyDescent="0.25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28">
        <v>-1</v>
      </c>
      <c r="I94" s="28">
        <v>1</v>
      </c>
      <c r="J94" s="28">
        <v>-1</v>
      </c>
      <c r="K94" s="28">
        <v>1</v>
      </c>
      <c r="L94" s="9">
        <f t="shared" si="23"/>
        <v>0</v>
      </c>
      <c r="M94" s="9">
        <f t="shared" si="16"/>
        <v>1.7867176265855319E-2</v>
      </c>
      <c r="N94" s="9">
        <f t="shared" si="17"/>
        <v>0</v>
      </c>
      <c r="O94" s="9">
        <f t="shared" si="18"/>
        <v>1.8840573236939769E-2</v>
      </c>
      <c r="P94" s="9">
        <f t="shared" si="19"/>
        <v>1.509637913450435E-2</v>
      </c>
      <c r="Q94" s="9">
        <f t="shared" si="20"/>
        <v>0</v>
      </c>
      <c r="R94" s="9">
        <f t="shared" si="21"/>
        <v>-1.509637913450435E-2</v>
      </c>
      <c r="S94" s="9">
        <f t="shared" si="22"/>
        <v>0</v>
      </c>
      <c r="T94" s="10">
        <f t="shared" si="26"/>
        <v>0.34736865183905663</v>
      </c>
      <c r="U94" s="10">
        <f t="shared" si="26"/>
        <v>0.15306570942543241</v>
      </c>
      <c r="V94" s="10">
        <f t="shared" si="26"/>
        <v>-0.12550252186369082</v>
      </c>
      <c r="W94" s="10">
        <f t="shared" si="25"/>
        <v>0.22702394604864376</v>
      </c>
      <c r="X94" s="10">
        <f t="shared" si="25"/>
        <v>0.32068334738495352</v>
      </c>
      <c r="Y94" s="10">
        <f t="shared" si="25"/>
        <v>0.15642808237910635</v>
      </c>
      <c r="Z94" s="10">
        <f t="shared" si="25"/>
        <v>-0.32068334738495352</v>
      </c>
      <c r="AA94" s="10">
        <f t="shared" si="14"/>
        <v>-0.15642808237910635</v>
      </c>
      <c r="AB94" s="7">
        <f t="shared" si="24"/>
        <v>0.60195578544944195</v>
      </c>
      <c r="AC94" s="7">
        <v>0.59905381298461358</v>
      </c>
    </row>
    <row r="95" spans="1:29" x14ac:dyDescent="0.25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28">
        <v>1</v>
      </c>
      <c r="I95" s="28">
        <v>1</v>
      </c>
      <c r="J95" s="28">
        <v>1</v>
      </c>
      <c r="K95" s="28">
        <v>1</v>
      </c>
      <c r="L95" s="9">
        <f t="shared" si="23"/>
        <v>3.1097438791128922E-3</v>
      </c>
      <c r="M95" s="9">
        <f t="shared" si="16"/>
        <v>0</v>
      </c>
      <c r="N95" s="9">
        <f t="shared" si="17"/>
        <v>1.9509097371035788E-2</v>
      </c>
      <c r="O95" s="9">
        <f t="shared" si="18"/>
        <v>0</v>
      </c>
      <c r="P95" s="9">
        <f t="shared" si="19"/>
        <v>-6.4597808714520366E-2</v>
      </c>
      <c r="Q95" s="9">
        <f t="shared" si="20"/>
        <v>0</v>
      </c>
      <c r="R95" s="9">
        <f t="shared" si="21"/>
        <v>6.4597808714520366E-2</v>
      </c>
      <c r="S95" s="9">
        <f t="shared" si="22"/>
        <v>0</v>
      </c>
      <c r="T95" s="10">
        <f t="shared" si="26"/>
        <v>0.35047839571816952</v>
      </c>
      <c r="U95" s="10">
        <f t="shared" si="26"/>
        <v>0.15306570942543241</v>
      </c>
      <c r="V95" s="10">
        <f t="shared" si="26"/>
        <v>-0.10599342449265503</v>
      </c>
      <c r="W95" s="10">
        <f t="shared" si="25"/>
        <v>0.22702394604864376</v>
      </c>
      <c r="X95" s="10">
        <f t="shared" si="25"/>
        <v>0.25608553867043315</v>
      </c>
      <c r="Y95" s="10">
        <f t="shared" si="25"/>
        <v>0.15642808237910635</v>
      </c>
      <c r="Z95" s="10">
        <f t="shared" si="25"/>
        <v>-0.25608553867043315</v>
      </c>
      <c r="AA95" s="10">
        <f t="shared" si="14"/>
        <v>-0.15642808237910635</v>
      </c>
      <c r="AB95" s="7">
        <f t="shared" si="24"/>
        <v>0.62457462669959063</v>
      </c>
      <c r="AC95" s="7">
        <v>0.52028618544984651</v>
      </c>
    </row>
    <row r="96" spans="1:29" x14ac:dyDescent="0.25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28">
        <v>-1</v>
      </c>
      <c r="I96" s="28">
        <v>-1</v>
      </c>
      <c r="J96" s="28">
        <v>-1</v>
      </c>
      <c r="K96" s="28">
        <v>-1</v>
      </c>
      <c r="L96" s="9">
        <f t="shared" si="23"/>
        <v>0</v>
      </c>
      <c r="M96" s="9">
        <f t="shared" si="16"/>
        <v>7.5527018574801486E-2</v>
      </c>
      <c r="N96" s="9">
        <f t="shared" si="17"/>
        <v>0</v>
      </c>
      <c r="O96" s="9">
        <f t="shared" si="18"/>
        <v>4.383463837468371E-2</v>
      </c>
      <c r="P96" s="9">
        <f t="shared" si="19"/>
        <v>0</v>
      </c>
      <c r="Q96" s="9">
        <f t="shared" si="20"/>
        <v>3.4927264468736841E-2</v>
      </c>
      <c r="R96" s="9">
        <f t="shared" si="21"/>
        <v>0</v>
      </c>
      <c r="S96" s="9">
        <f t="shared" si="22"/>
        <v>-3.4927264468736841E-2</v>
      </c>
      <c r="T96" s="10">
        <f t="shared" si="26"/>
        <v>0.35047839571816952</v>
      </c>
      <c r="U96" s="10">
        <f t="shared" si="26"/>
        <v>0.22859272800023389</v>
      </c>
      <c r="V96" s="10">
        <f t="shared" si="26"/>
        <v>-0.10599342449265503</v>
      </c>
      <c r="W96" s="10">
        <f t="shared" si="25"/>
        <v>0.27085858442332744</v>
      </c>
      <c r="X96" s="10">
        <f t="shared" si="25"/>
        <v>0.25608553867043315</v>
      </c>
      <c r="Y96" s="10">
        <f t="shared" si="25"/>
        <v>0.19135534684784319</v>
      </c>
      <c r="Z96" s="10">
        <f t="shared" si="25"/>
        <v>-0.25608553867043315</v>
      </c>
      <c r="AA96" s="10">
        <f t="shared" si="14"/>
        <v>-0.19135534684784319</v>
      </c>
      <c r="AB96" s="7">
        <f t="shared" si="24"/>
        <v>0.74393628364907582</v>
      </c>
      <c r="AC96" s="7">
        <v>0.46994305422448762</v>
      </c>
    </row>
    <row r="97" spans="1:29" x14ac:dyDescent="0.25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28">
        <v>-1</v>
      </c>
      <c r="I97" s="28">
        <v>1</v>
      </c>
      <c r="J97" s="28">
        <v>-1</v>
      </c>
      <c r="K97" s="28">
        <v>1</v>
      </c>
      <c r="L97" s="9">
        <f t="shared" si="23"/>
        <v>0</v>
      </c>
      <c r="M97" s="9">
        <f t="shared" si="16"/>
        <v>-7.4968061133581232E-3</v>
      </c>
      <c r="N97" s="9">
        <f t="shared" si="17"/>
        <v>0</v>
      </c>
      <c r="O97" s="9">
        <f t="shared" si="18"/>
        <v>-3.4454944330239989E-3</v>
      </c>
      <c r="P97" s="9">
        <f t="shared" si="19"/>
        <v>3.8041024159712E-2</v>
      </c>
      <c r="Q97" s="9">
        <f t="shared" si="20"/>
        <v>0</v>
      </c>
      <c r="R97" s="9">
        <f t="shared" si="21"/>
        <v>-3.8041024159712E-2</v>
      </c>
      <c r="S97" s="9">
        <f t="shared" si="22"/>
        <v>0</v>
      </c>
      <c r="T97" s="10">
        <f t="shared" si="26"/>
        <v>0.35047839571816952</v>
      </c>
      <c r="U97" s="10">
        <f t="shared" si="26"/>
        <v>0.22109592188687577</v>
      </c>
      <c r="V97" s="10">
        <f t="shared" si="26"/>
        <v>-0.10599342449265503</v>
      </c>
      <c r="W97" s="10">
        <f t="shared" si="25"/>
        <v>0.26741308999030344</v>
      </c>
      <c r="X97" s="10">
        <f t="shared" si="25"/>
        <v>0.29412656283014516</v>
      </c>
      <c r="Y97" s="10">
        <f t="shared" si="25"/>
        <v>0.19135534684784319</v>
      </c>
      <c r="Z97" s="10">
        <f t="shared" si="25"/>
        <v>-0.29412656283014516</v>
      </c>
      <c r="AA97" s="10">
        <f t="shared" si="14"/>
        <v>-0.19135534684784319</v>
      </c>
      <c r="AB97" s="7">
        <f t="shared" si="24"/>
        <v>0.7329939831026937</v>
      </c>
      <c r="AC97" s="7">
        <v>0.53765296972452159</v>
      </c>
    </row>
    <row r="98" spans="1:29" x14ac:dyDescent="0.25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28">
        <v>1</v>
      </c>
      <c r="I98" s="28">
        <v>1</v>
      </c>
      <c r="J98" s="28">
        <v>1</v>
      </c>
      <c r="K98" s="28">
        <v>1</v>
      </c>
      <c r="L98" s="9">
        <f t="shared" si="23"/>
        <v>-2.0488181131885889E-2</v>
      </c>
      <c r="M98" s="9">
        <f t="shared" si="16"/>
        <v>0</v>
      </c>
      <c r="N98" s="9">
        <f t="shared" si="17"/>
        <v>-2.4313808508036661E-2</v>
      </c>
      <c r="O98" s="9">
        <f t="shared" si="18"/>
        <v>0</v>
      </c>
      <c r="P98" s="9">
        <f t="shared" si="19"/>
        <v>1.9336855217963019E-2</v>
      </c>
      <c r="Q98" s="9">
        <f t="shared" si="20"/>
        <v>0</v>
      </c>
      <c r="R98" s="9">
        <f t="shared" si="21"/>
        <v>-1.9336855217963019E-2</v>
      </c>
      <c r="S98" s="9">
        <f t="shared" si="22"/>
        <v>0</v>
      </c>
      <c r="T98" s="10">
        <f t="shared" si="26"/>
        <v>0.32999021458628364</v>
      </c>
      <c r="U98" s="10">
        <f t="shared" si="26"/>
        <v>0.22109592188687577</v>
      </c>
      <c r="V98" s="10">
        <f t="shared" si="26"/>
        <v>-0.13030723300069169</v>
      </c>
      <c r="W98" s="10">
        <f t="shared" si="25"/>
        <v>0.26741308999030344</v>
      </c>
      <c r="X98" s="10">
        <f t="shared" si="25"/>
        <v>0.31346341804810818</v>
      </c>
      <c r="Y98" s="10">
        <f t="shared" si="25"/>
        <v>0.19135534684784319</v>
      </c>
      <c r="Z98" s="10">
        <f t="shared" si="25"/>
        <v>-0.31346341804810818</v>
      </c>
      <c r="AA98" s="10">
        <f t="shared" si="14"/>
        <v>-0.19135534684784319</v>
      </c>
      <c r="AB98" s="7">
        <f t="shared" si="24"/>
        <v>0.68819199346277116</v>
      </c>
      <c r="AC98" s="7">
        <v>0.49296642897440651</v>
      </c>
    </row>
    <row r="99" spans="1:29" x14ac:dyDescent="0.25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28">
        <v>-1</v>
      </c>
      <c r="I99" s="28">
        <v>-1</v>
      </c>
      <c r="J99" s="28">
        <v>-1</v>
      </c>
      <c r="K99" s="28">
        <v>-1</v>
      </c>
      <c r="L99" s="9">
        <f t="shared" si="23"/>
        <v>0</v>
      </c>
      <c r="M99" s="9">
        <f t="shared" si="16"/>
        <v>-6.506948185740602E-3</v>
      </c>
      <c r="N99" s="9">
        <f t="shared" si="17"/>
        <v>0</v>
      </c>
      <c r="O99" s="9">
        <f t="shared" si="18"/>
        <v>8.8439347519244649E-3</v>
      </c>
      <c r="P99" s="9">
        <f t="shared" si="19"/>
        <v>0</v>
      </c>
      <c r="Q99" s="9">
        <f t="shared" si="20"/>
        <v>-4.7946265329462452E-2</v>
      </c>
      <c r="R99" s="9">
        <f t="shared" si="21"/>
        <v>0</v>
      </c>
      <c r="S99" s="9">
        <f t="shared" si="22"/>
        <v>4.7946265329462452E-2</v>
      </c>
      <c r="T99" s="10">
        <f t="shared" si="26"/>
        <v>0.32999021458628364</v>
      </c>
      <c r="U99" s="10">
        <f t="shared" si="26"/>
        <v>0.21458897370113517</v>
      </c>
      <c r="V99" s="10">
        <f t="shared" si="26"/>
        <v>-0.13030723300069169</v>
      </c>
      <c r="W99" s="10">
        <f t="shared" si="25"/>
        <v>0.27625702474222791</v>
      </c>
      <c r="X99" s="10">
        <f t="shared" si="25"/>
        <v>0.31346341804810818</v>
      </c>
      <c r="Y99" s="10">
        <f t="shared" si="25"/>
        <v>0.14340908151838075</v>
      </c>
      <c r="Z99" s="10">
        <f t="shared" si="25"/>
        <v>-0.31346341804810818</v>
      </c>
      <c r="AA99" s="10">
        <f t="shared" si="14"/>
        <v>-0.14340908151838075</v>
      </c>
      <c r="AB99" s="7">
        <f t="shared" si="24"/>
        <v>0.69052898002895502</v>
      </c>
      <c r="AC99" s="7">
        <v>0.57987773586595648</v>
      </c>
    </row>
    <row r="100" spans="1:29" x14ac:dyDescent="0.25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28">
        <v>-1</v>
      </c>
      <c r="I100" s="28">
        <v>1</v>
      </c>
      <c r="J100" s="28">
        <v>-1</v>
      </c>
      <c r="K100" s="28">
        <v>1</v>
      </c>
      <c r="L100" s="9">
        <f t="shared" si="23"/>
        <v>0</v>
      </c>
      <c r="M100" s="9">
        <f t="shared" si="16"/>
        <v>-3.053093443202259E-3</v>
      </c>
      <c r="N100" s="9">
        <f t="shared" si="17"/>
        <v>0</v>
      </c>
      <c r="O100" s="9">
        <f t="shared" si="18"/>
        <v>-2.5521022222826368E-3</v>
      </c>
      <c r="P100" s="9">
        <f t="shared" si="19"/>
        <v>1.5541453141797E-2</v>
      </c>
      <c r="Q100" s="9">
        <f t="shared" si="20"/>
        <v>0</v>
      </c>
      <c r="R100" s="9">
        <f t="shared" si="21"/>
        <v>-1.5541453141797E-2</v>
      </c>
      <c r="S100" s="9">
        <f t="shared" si="22"/>
        <v>0</v>
      </c>
      <c r="T100" s="10">
        <f t="shared" si="26"/>
        <v>0.32999021458628364</v>
      </c>
      <c r="U100" s="10">
        <f t="shared" si="26"/>
        <v>0.21153588025793291</v>
      </c>
      <c r="V100" s="10">
        <f t="shared" si="26"/>
        <v>-0.13030723300069169</v>
      </c>
      <c r="W100" s="10">
        <f t="shared" si="25"/>
        <v>0.27370492251994527</v>
      </c>
      <c r="X100" s="10">
        <f t="shared" si="25"/>
        <v>0.32900487118990518</v>
      </c>
      <c r="Y100" s="10">
        <f t="shared" si="25"/>
        <v>0.14340908151838075</v>
      </c>
      <c r="Z100" s="10">
        <f t="shared" si="25"/>
        <v>-0.32900487118990518</v>
      </c>
      <c r="AA100" s="10">
        <f t="shared" si="14"/>
        <v>-0.14340908151838075</v>
      </c>
      <c r="AB100" s="7">
        <f t="shared" si="24"/>
        <v>0.68492378436347012</v>
      </c>
      <c r="AC100" s="7">
        <v>0.61782561805483138</v>
      </c>
    </row>
    <row r="101" spans="1:29" x14ac:dyDescent="0.25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28">
        <v>-1</v>
      </c>
      <c r="I101" s="28">
        <v>1</v>
      </c>
      <c r="J101" s="28">
        <v>-1</v>
      </c>
      <c r="K101" s="28">
        <v>1</v>
      </c>
      <c r="L101" s="9">
        <f t="shared" si="23"/>
        <v>0</v>
      </c>
      <c r="M101" s="9">
        <f t="shared" si="16"/>
        <v>1.4774148729976511E-2</v>
      </c>
      <c r="N101" s="9">
        <f t="shared" si="17"/>
        <v>0</v>
      </c>
      <c r="O101" s="9">
        <f t="shared" si="18"/>
        <v>1.899562522835507E-2</v>
      </c>
      <c r="P101" s="9">
        <f t="shared" si="19"/>
        <v>3.5306751267559562E-2</v>
      </c>
      <c r="Q101" s="9">
        <f t="shared" si="20"/>
        <v>0</v>
      </c>
      <c r="R101" s="9">
        <f t="shared" si="21"/>
        <v>-3.5306751267559562E-2</v>
      </c>
      <c r="S101" s="9">
        <f t="shared" si="22"/>
        <v>0</v>
      </c>
      <c r="T101" s="10">
        <f t="shared" si="26"/>
        <v>0.32999021458628364</v>
      </c>
      <c r="U101" s="10">
        <f t="shared" si="26"/>
        <v>0.22631002898790942</v>
      </c>
      <c r="V101" s="10">
        <f t="shared" si="26"/>
        <v>-0.13030723300069169</v>
      </c>
      <c r="W101" s="10">
        <f t="shared" si="25"/>
        <v>0.29270054774830034</v>
      </c>
      <c r="X101" s="10">
        <f t="shared" si="25"/>
        <v>0.36431162245746473</v>
      </c>
      <c r="Y101" s="10">
        <f t="shared" si="25"/>
        <v>0.14340908151838075</v>
      </c>
      <c r="Z101" s="10">
        <f t="shared" si="25"/>
        <v>-0.36431162245746473</v>
      </c>
      <c r="AA101" s="10">
        <f t="shared" si="14"/>
        <v>-0.14340908151838075</v>
      </c>
      <c r="AB101" s="7">
        <f t="shared" si="24"/>
        <v>0.71869355832180171</v>
      </c>
      <c r="AC101" s="7">
        <v>0.61870653554193833</v>
      </c>
    </row>
    <row r="102" spans="1:29" x14ac:dyDescent="0.25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28">
        <v>-1</v>
      </c>
      <c r="I102" s="28">
        <v>1</v>
      </c>
      <c r="J102" s="28">
        <v>-1</v>
      </c>
      <c r="K102" s="28">
        <v>1</v>
      </c>
      <c r="L102" s="9">
        <f t="shared" si="23"/>
        <v>0</v>
      </c>
      <c r="M102" s="9">
        <f t="shared" si="16"/>
        <v>-2.875213803400944E-3</v>
      </c>
      <c r="N102" s="9">
        <f t="shared" si="17"/>
        <v>0</v>
      </c>
      <c r="O102" s="9">
        <f t="shared" si="18"/>
        <v>7.3950875545023553E-3</v>
      </c>
      <c r="P102" s="9">
        <f t="shared" si="19"/>
        <v>3.628181362629368E-2</v>
      </c>
      <c r="Q102" s="9">
        <f t="shared" si="20"/>
        <v>0</v>
      </c>
      <c r="R102" s="9">
        <f t="shared" si="21"/>
        <v>-3.628181362629368E-2</v>
      </c>
      <c r="S102" s="9">
        <f t="shared" si="22"/>
        <v>0</v>
      </c>
      <c r="T102" s="10">
        <f t="shared" si="26"/>
        <v>0.32999021458628364</v>
      </c>
      <c r="U102" s="10">
        <f t="shared" si="26"/>
        <v>0.22343481518450847</v>
      </c>
      <c r="V102" s="10">
        <f t="shared" si="26"/>
        <v>-0.13030723300069169</v>
      </c>
      <c r="W102" s="10">
        <f t="shared" si="25"/>
        <v>0.3000956353028027</v>
      </c>
      <c r="X102" s="10">
        <f t="shared" si="25"/>
        <v>0.40059343608375841</v>
      </c>
      <c r="Y102" s="10">
        <f t="shared" si="25"/>
        <v>0.14340908151838075</v>
      </c>
      <c r="Z102" s="10">
        <f t="shared" si="25"/>
        <v>-0.40059343608375841</v>
      </c>
      <c r="AA102" s="10">
        <f t="shared" si="14"/>
        <v>-0.14340908151838075</v>
      </c>
      <c r="AB102" s="7">
        <f t="shared" si="24"/>
        <v>0.72321343207290312</v>
      </c>
      <c r="AC102" s="7">
        <v>0.68381891049544297</v>
      </c>
    </row>
    <row r="103" spans="1:29" x14ac:dyDescent="0.25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28">
        <v>-1</v>
      </c>
      <c r="I103" s="28">
        <v>1</v>
      </c>
      <c r="J103" s="28">
        <v>-1</v>
      </c>
      <c r="K103" s="28">
        <v>1</v>
      </c>
      <c r="L103" s="9">
        <f t="shared" si="23"/>
        <v>0</v>
      </c>
      <c r="M103" s="9">
        <f t="shared" si="16"/>
        <v>3.0658043550980669E-3</v>
      </c>
      <c r="N103" s="9">
        <f t="shared" si="17"/>
        <v>0</v>
      </c>
      <c r="O103" s="9">
        <f t="shared" si="18"/>
        <v>-3.5063178132811461E-3</v>
      </c>
      <c r="P103" s="9">
        <f t="shared" si="19"/>
        <v>1.106374106729446E-2</v>
      </c>
      <c r="Q103" s="9">
        <f t="shared" si="20"/>
        <v>0</v>
      </c>
      <c r="R103" s="9">
        <f t="shared" si="21"/>
        <v>-1.106374106729446E-2</v>
      </c>
      <c r="S103" s="9">
        <f t="shared" si="22"/>
        <v>0</v>
      </c>
      <c r="T103" s="10">
        <f t="shared" si="26"/>
        <v>0.32999021458628364</v>
      </c>
      <c r="U103" s="10">
        <f t="shared" si="26"/>
        <v>0.22650061953960654</v>
      </c>
      <c r="V103" s="10">
        <f t="shared" si="26"/>
        <v>-0.13030723300069169</v>
      </c>
      <c r="W103" s="10">
        <f t="shared" si="25"/>
        <v>0.29658931748952155</v>
      </c>
      <c r="X103" s="10">
        <f t="shared" si="25"/>
        <v>0.41165717715105288</v>
      </c>
      <c r="Y103" s="10">
        <f t="shared" si="25"/>
        <v>0.14340908151838075</v>
      </c>
      <c r="Z103" s="10">
        <f t="shared" si="25"/>
        <v>-0.41165717715105288</v>
      </c>
      <c r="AA103" s="10">
        <f t="shared" si="14"/>
        <v>-0.14340908151838075</v>
      </c>
      <c r="AB103" s="7">
        <f t="shared" si="24"/>
        <v>0.72277291861472004</v>
      </c>
      <c r="AC103" s="7">
        <v>0.70725956608540319</v>
      </c>
    </row>
    <row r="104" spans="1:29" x14ac:dyDescent="0.25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28">
        <v>-1</v>
      </c>
      <c r="I104" s="28">
        <v>1</v>
      </c>
      <c r="J104" s="28">
        <v>-1</v>
      </c>
      <c r="K104" s="28">
        <v>1</v>
      </c>
      <c r="L104" s="9">
        <f t="shared" si="23"/>
        <v>0</v>
      </c>
      <c r="M104" s="9">
        <f t="shared" si="16"/>
        <v>-1.005808878577874E-2</v>
      </c>
      <c r="N104" s="9">
        <f t="shared" si="17"/>
        <v>0</v>
      </c>
      <c r="O104" s="9">
        <f t="shared" si="18"/>
        <v>1.7183129655892859E-2</v>
      </c>
      <c r="P104" s="9">
        <f t="shared" si="19"/>
        <v>2.540084508438201E-2</v>
      </c>
      <c r="Q104" s="9">
        <f t="shared" si="20"/>
        <v>0</v>
      </c>
      <c r="R104" s="9">
        <f t="shared" si="21"/>
        <v>-2.540084508438201E-2</v>
      </c>
      <c r="S104" s="9">
        <f t="shared" si="22"/>
        <v>0</v>
      </c>
      <c r="T104" s="10">
        <f t="shared" si="26"/>
        <v>0.32999021458628364</v>
      </c>
      <c r="U104" s="10">
        <f t="shared" si="26"/>
        <v>0.2164425307538278</v>
      </c>
      <c r="V104" s="10">
        <f t="shared" si="26"/>
        <v>-0.13030723300069169</v>
      </c>
      <c r="W104" s="10">
        <f t="shared" si="25"/>
        <v>0.31377244714541441</v>
      </c>
      <c r="X104" s="10">
        <f t="shared" si="25"/>
        <v>0.43705802223543488</v>
      </c>
      <c r="Y104" s="10">
        <f t="shared" si="25"/>
        <v>0.14340908151838075</v>
      </c>
      <c r="Z104" s="10">
        <f t="shared" si="25"/>
        <v>-0.43705802223543488</v>
      </c>
      <c r="AA104" s="10">
        <f t="shared" si="14"/>
        <v>-0.14340908151838075</v>
      </c>
      <c r="AB104" s="7">
        <f t="shared" si="24"/>
        <v>0.72989795948483416</v>
      </c>
      <c r="AC104" s="7">
        <v>0.74192619173960661</v>
      </c>
    </row>
    <row r="105" spans="1:29" x14ac:dyDescent="0.25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28">
        <v>1</v>
      </c>
      <c r="I105" s="28">
        <v>1</v>
      </c>
      <c r="J105" s="28">
        <v>1</v>
      </c>
      <c r="K105" s="28">
        <v>1</v>
      </c>
      <c r="L105" s="9">
        <f t="shared" si="23"/>
        <v>2.1839555187624819E-2</v>
      </c>
      <c r="M105" s="9">
        <f t="shared" si="16"/>
        <v>0</v>
      </c>
      <c r="N105" s="9">
        <f t="shared" si="17"/>
        <v>8.3279577216403E-3</v>
      </c>
      <c r="O105" s="9">
        <f t="shared" si="18"/>
        <v>0</v>
      </c>
      <c r="P105" s="9">
        <f t="shared" si="19"/>
        <v>-1.265349245007652E-2</v>
      </c>
      <c r="Q105" s="9">
        <f t="shared" si="20"/>
        <v>0</v>
      </c>
      <c r="R105" s="9">
        <f t="shared" si="21"/>
        <v>1.265349245007652E-2</v>
      </c>
      <c r="S105" s="9">
        <f t="shared" si="22"/>
        <v>0</v>
      </c>
      <c r="T105" s="10">
        <f t="shared" si="26"/>
        <v>0.35182976977390845</v>
      </c>
      <c r="U105" s="10">
        <f t="shared" si="26"/>
        <v>0.2164425307538278</v>
      </c>
      <c r="V105" s="10">
        <f t="shared" si="26"/>
        <v>-0.12197927527905139</v>
      </c>
      <c r="W105" s="10">
        <f t="shared" si="25"/>
        <v>0.31377244714541441</v>
      </c>
      <c r="X105" s="10">
        <f t="shared" si="25"/>
        <v>0.42440452978535836</v>
      </c>
      <c r="Y105" s="10">
        <f t="shared" si="25"/>
        <v>0.14340908151838075</v>
      </c>
      <c r="Z105" s="10">
        <f t="shared" si="25"/>
        <v>-0.42440452978535836</v>
      </c>
      <c r="AA105" s="10">
        <f t="shared" si="14"/>
        <v>-0.14340908151838075</v>
      </c>
      <c r="AB105" s="7">
        <f t="shared" si="24"/>
        <v>0.76006547239409927</v>
      </c>
      <c r="AC105" s="7">
        <v>0.74321206219355218</v>
      </c>
    </row>
    <row r="106" spans="1:29" x14ac:dyDescent="0.25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28">
        <v>1</v>
      </c>
      <c r="I106" s="28">
        <v>-1</v>
      </c>
      <c r="J106" s="28">
        <v>1</v>
      </c>
      <c r="K106" s="28">
        <v>-1</v>
      </c>
      <c r="L106" s="9">
        <f t="shared" si="23"/>
        <v>1.9681546292944829E-2</v>
      </c>
      <c r="M106" s="9">
        <f t="shared" si="16"/>
        <v>0</v>
      </c>
      <c r="N106" s="9">
        <f t="shared" si="17"/>
        <v>-1.3976148507365621E-2</v>
      </c>
      <c r="O106" s="9">
        <f t="shared" si="18"/>
        <v>0</v>
      </c>
      <c r="P106" s="9">
        <f t="shared" si="19"/>
        <v>0</v>
      </c>
      <c r="Q106" s="9">
        <f t="shared" si="20"/>
        <v>-5.5075839404019611E-3</v>
      </c>
      <c r="R106" s="9">
        <f t="shared" si="21"/>
        <v>0</v>
      </c>
      <c r="S106" s="9">
        <f t="shared" si="22"/>
        <v>5.5075839404019611E-3</v>
      </c>
      <c r="T106" s="10">
        <f t="shared" si="26"/>
        <v>0.37151131606685328</v>
      </c>
      <c r="U106" s="10">
        <f t="shared" si="26"/>
        <v>0.2164425307538278</v>
      </c>
      <c r="V106" s="10">
        <f t="shared" si="26"/>
        <v>-0.13595542378641701</v>
      </c>
      <c r="W106" s="10">
        <f t="shared" si="25"/>
        <v>0.31377244714541441</v>
      </c>
      <c r="X106" s="10">
        <f t="shared" si="25"/>
        <v>0.42440452978535836</v>
      </c>
      <c r="Y106" s="10">
        <f t="shared" si="25"/>
        <v>0.13790149757797879</v>
      </c>
      <c r="Z106" s="10">
        <f t="shared" si="25"/>
        <v>-0.42440452978535836</v>
      </c>
      <c r="AA106" s="10">
        <f t="shared" si="14"/>
        <v>-0.13790149757797879</v>
      </c>
      <c r="AB106" s="7">
        <f t="shared" si="24"/>
        <v>0.76577087017967849</v>
      </c>
      <c r="AC106" s="7">
        <v>0.77207627870613438</v>
      </c>
    </row>
    <row r="107" spans="1:29" x14ac:dyDescent="0.25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28">
        <v>1</v>
      </c>
      <c r="I107" s="28">
        <v>-1</v>
      </c>
      <c r="J107" s="28">
        <v>1</v>
      </c>
      <c r="K107" s="28">
        <v>-1</v>
      </c>
      <c r="L107" s="9">
        <f t="shared" si="23"/>
        <v>9.7536821874453228E-3</v>
      </c>
      <c r="M107" s="9">
        <f t="shared" si="16"/>
        <v>0</v>
      </c>
      <c r="N107" s="9">
        <f t="shared" si="17"/>
        <v>-1.433877544824114E-2</v>
      </c>
      <c r="O107" s="9">
        <f t="shared" si="18"/>
        <v>0</v>
      </c>
      <c r="P107" s="9">
        <f t="shared" si="19"/>
        <v>0</v>
      </c>
      <c r="Q107" s="9">
        <f t="shared" si="20"/>
        <v>1.6399602816304371E-2</v>
      </c>
      <c r="R107" s="9">
        <f t="shared" si="21"/>
        <v>0</v>
      </c>
      <c r="S107" s="9">
        <f t="shared" si="22"/>
        <v>-1.6399602816304371E-2</v>
      </c>
      <c r="T107" s="10">
        <f t="shared" si="26"/>
        <v>0.3812649982542986</v>
      </c>
      <c r="U107" s="10">
        <f t="shared" si="26"/>
        <v>0.2164425307538278</v>
      </c>
      <c r="V107" s="10">
        <f t="shared" si="26"/>
        <v>-0.15029419923465814</v>
      </c>
      <c r="W107" s="10">
        <f t="shared" si="25"/>
        <v>0.31377244714541441</v>
      </c>
      <c r="X107" s="10">
        <f t="shared" si="25"/>
        <v>0.42440452978535836</v>
      </c>
      <c r="Y107" s="10">
        <f t="shared" si="25"/>
        <v>0.15430110039428316</v>
      </c>
      <c r="Z107" s="10">
        <f t="shared" si="25"/>
        <v>-0.42440452978535836</v>
      </c>
      <c r="AA107" s="10">
        <f t="shared" si="14"/>
        <v>-0.15430110039428316</v>
      </c>
      <c r="AB107" s="7">
        <f t="shared" si="24"/>
        <v>0.76118577691888267</v>
      </c>
      <c r="AC107" s="7">
        <v>0.76125917277680133</v>
      </c>
    </row>
    <row r="108" spans="1:29" x14ac:dyDescent="0.25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28">
        <v>1</v>
      </c>
      <c r="I108" s="28">
        <v>-1</v>
      </c>
      <c r="J108" s="28">
        <v>1</v>
      </c>
      <c r="K108" s="28">
        <v>-1</v>
      </c>
      <c r="L108" s="9">
        <f t="shared" si="23"/>
        <v>1.9576589886227121E-2</v>
      </c>
      <c r="M108" s="9">
        <f t="shared" si="16"/>
        <v>0</v>
      </c>
      <c r="N108" s="9">
        <f t="shared" si="17"/>
        <v>2.5927329772757472E-2</v>
      </c>
      <c r="O108" s="9">
        <f t="shared" si="18"/>
        <v>0</v>
      </c>
      <c r="P108" s="9">
        <f t="shared" si="19"/>
        <v>0</v>
      </c>
      <c r="Q108" s="9">
        <f t="shared" si="20"/>
        <v>4.4668335779919799E-2</v>
      </c>
      <c r="R108" s="9">
        <f t="shared" si="21"/>
        <v>0</v>
      </c>
      <c r="S108" s="9">
        <f t="shared" si="22"/>
        <v>-4.4668335779919799E-2</v>
      </c>
      <c r="T108" s="10">
        <f t="shared" si="26"/>
        <v>0.40084158814052573</v>
      </c>
      <c r="U108" s="10">
        <f t="shared" si="26"/>
        <v>0.2164425307538278</v>
      </c>
      <c r="V108" s="10">
        <f t="shared" si="26"/>
        <v>-0.12436686946190068</v>
      </c>
      <c r="W108" s="10">
        <f t="shared" si="25"/>
        <v>0.31377244714541441</v>
      </c>
      <c r="X108" s="10">
        <f t="shared" si="25"/>
        <v>0.42440452978535836</v>
      </c>
      <c r="Y108" s="10">
        <f t="shared" si="25"/>
        <v>0.19896943617420296</v>
      </c>
      <c r="Z108" s="10">
        <f t="shared" si="25"/>
        <v>-0.42440452978535836</v>
      </c>
      <c r="AA108" s="10">
        <f t="shared" si="14"/>
        <v>-0.19896943617420296</v>
      </c>
      <c r="AB108" s="7">
        <f t="shared" si="24"/>
        <v>0.80668969657786727</v>
      </c>
      <c r="AC108" s="7">
        <v>0.74539366444177635</v>
      </c>
    </row>
    <row r="109" spans="1:29" x14ac:dyDescent="0.25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28">
        <v>1</v>
      </c>
      <c r="I109" s="28">
        <v>-1</v>
      </c>
      <c r="J109" s="28">
        <v>1</v>
      </c>
      <c r="K109" s="28">
        <v>-1</v>
      </c>
      <c r="L109" s="9">
        <f t="shared" si="23"/>
        <v>-3.9528426274924922E-2</v>
      </c>
      <c r="M109" s="9">
        <f t="shared" si="16"/>
        <v>0</v>
      </c>
      <c r="N109" s="9">
        <f t="shared" si="17"/>
        <v>-1.9565489991610559E-2</v>
      </c>
      <c r="O109" s="9">
        <f t="shared" si="18"/>
        <v>0</v>
      </c>
      <c r="P109" s="9">
        <f t="shared" si="19"/>
        <v>0</v>
      </c>
      <c r="Q109" s="9">
        <f t="shared" si="20"/>
        <v>-1.843369921447147E-2</v>
      </c>
      <c r="R109" s="9">
        <f t="shared" si="21"/>
        <v>0</v>
      </c>
      <c r="S109" s="9">
        <f t="shared" si="22"/>
        <v>1.843369921447147E-2</v>
      </c>
      <c r="T109" s="10">
        <f t="shared" si="26"/>
        <v>0.36131316186560081</v>
      </c>
      <c r="U109" s="10">
        <f t="shared" si="26"/>
        <v>0.2164425307538278</v>
      </c>
      <c r="V109" s="10">
        <f t="shared" si="26"/>
        <v>-0.14393235945351124</v>
      </c>
      <c r="W109" s="10">
        <f t="shared" si="25"/>
        <v>0.31377244714541441</v>
      </c>
      <c r="X109" s="10">
        <f t="shared" si="25"/>
        <v>0.42440452978535836</v>
      </c>
      <c r="Y109" s="10">
        <f t="shared" si="25"/>
        <v>0.18053573695973149</v>
      </c>
      <c r="Z109" s="10">
        <f t="shared" si="25"/>
        <v>-0.42440452978535836</v>
      </c>
      <c r="AA109" s="10">
        <f t="shared" si="14"/>
        <v>-0.18053573695973149</v>
      </c>
      <c r="AB109" s="7">
        <f t="shared" si="24"/>
        <v>0.74759578031133178</v>
      </c>
      <c r="AC109" s="7">
        <v>0.72611803319983881</v>
      </c>
    </row>
    <row r="110" spans="1:29" x14ac:dyDescent="0.25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28">
        <v>1</v>
      </c>
      <c r="I110" s="28">
        <v>-1</v>
      </c>
      <c r="J110" s="28">
        <v>1</v>
      </c>
      <c r="K110" s="28">
        <v>-1</v>
      </c>
      <c r="L110" s="9">
        <f t="shared" si="23"/>
        <v>8.2894492520989904E-2</v>
      </c>
      <c r="M110" s="9">
        <f t="shared" si="16"/>
        <v>0</v>
      </c>
      <c r="N110" s="9">
        <f t="shared" si="17"/>
        <v>3.7258111853094363E-2</v>
      </c>
      <c r="O110" s="9">
        <f t="shared" si="18"/>
        <v>0</v>
      </c>
      <c r="P110" s="9">
        <f t="shared" si="19"/>
        <v>0</v>
      </c>
      <c r="Q110" s="9">
        <f t="shared" si="20"/>
        <v>7.2719953971707163E-2</v>
      </c>
      <c r="R110" s="9">
        <f t="shared" si="21"/>
        <v>0</v>
      </c>
      <c r="S110" s="9">
        <f t="shared" si="22"/>
        <v>-7.2719953971707163E-2</v>
      </c>
      <c r="T110" s="10">
        <f t="shared" si="26"/>
        <v>0.44420765438659071</v>
      </c>
      <c r="U110" s="10">
        <f t="shared" si="26"/>
        <v>0.2164425307538278</v>
      </c>
      <c r="V110" s="10">
        <f t="shared" si="26"/>
        <v>-0.10667424760041688</v>
      </c>
      <c r="W110" s="10">
        <f t="shared" si="25"/>
        <v>0.31377244714541441</v>
      </c>
      <c r="X110" s="10">
        <f t="shared" si="25"/>
        <v>0.42440452978535836</v>
      </c>
      <c r="Y110" s="10">
        <f t="shared" si="25"/>
        <v>0.25325569093143863</v>
      </c>
      <c r="Z110" s="10">
        <f t="shared" si="25"/>
        <v>-0.42440452978535836</v>
      </c>
      <c r="AA110" s="10">
        <f t="shared" si="14"/>
        <v>-0.25325569093143863</v>
      </c>
      <c r="AB110" s="7">
        <f t="shared" si="24"/>
        <v>0.86774838468541604</v>
      </c>
      <c r="AC110" s="7">
        <v>0.67895343479714498</v>
      </c>
    </row>
    <row r="111" spans="1:29" x14ac:dyDescent="0.25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28">
        <v>1</v>
      </c>
      <c r="I111" s="28">
        <v>-1</v>
      </c>
      <c r="J111" s="28">
        <v>1</v>
      </c>
      <c r="K111" s="28">
        <v>-1</v>
      </c>
      <c r="L111" s="9">
        <f t="shared" si="23"/>
        <v>3.4845106398282422E-3</v>
      </c>
      <c r="M111" s="9">
        <f t="shared" si="16"/>
        <v>0</v>
      </c>
      <c r="N111" s="9">
        <f t="shared" si="17"/>
        <v>1.8264435141549521E-2</v>
      </c>
      <c r="O111" s="9">
        <f t="shared" si="18"/>
        <v>0</v>
      </c>
      <c r="P111" s="9">
        <f t="shared" si="19"/>
        <v>0</v>
      </c>
      <c r="Q111" s="9">
        <f t="shared" si="20"/>
        <v>2.550400529244801E-2</v>
      </c>
      <c r="R111" s="9">
        <f t="shared" si="21"/>
        <v>0</v>
      </c>
      <c r="S111" s="9">
        <f t="shared" si="22"/>
        <v>-2.550400529244801E-2</v>
      </c>
      <c r="T111" s="10">
        <f t="shared" si="26"/>
        <v>0.44769216502641895</v>
      </c>
      <c r="U111" s="10">
        <f t="shared" si="26"/>
        <v>0.2164425307538278</v>
      </c>
      <c r="V111" s="10">
        <f t="shared" si="26"/>
        <v>-8.8409812458867365E-2</v>
      </c>
      <c r="W111" s="10">
        <f t="shared" si="25"/>
        <v>0.31377244714541441</v>
      </c>
      <c r="X111" s="10">
        <f t="shared" si="25"/>
        <v>0.42440452978535836</v>
      </c>
      <c r="Y111" s="10">
        <f t="shared" si="25"/>
        <v>0.27875969622388663</v>
      </c>
      <c r="Z111" s="10">
        <f t="shared" si="25"/>
        <v>-0.42440452978535836</v>
      </c>
      <c r="AA111" s="10">
        <f t="shared" si="14"/>
        <v>-0.27875969622388663</v>
      </c>
      <c r="AB111" s="7">
        <f t="shared" si="24"/>
        <v>0.8894973304667938</v>
      </c>
      <c r="AC111" s="7">
        <v>0.61048167656388042</v>
      </c>
    </row>
    <row r="112" spans="1:29" x14ac:dyDescent="0.25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28">
        <v>-1</v>
      </c>
      <c r="I112" s="28">
        <v>-1</v>
      </c>
      <c r="J112" s="28">
        <v>-1</v>
      </c>
      <c r="K112" s="28">
        <v>-1</v>
      </c>
      <c r="L112" s="9">
        <f t="shared" si="23"/>
        <v>0</v>
      </c>
      <c r="M112" s="9">
        <f t="shared" si="16"/>
        <v>-1.347157187948911E-2</v>
      </c>
      <c r="N112" s="9">
        <f t="shared" si="17"/>
        <v>0</v>
      </c>
      <c r="O112" s="9">
        <f t="shared" si="18"/>
        <v>2.5899482378262121E-2</v>
      </c>
      <c r="P112" s="9">
        <f t="shared" si="19"/>
        <v>0</v>
      </c>
      <c r="Q112" s="9">
        <f t="shared" si="20"/>
        <v>-2.3375811161540638E-2</v>
      </c>
      <c r="R112" s="9">
        <f t="shared" si="21"/>
        <v>0</v>
      </c>
      <c r="S112" s="9">
        <f t="shared" si="22"/>
        <v>2.3375811161540638E-2</v>
      </c>
      <c r="T112" s="10">
        <f t="shared" si="26"/>
        <v>0.44769216502641895</v>
      </c>
      <c r="U112" s="10">
        <f t="shared" si="26"/>
        <v>0.20297095887433869</v>
      </c>
      <c r="V112" s="10">
        <f t="shared" si="26"/>
        <v>-8.8409812458867365E-2</v>
      </c>
      <c r="W112" s="10">
        <f t="shared" si="25"/>
        <v>0.33967192952367653</v>
      </c>
      <c r="X112" s="10">
        <f t="shared" si="25"/>
        <v>0.42440452978535836</v>
      </c>
      <c r="Y112" s="10">
        <f t="shared" si="25"/>
        <v>0.25538388506234599</v>
      </c>
      <c r="Z112" s="10">
        <f t="shared" si="25"/>
        <v>-0.42440452978535836</v>
      </c>
      <c r="AA112" s="10">
        <f t="shared" si="14"/>
        <v>-0.25538388506234599</v>
      </c>
      <c r="AB112" s="7">
        <f t="shared" si="24"/>
        <v>0.90192524096556681</v>
      </c>
      <c r="AC112" s="7">
        <v>0.71764554481044274</v>
      </c>
    </row>
    <row r="113" spans="1:29" x14ac:dyDescent="0.25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28">
        <v>1</v>
      </c>
      <c r="I113" s="28">
        <v>1</v>
      </c>
      <c r="J113" s="28">
        <v>1</v>
      </c>
      <c r="K113" s="28">
        <v>1</v>
      </c>
      <c r="L113" s="9">
        <f t="shared" si="23"/>
        <v>4.5075342684113513E-2</v>
      </c>
      <c r="M113" s="9">
        <f t="shared" si="16"/>
        <v>0</v>
      </c>
      <c r="N113" s="9">
        <f t="shared" si="17"/>
        <v>1.7867556485685051E-2</v>
      </c>
      <c r="O113" s="9">
        <f t="shared" si="18"/>
        <v>0</v>
      </c>
      <c r="P113" s="9">
        <f t="shared" si="19"/>
        <v>6.7675756013161337E-3</v>
      </c>
      <c r="Q113" s="9">
        <f t="shared" si="20"/>
        <v>0</v>
      </c>
      <c r="R113" s="9">
        <f t="shared" si="21"/>
        <v>-6.7675756013161337E-3</v>
      </c>
      <c r="S113" s="9">
        <f t="shared" si="22"/>
        <v>0</v>
      </c>
      <c r="T113" s="10">
        <f t="shared" si="26"/>
        <v>0.49276750771053246</v>
      </c>
      <c r="U113" s="10">
        <f t="shared" si="26"/>
        <v>0.20297095887433869</v>
      </c>
      <c r="V113" s="10">
        <f t="shared" si="26"/>
        <v>-7.0542255973182311E-2</v>
      </c>
      <c r="W113" s="10">
        <f t="shared" si="25"/>
        <v>0.33967192952367653</v>
      </c>
      <c r="X113" s="10">
        <f t="shared" si="25"/>
        <v>0.4311721053866745</v>
      </c>
      <c r="Y113" s="10">
        <f t="shared" si="25"/>
        <v>0.25538388506234599</v>
      </c>
      <c r="Z113" s="10">
        <f t="shared" si="25"/>
        <v>-0.4311721053866745</v>
      </c>
      <c r="AA113" s="10">
        <f t="shared" si="14"/>
        <v>-0.25538388506234599</v>
      </c>
      <c r="AB113" s="7">
        <f t="shared" si="24"/>
        <v>0.96486814013536537</v>
      </c>
      <c r="AC113" s="7">
        <v>0.71729463695148776</v>
      </c>
    </row>
    <row r="114" spans="1:29" x14ac:dyDescent="0.25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28">
        <v>1</v>
      </c>
      <c r="I114" s="28">
        <v>-1</v>
      </c>
      <c r="J114" s="28">
        <v>1</v>
      </c>
      <c r="K114" s="28">
        <v>-1</v>
      </c>
      <c r="L114" s="9">
        <f t="shared" si="23"/>
        <v>1.088518048012033E-2</v>
      </c>
      <c r="M114" s="9">
        <f t="shared" si="16"/>
        <v>0</v>
      </c>
      <c r="N114" s="9">
        <f t="shared" si="17"/>
        <v>-2.1366490350528181E-2</v>
      </c>
      <c r="O114" s="9">
        <f t="shared" si="18"/>
        <v>0</v>
      </c>
      <c r="P114" s="9">
        <f t="shared" si="19"/>
        <v>0</v>
      </c>
      <c r="Q114" s="9">
        <f t="shared" si="20"/>
        <v>-1.38912821579279E-2</v>
      </c>
      <c r="R114" s="9">
        <f t="shared" si="21"/>
        <v>0</v>
      </c>
      <c r="S114" s="9">
        <f t="shared" si="22"/>
        <v>1.38912821579279E-2</v>
      </c>
      <c r="T114" s="10">
        <f t="shared" si="26"/>
        <v>0.50365268819065279</v>
      </c>
      <c r="U114" s="10">
        <f t="shared" si="26"/>
        <v>0.20297095887433869</v>
      </c>
      <c r="V114" s="10">
        <f t="shared" si="26"/>
        <v>-9.1908746323710488E-2</v>
      </c>
      <c r="W114" s="10">
        <f t="shared" si="25"/>
        <v>0.33967192952367653</v>
      </c>
      <c r="X114" s="10">
        <f t="shared" si="25"/>
        <v>0.4311721053866745</v>
      </c>
      <c r="Y114" s="10">
        <f t="shared" si="25"/>
        <v>0.2414926029044181</v>
      </c>
      <c r="Z114" s="10">
        <f t="shared" si="25"/>
        <v>-0.4311721053866745</v>
      </c>
      <c r="AA114" s="10">
        <f t="shared" si="14"/>
        <v>-0.2414926029044181</v>
      </c>
      <c r="AB114" s="7">
        <f t="shared" si="24"/>
        <v>0.95438683026495752</v>
      </c>
      <c r="AC114" s="7">
        <v>0.72909649707832913</v>
      </c>
    </row>
    <row r="115" spans="1:29" x14ac:dyDescent="0.25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28">
        <v>-1</v>
      </c>
      <c r="I115" s="28">
        <v>-1</v>
      </c>
      <c r="J115" s="28">
        <v>-1</v>
      </c>
      <c r="K115" s="28">
        <v>-1</v>
      </c>
      <c r="L115" s="9">
        <f t="shared" si="23"/>
        <v>0</v>
      </c>
      <c r="M115" s="9">
        <f t="shared" si="16"/>
        <v>1.0115263608377889E-3</v>
      </c>
      <c r="N115" s="9">
        <f t="shared" si="17"/>
        <v>0</v>
      </c>
      <c r="O115" s="9">
        <f t="shared" si="18"/>
        <v>3.7318147531354318E-2</v>
      </c>
      <c r="P115" s="9">
        <f t="shared" si="19"/>
        <v>0</v>
      </c>
      <c r="Q115" s="9">
        <f t="shared" si="20"/>
        <v>-2.0017882973261129E-2</v>
      </c>
      <c r="R115" s="9">
        <f t="shared" si="21"/>
        <v>0</v>
      </c>
      <c r="S115" s="9">
        <f t="shared" si="22"/>
        <v>2.0017882973261129E-2</v>
      </c>
      <c r="T115" s="10">
        <f t="shared" si="26"/>
        <v>0.50365268819065279</v>
      </c>
      <c r="U115" s="10">
        <f t="shared" si="26"/>
        <v>0.20398248523517648</v>
      </c>
      <c r="V115" s="10">
        <f t="shared" si="26"/>
        <v>-9.1908746323710488E-2</v>
      </c>
      <c r="W115" s="10">
        <f t="shared" si="25"/>
        <v>0.37699007705503085</v>
      </c>
      <c r="X115" s="10">
        <f t="shared" si="25"/>
        <v>0.4311721053866745</v>
      </c>
      <c r="Y115" s="10">
        <f t="shared" si="25"/>
        <v>0.22147471993115697</v>
      </c>
      <c r="Z115" s="10">
        <f t="shared" si="25"/>
        <v>-0.4311721053866745</v>
      </c>
      <c r="AA115" s="10">
        <f t="shared" si="14"/>
        <v>-0.22147471993115697</v>
      </c>
      <c r="AB115" s="7">
        <f t="shared" si="24"/>
        <v>0.99271650415714963</v>
      </c>
      <c r="AC115" s="7">
        <v>0.77476546181557937</v>
      </c>
    </row>
    <row r="116" spans="1:29" x14ac:dyDescent="0.25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28">
        <v>-1</v>
      </c>
      <c r="I116" s="28">
        <v>1</v>
      </c>
      <c r="J116" s="28">
        <v>-1</v>
      </c>
      <c r="K116" s="28">
        <v>1</v>
      </c>
      <c r="L116" s="9">
        <f t="shared" si="23"/>
        <v>0</v>
      </c>
      <c r="M116" s="9">
        <f t="shared" si="16"/>
        <v>-7.2772189390528652E-3</v>
      </c>
      <c r="N116" s="9">
        <f t="shared" si="17"/>
        <v>0</v>
      </c>
      <c r="O116" s="9">
        <f t="shared" si="18"/>
        <v>5.9779435558354743E-3</v>
      </c>
      <c r="P116" s="9">
        <f t="shared" si="19"/>
        <v>2.6221192813614121E-2</v>
      </c>
      <c r="Q116" s="9">
        <f t="shared" si="20"/>
        <v>0</v>
      </c>
      <c r="R116" s="9">
        <f t="shared" si="21"/>
        <v>-2.6221192813614121E-2</v>
      </c>
      <c r="S116" s="9">
        <f t="shared" si="22"/>
        <v>0</v>
      </c>
      <c r="T116" s="10">
        <f t="shared" si="26"/>
        <v>0.50365268819065279</v>
      </c>
      <c r="U116" s="10">
        <f t="shared" si="26"/>
        <v>0.19670526629612362</v>
      </c>
      <c r="V116" s="10">
        <f t="shared" si="26"/>
        <v>-9.1908746323710488E-2</v>
      </c>
      <c r="W116" s="10">
        <f t="shared" si="25"/>
        <v>0.38296802061086632</v>
      </c>
      <c r="X116" s="10">
        <f t="shared" si="25"/>
        <v>0.45739329820028862</v>
      </c>
      <c r="Y116" s="10">
        <f t="shared" si="25"/>
        <v>0.22147471993115697</v>
      </c>
      <c r="Z116" s="10">
        <f t="shared" si="25"/>
        <v>-0.45739329820028862</v>
      </c>
      <c r="AA116" s="10">
        <f t="shared" si="14"/>
        <v>-0.22147471993115697</v>
      </c>
      <c r="AB116" s="7">
        <f t="shared" si="24"/>
        <v>0.99141722877393224</v>
      </c>
      <c r="AC116" s="7">
        <v>0.81756238687363458</v>
      </c>
    </row>
    <row r="117" spans="1:29" x14ac:dyDescent="0.25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28">
        <v>-1</v>
      </c>
      <c r="I117" s="28">
        <v>1</v>
      </c>
      <c r="J117" s="28">
        <v>-1</v>
      </c>
      <c r="K117" s="28">
        <v>1</v>
      </c>
      <c r="L117" s="9">
        <f t="shared" si="23"/>
        <v>0</v>
      </c>
      <c r="M117" s="9">
        <f t="shared" si="16"/>
        <v>-4.4259570448217378E-3</v>
      </c>
      <c r="N117" s="9">
        <f t="shared" si="17"/>
        <v>0</v>
      </c>
      <c r="O117" s="9">
        <f t="shared" si="18"/>
        <v>3.9230791147519817E-3</v>
      </c>
      <c r="P117" s="9">
        <f t="shared" si="19"/>
        <v>-9.5954388945616031E-3</v>
      </c>
      <c r="Q117" s="9">
        <f t="shared" si="20"/>
        <v>0</v>
      </c>
      <c r="R117" s="9">
        <f t="shared" si="21"/>
        <v>9.5954388945616031E-3</v>
      </c>
      <c r="S117" s="9">
        <f t="shared" si="22"/>
        <v>0</v>
      </c>
      <c r="T117" s="10">
        <f t="shared" si="26"/>
        <v>0.50365268819065279</v>
      </c>
      <c r="U117" s="10">
        <f t="shared" si="26"/>
        <v>0.19227930925130188</v>
      </c>
      <c r="V117" s="10">
        <f t="shared" si="26"/>
        <v>-9.1908746323710488E-2</v>
      </c>
      <c r="W117" s="10">
        <f t="shared" si="25"/>
        <v>0.3868910997256183</v>
      </c>
      <c r="X117" s="10">
        <f t="shared" si="25"/>
        <v>0.44779785930572702</v>
      </c>
      <c r="Y117" s="10">
        <f t="shared" si="25"/>
        <v>0.22147471993115697</v>
      </c>
      <c r="Z117" s="10">
        <f t="shared" si="25"/>
        <v>-0.44779785930572702</v>
      </c>
      <c r="AA117" s="10">
        <f t="shared" si="25"/>
        <v>-0.22147471993115697</v>
      </c>
      <c r="AB117" s="7">
        <f t="shared" si="24"/>
        <v>0.99091435084386248</v>
      </c>
      <c r="AC117" s="7">
        <v>0.84978303526100751</v>
      </c>
    </row>
    <row r="118" spans="1:29" x14ac:dyDescent="0.25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28">
        <v>1</v>
      </c>
      <c r="I118" s="28">
        <v>1</v>
      </c>
      <c r="J118" s="28">
        <v>1</v>
      </c>
      <c r="K118" s="28">
        <v>1</v>
      </c>
      <c r="L118" s="9">
        <f t="shared" si="23"/>
        <v>2.2398409440053221E-2</v>
      </c>
      <c r="M118" s="9">
        <f t="shared" si="16"/>
        <v>0</v>
      </c>
      <c r="N118" s="9">
        <f t="shared" si="17"/>
        <v>5.0446636684776669E-3</v>
      </c>
      <c r="O118" s="9">
        <f t="shared" si="18"/>
        <v>0</v>
      </c>
      <c r="P118" s="9">
        <f t="shared" si="19"/>
        <v>-1.8416806744192771E-2</v>
      </c>
      <c r="Q118" s="9">
        <f t="shared" si="20"/>
        <v>0</v>
      </c>
      <c r="R118" s="9">
        <f t="shared" si="21"/>
        <v>1.8416806744192771E-2</v>
      </c>
      <c r="S118" s="9">
        <f t="shared" si="22"/>
        <v>0</v>
      </c>
      <c r="T118" s="10">
        <f t="shared" si="26"/>
        <v>0.52605109763070601</v>
      </c>
      <c r="U118" s="10">
        <f t="shared" si="26"/>
        <v>0.19227930925130188</v>
      </c>
      <c r="V118" s="10">
        <f t="shared" si="26"/>
        <v>-8.6864082655232822E-2</v>
      </c>
      <c r="W118" s="10">
        <f t="shared" si="25"/>
        <v>0.3868910997256183</v>
      </c>
      <c r="X118" s="10">
        <f t="shared" si="25"/>
        <v>0.42938105256153425</v>
      </c>
      <c r="Y118" s="10">
        <f t="shared" si="25"/>
        <v>0.22147471993115697</v>
      </c>
      <c r="Z118" s="10">
        <f t="shared" si="25"/>
        <v>-0.42938105256153425</v>
      </c>
      <c r="AA118" s="10">
        <f t="shared" si="25"/>
        <v>-0.22147471993115697</v>
      </c>
      <c r="AB118" s="7">
        <f t="shared" si="24"/>
        <v>1.0183574239523934</v>
      </c>
      <c r="AC118" s="7">
        <v>0.84386836634224693</v>
      </c>
    </row>
    <row r="119" spans="1:29" x14ac:dyDescent="0.25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28">
        <v>1</v>
      </c>
      <c r="I119" s="28">
        <v>-1</v>
      </c>
      <c r="J119" s="28">
        <v>1</v>
      </c>
      <c r="K119" s="28">
        <v>-1</v>
      </c>
      <c r="L119" s="9">
        <f t="shared" si="23"/>
        <v>-3.6056630659992979E-3</v>
      </c>
      <c r="M119" s="9">
        <f t="shared" si="16"/>
        <v>0</v>
      </c>
      <c r="N119" s="9">
        <f t="shared" si="17"/>
        <v>-2.959100809988191E-2</v>
      </c>
      <c r="O119" s="9">
        <f t="shared" si="18"/>
        <v>0</v>
      </c>
      <c r="P119" s="9">
        <f t="shared" si="19"/>
        <v>0</v>
      </c>
      <c r="Q119" s="9">
        <f t="shared" si="20"/>
        <v>1.9816924051218709E-2</v>
      </c>
      <c r="R119" s="9">
        <f t="shared" si="21"/>
        <v>0</v>
      </c>
      <c r="S119" s="9">
        <f t="shared" si="22"/>
        <v>-1.9816924051218709E-2</v>
      </c>
      <c r="T119" s="10">
        <f t="shared" si="26"/>
        <v>0.52244543456470671</v>
      </c>
      <c r="U119" s="10">
        <f t="shared" si="26"/>
        <v>0.19227930925130188</v>
      </c>
      <c r="V119" s="10">
        <f t="shared" si="26"/>
        <v>-0.11645509075511473</v>
      </c>
      <c r="W119" s="10">
        <f t="shared" si="25"/>
        <v>0.3868910997256183</v>
      </c>
      <c r="X119" s="10">
        <f t="shared" si="25"/>
        <v>0.42938105256153425</v>
      </c>
      <c r="Y119" s="10">
        <f t="shared" si="25"/>
        <v>0.24129164398237568</v>
      </c>
      <c r="Z119" s="10">
        <f t="shared" si="25"/>
        <v>-0.42938105256153425</v>
      </c>
      <c r="AA119" s="10">
        <f t="shared" si="25"/>
        <v>-0.24129164398237568</v>
      </c>
      <c r="AB119" s="7">
        <f t="shared" si="24"/>
        <v>0.98516075278651216</v>
      </c>
      <c r="AC119" s="7">
        <v>0.78272136711892559</v>
      </c>
    </row>
    <row r="120" spans="1:29" x14ac:dyDescent="0.25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28">
        <v>-1</v>
      </c>
      <c r="I120" s="28">
        <v>-1</v>
      </c>
      <c r="J120" s="28">
        <v>-1</v>
      </c>
      <c r="K120" s="28">
        <v>-1</v>
      </c>
      <c r="L120" s="9">
        <f t="shared" si="23"/>
        <v>0</v>
      </c>
      <c r="M120" s="9">
        <f t="shared" si="16"/>
        <v>-2.778239714532782E-2</v>
      </c>
      <c r="N120" s="9">
        <f t="shared" si="17"/>
        <v>0</v>
      </c>
      <c r="O120" s="9">
        <f t="shared" si="18"/>
        <v>-1.1696513778884031E-2</v>
      </c>
      <c r="P120" s="9">
        <f t="shared" si="19"/>
        <v>0</v>
      </c>
      <c r="Q120" s="9">
        <f t="shared" si="20"/>
        <v>-5.0017537319737571E-3</v>
      </c>
      <c r="R120" s="9">
        <f t="shared" si="21"/>
        <v>0</v>
      </c>
      <c r="S120" s="9">
        <f t="shared" si="22"/>
        <v>5.0017537319737571E-3</v>
      </c>
      <c r="T120" s="10">
        <f t="shared" si="26"/>
        <v>0.52244543456470671</v>
      </c>
      <c r="U120" s="10">
        <f t="shared" si="26"/>
        <v>0.16449691210597406</v>
      </c>
      <c r="V120" s="10">
        <f t="shared" si="26"/>
        <v>-0.11645509075511473</v>
      </c>
      <c r="W120" s="10">
        <f t="shared" si="25"/>
        <v>0.37519458594673427</v>
      </c>
      <c r="X120" s="10">
        <f t="shared" si="25"/>
        <v>0.42938105256153425</v>
      </c>
      <c r="Y120" s="10">
        <f t="shared" si="25"/>
        <v>0.23628989025040192</v>
      </c>
      <c r="Z120" s="10">
        <f t="shared" si="25"/>
        <v>-0.42938105256153425</v>
      </c>
      <c r="AA120" s="10">
        <f t="shared" si="25"/>
        <v>-0.23628989025040192</v>
      </c>
      <c r="AB120" s="7">
        <f t="shared" si="24"/>
        <v>0.94568184186230031</v>
      </c>
      <c r="AC120" s="7">
        <v>0.82423457221858953</v>
      </c>
    </row>
    <row r="121" spans="1:29" x14ac:dyDescent="0.25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28">
        <v>1</v>
      </c>
      <c r="I121" s="28">
        <v>1</v>
      </c>
      <c r="J121" s="28">
        <v>1</v>
      </c>
      <c r="K121" s="28">
        <v>1</v>
      </c>
      <c r="L121" s="9">
        <f t="shared" si="23"/>
        <v>1.9573077326752619E-2</v>
      </c>
      <c r="M121" s="9">
        <f t="shared" si="16"/>
        <v>0</v>
      </c>
      <c r="N121" s="9">
        <f t="shared" si="17"/>
        <v>8.0819510267572392E-3</v>
      </c>
      <c r="O121" s="9">
        <f t="shared" si="18"/>
        <v>0</v>
      </c>
      <c r="P121" s="9">
        <f t="shared" si="19"/>
        <v>-5.6646054141751279E-3</v>
      </c>
      <c r="Q121" s="9">
        <f t="shared" si="20"/>
        <v>0</v>
      </c>
      <c r="R121" s="9">
        <f t="shared" si="21"/>
        <v>5.6646054141751279E-3</v>
      </c>
      <c r="S121" s="9">
        <f t="shared" si="22"/>
        <v>0</v>
      </c>
      <c r="T121" s="10">
        <f t="shared" si="26"/>
        <v>0.54201851189145933</v>
      </c>
      <c r="U121" s="10">
        <f t="shared" si="26"/>
        <v>0.16449691210597406</v>
      </c>
      <c r="V121" s="10">
        <f t="shared" si="26"/>
        <v>-0.10837313972835749</v>
      </c>
      <c r="W121" s="10">
        <f t="shared" si="25"/>
        <v>0.37519458594673427</v>
      </c>
      <c r="X121" s="10">
        <f t="shared" si="25"/>
        <v>0.42371644714735912</v>
      </c>
      <c r="Y121" s="10">
        <f t="shared" si="25"/>
        <v>0.23628989025040192</v>
      </c>
      <c r="Z121" s="10">
        <f t="shared" si="25"/>
        <v>-0.42371644714735912</v>
      </c>
      <c r="AA121" s="10">
        <f t="shared" si="25"/>
        <v>-0.23628989025040192</v>
      </c>
      <c r="AB121" s="7">
        <f t="shared" si="24"/>
        <v>0.97333687021581017</v>
      </c>
      <c r="AC121" s="7">
        <v>0.83678097677323093</v>
      </c>
    </row>
    <row r="122" spans="1:29" x14ac:dyDescent="0.25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28">
        <v>-1</v>
      </c>
      <c r="I122" s="28">
        <v>-1</v>
      </c>
      <c r="J122" s="28">
        <v>-1</v>
      </c>
      <c r="K122" s="28">
        <v>-1</v>
      </c>
      <c r="L122" s="9">
        <f t="shared" si="23"/>
        <v>0</v>
      </c>
      <c r="M122" s="9">
        <f t="shared" si="16"/>
        <v>4.1513148228764507E-3</v>
      </c>
      <c r="N122" s="9">
        <f t="shared" si="17"/>
        <v>0</v>
      </c>
      <c r="O122" s="9">
        <f t="shared" si="18"/>
        <v>4.2913232093258147E-2</v>
      </c>
      <c r="P122" s="9">
        <f t="shared" si="19"/>
        <v>0</v>
      </c>
      <c r="Q122" s="9">
        <f t="shared" si="20"/>
        <v>-1.9008424479750149E-2</v>
      </c>
      <c r="R122" s="9">
        <f t="shared" si="21"/>
        <v>0</v>
      </c>
      <c r="S122" s="9">
        <f t="shared" si="22"/>
        <v>1.9008424479750149E-2</v>
      </c>
      <c r="T122" s="10">
        <f t="shared" si="26"/>
        <v>0.54201851189145933</v>
      </c>
      <c r="U122" s="10">
        <f t="shared" si="26"/>
        <v>0.16864822692885051</v>
      </c>
      <c r="V122" s="10">
        <f t="shared" si="26"/>
        <v>-0.10837313972835749</v>
      </c>
      <c r="W122" s="10">
        <f t="shared" si="25"/>
        <v>0.41810781803999242</v>
      </c>
      <c r="X122" s="10">
        <f t="shared" si="25"/>
        <v>0.42371644714735912</v>
      </c>
      <c r="Y122" s="10">
        <f t="shared" si="25"/>
        <v>0.21728146577065177</v>
      </c>
      <c r="Z122" s="10">
        <f t="shared" si="25"/>
        <v>-0.42371644714735912</v>
      </c>
      <c r="AA122" s="10">
        <f t="shared" si="25"/>
        <v>-0.21728146577065177</v>
      </c>
      <c r="AB122" s="7">
        <f t="shared" si="24"/>
        <v>1.0204014171319447</v>
      </c>
      <c r="AC122" s="7">
        <v>0.86188412478712573</v>
      </c>
    </row>
    <row r="123" spans="1:29" x14ac:dyDescent="0.25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28">
        <v>-1</v>
      </c>
      <c r="I123" s="28">
        <v>1</v>
      </c>
      <c r="J123" s="28">
        <v>-1</v>
      </c>
      <c r="K123" s="28">
        <v>1</v>
      </c>
      <c r="L123" s="9">
        <f t="shared" si="23"/>
        <v>0</v>
      </c>
      <c r="M123" s="9">
        <f t="shared" si="16"/>
        <v>1.1473873402932931E-2</v>
      </c>
      <c r="N123" s="9">
        <f t="shared" si="17"/>
        <v>0</v>
      </c>
      <c r="O123" s="9">
        <f t="shared" si="18"/>
        <v>1.407417004567979E-2</v>
      </c>
      <c r="P123" s="9">
        <f t="shared" si="19"/>
        <v>1.67381533987121E-2</v>
      </c>
      <c r="Q123" s="9">
        <f t="shared" si="20"/>
        <v>0</v>
      </c>
      <c r="R123" s="9">
        <f t="shared" si="21"/>
        <v>-1.67381533987121E-2</v>
      </c>
      <c r="S123" s="9">
        <f t="shared" si="22"/>
        <v>0</v>
      </c>
      <c r="T123" s="10">
        <f t="shared" si="26"/>
        <v>0.54201851189145933</v>
      </c>
      <c r="U123" s="10">
        <f t="shared" si="26"/>
        <v>0.18012210033178344</v>
      </c>
      <c r="V123" s="10">
        <f t="shared" si="26"/>
        <v>-0.10837313972835749</v>
      </c>
      <c r="W123" s="10">
        <f t="shared" si="25"/>
        <v>0.43218198808567221</v>
      </c>
      <c r="X123" s="10">
        <f t="shared" si="25"/>
        <v>0.44045460054607122</v>
      </c>
      <c r="Y123" s="10">
        <f t="shared" si="25"/>
        <v>0.21728146577065177</v>
      </c>
      <c r="Z123" s="10">
        <f t="shared" si="25"/>
        <v>-0.44045460054607122</v>
      </c>
      <c r="AA123" s="10">
        <f t="shared" si="25"/>
        <v>-0.21728146577065177</v>
      </c>
      <c r="AB123" s="7">
        <f t="shared" si="24"/>
        <v>1.0459494605805573</v>
      </c>
      <c r="AC123" s="7">
        <v>0.88741557660100889</v>
      </c>
    </row>
    <row r="124" spans="1:29" x14ac:dyDescent="0.25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28">
        <v>-1</v>
      </c>
      <c r="I124" s="28">
        <v>1</v>
      </c>
      <c r="J124" s="28">
        <v>-1</v>
      </c>
      <c r="K124" s="28">
        <v>1</v>
      </c>
      <c r="L124" s="9">
        <f t="shared" si="23"/>
        <v>0</v>
      </c>
      <c r="M124" s="9">
        <f t="shared" si="16"/>
        <v>1.422323488915833E-2</v>
      </c>
      <c r="N124" s="9">
        <f t="shared" si="17"/>
        <v>0</v>
      </c>
      <c r="O124" s="9">
        <f t="shared" si="18"/>
        <v>1.3527727202809261E-2</v>
      </c>
      <c r="P124" s="9">
        <f t="shared" si="19"/>
        <v>1.499840539520458E-2</v>
      </c>
      <c r="Q124" s="9">
        <f t="shared" si="20"/>
        <v>0</v>
      </c>
      <c r="R124" s="9">
        <f t="shared" si="21"/>
        <v>-1.499840539520458E-2</v>
      </c>
      <c r="S124" s="9">
        <f t="shared" si="22"/>
        <v>0</v>
      </c>
      <c r="T124" s="10">
        <f t="shared" si="26"/>
        <v>0.54201851189145933</v>
      </c>
      <c r="U124" s="10">
        <f t="shared" si="26"/>
        <v>0.19434533522094177</v>
      </c>
      <c r="V124" s="10">
        <f t="shared" si="26"/>
        <v>-0.10837313972835749</v>
      </c>
      <c r="W124" s="10">
        <f t="shared" si="25"/>
        <v>0.44570971528848147</v>
      </c>
      <c r="X124" s="10">
        <f t="shared" si="25"/>
        <v>0.4554530059412758</v>
      </c>
      <c r="Y124" s="10">
        <f t="shared" si="25"/>
        <v>0.21728146577065177</v>
      </c>
      <c r="Z124" s="10">
        <f t="shared" si="25"/>
        <v>-0.4554530059412758</v>
      </c>
      <c r="AA124" s="10">
        <f t="shared" si="25"/>
        <v>-0.21728146577065177</v>
      </c>
      <c r="AB124" s="7">
        <f t="shared" si="24"/>
        <v>1.0737004226725249</v>
      </c>
      <c r="AC124" s="7">
        <v>0.86951425739555355</v>
      </c>
    </row>
    <row r="125" spans="1:29" x14ac:dyDescent="0.25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28">
        <v>1</v>
      </c>
      <c r="I125" s="28">
        <v>1</v>
      </c>
      <c r="J125" s="28">
        <v>1</v>
      </c>
      <c r="K125" s="28">
        <v>1</v>
      </c>
      <c r="L125" s="9">
        <f t="shared" si="23"/>
        <v>1.9326932096521591E-2</v>
      </c>
      <c r="M125" s="9">
        <f t="shared" si="16"/>
        <v>0</v>
      </c>
      <c r="N125" s="9">
        <f t="shared" si="17"/>
        <v>-3.717232166651097E-3</v>
      </c>
      <c r="O125" s="9">
        <f t="shared" si="18"/>
        <v>0</v>
      </c>
      <c r="P125" s="9">
        <f t="shared" si="19"/>
        <v>-1.12112150279865E-2</v>
      </c>
      <c r="Q125" s="9">
        <f t="shared" si="20"/>
        <v>0</v>
      </c>
      <c r="R125" s="9">
        <f t="shared" si="21"/>
        <v>1.12112150279865E-2</v>
      </c>
      <c r="S125" s="9">
        <f t="shared" si="22"/>
        <v>0</v>
      </c>
      <c r="T125" s="10">
        <f t="shared" si="26"/>
        <v>0.56134544398798092</v>
      </c>
      <c r="U125" s="10">
        <f t="shared" si="26"/>
        <v>0.19434533522094177</v>
      </c>
      <c r="V125" s="10">
        <f t="shared" si="26"/>
        <v>-0.11209037189500859</v>
      </c>
      <c r="W125" s="10">
        <f t="shared" si="25"/>
        <v>0.44570971528848147</v>
      </c>
      <c r="X125" s="10">
        <f t="shared" si="25"/>
        <v>0.4442417909132893</v>
      </c>
      <c r="Y125" s="10">
        <f t="shared" si="25"/>
        <v>0.21728146577065177</v>
      </c>
      <c r="Z125" s="10">
        <f t="shared" si="25"/>
        <v>-0.4442417909132893</v>
      </c>
      <c r="AA125" s="10">
        <f t="shared" si="25"/>
        <v>-0.21728146577065177</v>
      </c>
      <c r="AB125" s="7">
        <f t="shared" si="24"/>
        <v>1.0893101226023953</v>
      </c>
      <c r="AC125" s="7">
        <v>0.87608462368905504</v>
      </c>
    </row>
    <row r="126" spans="1:29" x14ac:dyDescent="0.25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28">
        <v>-1</v>
      </c>
      <c r="I126" s="28">
        <v>-1</v>
      </c>
      <c r="J126" s="28">
        <v>-1</v>
      </c>
      <c r="K126" s="28">
        <v>-1</v>
      </c>
      <c r="L126" s="9">
        <f t="shared" si="23"/>
        <v>0</v>
      </c>
      <c r="M126" s="9">
        <f t="shared" si="16"/>
        <v>2.4482430351016049E-3</v>
      </c>
      <c r="N126" s="9">
        <f t="shared" si="17"/>
        <v>0</v>
      </c>
      <c r="O126" s="9">
        <f t="shared" si="18"/>
        <v>-6.4120347138925124E-3</v>
      </c>
      <c r="P126" s="9">
        <f t="shared" si="19"/>
        <v>0</v>
      </c>
      <c r="Q126" s="9">
        <f t="shared" si="20"/>
        <v>-1.8527991565052691E-3</v>
      </c>
      <c r="R126" s="9">
        <f t="shared" si="21"/>
        <v>0</v>
      </c>
      <c r="S126" s="9">
        <f t="shared" si="22"/>
        <v>1.8527991565052691E-3</v>
      </c>
      <c r="T126" s="10">
        <f t="shared" si="26"/>
        <v>0.56134544398798092</v>
      </c>
      <c r="U126" s="10">
        <f t="shared" si="26"/>
        <v>0.19679357825604338</v>
      </c>
      <c r="V126" s="10">
        <f t="shared" si="26"/>
        <v>-0.11209037189500859</v>
      </c>
      <c r="W126" s="10">
        <f t="shared" si="25"/>
        <v>0.43929768057458896</v>
      </c>
      <c r="X126" s="10">
        <f t="shared" si="25"/>
        <v>0.4442417909132893</v>
      </c>
      <c r="Y126" s="10">
        <f t="shared" si="25"/>
        <v>0.2154286666141465</v>
      </c>
      <c r="Z126" s="10">
        <f t="shared" si="25"/>
        <v>-0.4442417909132893</v>
      </c>
      <c r="AA126" s="10">
        <f t="shared" si="25"/>
        <v>-0.2154286666141465</v>
      </c>
      <c r="AB126" s="7">
        <f t="shared" si="24"/>
        <v>1.0853463309236044</v>
      </c>
      <c r="AC126" s="7">
        <v>0.88548569751078399</v>
      </c>
    </row>
    <row r="127" spans="1:29" x14ac:dyDescent="0.25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28">
        <v>-1</v>
      </c>
      <c r="I127" s="28">
        <v>1</v>
      </c>
      <c r="J127" s="28">
        <v>-1</v>
      </c>
      <c r="K127" s="28">
        <v>1</v>
      </c>
      <c r="L127" s="9">
        <f t="shared" si="23"/>
        <v>0</v>
      </c>
      <c r="M127" s="9">
        <f t="shared" si="16"/>
        <v>-2.241633564037282E-3</v>
      </c>
      <c r="N127" s="9">
        <f t="shared" si="17"/>
        <v>0</v>
      </c>
      <c r="O127" s="9">
        <f t="shared" si="18"/>
        <v>-2.319886733437948E-2</v>
      </c>
      <c r="P127" s="9">
        <f t="shared" si="19"/>
        <v>2.215239622234055E-2</v>
      </c>
      <c r="Q127" s="9">
        <f t="shared" si="20"/>
        <v>0</v>
      </c>
      <c r="R127" s="9">
        <f t="shared" si="21"/>
        <v>-2.215239622234055E-2</v>
      </c>
      <c r="S127" s="9">
        <f t="shared" si="22"/>
        <v>0</v>
      </c>
      <c r="T127" s="10">
        <f t="shared" si="26"/>
        <v>0.56134544398798092</v>
      </c>
      <c r="U127" s="10">
        <f t="shared" si="26"/>
        <v>0.1945519446920061</v>
      </c>
      <c r="V127" s="10">
        <f t="shared" si="26"/>
        <v>-0.11209037189500859</v>
      </c>
      <c r="W127" s="10">
        <f t="shared" si="25"/>
        <v>0.41609881324020948</v>
      </c>
      <c r="X127" s="10">
        <f t="shared" si="25"/>
        <v>0.46639418713562986</v>
      </c>
      <c r="Y127" s="10">
        <f t="shared" si="25"/>
        <v>0.2154286666141465</v>
      </c>
      <c r="Z127" s="10">
        <f t="shared" si="25"/>
        <v>-0.46639418713562986</v>
      </c>
      <c r="AA127" s="10">
        <f t="shared" si="25"/>
        <v>-0.2154286666141465</v>
      </c>
      <c r="AB127" s="7">
        <f t="shared" si="24"/>
        <v>1.0599058300251878</v>
      </c>
      <c r="AC127" s="7">
        <v>0.93586081319784464</v>
      </c>
    </row>
    <row r="128" spans="1:29" x14ac:dyDescent="0.25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28">
        <v>-1</v>
      </c>
      <c r="I128" s="28">
        <v>1</v>
      </c>
      <c r="J128" s="28">
        <v>-1</v>
      </c>
      <c r="K128" s="28">
        <v>1</v>
      </c>
      <c r="L128" s="9">
        <f t="shared" si="23"/>
        <v>0</v>
      </c>
      <c r="M128" s="9">
        <f t="shared" si="16"/>
        <v>1.5574667500634081E-3</v>
      </c>
      <c r="N128" s="9">
        <f t="shared" si="17"/>
        <v>0</v>
      </c>
      <c r="O128" s="9">
        <f t="shared" si="18"/>
        <v>1.278013025673308E-2</v>
      </c>
      <c r="P128" s="9">
        <f t="shared" si="19"/>
        <v>8.5496423782238651E-3</v>
      </c>
      <c r="Q128" s="9">
        <f t="shared" si="20"/>
        <v>0</v>
      </c>
      <c r="R128" s="9">
        <f t="shared" si="21"/>
        <v>-8.5496423782238651E-3</v>
      </c>
      <c r="S128" s="9">
        <f t="shared" si="22"/>
        <v>0</v>
      </c>
      <c r="T128" s="10">
        <f t="shared" si="26"/>
        <v>0.56134544398798092</v>
      </c>
      <c r="U128" s="10">
        <f t="shared" si="26"/>
        <v>0.1961094114420695</v>
      </c>
      <c r="V128" s="10">
        <f t="shared" si="26"/>
        <v>-0.11209037189500859</v>
      </c>
      <c r="W128" s="10">
        <f t="shared" si="25"/>
        <v>0.42887894349694256</v>
      </c>
      <c r="X128" s="10">
        <f t="shared" si="25"/>
        <v>0.47494382951385372</v>
      </c>
      <c r="Y128" s="10">
        <f t="shared" si="25"/>
        <v>0.2154286666141465</v>
      </c>
      <c r="Z128" s="10">
        <f t="shared" si="25"/>
        <v>-0.47494382951385372</v>
      </c>
      <c r="AA128" s="10">
        <f t="shared" si="25"/>
        <v>-0.2154286666141465</v>
      </c>
      <c r="AB128" s="7">
        <f t="shared" si="24"/>
        <v>1.0742434270319843</v>
      </c>
      <c r="AC128" s="7">
        <v>0.94918508406489688</v>
      </c>
    </row>
    <row r="129" spans="1:29" x14ac:dyDescent="0.25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28">
        <v>-1</v>
      </c>
      <c r="I129" s="28">
        <v>1</v>
      </c>
      <c r="J129" s="28">
        <v>-1</v>
      </c>
      <c r="K129" s="28">
        <v>1</v>
      </c>
      <c r="L129" s="9">
        <f t="shared" si="23"/>
        <v>0</v>
      </c>
      <c r="M129" s="9">
        <f t="shared" si="16"/>
        <v>-1.4931685828961091E-2</v>
      </c>
      <c r="N129" s="9">
        <f t="shared" si="17"/>
        <v>0</v>
      </c>
      <c r="O129" s="9">
        <f t="shared" si="18"/>
        <v>4.4757288646212201E-3</v>
      </c>
      <c r="P129" s="9">
        <f t="shared" si="19"/>
        <v>2.0755155750476591E-2</v>
      </c>
      <c r="Q129" s="9">
        <f t="shared" si="20"/>
        <v>0</v>
      </c>
      <c r="R129" s="9">
        <f t="shared" si="21"/>
        <v>-2.0755155750476591E-2</v>
      </c>
      <c r="S129" s="9">
        <f t="shared" si="22"/>
        <v>0</v>
      </c>
      <c r="T129" s="10">
        <f t="shared" si="26"/>
        <v>0.56134544398798092</v>
      </c>
      <c r="U129" s="10">
        <f t="shared" si="26"/>
        <v>0.18117772561310841</v>
      </c>
      <c r="V129" s="10">
        <f t="shared" si="26"/>
        <v>-0.11209037189500859</v>
      </c>
      <c r="W129" s="10">
        <f t="shared" si="25"/>
        <v>0.43335467236156378</v>
      </c>
      <c r="X129" s="10">
        <f t="shared" si="25"/>
        <v>0.49569898526433032</v>
      </c>
      <c r="Y129" s="10">
        <f t="shared" si="25"/>
        <v>0.2154286666141465</v>
      </c>
      <c r="Z129" s="10">
        <f t="shared" si="25"/>
        <v>-0.49569898526433032</v>
      </c>
      <c r="AA129" s="10">
        <f t="shared" si="25"/>
        <v>-0.2154286666141465</v>
      </c>
      <c r="AB129" s="7">
        <f t="shared" si="24"/>
        <v>1.0637874700676444</v>
      </c>
      <c r="AC129" s="7">
        <v>0.98670623069497021</v>
      </c>
    </row>
    <row r="130" spans="1:29" x14ac:dyDescent="0.25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28">
        <v>1</v>
      </c>
      <c r="I130" s="28">
        <v>1</v>
      </c>
      <c r="J130" s="28">
        <v>1</v>
      </c>
      <c r="K130" s="28">
        <v>1</v>
      </c>
      <c r="L130" s="9">
        <f t="shared" si="23"/>
        <v>2.6752532889311679E-2</v>
      </c>
      <c r="M130" s="9">
        <f t="shared" si="16"/>
        <v>0</v>
      </c>
      <c r="N130" s="9">
        <f t="shared" si="17"/>
        <v>-1.5318044248833209E-3</v>
      </c>
      <c r="O130" s="9">
        <f t="shared" si="18"/>
        <v>0</v>
      </c>
      <c r="P130" s="9">
        <f t="shared" si="19"/>
        <v>-9.5949999830765575E-3</v>
      </c>
      <c r="Q130" s="9">
        <f t="shared" si="20"/>
        <v>0</v>
      </c>
      <c r="R130" s="9">
        <f t="shared" si="21"/>
        <v>9.5949999830765575E-3</v>
      </c>
      <c r="S130" s="9">
        <f t="shared" si="22"/>
        <v>0</v>
      </c>
      <c r="T130" s="10">
        <f t="shared" si="26"/>
        <v>0.58809797687729259</v>
      </c>
      <c r="U130" s="10">
        <f t="shared" si="26"/>
        <v>0.18117772561310841</v>
      </c>
      <c r="V130" s="10">
        <f t="shared" si="26"/>
        <v>-0.11362217631989191</v>
      </c>
      <c r="W130" s="10">
        <f t="shared" si="25"/>
        <v>0.43335467236156378</v>
      </c>
      <c r="X130" s="10">
        <f t="shared" si="25"/>
        <v>0.48610398528125376</v>
      </c>
      <c r="Y130" s="10">
        <f t="shared" si="25"/>
        <v>0.2154286666141465</v>
      </c>
      <c r="Z130" s="10">
        <f t="shared" si="25"/>
        <v>-0.48610398528125376</v>
      </c>
      <c r="AA130" s="10">
        <f t="shared" si="25"/>
        <v>-0.2154286666141465</v>
      </c>
      <c r="AB130" s="7">
        <f t="shared" si="24"/>
        <v>1.0890081985320728</v>
      </c>
      <c r="AC130" s="7">
        <v>1.0065809434769011</v>
      </c>
    </row>
    <row r="131" spans="1:29" x14ac:dyDescent="0.25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28">
        <v>-1</v>
      </c>
      <c r="I131" s="28">
        <v>-1</v>
      </c>
      <c r="J131" s="28">
        <v>-1</v>
      </c>
      <c r="K131" s="28">
        <v>-1</v>
      </c>
      <c r="L131" s="9">
        <f t="shared" si="23"/>
        <v>0</v>
      </c>
      <c r="M131" s="9">
        <f t="shared" ref="M131:M194" si="27">IF(H131=-1,-D131,0)</f>
        <v>2.232266078521716E-2</v>
      </c>
      <c r="N131" s="9">
        <f t="shared" ref="N131:N194" si="28">IF(H131=1,-E131,0)</f>
        <v>0</v>
      </c>
      <c r="O131" s="9">
        <f t="shared" ref="O131:O194" si="29">IF(H131=-1,E131,0)</f>
        <v>-2.8668033920763111E-2</v>
      </c>
      <c r="P131" s="9">
        <f t="shared" ref="P131:P194" si="30">IF(I131=1,F131,0)</f>
        <v>0</v>
      </c>
      <c r="Q131" s="9">
        <f t="shared" ref="Q131:Q194" si="31">IF($I131=-1,-$F131,0)</f>
        <v>-1.8270437263955389E-2</v>
      </c>
      <c r="R131" s="9">
        <f t="shared" ref="R131:R194" si="32">IF($I131=1,-$F131,0)</f>
        <v>0</v>
      </c>
      <c r="S131" s="9">
        <f t="shared" ref="S131:S194" si="33">IF($I131=-1,$F131,0)</f>
        <v>1.8270437263955389E-2</v>
      </c>
      <c r="T131" s="10">
        <f t="shared" si="26"/>
        <v>0.58809797687729259</v>
      </c>
      <c r="U131" s="10">
        <f t="shared" si="26"/>
        <v>0.20350038639832557</v>
      </c>
      <c r="V131" s="10">
        <f t="shared" si="26"/>
        <v>-0.11362217631989191</v>
      </c>
      <c r="W131" s="10">
        <f t="shared" si="25"/>
        <v>0.40468663844080066</v>
      </c>
      <c r="X131" s="10">
        <f t="shared" si="25"/>
        <v>0.48610398528125376</v>
      </c>
      <c r="Y131" s="10">
        <f t="shared" si="25"/>
        <v>0.19715822935019112</v>
      </c>
      <c r="Z131" s="10">
        <f t="shared" si="25"/>
        <v>-0.48610398528125376</v>
      </c>
      <c r="AA131" s="10">
        <f t="shared" si="25"/>
        <v>-0.19715822935019112</v>
      </c>
      <c r="AB131" s="7">
        <f t="shared" si="24"/>
        <v>1.0826628253965267</v>
      </c>
      <c r="AC131" s="7">
        <v>1.030392622981529</v>
      </c>
    </row>
    <row r="132" spans="1:29" x14ac:dyDescent="0.25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28">
        <v>-1</v>
      </c>
      <c r="I132" s="28">
        <v>1</v>
      </c>
      <c r="J132" s="28">
        <v>-1</v>
      </c>
      <c r="K132" s="28">
        <v>1</v>
      </c>
      <c r="L132" s="9">
        <f t="shared" ref="L132:L195" si="34">IF(H132=1,D132,0)</f>
        <v>0</v>
      </c>
      <c r="M132" s="9">
        <f t="shared" si="27"/>
        <v>-8.6516615786813578E-3</v>
      </c>
      <c r="N132" s="9">
        <f t="shared" si="28"/>
        <v>0</v>
      </c>
      <c r="O132" s="9">
        <f t="shared" si="29"/>
        <v>1.8789339880801E-2</v>
      </c>
      <c r="P132" s="9">
        <f t="shared" si="30"/>
        <v>8.4728810845677849E-3</v>
      </c>
      <c r="Q132" s="9">
        <f t="shared" si="31"/>
        <v>0</v>
      </c>
      <c r="R132" s="9">
        <f t="shared" si="32"/>
        <v>-8.4728810845677849E-3</v>
      </c>
      <c r="S132" s="9">
        <f t="shared" si="33"/>
        <v>0</v>
      </c>
      <c r="T132" s="10">
        <f t="shared" si="26"/>
        <v>0.58809797687729259</v>
      </c>
      <c r="U132" s="10">
        <f t="shared" si="26"/>
        <v>0.19484872481964421</v>
      </c>
      <c r="V132" s="10">
        <f t="shared" si="26"/>
        <v>-0.11362217631989191</v>
      </c>
      <c r="W132" s="10">
        <f t="shared" si="25"/>
        <v>0.42347597832160166</v>
      </c>
      <c r="X132" s="10">
        <f t="shared" si="25"/>
        <v>0.49457686636582154</v>
      </c>
      <c r="Y132" s="10">
        <f t="shared" si="25"/>
        <v>0.19715822935019112</v>
      </c>
      <c r="Z132" s="10">
        <f t="shared" si="25"/>
        <v>-0.49457686636582154</v>
      </c>
      <c r="AA132" s="10">
        <f t="shared" si="25"/>
        <v>-0.19715822935019112</v>
      </c>
      <c r="AB132" s="7">
        <f t="shared" ref="AB132:AB195" si="35">AB131+SUM(L132:S132)</f>
        <v>1.0928005036986463</v>
      </c>
      <c r="AC132" s="7">
        <v>1.01810273735165</v>
      </c>
    </row>
    <row r="133" spans="1:29" x14ac:dyDescent="0.25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28">
        <v>-1</v>
      </c>
      <c r="I133" s="28">
        <v>1</v>
      </c>
      <c r="J133" s="28">
        <v>-1</v>
      </c>
      <c r="K133" s="28">
        <v>1</v>
      </c>
      <c r="L133" s="9">
        <f t="shared" si="34"/>
        <v>0</v>
      </c>
      <c r="M133" s="9">
        <f t="shared" si="27"/>
        <v>4.654155338221444E-3</v>
      </c>
      <c r="N133" s="9">
        <f t="shared" si="28"/>
        <v>0</v>
      </c>
      <c r="O133" s="9">
        <f t="shared" si="29"/>
        <v>-1.5153481683465969E-2</v>
      </c>
      <c r="P133" s="9">
        <f t="shared" si="30"/>
        <v>2.1857772377859019E-2</v>
      </c>
      <c r="Q133" s="9">
        <f t="shared" si="31"/>
        <v>0</v>
      </c>
      <c r="R133" s="9">
        <f t="shared" si="32"/>
        <v>-2.1857772377859019E-2</v>
      </c>
      <c r="S133" s="9">
        <f t="shared" si="33"/>
        <v>0</v>
      </c>
      <c r="T133" s="10">
        <f t="shared" si="26"/>
        <v>0.58809797687729259</v>
      </c>
      <c r="U133" s="10">
        <f t="shared" si="26"/>
        <v>0.19950288015786566</v>
      </c>
      <c r="V133" s="10">
        <f t="shared" si="26"/>
        <v>-0.11362217631989191</v>
      </c>
      <c r="W133" s="10">
        <f t="shared" si="25"/>
        <v>0.40832249663813569</v>
      </c>
      <c r="X133" s="10">
        <f t="shared" si="25"/>
        <v>0.51643463874368056</v>
      </c>
      <c r="Y133" s="10">
        <f t="shared" si="25"/>
        <v>0.19715822935019112</v>
      </c>
      <c r="Z133" s="10">
        <f t="shared" si="25"/>
        <v>-0.51643463874368056</v>
      </c>
      <c r="AA133" s="10">
        <f t="shared" si="25"/>
        <v>-0.19715822935019112</v>
      </c>
      <c r="AB133" s="7">
        <f t="shared" si="35"/>
        <v>1.0823011773534019</v>
      </c>
      <c r="AC133" s="7">
        <v>1.068751808181662</v>
      </c>
    </row>
    <row r="134" spans="1:29" x14ac:dyDescent="0.25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28">
        <v>-1</v>
      </c>
      <c r="I134" s="28">
        <v>1</v>
      </c>
      <c r="J134" s="28">
        <v>-1</v>
      </c>
      <c r="K134" s="28">
        <v>1</v>
      </c>
      <c r="L134" s="9">
        <f t="shared" si="34"/>
        <v>0</v>
      </c>
      <c r="M134" s="9">
        <f t="shared" si="27"/>
        <v>5.3475942096892224E-3</v>
      </c>
      <c r="N134" s="9">
        <f t="shared" si="28"/>
        <v>0</v>
      </c>
      <c r="O134" s="9">
        <f t="shared" si="29"/>
        <v>3.7364376806102717E-2</v>
      </c>
      <c r="P134" s="9">
        <f t="shared" si="30"/>
        <v>2.871942946102712E-3</v>
      </c>
      <c r="Q134" s="9">
        <f t="shared" si="31"/>
        <v>0</v>
      </c>
      <c r="R134" s="9">
        <f t="shared" si="32"/>
        <v>-2.871942946102712E-3</v>
      </c>
      <c r="S134" s="9">
        <f t="shared" si="33"/>
        <v>0</v>
      </c>
      <c r="T134" s="10">
        <f t="shared" si="26"/>
        <v>0.58809797687729259</v>
      </c>
      <c r="U134" s="10">
        <f t="shared" si="26"/>
        <v>0.20485047436755488</v>
      </c>
      <c r="V134" s="10">
        <f t="shared" si="26"/>
        <v>-0.11362217631989191</v>
      </c>
      <c r="W134" s="10">
        <f t="shared" si="25"/>
        <v>0.44568687344423841</v>
      </c>
      <c r="X134" s="10">
        <f t="shared" si="25"/>
        <v>0.51930658168978328</v>
      </c>
      <c r="Y134" s="10">
        <f t="shared" si="25"/>
        <v>0.19715822935019112</v>
      </c>
      <c r="Z134" s="10">
        <f t="shared" si="25"/>
        <v>-0.51930658168978328</v>
      </c>
      <c r="AA134" s="10">
        <f t="shared" si="25"/>
        <v>-0.19715822935019112</v>
      </c>
      <c r="AB134" s="7">
        <f t="shared" si="35"/>
        <v>1.1250131483691939</v>
      </c>
      <c r="AC134" s="7">
        <v>1.03877292466042</v>
      </c>
    </row>
    <row r="135" spans="1:29" x14ac:dyDescent="0.25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28">
        <v>-1</v>
      </c>
      <c r="I135" s="28">
        <v>1</v>
      </c>
      <c r="J135" s="28">
        <v>-1</v>
      </c>
      <c r="K135" s="28">
        <v>1</v>
      </c>
      <c r="L135" s="9">
        <f t="shared" si="34"/>
        <v>0</v>
      </c>
      <c r="M135" s="9">
        <f t="shared" si="27"/>
        <v>1.1324016410558911E-2</v>
      </c>
      <c r="N135" s="9">
        <f t="shared" si="28"/>
        <v>0</v>
      </c>
      <c r="O135" s="9">
        <f t="shared" si="29"/>
        <v>6.7841889411413003E-3</v>
      </c>
      <c r="P135" s="9">
        <f t="shared" si="30"/>
        <v>2.4119681570262012E-2</v>
      </c>
      <c r="Q135" s="9">
        <f t="shared" si="31"/>
        <v>0</v>
      </c>
      <c r="R135" s="9">
        <f t="shared" si="32"/>
        <v>-2.4119681570262012E-2</v>
      </c>
      <c r="S135" s="9">
        <f t="shared" si="33"/>
        <v>0</v>
      </c>
      <c r="T135" s="10">
        <f t="shared" si="26"/>
        <v>0.58809797687729259</v>
      </c>
      <c r="U135" s="10">
        <f t="shared" si="26"/>
        <v>0.21617449077811379</v>
      </c>
      <c r="V135" s="10">
        <f t="shared" si="26"/>
        <v>-0.11362217631989191</v>
      </c>
      <c r="W135" s="10">
        <f t="shared" si="25"/>
        <v>0.45247106238537971</v>
      </c>
      <c r="X135" s="10">
        <f t="shared" si="25"/>
        <v>0.54342626326004528</v>
      </c>
      <c r="Y135" s="10">
        <f t="shared" si="25"/>
        <v>0.19715822935019112</v>
      </c>
      <c r="Z135" s="10">
        <f t="shared" si="25"/>
        <v>-0.54342626326004528</v>
      </c>
      <c r="AA135" s="10">
        <f t="shared" si="25"/>
        <v>-0.19715822935019112</v>
      </c>
      <c r="AB135" s="7">
        <f t="shared" si="35"/>
        <v>1.143121353720894</v>
      </c>
      <c r="AC135" s="7">
        <v>1.0702267039551521</v>
      </c>
    </row>
    <row r="136" spans="1:29" x14ac:dyDescent="0.25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28">
        <v>-1</v>
      </c>
      <c r="I136" s="28">
        <v>1</v>
      </c>
      <c r="J136" s="28">
        <v>-1</v>
      </c>
      <c r="K136" s="28">
        <v>1</v>
      </c>
      <c r="L136" s="9">
        <f t="shared" si="34"/>
        <v>0</v>
      </c>
      <c r="M136" s="9">
        <f t="shared" si="27"/>
        <v>-8.0143197384061615E-3</v>
      </c>
      <c r="N136" s="9">
        <f t="shared" si="28"/>
        <v>0</v>
      </c>
      <c r="O136" s="9">
        <f t="shared" si="29"/>
        <v>8.8820288039440642E-3</v>
      </c>
      <c r="P136" s="9">
        <f t="shared" si="30"/>
        <v>-3.3174854106400309E-3</v>
      </c>
      <c r="Q136" s="9">
        <f t="shared" si="31"/>
        <v>0</v>
      </c>
      <c r="R136" s="9">
        <f t="shared" si="32"/>
        <v>3.3174854106400309E-3</v>
      </c>
      <c r="S136" s="9">
        <f t="shared" si="33"/>
        <v>0</v>
      </c>
      <c r="T136" s="10">
        <f t="shared" si="26"/>
        <v>0.58809797687729259</v>
      </c>
      <c r="U136" s="10">
        <f t="shared" si="26"/>
        <v>0.20816017103970763</v>
      </c>
      <c r="V136" s="10">
        <f t="shared" si="26"/>
        <v>-0.11362217631989191</v>
      </c>
      <c r="W136" s="10">
        <f t="shared" si="25"/>
        <v>0.46135309118932377</v>
      </c>
      <c r="X136" s="10">
        <f t="shared" si="25"/>
        <v>0.54010877784940525</v>
      </c>
      <c r="Y136" s="10">
        <f t="shared" si="25"/>
        <v>0.19715822935019112</v>
      </c>
      <c r="Z136" s="10">
        <f t="shared" si="25"/>
        <v>-0.54010877784940525</v>
      </c>
      <c r="AA136" s="10">
        <f t="shared" si="25"/>
        <v>-0.19715822935019112</v>
      </c>
      <c r="AB136" s="7">
        <f t="shared" si="35"/>
        <v>1.143989062786432</v>
      </c>
      <c r="AC136" s="7">
        <v>1.116203946677649</v>
      </c>
    </row>
    <row r="137" spans="1:29" x14ac:dyDescent="0.25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28">
        <v>-1</v>
      </c>
      <c r="I137" s="28">
        <v>1</v>
      </c>
      <c r="J137" s="28">
        <v>-1</v>
      </c>
      <c r="K137" s="28">
        <v>1</v>
      </c>
      <c r="L137" s="9">
        <f t="shared" si="34"/>
        <v>0</v>
      </c>
      <c r="M137" s="9">
        <f t="shared" si="27"/>
        <v>-6.0568972637203844E-3</v>
      </c>
      <c r="N137" s="9">
        <f t="shared" si="28"/>
        <v>0</v>
      </c>
      <c r="O137" s="9">
        <f t="shared" si="29"/>
        <v>1.452120195619633E-2</v>
      </c>
      <c r="P137" s="9">
        <f t="shared" si="30"/>
        <v>-4.7965258664273147E-3</v>
      </c>
      <c r="Q137" s="9">
        <f t="shared" si="31"/>
        <v>0</v>
      </c>
      <c r="R137" s="9">
        <f t="shared" si="32"/>
        <v>4.7965258664273147E-3</v>
      </c>
      <c r="S137" s="9">
        <f t="shared" si="33"/>
        <v>0</v>
      </c>
      <c r="T137" s="10">
        <f t="shared" si="26"/>
        <v>0.58809797687729259</v>
      </c>
      <c r="U137" s="10">
        <f t="shared" si="26"/>
        <v>0.20210327377598725</v>
      </c>
      <c r="V137" s="10">
        <f t="shared" si="26"/>
        <v>-0.11362217631989191</v>
      </c>
      <c r="W137" s="10">
        <f t="shared" si="25"/>
        <v>0.4758742931455201</v>
      </c>
      <c r="X137" s="10">
        <f t="shared" si="25"/>
        <v>0.53531225198297794</v>
      </c>
      <c r="Y137" s="10">
        <f t="shared" si="25"/>
        <v>0.19715822935019112</v>
      </c>
      <c r="Z137" s="10">
        <f t="shared" si="25"/>
        <v>-0.53531225198297794</v>
      </c>
      <c r="AA137" s="10">
        <f t="shared" si="25"/>
        <v>-0.19715822935019112</v>
      </c>
      <c r="AB137" s="7">
        <f t="shared" si="35"/>
        <v>1.1524533674789079</v>
      </c>
      <c r="AC137" s="7">
        <v>1.145727015298041</v>
      </c>
    </row>
    <row r="138" spans="1:29" x14ac:dyDescent="0.25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28">
        <v>-1</v>
      </c>
      <c r="I138" s="28">
        <v>1</v>
      </c>
      <c r="J138" s="28">
        <v>-1</v>
      </c>
      <c r="K138" s="28">
        <v>1</v>
      </c>
      <c r="L138" s="9">
        <f t="shared" si="34"/>
        <v>0</v>
      </c>
      <c r="M138" s="9">
        <f t="shared" si="27"/>
        <v>-1.7133596207307141E-2</v>
      </c>
      <c r="N138" s="9">
        <f t="shared" si="28"/>
        <v>0</v>
      </c>
      <c r="O138" s="9">
        <f t="shared" si="29"/>
        <v>-1.9825893016152341E-2</v>
      </c>
      <c r="P138" s="9">
        <f t="shared" si="30"/>
        <v>-2.4755557456235261E-4</v>
      </c>
      <c r="Q138" s="9">
        <f t="shared" si="31"/>
        <v>0</v>
      </c>
      <c r="R138" s="9">
        <f t="shared" si="32"/>
        <v>2.4755557456235261E-4</v>
      </c>
      <c r="S138" s="9">
        <f t="shared" si="33"/>
        <v>0</v>
      </c>
      <c r="T138" s="10">
        <f t="shared" si="26"/>
        <v>0.58809797687729259</v>
      </c>
      <c r="U138" s="10">
        <f t="shared" si="26"/>
        <v>0.1849696775686801</v>
      </c>
      <c r="V138" s="10">
        <f t="shared" si="26"/>
        <v>-0.11362217631989191</v>
      </c>
      <c r="W138" s="10">
        <f t="shared" si="25"/>
        <v>0.45604840012936776</v>
      </c>
      <c r="X138" s="10">
        <f t="shared" si="25"/>
        <v>0.53506469640841559</v>
      </c>
      <c r="Y138" s="10">
        <f t="shared" si="25"/>
        <v>0.19715822935019112</v>
      </c>
      <c r="Z138" s="10">
        <f t="shared" si="25"/>
        <v>-0.53506469640841559</v>
      </c>
      <c r="AA138" s="10">
        <f t="shared" si="25"/>
        <v>-0.19715822935019112</v>
      </c>
      <c r="AB138" s="7">
        <f t="shared" si="35"/>
        <v>1.1154938782554484</v>
      </c>
      <c r="AC138" s="7">
        <v>1.1717126616377569</v>
      </c>
    </row>
    <row r="139" spans="1:29" x14ac:dyDescent="0.25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28">
        <v>1</v>
      </c>
      <c r="I139" s="28">
        <v>1</v>
      </c>
      <c r="J139" s="28">
        <v>1</v>
      </c>
      <c r="K139" s="28">
        <v>1</v>
      </c>
      <c r="L139" s="9">
        <f t="shared" si="34"/>
        <v>-2.5163653603307301E-2</v>
      </c>
      <c r="M139" s="9">
        <f t="shared" si="27"/>
        <v>0</v>
      </c>
      <c r="N139" s="9">
        <f t="shared" si="28"/>
        <v>-1.3964375323716079E-2</v>
      </c>
      <c r="O139" s="9">
        <f t="shared" si="29"/>
        <v>0</v>
      </c>
      <c r="P139" s="9">
        <f t="shared" si="30"/>
        <v>-6.2857331855802334E-3</v>
      </c>
      <c r="Q139" s="9">
        <f t="shared" si="31"/>
        <v>0</v>
      </c>
      <c r="R139" s="9">
        <f t="shared" si="32"/>
        <v>6.2857331855802334E-3</v>
      </c>
      <c r="S139" s="9">
        <f t="shared" si="33"/>
        <v>0</v>
      </c>
      <c r="T139" s="10">
        <f t="shared" si="26"/>
        <v>0.56293432327398529</v>
      </c>
      <c r="U139" s="10">
        <f t="shared" si="26"/>
        <v>0.1849696775686801</v>
      </c>
      <c r="V139" s="10">
        <f t="shared" si="26"/>
        <v>-0.12758655164360799</v>
      </c>
      <c r="W139" s="10">
        <f t="shared" si="25"/>
        <v>0.45604840012936776</v>
      </c>
      <c r="X139" s="10">
        <f t="shared" si="25"/>
        <v>0.52877896322283535</v>
      </c>
      <c r="Y139" s="10">
        <f t="shared" si="25"/>
        <v>0.19715822935019112</v>
      </c>
      <c r="Z139" s="10">
        <f t="shared" si="25"/>
        <v>-0.52877896322283535</v>
      </c>
      <c r="AA139" s="10">
        <f t="shared" si="25"/>
        <v>-0.19715822935019112</v>
      </c>
      <c r="AB139" s="7">
        <f t="shared" si="35"/>
        <v>1.0763658493284249</v>
      </c>
      <c r="AC139" s="7">
        <v>1.136492121761004</v>
      </c>
    </row>
    <row r="140" spans="1:29" x14ac:dyDescent="0.25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28">
        <v>-1</v>
      </c>
      <c r="I140" s="28">
        <v>-1</v>
      </c>
      <c r="J140" s="28">
        <v>-1</v>
      </c>
      <c r="K140" s="28">
        <v>-1</v>
      </c>
      <c r="L140" s="9">
        <f t="shared" si="34"/>
        <v>0</v>
      </c>
      <c r="M140" s="9">
        <f t="shared" si="27"/>
        <v>-7.4521989522108312E-3</v>
      </c>
      <c r="N140" s="9">
        <f t="shared" si="28"/>
        <v>0</v>
      </c>
      <c r="O140" s="9">
        <f t="shared" si="29"/>
        <v>2.025869826653692E-2</v>
      </c>
      <c r="P140" s="9">
        <f t="shared" si="30"/>
        <v>0</v>
      </c>
      <c r="Q140" s="9">
        <f t="shared" si="31"/>
        <v>-8.8278178612829494E-3</v>
      </c>
      <c r="R140" s="9">
        <f t="shared" si="32"/>
        <v>0</v>
      </c>
      <c r="S140" s="9">
        <f t="shared" si="33"/>
        <v>8.8278178612829494E-3</v>
      </c>
      <c r="T140" s="10">
        <f t="shared" si="26"/>
        <v>0.56293432327398529</v>
      </c>
      <c r="U140" s="10">
        <f t="shared" si="26"/>
        <v>0.17751747861646927</v>
      </c>
      <c r="V140" s="10">
        <f t="shared" si="26"/>
        <v>-0.12758655164360799</v>
      </c>
      <c r="W140" s="10">
        <f t="shared" si="25"/>
        <v>0.47630709839590468</v>
      </c>
      <c r="X140" s="10">
        <f t="shared" si="25"/>
        <v>0.52877896322283535</v>
      </c>
      <c r="Y140" s="10">
        <f t="shared" si="25"/>
        <v>0.18833041148890817</v>
      </c>
      <c r="Z140" s="10">
        <f t="shared" si="25"/>
        <v>-0.52877896322283535</v>
      </c>
      <c r="AA140" s="10">
        <f t="shared" si="25"/>
        <v>-0.18833041148890817</v>
      </c>
      <c r="AB140" s="7">
        <f t="shared" si="35"/>
        <v>1.0891723486427509</v>
      </c>
      <c r="AC140" s="7">
        <v>1.1816101418950999</v>
      </c>
    </row>
    <row r="141" spans="1:29" x14ac:dyDescent="0.25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28">
        <v>-1</v>
      </c>
      <c r="I141" s="28">
        <v>1</v>
      </c>
      <c r="J141" s="28">
        <v>-1</v>
      </c>
      <c r="K141" s="28">
        <v>1</v>
      </c>
      <c r="L141" s="9">
        <f t="shared" si="34"/>
        <v>0</v>
      </c>
      <c r="M141" s="9">
        <f t="shared" si="27"/>
        <v>-4.4340930826007874E-3</v>
      </c>
      <c r="N141" s="9">
        <f t="shared" si="28"/>
        <v>0</v>
      </c>
      <c r="O141" s="9">
        <f t="shared" si="29"/>
        <v>8.100513363080708E-3</v>
      </c>
      <c r="P141" s="9">
        <f t="shared" si="30"/>
        <v>1.0644825529634749E-2</v>
      </c>
      <c r="Q141" s="9">
        <f t="shared" si="31"/>
        <v>0</v>
      </c>
      <c r="R141" s="9">
        <f t="shared" si="32"/>
        <v>-1.0644825529634749E-2</v>
      </c>
      <c r="S141" s="9">
        <f t="shared" si="33"/>
        <v>0</v>
      </c>
      <c r="T141" s="10">
        <f t="shared" si="26"/>
        <v>0.56293432327398529</v>
      </c>
      <c r="U141" s="10">
        <f t="shared" si="26"/>
        <v>0.17308338553386848</v>
      </c>
      <c r="V141" s="10">
        <f t="shared" si="26"/>
        <v>-0.12758655164360799</v>
      </c>
      <c r="W141" s="10">
        <f t="shared" si="25"/>
        <v>0.48440761175898539</v>
      </c>
      <c r="X141" s="10">
        <f t="shared" si="25"/>
        <v>0.5394237887524701</v>
      </c>
      <c r="Y141" s="10">
        <f t="shared" si="25"/>
        <v>0.18833041148890817</v>
      </c>
      <c r="Z141" s="10">
        <f t="shared" si="25"/>
        <v>-0.5394237887524701</v>
      </c>
      <c r="AA141" s="10">
        <f t="shared" si="25"/>
        <v>-0.18833041148890817</v>
      </c>
      <c r="AB141" s="7">
        <f t="shared" si="35"/>
        <v>1.0928387689232308</v>
      </c>
      <c r="AC141" s="7">
        <v>1.190274887085558</v>
      </c>
    </row>
    <row r="142" spans="1:29" x14ac:dyDescent="0.25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28">
        <v>1</v>
      </c>
      <c r="I142" s="28">
        <v>1</v>
      </c>
      <c r="J142" s="28">
        <v>1</v>
      </c>
      <c r="K142" s="28">
        <v>1</v>
      </c>
      <c r="L142" s="9">
        <f t="shared" si="34"/>
        <v>2.291760836418244E-3</v>
      </c>
      <c r="M142" s="9">
        <f t="shared" si="27"/>
        <v>0</v>
      </c>
      <c r="N142" s="9">
        <f t="shared" si="28"/>
        <v>-6.9943052072904974E-3</v>
      </c>
      <c r="O142" s="9">
        <f t="shared" si="29"/>
        <v>0</v>
      </c>
      <c r="P142" s="9">
        <f t="shared" si="30"/>
        <v>-1.4219609822165521E-2</v>
      </c>
      <c r="Q142" s="9">
        <f t="shared" si="31"/>
        <v>0</v>
      </c>
      <c r="R142" s="9">
        <f t="shared" si="32"/>
        <v>1.4219609822165521E-2</v>
      </c>
      <c r="S142" s="9">
        <f t="shared" si="33"/>
        <v>0</v>
      </c>
      <c r="T142" s="10">
        <f t="shared" si="26"/>
        <v>0.56522608411040354</v>
      </c>
      <c r="U142" s="10">
        <f t="shared" si="26"/>
        <v>0.17308338553386848</v>
      </c>
      <c r="V142" s="10">
        <f t="shared" si="26"/>
        <v>-0.13458085685089849</v>
      </c>
      <c r="W142" s="10">
        <f t="shared" si="25"/>
        <v>0.48440761175898539</v>
      </c>
      <c r="X142" s="10">
        <f t="shared" si="25"/>
        <v>0.52520417893030458</v>
      </c>
      <c r="Y142" s="10">
        <f t="shared" si="25"/>
        <v>0.18833041148890817</v>
      </c>
      <c r="Z142" s="10">
        <f t="shared" si="25"/>
        <v>-0.52520417893030458</v>
      </c>
      <c r="AA142" s="10">
        <f t="shared" si="25"/>
        <v>-0.18833041148890817</v>
      </c>
      <c r="AB142" s="7">
        <f t="shared" si="35"/>
        <v>1.0881362245523585</v>
      </c>
      <c r="AC142" s="7">
        <v>1.1978784623429839</v>
      </c>
    </row>
    <row r="143" spans="1:29" x14ac:dyDescent="0.25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28">
        <v>1</v>
      </c>
      <c r="I143" s="28">
        <v>-1</v>
      </c>
      <c r="J143" s="28">
        <v>1</v>
      </c>
      <c r="K143" s="28">
        <v>-1</v>
      </c>
      <c r="L143" s="9">
        <f t="shared" si="34"/>
        <v>1.864070301857668E-2</v>
      </c>
      <c r="M143" s="9">
        <f t="shared" si="27"/>
        <v>0</v>
      </c>
      <c r="N143" s="9">
        <f t="shared" si="28"/>
        <v>-1.6379483740435411E-2</v>
      </c>
      <c r="O143" s="9">
        <f t="shared" si="29"/>
        <v>0</v>
      </c>
      <c r="P143" s="9">
        <f t="shared" si="30"/>
        <v>0</v>
      </c>
      <c r="Q143" s="9">
        <f t="shared" si="31"/>
        <v>2.227729657524824E-3</v>
      </c>
      <c r="R143" s="9">
        <f t="shared" si="32"/>
        <v>0</v>
      </c>
      <c r="S143" s="9">
        <f t="shared" si="33"/>
        <v>-2.227729657524824E-3</v>
      </c>
      <c r="T143" s="10">
        <f t="shared" si="26"/>
        <v>0.58386678712898021</v>
      </c>
      <c r="U143" s="10">
        <f t="shared" si="26"/>
        <v>0.17308338553386848</v>
      </c>
      <c r="V143" s="10">
        <f t="shared" si="26"/>
        <v>-0.1509603405913339</v>
      </c>
      <c r="W143" s="10">
        <f t="shared" si="25"/>
        <v>0.48440761175898539</v>
      </c>
      <c r="X143" s="10">
        <f t="shared" si="25"/>
        <v>0.52520417893030458</v>
      </c>
      <c r="Y143" s="10">
        <f t="shared" si="25"/>
        <v>0.19055814114643299</v>
      </c>
      <c r="Z143" s="10">
        <f t="shared" si="25"/>
        <v>-0.52520417893030458</v>
      </c>
      <c r="AA143" s="10">
        <f t="shared" si="25"/>
        <v>-0.19055814114643299</v>
      </c>
      <c r="AB143" s="7">
        <f t="shared" si="35"/>
        <v>1.0903974438304997</v>
      </c>
      <c r="AC143" s="7">
        <v>1.2210899184365991</v>
      </c>
    </row>
    <row r="144" spans="1:29" x14ac:dyDescent="0.25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28">
        <v>-1</v>
      </c>
      <c r="I144" s="28">
        <v>-1</v>
      </c>
      <c r="J144" s="28">
        <v>-1</v>
      </c>
      <c r="K144" s="28">
        <v>-1</v>
      </c>
      <c r="L144" s="9">
        <f t="shared" si="34"/>
        <v>0</v>
      </c>
      <c r="M144" s="9">
        <f t="shared" si="27"/>
        <v>1.092174037342186E-3</v>
      </c>
      <c r="N144" s="9">
        <f t="shared" si="28"/>
        <v>0</v>
      </c>
      <c r="O144" s="9">
        <f t="shared" si="29"/>
        <v>1.534273973649314E-2</v>
      </c>
      <c r="P144" s="9">
        <f t="shared" si="30"/>
        <v>0</v>
      </c>
      <c r="Q144" s="9">
        <f t="shared" si="31"/>
        <v>-1.3951284776894E-2</v>
      </c>
      <c r="R144" s="9">
        <f t="shared" si="32"/>
        <v>0</v>
      </c>
      <c r="S144" s="9">
        <f t="shared" si="33"/>
        <v>1.3951284776894E-2</v>
      </c>
      <c r="T144" s="10">
        <f t="shared" si="26"/>
        <v>0.58386678712898021</v>
      </c>
      <c r="U144" s="10">
        <f t="shared" si="26"/>
        <v>0.17417555957121067</v>
      </c>
      <c r="V144" s="10">
        <f t="shared" si="26"/>
        <v>-0.1509603405913339</v>
      </c>
      <c r="W144" s="10">
        <f t="shared" si="25"/>
        <v>0.49975035149547853</v>
      </c>
      <c r="X144" s="10">
        <f t="shared" si="25"/>
        <v>0.52520417893030458</v>
      </c>
      <c r="Y144" s="10">
        <f t="shared" si="25"/>
        <v>0.17660685636953899</v>
      </c>
      <c r="Z144" s="10">
        <f t="shared" si="25"/>
        <v>-0.52520417893030458</v>
      </c>
      <c r="AA144" s="10">
        <f t="shared" si="25"/>
        <v>-0.17660685636953899</v>
      </c>
      <c r="AB144" s="7">
        <f t="shared" si="35"/>
        <v>1.1068323576043351</v>
      </c>
      <c r="AC144" s="7">
        <v>1.241661060006694</v>
      </c>
    </row>
    <row r="145" spans="1:29" x14ac:dyDescent="0.25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28">
        <v>1</v>
      </c>
      <c r="I145" s="28">
        <v>1</v>
      </c>
      <c r="J145" s="28">
        <v>1</v>
      </c>
      <c r="K145" s="28">
        <v>1</v>
      </c>
      <c r="L145" s="9">
        <f t="shared" si="34"/>
        <v>-2.58996289745963E-2</v>
      </c>
      <c r="M145" s="9">
        <f t="shared" si="27"/>
        <v>0</v>
      </c>
      <c r="N145" s="9">
        <f t="shared" si="28"/>
        <v>1.1567401108059211E-2</v>
      </c>
      <c r="O145" s="9">
        <f t="shared" si="29"/>
        <v>0</v>
      </c>
      <c r="P145" s="9">
        <f t="shared" si="30"/>
        <v>2.7146073305900349E-3</v>
      </c>
      <c r="Q145" s="9">
        <f t="shared" si="31"/>
        <v>0</v>
      </c>
      <c r="R145" s="9">
        <f t="shared" si="32"/>
        <v>-2.7146073305900349E-3</v>
      </c>
      <c r="S145" s="9">
        <f t="shared" si="33"/>
        <v>0</v>
      </c>
      <c r="T145" s="10">
        <f t="shared" si="26"/>
        <v>0.55796715815438391</v>
      </c>
      <c r="U145" s="10">
        <f t="shared" si="26"/>
        <v>0.17417555957121067</v>
      </c>
      <c r="V145" s="10">
        <f t="shared" si="26"/>
        <v>-0.13939293948327469</v>
      </c>
      <c r="W145" s="10">
        <f t="shared" si="25"/>
        <v>0.49975035149547853</v>
      </c>
      <c r="X145" s="10">
        <f t="shared" si="25"/>
        <v>0.52791878626089461</v>
      </c>
      <c r="Y145" s="10">
        <f t="shared" si="25"/>
        <v>0.17660685636953899</v>
      </c>
      <c r="Z145" s="10">
        <f t="shared" si="25"/>
        <v>-0.52791878626089461</v>
      </c>
      <c r="AA145" s="10">
        <f t="shared" si="25"/>
        <v>-0.17660685636953899</v>
      </c>
      <c r="AB145" s="7">
        <f t="shared" si="35"/>
        <v>1.0925001297377981</v>
      </c>
      <c r="AC145" s="7">
        <v>1.228582508041314</v>
      </c>
    </row>
    <row r="146" spans="1:29" x14ac:dyDescent="0.25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28">
        <v>-1</v>
      </c>
      <c r="I146" s="28">
        <v>-1</v>
      </c>
      <c r="J146" s="28">
        <v>-1</v>
      </c>
      <c r="K146" s="28">
        <v>-1</v>
      </c>
      <c r="L146" s="9">
        <f t="shared" si="34"/>
        <v>0</v>
      </c>
      <c r="M146" s="9">
        <f t="shared" si="27"/>
        <v>-6.0652427983942658E-3</v>
      </c>
      <c r="N146" s="9">
        <f t="shared" si="28"/>
        <v>0</v>
      </c>
      <c r="O146" s="9">
        <f t="shared" si="29"/>
        <v>2.052935467639927E-2</v>
      </c>
      <c r="P146" s="9">
        <f t="shared" si="30"/>
        <v>0</v>
      </c>
      <c r="Q146" s="9">
        <f t="shared" si="31"/>
        <v>1.0633161360758869E-2</v>
      </c>
      <c r="R146" s="9">
        <f t="shared" si="32"/>
        <v>0</v>
      </c>
      <c r="S146" s="9">
        <f t="shared" si="33"/>
        <v>-1.0633161360758869E-2</v>
      </c>
      <c r="T146" s="10">
        <f t="shared" si="26"/>
        <v>0.55796715815438391</v>
      </c>
      <c r="U146" s="10">
        <f t="shared" si="26"/>
        <v>0.1681103167728164</v>
      </c>
      <c r="V146" s="10">
        <f t="shared" si="26"/>
        <v>-0.13939293948327469</v>
      </c>
      <c r="W146" s="10">
        <f t="shared" si="25"/>
        <v>0.5202797061718778</v>
      </c>
      <c r="X146" s="10">
        <f t="shared" si="25"/>
        <v>0.52791878626089461</v>
      </c>
      <c r="Y146" s="10">
        <f t="shared" ref="Y146:AA209" si="36">Q146+Y145</f>
        <v>0.18724001773029786</v>
      </c>
      <c r="Z146" s="10">
        <f t="shared" si="36"/>
        <v>-0.52791878626089461</v>
      </c>
      <c r="AA146" s="10">
        <f t="shared" si="36"/>
        <v>-0.18724001773029786</v>
      </c>
      <c r="AB146" s="7">
        <f t="shared" si="35"/>
        <v>1.106964241615803</v>
      </c>
      <c r="AC146" s="7">
        <v>1.267559998337485</v>
      </c>
    </row>
    <row r="147" spans="1:29" x14ac:dyDescent="0.25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28">
        <v>-1</v>
      </c>
      <c r="I147" s="28">
        <v>1</v>
      </c>
      <c r="J147" s="28">
        <v>-1</v>
      </c>
      <c r="K147" s="28">
        <v>1</v>
      </c>
      <c r="L147" s="9">
        <f t="shared" si="34"/>
        <v>0</v>
      </c>
      <c r="M147" s="9">
        <f t="shared" si="27"/>
        <v>1.053813416587179E-2</v>
      </c>
      <c r="N147" s="9">
        <f t="shared" si="28"/>
        <v>0</v>
      </c>
      <c r="O147" s="9">
        <f t="shared" si="29"/>
        <v>1.3399801247993779E-2</v>
      </c>
      <c r="P147" s="9">
        <f t="shared" si="30"/>
        <v>-5.8325810528370159E-4</v>
      </c>
      <c r="Q147" s="9">
        <f t="shared" si="31"/>
        <v>0</v>
      </c>
      <c r="R147" s="9">
        <f t="shared" si="32"/>
        <v>5.8325810528370159E-4</v>
      </c>
      <c r="S147" s="9">
        <f t="shared" si="33"/>
        <v>0</v>
      </c>
      <c r="T147" s="10">
        <f t="shared" si="26"/>
        <v>0.55796715815438391</v>
      </c>
      <c r="U147" s="10">
        <f t="shared" si="26"/>
        <v>0.1786484509386882</v>
      </c>
      <c r="V147" s="10">
        <f t="shared" si="26"/>
        <v>-0.13939293948327469</v>
      </c>
      <c r="W147" s="10">
        <f t="shared" si="26"/>
        <v>0.53367950741987158</v>
      </c>
      <c r="X147" s="10">
        <f t="shared" si="26"/>
        <v>0.52733552815561091</v>
      </c>
      <c r="Y147" s="10">
        <f t="shared" si="36"/>
        <v>0.18724001773029786</v>
      </c>
      <c r="Z147" s="10">
        <f t="shared" si="36"/>
        <v>-0.52733552815561091</v>
      </c>
      <c r="AA147" s="10">
        <f t="shared" si="36"/>
        <v>-0.18724001773029786</v>
      </c>
      <c r="AB147" s="7">
        <f t="shared" si="35"/>
        <v>1.1309021770296686</v>
      </c>
      <c r="AC147" s="7">
        <v>1.2540166764367211</v>
      </c>
    </row>
    <row r="148" spans="1:29" x14ac:dyDescent="0.25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28">
        <v>1</v>
      </c>
      <c r="I148" s="28">
        <v>1</v>
      </c>
      <c r="J148" s="28">
        <v>1</v>
      </c>
      <c r="K148" s="28">
        <v>1</v>
      </c>
      <c r="L148" s="9">
        <f t="shared" si="34"/>
        <v>3.8639470819564758E-2</v>
      </c>
      <c r="M148" s="9">
        <f t="shared" si="27"/>
        <v>0</v>
      </c>
      <c r="N148" s="9">
        <f t="shared" si="28"/>
        <v>1.069169108731882E-2</v>
      </c>
      <c r="O148" s="9">
        <f t="shared" si="29"/>
        <v>0</v>
      </c>
      <c r="P148" s="9">
        <f t="shared" si="30"/>
        <v>-1.8995085924645268E-2</v>
      </c>
      <c r="Q148" s="9">
        <f t="shared" si="31"/>
        <v>0</v>
      </c>
      <c r="R148" s="9">
        <f t="shared" si="32"/>
        <v>1.8995085924645268E-2</v>
      </c>
      <c r="S148" s="9">
        <f t="shared" si="33"/>
        <v>0</v>
      </c>
      <c r="T148" s="10">
        <f t="shared" si="26"/>
        <v>0.59660662897394867</v>
      </c>
      <c r="U148" s="10">
        <f t="shared" si="26"/>
        <v>0.1786484509386882</v>
      </c>
      <c r="V148" s="10">
        <f t="shared" si="26"/>
        <v>-0.12870124839595587</v>
      </c>
      <c r="W148" s="10">
        <f t="shared" si="26"/>
        <v>0.53367950741987158</v>
      </c>
      <c r="X148" s="10">
        <f t="shared" si="26"/>
        <v>0.50834044223096564</v>
      </c>
      <c r="Y148" s="10">
        <f t="shared" si="36"/>
        <v>0.18724001773029786</v>
      </c>
      <c r="Z148" s="10">
        <f t="shared" si="36"/>
        <v>-0.50834044223096564</v>
      </c>
      <c r="AA148" s="10">
        <f t="shared" si="36"/>
        <v>-0.18724001773029786</v>
      </c>
      <c r="AB148" s="7">
        <f t="shared" si="35"/>
        <v>1.180233338936552</v>
      </c>
      <c r="AC148" s="7">
        <v>1.2787301093368211</v>
      </c>
    </row>
    <row r="149" spans="1:29" x14ac:dyDescent="0.25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28">
        <v>-1</v>
      </c>
      <c r="I149" s="28">
        <v>-1</v>
      </c>
      <c r="J149" s="28">
        <v>-1</v>
      </c>
      <c r="K149" s="28">
        <v>-1</v>
      </c>
      <c r="L149" s="9">
        <f t="shared" si="34"/>
        <v>0</v>
      </c>
      <c r="M149" s="9">
        <f t="shared" si="27"/>
        <v>-2.522615843149723E-3</v>
      </c>
      <c r="N149" s="9">
        <f t="shared" si="28"/>
        <v>0</v>
      </c>
      <c r="O149" s="9">
        <f t="shared" si="29"/>
        <v>1.9774460115345342E-2</v>
      </c>
      <c r="P149" s="9">
        <f t="shared" si="30"/>
        <v>0</v>
      </c>
      <c r="Q149" s="9">
        <f t="shared" si="31"/>
        <v>-8.3304892872689829E-3</v>
      </c>
      <c r="R149" s="9">
        <f t="shared" si="32"/>
        <v>0</v>
      </c>
      <c r="S149" s="9">
        <f t="shared" si="33"/>
        <v>8.3304892872689829E-3</v>
      </c>
      <c r="T149" s="10">
        <f t="shared" si="26"/>
        <v>0.59660662897394867</v>
      </c>
      <c r="U149" s="10">
        <f t="shared" si="26"/>
        <v>0.17612583509553847</v>
      </c>
      <c r="V149" s="10">
        <f t="shared" si="26"/>
        <v>-0.12870124839595587</v>
      </c>
      <c r="W149" s="10">
        <f t="shared" si="26"/>
        <v>0.55345396753521692</v>
      </c>
      <c r="X149" s="10">
        <f t="shared" si="26"/>
        <v>0.50834044223096564</v>
      </c>
      <c r="Y149" s="10">
        <f t="shared" si="36"/>
        <v>0.17890952844302888</v>
      </c>
      <c r="Z149" s="10">
        <f t="shared" si="36"/>
        <v>-0.50834044223096564</v>
      </c>
      <c r="AA149" s="10">
        <f t="shared" si="36"/>
        <v>-0.17890952844302888</v>
      </c>
      <c r="AB149" s="7">
        <f t="shared" si="35"/>
        <v>1.1974851832087476</v>
      </c>
      <c r="AC149" s="7">
        <v>1.305915988652709</v>
      </c>
    </row>
    <row r="150" spans="1:29" x14ac:dyDescent="0.25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28">
        <v>1</v>
      </c>
      <c r="I150" s="28">
        <v>1</v>
      </c>
      <c r="J150" s="28">
        <v>1</v>
      </c>
      <c r="K150" s="28">
        <v>1</v>
      </c>
      <c r="L150" s="9">
        <f t="shared" si="34"/>
        <v>-4.6751749219930971E-3</v>
      </c>
      <c r="M150" s="9">
        <f t="shared" si="27"/>
        <v>0</v>
      </c>
      <c r="N150" s="9">
        <f t="shared" si="28"/>
        <v>-2.7676063416177681E-3</v>
      </c>
      <c r="O150" s="9">
        <f t="shared" si="29"/>
        <v>0</v>
      </c>
      <c r="P150" s="9">
        <f t="shared" si="30"/>
        <v>3.9076762214195204E-3</v>
      </c>
      <c r="Q150" s="9">
        <f t="shared" si="31"/>
        <v>0</v>
      </c>
      <c r="R150" s="9">
        <f t="shared" si="32"/>
        <v>-3.9076762214195204E-3</v>
      </c>
      <c r="S150" s="9">
        <f t="shared" si="33"/>
        <v>0</v>
      </c>
      <c r="T150" s="10">
        <f t="shared" si="26"/>
        <v>0.59193145405195557</v>
      </c>
      <c r="U150" s="10">
        <f t="shared" si="26"/>
        <v>0.17612583509553847</v>
      </c>
      <c r="V150" s="10">
        <f t="shared" si="26"/>
        <v>-0.13146885473757364</v>
      </c>
      <c r="W150" s="10">
        <f t="shared" si="26"/>
        <v>0.55345396753521692</v>
      </c>
      <c r="X150" s="10">
        <f t="shared" si="26"/>
        <v>0.51224811845238516</v>
      </c>
      <c r="Y150" s="10">
        <f t="shared" si="36"/>
        <v>0.17890952844302888</v>
      </c>
      <c r="Z150" s="10">
        <f t="shared" si="36"/>
        <v>-0.51224811845238516</v>
      </c>
      <c r="AA150" s="10">
        <f t="shared" si="36"/>
        <v>-0.17890952844302888</v>
      </c>
      <c r="AB150" s="7">
        <f t="shared" si="35"/>
        <v>1.1900424019451368</v>
      </c>
      <c r="AC150" s="7">
        <v>1.304364953963709</v>
      </c>
    </row>
    <row r="151" spans="1:29" x14ac:dyDescent="0.25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28">
        <v>1</v>
      </c>
      <c r="I151" s="28">
        <v>-1</v>
      </c>
      <c r="J151" s="28">
        <v>1</v>
      </c>
      <c r="K151" s="28">
        <v>-1</v>
      </c>
      <c r="L151" s="9">
        <f t="shared" si="34"/>
        <v>-2.7004044786983931E-2</v>
      </c>
      <c r="M151" s="9">
        <f t="shared" si="27"/>
        <v>0</v>
      </c>
      <c r="N151" s="9">
        <f t="shared" si="28"/>
        <v>-2.6025957946319459E-2</v>
      </c>
      <c r="O151" s="9">
        <f t="shared" si="29"/>
        <v>0</v>
      </c>
      <c r="P151" s="9">
        <f t="shared" si="30"/>
        <v>0</v>
      </c>
      <c r="Q151" s="9">
        <f t="shared" si="31"/>
        <v>-2.1927168014087561E-3</v>
      </c>
      <c r="R151" s="9">
        <f t="shared" si="32"/>
        <v>0</v>
      </c>
      <c r="S151" s="9">
        <f t="shared" si="33"/>
        <v>2.1927168014087561E-3</v>
      </c>
      <c r="T151" s="10">
        <f t="shared" si="26"/>
        <v>0.56492740926497165</v>
      </c>
      <c r="U151" s="10">
        <f t="shared" si="26"/>
        <v>0.17612583509553847</v>
      </c>
      <c r="V151" s="10">
        <f t="shared" si="26"/>
        <v>-0.15749481268389309</v>
      </c>
      <c r="W151" s="10">
        <f t="shared" si="26"/>
        <v>0.55345396753521692</v>
      </c>
      <c r="X151" s="10">
        <f t="shared" si="26"/>
        <v>0.51224811845238516</v>
      </c>
      <c r="Y151" s="10">
        <f t="shared" si="36"/>
        <v>0.17671681164162012</v>
      </c>
      <c r="Z151" s="10">
        <f t="shared" si="36"/>
        <v>-0.51224811845238516</v>
      </c>
      <c r="AA151" s="10">
        <f t="shared" si="36"/>
        <v>-0.17671681164162012</v>
      </c>
      <c r="AB151" s="7">
        <f t="shared" si="35"/>
        <v>1.1370123992118333</v>
      </c>
      <c r="AC151" s="7">
        <v>1.2753787917021839</v>
      </c>
    </row>
    <row r="152" spans="1:29" x14ac:dyDescent="0.25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28">
        <v>-1</v>
      </c>
      <c r="I152" s="28">
        <v>-1</v>
      </c>
      <c r="J152" s="28">
        <v>-1</v>
      </c>
      <c r="K152" s="28">
        <v>-1</v>
      </c>
      <c r="L152" s="9">
        <f t="shared" si="34"/>
        <v>0</v>
      </c>
      <c r="M152" s="9">
        <f t="shared" si="27"/>
        <v>2.5968736338612959E-3</v>
      </c>
      <c r="N152" s="9">
        <f t="shared" si="28"/>
        <v>0</v>
      </c>
      <c r="O152" s="9">
        <f t="shared" si="29"/>
        <v>1.2184992418145749E-2</v>
      </c>
      <c r="P152" s="9">
        <f t="shared" si="30"/>
        <v>0</v>
      </c>
      <c r="Q152" s="9">
        <f t="shared" si="31"/>
        <v>-3.0366822928186599E-2</v>
      </c>
      <c r="R152" s="9">
        <f t="shared" si="32"/>
        <v>0</v>
      </c>
      <c r="S152" s="9">
        <f t="shared" si="33"/>
        <v>3.0366822928186599E-2</v>
      </c>
      <c r="T152" s="10">
        <f t="shared" si="26"/>
        <v>0.56492740926497165</v>
      </c>
      <c r="U152" s="10">
        <f t="shared" si="26"/>
        <v>0.17872270872939977</v>
      </c>
      <c r="V152" s="10">
        <f t="shared" si="26"/>
        <v>-0.15749481268389309</v>
      </c>
      <c r="W152" s="10">
        <f t="shared" si="26"/>
        <v>0.56563895995336266</v>
      </c>
      <c r="X152" s="10">
        <f t="shared" si="26"/>
        <v>0.51224811845238516</v>
      </c>
      <c r="Y152" s="10">
        <f t="shared" si="36"/>
        <v>0.14634998871343352</v>
      </c>
      <c r="Z152" s="10">
        <f t="shared" si="36"/>
        <v>-0.51224811845238516</v>
      </c>
      <c r="AA152" s="10">
        <f t="shared" si="36"/>
        <v>-0.14634998871343352</v>
      </c>
      <c r="AB152" s="7">
        <f t="shared" si="35"/>
        <v>1.1517942652638404</v>
      </c>
      <c r="AC152" s="7">
        <v>1.3304529367518789</v>
      </c>
    </row>
    <row r="153" spans="1:29" x14ac:dyDescent="0.25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28">
        <v>1</v>
      </c>
      <c r="I153" s="28">
        <v>1</v>
      </c>
      <c r="J153" s="28">
        <v>1</v>
      </c>
      <c r="K153" s="28">
        <v>1</v>
      </c>
      <c r="L153" s="9">
        <f t="shared" si="34"/>
        <v>-1.8852567206092741E-2</v>
      </c>
      <c r="M153" s="9">
        <f t="shared" si="27"/>
        <v>0</v>
      </c>
      <c r="N153" s="9">
        <f t="shared" si="28"/>
        <v>5.9580708239866942E-3</v>
      </c>
      <c r="O153" s="9">
        <f t="shared" si="29"/>
        <v>0</v>
      </c>
      <c r="P153" s="9">
        <f t="shared" si="30"/>
        <v>-1.497653460899684E-2</v>
      </c>
      <c r="Q153" s="9">
        <f t="shared" si="31"/>
        <v>0</v>
      </c>
      <c r="R153" s="9">
        <f t="shared" si="32"/>
        <v>1.497653460899684E-2</v>
      </c>
      <c r="S153" s="9">
        <f t="shared" si="33"/>
        <v>0</v>
      </c>
      <c r="T153" s="10">
        <f t="shared" si="26"/>
        <v>0.54607484205887891</v>
      </c>
      <c r="U153" s="10">
        <f t="shared" si="26"/>
        <v>0.17872270872939977</v>
      </c>
      <c r="V153" s="10">
        <f t="shared" si="26"/>
        <v>-0.1515367418599064</v>
      </c>
      <c r="W153" s="10">
        <f t="shared" si="26"/>
        <v>0.56563895995336266</v>
      </c>
      <c r="X153" s="10">
        <f t="shared" si="26"/>
        <v>0.49727158384338832</v>
      </c>
      <c r="Y153" s="10">
        <f t="shared" si="36"/>
        <v>0.14634998871343352</v>
      </c>
      <c r="Z153" s="10">
        <f t="shared" si="36"/>
        <v>-0.49727158384338832</v>
      </c>
      <c r="AA153" s="10">
        <f t="shared" si="36"/>
        <v>-0.14634998871343352</v>
      </c>
      <c r="AB153" s="7">
        <f t="shared" si="35"/>
        <v>1.1388997688817344</v>
      </c>
      <c r="AC153" s="7">
        <v>1.3154614679970931</v>
      </c>
    </row>
    <row r="154" spans="1:29" x14ac:dyDescent="0.25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28">
        <v>-1</v>
      </c>
      <c r="I154" s="28">
        <v>-1</v>
      </c>
      <c r="J154" s="28">
        <v>-1</v>
      </c>
      <c r="K154" s="28">
        <v>-1</v>
      </c>
      <c r="L154" s="9">
        <f t="shared" si="34"/>
        <v>0</v>
      </c>
      <c r="M154" s="9">
        <f t="shared" si="27"/>
        <v>1.02772913772029E-2</v>
      </c>
      <c r="N154" s="9">
        <f t="shared" si="28"/>
        <v>0</v>
      </c>
      <c r="O154" s="9">
        <f t="shared" si="29"/>
        <v>-1.375434119785468E-2</v>
      </c>
      <c r="P154" s="9">
        <f t="shared" si="30"/>
        <v>0</v>
      </c>
      <c r="Q154" s="9">
        <f t="shared" si="31"/>
        <v>-7.5247846378144736E-3</v>
      </c>
      <c r="R154" s="9">
        <f t="shared" si="32"/>
        <v>0</v>
      </c>
      <c r="S154" s="9">
        <f t="shared" si="33"/>
        <v>7.5247846378144736E-3</v>
      </c>
      <c r="T154" s="10">
        <f t="shared" si="26"/>
        <v>0.54607484205887891</v>
      </c>
      <c r="U154" s="10">
        <f t="shared" si="26"/>
        <v>0.18900000010660267</v>
      </c>
      <c r="V154" s="10">
        <f t="shared" si="26"/>
        <v>-0.1515367418599064</v>
      </c>
      <c r="W154" s="10">
        <f t="shared" si="26"/>
        <v>0.55188461875550798</v>
      </c>
      <c r="X154" s="10">
        <f t="shared" si="26"/>
        <v>0.49727158384338832</v>
      </c>
      <c r="Y154" s="10">
        <f t="shared" si="36"/>
        <v>0.13882520407561905</v>
      </c>
      <c r="Z154" s="10">
        <f t="shared" si="36"/>
        <v>-0.49727158384338832</v>
      </c>
      <c r="AA154" s="10">
        <f t="shared" si="36"/>
        <v>-0.13882520407561905</v>
      </c>
      <c r="AB154" s="7">
        <f t="shared" si="35"/>
        <v>1.1354227190610826</v>
      </c>
      <c r="AC154" s="7">
        <v>1.325537907995324</v>
      </c>
    </row>
    <row r="155" spans="1:29" x14ac:dyDescent="0.25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28">
        <v>-1</v>
      </c>
      <c r="I155" s="28">
        <v>1</v>
      </c>
      <c r="J155" s="28">
        <v>-1</v>
      </c>
      <c r="K155" s="28">
        <v>1</v>
      </c>
      <c r="L155" s="9">
        <f t="shared" si="34"/>
        <v>0</v>
      </c>
      <c r="M155" s="9">
        <f t="shared" si="27"/>
        <v>1.0989403091400731E-2</v>
      </c>
      <c r="N155" s="9">
        <f t="shared" si="28"/>
        <v>0</v>
      </c>
      <c r="O155" s="9">
        <f t="shared" si="29"/>
        <v>1.9572630201509119E-2</v>
      </c>
      <c r="P155" s="9">
        <f t="shared" si="30"/>
        <v>2.1098173458458098E-3</v>
      </c>
      <c r="Q155" s="9">
        <f t="shared" si="31"/>
        <v>0</v>
      </c>
      <c r="R155" s="9">
        <f t="shared" si="32"/>
        <v>-2.1098173458458098E-3</v>
      </c>
      <c r="S155" s="9">
        <f t="shared" si="33"/>
        <v>0</v>
      </c>
      <c r="T155" s="10">
        <f t="shared" ref="T155:X218" si="37">L155+T154</f>
        <v>0.54607484205887891</v>
      </c>
      <c r="U155" s="10">
        <f t="shared" si="37"/>
        <v>0.1999894031980034</v>
      </c>
      <c r="V155" s="10">
        <f t="shared" si="37"/>
        <v>-0.1515367418599064</v>
      </c>
      <c r="W155" s="10">
        <f t="shared" si="37"/>
        <v>0.57145724895701711</v>
      </c>
      <c r="X155" s="10">
        <f t="shared" si="37"/>
        <v>0.49938140118923413</v>
      </c>
      <c r="Y155" s="10">
        <f t="shared" si="36"/>
        <v>0.13882520407561905</v>
      </c>
      <c r="Z155" s="10">
        <f t="shared" si="36"/>
        <v>-0.49938140118923413</v>
      </c>
      <c r="AA155" s="10">
        <f t="shared" si="36"/>
        <v>-0.13882520407561905</v>
      </c>
      <c r="AB155" s="7">
        <f t="shared" si="35"/>
        <v>1.1659847523539923</v>
      </c>
      <c r="AC155" s="7">
        <v>1.3387488677839821</v>
      </c>
    </row>
    <row r="156" spans="1:29" x14ac:dyDescent="0.25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28">
        <v>-1</v>
      </c>
      <c r="I156" s="28">
        <v>1</v>
      </c>
      <c r="J156" s="28">
        <v>-1</v>
      </c>
      <c r="K156" s="28">
        <v>1</v>
      </c>
      <c r="L156" s="9">
        <f t="shared" si="34"/>
        <v>0</v>
      </c>
      <c r="M156" s="9">
        <f t="shared" si="27"/>
        <v>2.3539797459635969E-2</v>
      </c>
      <c r="N156" s="9">
        <f t="shared" si="28"/>
        <v>0</v>
      </c>
      <c r="O156" s="9">
        <f t="shared" si="29"/>
        <v>-1.299328467325067E-2</v>
      </c>
      <c r="P156" s="9">
        <f t="shared" si="30"/>
        <v>-6.4662059204348976E-3</v>
      </c>
      <c r="Q156" s="9">
        <f t="shared" si="31"/>
        <v>0</v>
      </c>
      <c r="R156" s="9">
        <f t="shared" si="32"/>
        <v>6.4662059204348976E-3</v>
      </c>
      <c r="S156" s="9">
        <f t="shared" si="33"/>
        <v>0</v>
      </c>
      <c r="T156" s="10">
        <f t="shared" si="37"/>
        <v>0.54607484205887891</v>
      </c>
      <c r="U156" s="10">
        <f t="shared" si="37"/>
        <v>0.22352920065763937</v>
      </c>
      <c r="V156" s="10">
        <f t="shared" si="37"/>
        <v>-0.1515367418599064</v>
      </c>
      <c r="W156" s="10">
        <f t="shared" si="37"/>
        <v>0.55846396428376643</v>
      </c>
      <c r="X156" s="10">
        <f t="shared" si="37"/>
        <v>0.49291519526879923</v>
      </c>
      <c r="Y156" s="10">
        <f t="shared" si="36"/>
        <v>0.13882520407561905</v>
      </c>
      <c r="Z156" s="10">
        <f t="shared" si="36"/>
        <v>-0.49291519526879923</v>
      </c>
      <c r="AA156" s="10">
        <f t="shared" si="36"/>
        <v>-0.13882520407561905</v>
      </c>
      <c r="AB156" s="7">
        <f t="shared" si="35"/>
        <v>1.1765312651403776</v>
      </c>
      <c r="AC156" s="7">
        <v>1.3187544363003301</v>
      </c>
    </row>
    <row r="157" spans="1:29" x14ac:dyDescent="0.25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28">
        <v>-1</v>
      </c>
      <c r="I157" s="28">
        <v>1</v>
      </c>
      <c r="J157" s="28">
        <v>-1</v>
      </c>
      <c r="K157" s="28">
        <v>1</v>
      </c>
      <c r="L157" s="9">
        <f t="shared" si="34"/>
        <v>0</v>
      </c>
      <c r="M157" s="9">
        <f t="shared" si="27"/>
        <v>3.9377647304792429E-3</v>
      </c>
      <c r="N157" s="9">
        <f t="shared" si="28"/>
        <v>0</v>
      </c>
      <c r="O157" s="9">
        <f t="shared" si="29"/>
        <v>2.4387677244413371E-2</v>
      </c>
      <c r="P157" s="9">
        <f t="shared" si="30"/>
        <v>-6.2347198448615693E-3</v>
      </c>
      <c r="Q157" s="9">
        <f t="shared" si="31"/>
        <v>0</v>
      </c>
      <c r="R157" s="9">
        <f t="shared" si="32"/>
        <v>6.2347198448615693E-3</v>
      </c>
      <c r="S157" s="9">
        <f t="shared" si="33"/>
        <v>0</v>
      </c>
      <c r="T157" s="10">
        <f t="shared" si="37"/>
        <v>0.54607484205887891</v>
      </c>
      <c r="U157" s="10">
        <f t="shared" si="37"/>
        <v>0.22746696538811861</v>
      </c>
      <c r="V157" s="10">
        <f t="shared" si="37"/>
        <v>-0.1515367418599064</v>
      </c>
      <c r="W157" s="10">
        <f t="shared" si="37"/>
        <v>0.58285164152817981</v>
      </c>
      <c r="X157" s="10">
        <f t="shared" si="37"/>
        <v>0.48668047542393766</v>
      </c>
      <c r="Y157" s="10">
        <f t="shared" si="36"/>
        <v>0.13882520407561905</v>
      </c>
      <c r="Z157" s="10">
        <f t="shared" si="36"/>
        <v>-0.48668047542393766</v>
      </c>
      <c r="AA157" s="10">
        <f t="shared" si="36"/>
        <v>-0.13882520407561905</v>
      </c>
      <c r="AB157" s="7">
        <f t="shared" si="35"/>
        <v>1.2048567071152703</v>
      </c>
      <c r="AC157" s="7">
        <v>1.3416696328260129</v>
      </c>
    </row>
    <row r="158" spans="1:29" x14ac:dyDescent="0.25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28">
        <v>1</v>
      </c>
      <c r="I158" s="28">
        <v>1</v>
      </c>
      <c r="J158" s="28">
        <v>1</v>
      </c>
      <c r="K158" s="28">
        <v>1</v>
      </c>
      <c r="L158" s="9">
        <f t="shared" si="34"/>
        <v>1.2256986516175909E-3</v>
      </c>
      <c r="M158" s="9">
        <f t="shared" si="27"/>
        <v>0</v>
      </c>
      <c r="N158" s="9">
        <f t="shared" si="28"/>
        <v>3.9842418925482903E-2</v>
      </c>
      <c r="O158" s="9">
        <f t="shared" si="29"/>
        <v>0</v>
      </c>
      <c r="P158" s="9">
        <f t="shared" si="30"/>
        <v>-1.2139613932236389E-2</v>
      </c>
      <c r="Q158" s="9">
        <f t="shared" si="31"/>
        <v>0</v>
      </c>
      <c r="R158" s="9">
        <f t="shared" si="32"/>
        <v>1.2139613932236389E-2</v>
      </c>
      <c r="S158" s="9">
        <f t="shared" si="33"/>
        <v>0</v>
      </c>
      <c r="T158" s="10">
        <f t="shared" si="37"/>
        <v>0.5473005407104965</v>
      </c>
      <c r="U158" s="10">
        <f t="shared" si="37"/>
        <v>0.22746696538811861</v>
      </c>
      <c r="V158" s="10">
        <f t="shared" si="37"/>
        <v>-0.1116943229344235</v>
      </c>
      <c r="W158" s="10">
        <f t="shared" si="37"/>
        <v>0.58285164152817981</v>
      </c>
      <c r="X158" s="10">
        <f t="shared" si="37"/>
        <v>0.47454086149170127</v>
      </c>
      <c r="Y158" s="10">
        <f t="shared" si="36"/>
        <v>0.13882520407561905</v>
      </c>
      <c r="Z158" s="10">
        <f t="shared" si="36"/>
        <v>-0.47454086149170127</v>
      </c>
      <c r="AA158" s="10">
        <f t="shared" si="36"/>
        <v>-0.13882520407561905</v>
      </c>
      <c r="AB158" s="7">
        <f t="shared" si="35"/>
        <v>1.2459248246923709</v>
      </c>
      <c r="AC158" s="7">
        <v>1.2817285655563391</v>
      </c>
    </row>
    <row r="159" spans="1:29" x14ac:dyDescent="0.25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28">
        <v>1</v>
      </c>
      <c r="I159" s="28">
        <v>-1</v>
      </c>
      <c r="J159" s="28">
        <v>1</v>
      </c>
      <c r="K159" s="28">
        <v>-1</v>
      </c>
      <c r="L159" s="9">
        <f t="shared" si="34"/>
        <v>-1.132755944735753E-2</v>
      </c>
      <c r="M159" s="9">
        <f t="shared" si="27"/>
        <v>0</v>
      </c>
      <c r="N159" s="9">
        <f t="shared" si="28"/>
        <v>-1.456386985989111E-2</v>
      </c>
      <c r="O159" s="9">
        <f t="shared" si="29"/>
        <v>0</v>
      </c>
      <c r="P159" s="9">
        <f t="shared" si="30"/>
        <v>0</v>
      </c>
      <c r="Q159" s="9">
        <f t="shared" si="31"/>
        <v>1.5604871417507221E-4</v>
      </c>
      <c r="R159" s="9">
        <f t="shared" si="32"/>
        <v>0</v>
      </c>
      <c r="S159" s="9">
        <f t="shared" si="33"/>
        <v>-1.5604871417507221E-4</v>
      </c>
      <c r="T159" s="10">
        <f t="shared" si="37"/>
        <v>0.53597298126313897</v>
      </c>
      <c r="U159" s="10">
        <f t="shared" si="37"/>
        <v>0.22746696538811861</v>
      </c>
      <c r="V159" s="10">
        <f t="shared" si="37"/>
        <v>-0.12625819279431461</v>
      </c>
      <c r="W159" s="10">
        <f t="shared" si="37"/>
        <v>0.58285164152817981</v>
      </c>
      <c r="X159" s="10">
        <f t="shared" si="37"/>
        <v>0.47454086149170127</v>
      </c>
      <c r="Y159" s="10">
        <f t="shared" si="36"/>
        <v>0.13898125278979412</v>
      </c>
      <c r="Z159" s="10">
        <f t="shared" si="36"/>
        <v>-0.47454086149170127</v>
      </c>
      <c r="AA159" s="10">
        <f t="shared" si="36"/>
        <v>-0.13898125278979412</v>
      </c>
      <c r="AB159" s="7">
        <f t="shared" si="35"/>
        <v>1.2200333953851221</v>
      </c>
      <c r="AC159" s="7">
        <v>1.257913158857128</v>
      </c>
    </row>
    <row r="160" spans="1:29" x14ac:dyDescent="0.25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28">
        <v>-1</v>
      </c>
      <c r="I160" s="28">
        <v>-1</v>
      </c>
      <c r="J160" s="28">
        <v>-1</v>
      </c>
      <c r="K160" s="28">
        <v>-1</v>
      </c>
      <c r="L160" s="9">
        <f t="shared" si="34"/>
        <v>0</v>
      </c>
      <c r="M160" s="9">
        <f t="shared" si="27"/>
        <v>-2.9955780458010062E-2</v>
      </c>
      <c r="N160" s="9">
        <f t="shared" si="28"/>
        <v>0</v>
      </c>
      <c r="O160" s="9">
        <f t="shared" si="29"/>
        <v>-1.0063631861960579E-2</v>
      </c>
      <c r="P160" s="9">
        <f t="shared" si="30"/>
        <v>0</v>
      </c>
      <c r="Q160" s="9">
        <f t="shared" si="31"/>
        <v>-4.0106236160467823E-2</v>
      </c>
      <c r="R160" s="9">
        <f t="shared" si="32"/>
        <v>0</v>
      </c>
      <c r="S160" s="9">
        <f t="shared" si="33"/>
        <v>4.0106236160467823E-2</v>
      </c>
      <c r="T160" s="10">
        <f t="shared" si="37"/>
        <v>0.53597298126313897</v>
      </c>
      <c r="U160" s="10">
        <f t="shared" si="37"/>
        <v>0.19751118493010855</v>
      </c>
      <c r="V160" s="10">
        <f t="shared" si="37"/>
        <v>-0.12625819279431461</v>
      </c>
      <c r="W160" s="10">
        <f t="shared" si="37"/>
        <v>0.57278800966621923</v>
      </c>
      <c r="X160" s="10">
        <f t="shared" si="37"/>
        <v>0.47454086149170127</v>
      </c>
      <c r="Y160" s="10">
        <f t="shared" si="36"/>
        <v>9.8875016629326296E-2</v>
      </c>
      <c r="Z160" s="10">
        <f t="shared" si="36"/>
        <v>-0.47454086149170127</v>
      </c>
      <c r="AA160" s="10">
        <f t="shared" si="36"/>
        <v>-9.8875016629326296E-2</v>
      </c>
      <c r="AB160" s="7">
        <f t="shared" si="35"/>
        <v>1.1800139830651515</v>
      </c>
      <c r="AC160" s="7">
        <v>1.340356917822078</v>
      </c>
    </row>
    <row r="161" spans="1:29" x14ac:dyDescent="0.25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28">
        <v>-1</v>
      </c>
      <c r="I161" s="28">
        <v>1</v>
      </c>
      <c r="J161" s="28">
        <v>-1</v>
      </c>
      <c r="K161" s="28">
        <v>1</v>
      </c>
      <c r="L161" s="9">
        <f t="shared" si="34"/>
        <v>0</v>
      </c>
      <c r="M161" s="9">
        <f t="shared" si="27"/>
        <v>2.9554862496583571E-3</v>
      </c>
      <c r="N161" s="9">
        <f t="shared" si="28"/>
        <v>0</v>
      </c>
      <c r="O161" s="9">
        <f t="shared" si="29"/>
        <v>8.2840483726148717E-3</v>
      </c>
      <c r="P161" s="9">
        <f t="shared" si="30"/>
        <v>1.017544296332662E-2</v>
      </c>
      <c r="Q161" s="9">
        <f t="shared" si="31"/>
        <v>0</v>
      </c>
      <c r="R161" s="9">
        <f t="shared" si="32"/>
        <v>-1.017544296332662E-2</v>
      </c>
      <c r="S161" s="9">
        <f t="shared" si="33"/>
        <v>0</v>
      </c>
      <c r="T161" s="10">
        <f t="shared" si="37"/>
        <v>0.53597298126313897</v>
      </c>
      <c r="U161" s="10">
        <f t="shared" si="37"/>
        <v>0.20046667117976691</v>
      </c>
      <c r="V161" s="10">
        <f t="shared" si="37"/>
        <v>-0.12625819279431461</v>
      </c>
      <c r="W161" s="10">
        <f t="shared" si="37"/>
        <v>0.5810720580388341</v>
      </c>
      <c r="X161" s="10">
        <f t="shared" si="37"/>
        <v>0.48471630445502789</v>
      </c>
      <c r="Y161" s="10">
        <f t="shared" si="36"/>
        <v>9.8875016629326296E-2</v>
      </c>
      <c r="Z161" s="10">
        <f t="shared" si="36"/>
        <v>-0.48471630445502789</v>
      </c>
      <c r="AA161" s="10">
        <f t="shared" si="36"/>
        <v>-9.8875016629326296E-2</v>
      </c>
      <c r="AB161" s="7">
        <f t="shared" si="35"/>
        <v>1.1912535176874246</v>
      </c>
      <c r="AC161" s="7">
        <v>1.344557445249996</v>
      </c>
    </row>
    <row r="162" spans="1:29" x14ac:dyDescent="0.25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28">
        <v>1</v>
      </c>
      <c r="I162" s="28">
        <v>1</v>
      </c>
      <c r="J162" s="28">
        <v>1</v>
      </c>
      <c r="K162" s="28">
        <v>1</v>
      </c>
      <c r="L162" s="9">
        <f t="shared" si="34"/>
        <v>1.110289197179193E-2</v>
      </c>
      <c r="M162" s="9">
        <f t="shared" si="27"/>
        <v>0</v>
      </c>
      <c r="N162" s="9">
        <f t="shared" si="28"/>
        <v>1.917576938613685E-2</v>
      </c>
      <c r="O162" s="9">
        <f t="shared" si="29"/>
        <v>0</v>
      </c>
      <c r="P162" s="9">
        <f t="shared" si="30"/>
        <v>-1.2277230473923819E-3</v>
      </c>
      <c r="Q162" s="9">
        <f t="shared" si="31"/>
        <v>0</v>
      </c>
      <c r="R162" s="9">
        <f t="shared" si="32"/>
        <v>1.2277230473923819E-3</v>
      </c>
      <c r="S162" s="9">
        <f t="shared" si="33"/>
        <v>0</v>
      </c>
      <c r="T162" s="10">
        <f t="shared" si="37"/>
        <v>0.5470758732349309</v>
      </c>
      <c r="U162" s="10">
        <f t="shared" si="37"/>
        <v>0.20046667117976691</v>
      </c>
      <c r="V162" s="10">
        <f t="shared" si="37"/>
        <v>-0.10708242340817775</v>
      </c>
      <c r="W162" s="10">
        <f t="shared" si="37"/>
        <v>0.5810720580388341</v>
      </c>
      <c r="X162" s="10">
        <f t="shared" si="37"/>
        <v>0.48348858140763551</v>
      </c>
      <c r="Y162" s="10">
        <f t="shared" si="36"/>
        <v>9.8875016629326296E-2</v>
      </c>
      <c r="Z162" s="10">
        <f t="shared" si="36"/>
        <v>-0.48348858140763551</v>
      </c>
      <c r="AA162" s="10">
        <f t="shared" si="36"/>
        <v>-9.8875016629326296E-2</v>
      </c>
      <c r="AB162" s="7">
        <f t="shared" si="35"/>
        <v>1.2215321790453535</v>
      </c>
      <c r="AC162" s="7">
        <v>1.328511757294925</v>
      </c>
    </row>
    <row r="163" spans="1:29" x14ac:dyDescent="0.25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28">
        <v>1</v>
      </c>
      <c r="I163" s="28">
        <v>-1</v>
      </c>
      <c r="J163" s="28">
        <v>1</v>
      </c>
      <c r="K163" s="28">
        <v>-1</v>
      </c>
      <c r="L163" s="9">
        <f t="shared" si="34"/>
        <v>3.2346172411818697E-2</v>
      </c>
      <c r="M163" s="9">
        <f t="shared" si="27"/>
        <v>0</v>
      </c>
      <c r="N163" s="9">
        <f t="shared" si="28"/>
        <v>-1.0142799497257941E-2</v>
      </c>
      <c r="O163" s="9">
        <f t="shared" si="29"/>
        <v>0</v>
      </c>
      <c r="P163" s="9">
        <f t="shared" si="30"/>
        <v>0</v>
      </c>
      <c r="Q163" s="9">
        <f t="shared" si="31"/>
        <v>5.9870587702059892E-2</v>
      </c>
      <c r="R163" s="9">
        <f t="shared" si="32"/>
        <v>0</v>
      </c>
      <c r="S163" s="9">
        <f t="shared" si="33"/>
        <v>-5.9870587702059892E-2</v>
      </c>
      <c r="T163" s="10">
        <f t="shared" si="37"/>
        <v>0.57942204564674959</v>
      </c>
      <c r="U163" s="10">
        <f t="shared" si="37"/>
        <v>0.20046667117976691</v>
      </c>
      <c r="V163" s="10">
        <f t="shared" si="37"/>
        <v>-0.11722522290543569</v>
      </c>
      <c r="W163" s="10">
        <f t="shared" si="37"/>
        <v>0.5810720580388341</v>
      </c>
      <c r="X163" s="10">
        <f t="shared" si="37"/>
        <v>0.48348858140763551</v>
      </c>
      <c r="Y163" s="10">
        <f t="shared" si="36"/>
        <v>0.15874560433138618</v>
      </c>
      <c r="Z163" s="10">
        <f t="shared" si="36"/>
        <v>-0.48348858140763551</v>
      </c>
      <c r="AA163" s="10">
        <f t="shared" si="36"/>
        <v>-0.15874560433138618</v>
      </c>
      <c r="AB163" s="7">
        <f t="shared" si="35"/>
        <v>1.2437355519599143</v>
      </c>
      <c r="AC163" s="7">
        <v>1.279572789102752</v>
      </c>
    </row>
    <row r="164" spans="1:29" x14ac:dyDescent="0.25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28">
        <v>1</v>
      </c>
      <c r="I164" s="28">
        <v>-1</v>
      </c>
      <c r="J164" s="28">
        <v>1</v>
      </c>
      <c r="K164" s="28">
        <v>-1</v>
      </c>
      <c r="L164" s="9">
        <f t="shared" si="34"/>
        <v>-6.0867819742838059E-3</v>
      </c>
      <c r="M164" s="9">
        <f t="shared" si="27"/>
        <v>0</v>
      </c>
      <c r="N164" s="9">
        <f t="shared" si="28"/>
        <v>-3.7787520955612219E-4</v>
      </c>
      <c r="O164" s="9">
        <f t="shared" si="29"/>
        <v>0</v>
      </c>
      <c r="P164" s="9">
        <f t="shared" si="30"/>
        <v>0</v>
      </c>
      <c r="Q164" s="9">
        <f t="shared" si="31"/>
        <v>2.9870443812911481E-2</v>
      </c>
      <c r="R164" s="9">
        <f t="shared" si="32"/>
        <v>0</v>
      </c>
      <c r="S164" s="9">
        <f t="shared" si="33"/>
        <v>-2.9870443812911481E-2</v>
      </c>
      <c r="T164" s="10">
        <f t="shared" si="37"/>
        <v>0.57333526367246579</v>
      </c>
      <c r="U164" s="10">
        <f t="shared" si="37"/>
        <v>0.20046667117976691</v>
      </c>
      <c r="V164" s="10">
        <f t="shared" si="37"/>
        <v>-0.11760309811499181</v>
      </c>
      <c r="W164" s="10">
        <f t="shared" si="37"/>
        <v>0.5810720580388341</v>
      </c>
      <c r="X164" s="10">
        <f t="shared" si="37"/>
        <v>0.48348858140763551</v>
      </c>
      <c r="Y164" s="10">
        <f t="shared" si="36"/>
        <v>0.18861604814429767</v>
      </c>
      <c r="Z164" s="10">
        <f t="shared" si="36"/>
        <v>-0.48348858140763551</v>
      </c>
      <c r="AA164" s="10">
        <f t="shared" si="36"/>
        <v>-0.18861604814429767</v>
      </c>
      <c r="AB164" s="7">
        <f t="shared" si="35"/>
        <v>1.2372708947760742</v>
      </c>
      <c r="AC164" s="7">
        <v>1.280082525647023</v>
      </c>
    </row>
    <row r="165" spans="1:29" x14ac:dyDescent="0.25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28">
        <v>-1</v>
      </c>
      <c r="I165" s="28">
        <v>-1</v>
      </c>
      <c r="J165" s="28">
        <v>-1</v>
      </c>
      <c r="K165" s="28">
        <v>-1</v>
      </c>
      <c r="L165" s="9">
        <f t="shared" si="34"/>
        <v>0</v>
      </c>
      <c r="M165" s="9">
        <f t="shared" si="27"/>
        <v>-4.2222733110776067E-3</v>
      </c>
      <c r="N165" s="9">
        <f t="shared" si="28"/>
        <v>0</v>
      </c>
      <c r="O165" s="9">
        <f t="shared" si="29"/>
        <v>1.983888334525696E-2</v>
      </c>
      <c r="P165" s="9">
        <f t="shared" si="30"/>
        <v>0</v>
      </c>
      <c r="Q165" s="9">
        <f t="shared" si="31"/>
        <v>-3.597166866950019E-2</v>
      </c>
      <c r="R165" s="9">
        <f t="shared" si="32"/>
        <v>0</v>
      </c>
      <c r="S165" s="9">
        <f t="shared" si="33"/>
        <v>3.597166866950019E-2</v>
      </c>
      <c r="T165" s="10">
        <f t="shared" si="37"/>
        <v>0.57333526367246579</v>
      </c>
      <c r="U165" s="10">
        <f t="shared" si="37"/>
        <v>0.1962443978686893</v>
      </c>
      <c r="V165" s="10">
        <f t="shared" si="37"/>
        <v>-0.11760309811499181</v>
      </c>
      <c r="W165" s="10">
        <f t="shared" si="37"/>
        <v>0.60091094138409107</v>
      </c>
      <c r="X165" s="10">
        <f t="shared" si="37"/>
        <v>0.48348858140763551</v>
      </c>
      <c r="Y165" s="10">
        <f t="shared" si="36"/>
        <v>0.15264437947479748</v>
      </c>
      <c r="Z165" s="10">
        <f t="shared" si="36"/>
        <v>-0.48348858140763551</v>
      </c>
      <c r="AA165" s="10">
        <f t="shared" si="36"/>
        <v>-0.15264437947479748</v>
      </c>
      <c r="AB165" s="7">
        <f t="shared" si="35"/>
        <v>1.2528875048102535</v>
      </c>
      <c r="AC165" s="7">
        <v>1.34580516019536</v>
      </c>
    </row>
    <row r="166" spans="1:29" x14ac:dyDescent="0.25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28">
        <v>-1</v>
      </c>
      <c r="I166" s="28">
        <v>1</v>
      </c>
      <c r="J166" s="28">
        <v>-1</v>
      </c>
      <c r="K166" s="28">
        <v>1</v>
      </c>
      <c r="L166" s="9">
        <f t="shared" si="34"/>
        <v>0</v>
      </c>
      <c r="M166" s="9">
        <f t="shared" si="27"/>
        <v>1.265304430357372E-2</v>
      </c>
      <c r="N166" s="9">
        <f t="shared" si="28"/>
        <v>0</v>
      </c>
      <c r="O166" s="9">
        <f t="shared" si="29"/>
        <v>5.4310578217547922E-3</v>
      </c>
      <c r="P166" s="9">
        <f t="shared" si="30"/>
        <v>-7.4587903043831227E-3</v>
      </c>
      <c r="Q166" s="9">
        <f t="shared" si="31"/>
        <v>0</v>
      </c>
      <c r="R166" s="9">
        <f t="shared" si="32"/>
        <v>7.4587903043831227E-3</v>
      </c>
      <c r="S166" s="9">
        <f t="shared" si="33"/>
        <v>0</v>
      </c>
      <c r="T166" s="10">
        <f t="shared" si="37"/>
        <v>0.57333526367246579</v>
      </c>
      <c r="U166" s="10">
        <f t="shared" si="37"/>
        <v>0.20889744217226303</v>
      </c>
      <c r="V166" s="10">
        <f t="shared" si="37"/>
        <v>-0.11760309811499181</v>
      </c>
      <c r="W166" s="10">
        <f t="shared" si="37"/>
        <v>0.60634199920584586</v>
      </c>
      <c r="X166" s="10">
        <f t="shared" si="37"/>
        <v>0.47602979110325239</v>
      </c>
      <c r="Y166" s="10">
        <f t="shared" si="36"/>
        <v>0.15264437947479748</v>
      </c>
      <c r="Z166" s="10">
        <f t="shared" si="36"/>
        <v>-0.47602979110325239</v>
      </c>
      <c r="AA166" s="10">
        <f t="shared" si="36"/>
        <v>-0.15264437947479748</v>
      </c>
      <c r="AB166" s="7">
        <f t="shared" si="35"/>
        <v>1.2709716069355819</v>
      </c>
      <c r="AC166" s="7">
        <v>1.3501542181477191</v>
      </c>
    </row>
    <row r="167" spans="1:29" x14ac:dyDescent="0.25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28">
        <v>1</v>
      </c>
      <c r="I167" s="28">
        <v>1</v>
      </c>
      <c r="J167" s="28">
        <v>1</v>
      </c>
      <c r="K167" s="28">
        <v>1</v>
      </c>
      <c r="L167" s="9">
        <f t="shared" si="34"/>
        <v>2.106612089009496E-2</v>
      </c>
      <c r="M167" s="9">
        <f t="shared" si="27"/>
        <v>0</v>
      </c>
      <c r="N167" s="9">
        <f t="shared" si="28"/>
        <v>-1.13567959260763E-4</v>
      </c>
      <c r="O167" s="9">
        <f t="shared" si="29"/>
        <v>0</v>
      </c>
      <c r="P167" s="9">
        <f t="shared" si="30"/>
        <v>-2.868858305555833E-3</v>
      </c>
      <c r="Q167" s="9">
        <f t="shared" si="31"/>
        <v>0</v>
      </c>
      <c r="R167" s="9">
        <f t="shared" si="32"/>
        <v>2.868858305555833E-3</v>
      </c>
      <c r="S167" s="9">
        <f t="shared" si="33"/>
        <v>0</v>
      </c>
      <c r="T167" s="10">
        <f t="shared" si="37"/>
        <v>0.59440138456256075</v>
      </c>
      <c r="U167" s="10">
        <f t="shared" si="37"/>
        <v>0.20889744217226303</v>
      </c>
      <c r="V167" s="10">
        <f t="shared" si="37"/>
        <v>-0.11771666607425257</v>
      </c>
      <c r="W167" s="10">
        <f t="shared" si="37"/>
        <v>0.60634199920584586</v>
      </c>
      <c r="X167" s="10">
        <f t="shared" si="37"/>
        <v>0.47316093279769655</v>
      </c>
      <c r="Y167" s="10">
        <f t="shared" si="36"/>
        <v>0.15264437947479748</v>
      </c>
      <c r="Z167" s="10">
        <f t="shared" si="36"/>
        <v>-0.47316093279769655</v>
      </c>
      <c r="AA167" s="10">
        <f t="shared" si="36"/>
        <v>-0.15264437947479748</v>
      </c>
      <c r="AB167" s="7">
        <f t="shared" si="35"/>
        <v>1.291924159866416</v>
      </c>
      <c r="AC167" s="7">
        <v>1.36751029179655</v>
      </c>
    </row>
    <row r="168" spans="1:29" x14ac:dyDescent="0.25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28">
        <v>1</v>
      </c>
      <c r="I168" s="28">
        <v>-1</v>
      </c>
      <c r="J168" s="28">
        <v>1</v>
      </c>
      <c r="K168" s="28">
        <v>-1</v>
      </c>
      <c r="L168" s="9">
        <f t="shared" si="34"/>
        <v>6.2817121259411968E-3</v>
      </c>
      <c r="M168" s="9">
        <f t="shared" si="27"/>
        <v>0</v>
      </c>
      <c r="N168" s="9">
        <f t="shared" si="28"/>
        <v>-4.0119449549675612E-2</v>
      </c>
      <c r="O168" s="9">
        <f t="shared" si="29"/>
        <v>0</v>
      </c>
      <c r="P168" s="9">
        <f t="shared" si="30"/>
        <v>0</v>
      </c>
      <c r="Q168" s="9">
        <f t="shared" si="31"/>
        <v>-8.7554909606043507E-3</v>
      </c>
      <c r="R168" s="9">
        <f t="shared" si="32"/>
        <v>0</v>
      </c>
      <c r="S168" s="9">
        <f t="shared" si="33"/>
        <v>8.7554909606043507E-3</v>
      </c>
      <c r="T168" s="10">
        <f t="shared" si="37"/>
        <v>0.60068309668850195</v>
      </c>
      <c r="U168" s="10">
        <f t="shared" si="37"/>
        <v>0.20889744217226303</v>
      </c>
      <c r="V168" s="10">
        <f t="shared" si="37"/>
        <v>-0.15783611562392819</v>
      </c>
      <c r="W168" s="10">
        <f t="shared" si="37"/>
        <v>0.60634199920584586</v>
      </c>
      <c r="X168" s="10">
        <f t="shared" si="37"/>
        <v>0.47316093279769655</v>
      </c>
      <c r="Y168" s="10">
        <f t="shared" si="36"/>
        <v>0.14388888851419313</v>
      </c>
      <c r="Z168" s="10">
        <f t="shared" si="36"/>
        <v>-0.47316093279769655</v>
      </c>
      <c r="AA168" s="10">
        <f t="shared" si="36"/>
        <v>-0.14388888851419313</v>
      </c>
      <c r="AB168" s="7">
        <f t="shared" si="35"/>
        <v>1.2580864224426815</v>
      </c>
      <c r="AC168" s="7">
        <v>1.372430447132581</v>
      </c>
    </row>
    <row r="169" spans="1:29" x14ac:dyDescent="0.25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28">
        <v>-1</v>
      </c>
      <c r="I169" s="28">
        <v>-1</v>
      </c>
      <c r="J169" s="28">
        <v>-1</v>
      </c>
      <c r="K169" s="28">
        <v>-1</v>
      </c>
      <c r="L169" s="9">
        <f t="shared" si="34"/>
        <v>0</v>
      </c>
      <c r="M169" s="9">
        <f t="shared" si="27"/>
        <v>5.4633164049966432E-4</v>
      </c>
      <c r="N169" s="9">
        <f t="shared" si="28"/>
        <v>0</v>
      </c>
      <c r="O169" s="9">
        <f t="shared" si="29"/>
        <v>1.9804518498064749E-2</v>
      </c>
      <c r="P169" s="9">
        <f t="shared" si="30"/>
        <v>0</v>
      </c>
      <c r="Q169" s="9">
        <f t="shared" si="31"/>
        <v>-1.51754701382486E-2</v>
      </c>
      <c r="R169" s="9">
        <f t="shared" si="32"/>
        <v>0</v>
      </c>
      <c r="S169" s="9">
        <f t="shared" si="33"/>
        <v>1.51754701382486E-2</v>
      </c>
      <c r="T169" s="10">
        <f t="shared" si="37"/>
        <v>0.60068309668850195</v>
      </c>
      <c r="U169" s="10">
        <f t="shared" si="37"/>
        <v>0.20944377381276269</v>
      </c>
      <c r="V169" s="10">
        <f t="shared" si="37"/>
        <v>-0.15783611562392819</v>
      </c>
      <c r="W169" s="10">
        <f t="shared" si="37"/>
        <v>0.62614651770391061</v>
      </c>
      <c r="X169" s="10">
        <f t="shared" si="37"/>
        <v>0.47316093279769655</v>
      </c>
      <c r="Y169" s="10">
        <f t="shared" si="36"/>
        <v>0.12871341837594452</v>
      </c>
      <c r="Z169" s="10">
        <f t="shared" si="36"/>
        <v>-0.47316093279769655</v>
      </c>
      <c r="AA169" s="10">
        <f t="shared" si="36"/>
        <v>-0.12871341837594452</v>
      </c>
      <c r="AB169" s="7">
        <f t="shared" si="35"/>
        <v>1.2784372725812458</v>
      </c>
      <c r="AC169" s="7">
        <v>1.4084936161394259</v>
      </c>
    </row>
    <row r="170" spans="1:29" x14ac:dyDescent="0.25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28">
        <v>-1</v>
      </c>
      <c r="I170" s="28">
        <v>1</v>
      </c>
      <c r="J170" s="28">
        <v>-1</v>
      </c>
      <c r="K170" s="28">
        <v>1</v>
      </c>
      <c r="L170" s="9">
        <f t="shared" si="34"/>
        <v>0</v>
      </c>
      <c r="M170" s="9">
        <f t="shared" si="27"/>
        <v>5.2871165644816642E-3</v>
      </c>
      <c r="N170" s="9">
        <f t="shared" si="28"/>
        <v>0</v>
      </c>
      <c r="O170" s="9">
        <f t="shared" si="29"/>
        <v>8.4876349859683842E-3</v>
      </c>
      <c r="P170" s="9">
        <f t="shared" si="30"/>
        <v>4.9292530344248187E-3</v>
      </c>
      <c r="Q170" s="9">
        <f t="shared" si="31"/>
        <v>0</v>
      </c>
      <c r="R170" s="9">
        <f t="shared" si="32"/>
        <v>-4.9292530344248187E-3</v>
      </c>
      <c r="S170" s="9">
        <f t="shared" si="33"/>
        <v>0</v>
      </c>
      <c r="T170" s="10">
        <f t="shared" si="37"/>
        <v>0.60068309668850195</v>
      </c>
      <c r="U170" s="10">
        <f t="shared" si="37"/>
        <v>0.21473089037724435</v>
      </c>
      <c r="V170" s="10">
        <f t="shared" si="37"/>
        <v>-0.15783611562392819</v>
      </c>
      <c r="W170" s="10">
        <f t="shared" si="37"/>
        <v>0.63463415268987899</v>
      </c>
      <c r="X170" s="10">
        <f t="shared" si="37"/>
        <v>0.47809018583212137</v>
      </c>
      <c r="Y170" s="10">
        <f t="shared" si="36"/>
        <v>0.12871341837594452</v>
      </c>
      <c r="Z170" s="10">
        <f t="shared" si="36"/>
        <v>-0.47809018583212137</v>
      </c>
      <c r="AA170" s="10">
        <f t="shared" si="36"/>
        <v>-0.12871341837594452</v>
      </c>
      <c r="AB170" s="7">
        <f t="shared" si="35"/>
        <v>1.2922120241316959</v>
      </c>
      <c r="AC170" s="7">
        <v>1.409821605004087</v>
      </c>
    </row>
    <row r="171" spans="1:29" x14ac:dyDescent="0.25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28">
        <v>-1</v>
      </c>
      <c r="I171" s="28">
        <v>1</v>
      </c>
      <c r="J171" s="28">
        <v>-1</v>
      </c>
      <c r="K171" s="28">
        <v>1</v>
      </c>
      <c r="L171" s="9">
        <f t="shared" si="34"/>
        <v>0</v>
      </c>
      <c r="M171" s="9">
        <f t="shared" si="27"/>
        <v>3.9110735098819571E-3</v>
      </c>
      <c r="N171" s="9">
        <f t="shared" si="28"/>
        <v>0</v>
      </c>
      <c r="O171" s="9">
        <f t="shared" si="29"/>
        <v>4.1738659614304341E-3</v>
      </c>
      <c r="P171" s="9">
        <f t="shared" si="30"/>
        <v>5.2016034544544176E-3</v>
      </c>
      <c r="Q171" s="9">
        <f t="shared" si="31"/>
        <v>0</v>
      </c>
      <c r="R171" s="9">
        <f t="shared" si="32"/>
        <v>-5.2016034544544176E-3</v>
      </c>
      <c r="S171" s="9">
        <f t="shared" si="33"/>
        <v>0</v>
      </c>
      <c r="T171" s="10">
        <f t="shared" si="37"/>
        <v>0.60068309668850195</v>
      </c>
      <c r="U171" s="10">
        <f t="shared" si="37"/>
        <v>0.21864196388712631</v>
      </c>
      <c r="V171" s="10">
        <f t="shared" si="37"/>
        <v>-0.15783611562392819</v>
      </c>
      <c r="W171" s="10">
        <f t="shared" si="37"/>
        <v>0.63880801865130943</v>
      </c>
      <c r="X171" s="10">
        <f t="shared" si="37"/>
        <v>0.48329178928657579</v>
      </c>
      <c r="Y171" s="10">
        <f t="shared" si="36"/>
        <v>0.12871341837594452</v>
      </c>
      <c r="Z171" s="10">
        <f t="shared" si="36"/>
        <v>-0.48329178928657579</v>
      </c>
      <c r="AA171" s="10">
        <f t="shared" si="36"/>
        <v>-0.12871341837594452</v>
      </c>
      <c r="AB171" s="7">
        <f t="shared" si="35"/>
        <v>1.3002969636030084</v>
      </c>
      <c r="AC171" s="7">
        <v>1.4106827889705349</v>
      </c>
    </row>
    <row r="172" spans="1:29" x14ac:dyDescent="0.25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28">
        <v>-1</v>
      </c>
      <c r="I172" s="28">
        <v>1</v>
      </c>
      <c r="J172" s="28">
        <v>-1</v>
      </c>
      <c r="K172" s="28">
        <v>1</v>
      </c>
      <c r="L172" s="9">
        <f t="shared" si="34"/>
        <v>0</v>
      </c>
      <c r="M172" s="9">
        <f t="shared" si="27"/>
        <v>6.6807915872998391E-3</v>
      </c>
      <c r="N172" s="9">
        <f t="shared" si="28"/>
        <v>0</v>
      </c>
      <c r="O172" s="9">
        <f t="shared" si="29"/>
        <v>-1.545608214240257E-2</v>
      </c>
      <c r="P172" s="9">
        <f t="shared" si="30"/>
        <v>-5.8106249618687933E-3</v>
      </c>
      <c r="Q172" s="9">
        <f t="shared" si="31"/>
        <v>0</v>
      </c>
      <c r="R172" s="9">
        <f t="shared" si="32"/>
        <v>5.8106249618687933E-3</v>
      </c>
      <c r="S172" s="9">
        <f t="shared" si="33"/>
        <v>0</v>
      </c>
      <c r="T172" s="10">
        <f t="shared" si="37"/>
        <v>0.60068309668850195</v>
      </c>
      <c r="U172" s="10">
        <f t="shared" si="37"/>
        <v>0.22532275547442615</v>
      </c>
      <c r="V172" s="10">
        <f t="shared" si="37"/>
        <v>-0.15783611562392819</v>
      </c>
      <c r="W172" s="10">
        <f t="shared" si="37"/>
        <v>0.62335193650890686</v>
      </c>
      <c r="X172" s="10">
        <f t="shared" si="37"/>
        <v>0.477481164324707</v>
      </c>
      <c r="Y172" s="10">
        <f t="shared" si="36"/>
        <v>0.12871341837594452</v>
      </c>
      <c r="Z172" s="10">
        <f t="shared" si="36"/>
        <v>-0.477481164324707</v>
      </c>
      <c r="AA172" s="10">
        <f t="shared" si="36"/>
        <v>-0.12871341837594452</v>
      </c>
      <c r="AB172" s="7">
        <f t="shared" si="35"/>
        <v>1.2915216730479058</v>
      </c>
      <c r="AC172" s="7">
        <v>1.393381451405278</v>
      </c>
    </row>
    <row r="173" spans="1:29" x14ac:dyDescent="0.25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28">
        <v>-1</v>
      </c>
      <c r="I173" s="28">
        <v>1</v>
      </c>
      <c r="J173" s="28">
        <v>-1</v>
      </c>
      <c r="K173" s="28">
        <v>1</v>
      </c>
      <c r="L173" s="9">
        <f t="shared" si="34"/>
        <v>0</v>
      </c>
      <c r="M173" s="9">
        <f t="shared" si="27"/>
        <v>-1.0687822630213171E-3</v>
      </c>
      <c r="N173" s="9">
        <f t="shared" si="28"/>
        <v>0</v>
      </c>
      <c r="O173" s="9">
        <f t="shared" si="29"/>
        <v>-7.362822759828358E-3</v>
      </c>
      <c r="P173" s="9">
        <f t="shared" si="30"/>
        <v>3.1143198898775371E-3</v>
      </c>
      <c r="Q173" s="9">
        <f t="shared" si="31"/>
        <v>0</v>
      </c>
      <c r="R173" s="9">
        <f t="shared" si="32"/>
        <v>-3.1143198898775371E-3</v>
      </c>
      <c r="S173" s="9">
        <f t="shared" si="33"/>
        <v>0</v>
      </c>
      <c r="T173" s="10">
        <f t="shared" si="37"/>
        <v>0.60068309668850195</v>
      </c>
      <c r="U173" s="10">
        <f t="shared" si="37"/>
        <v>0.22425397321140483</v>
      </c>
      <c r="V173" s="10">
        <f t="shared" si="37"/>
        <v>-0.15783611562392819</v>
      </c>
      <c r="W173" s="10">
        <f t="shared" si="37"/>
        <v>0.6159891137490785</v>
      </c>
      <c r="X173" s="10">
        <f t="shared" si="37"/>
        <v>0.48059548421458453</v>
      </c>
      <c r="Y173" s="10">
        <f t="shared" si="36"/>
        <v>0.12871341837594452</v>
      </c>
      <c r="Z173" s="10">
        <f t="shared" si="36"/>
        <v>-0.48059548421458453</v>
      </c>
      <c r="AA173" s="10">
        <f t="shared" si="36"/>
        <v>-0.12871341837594452</v>
      </c>
      <c r="AB173" s="7">
        <f t="shared" si="35"/>
        <v>1.2830900680250561</v>
      </c>
      <c r="AC173" s="7">
        <v>1.430025731455393</v>
      </c>
    </row>
    <row r="174" spans="1:29" x14ac:dyDescent="0.25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28">
        <v>-1</v>
      </c>
      <c r="I174" s="28">
        <v>1</v>
      </c>
      <c r="J174" s="28">
        <v>-1</v>
      </c>
      <c r="K174" s="28">
        <v>1</v>
      </c>
      <c r="L174" s="9">
        <f t="shared" si="34"/>
        <v>0</v>
      </c>
      <c r="M174" s="9">
        <f t="shared" si="27"/>
        <v>9.924179175015535E-3</v>
      </c>
      <c r="N174" s="9">
        <f t="shared" si="28"/>
        <v>0</v>
      </c>
      <c r="O174" s="9">
        <f t="shared" si="29"/>
        <v>9.3956542307194191E-3</v>
      </c>
      <c r="P174" s="9">
        <f t="shared" si="30"/>
        <v>1.9082515787233412E-2</v>
      </c>
      <c r="Q174" s="9">
        <f t="shared" si="31"/>
        <v>0</v>
      </c>
      <c r="R174" s="9">
        <f t="shared" si="32"/>
        <v>-1.9082515787233412E-2</v>
      </c>
      <c r="S174" s="9">
        <f t="shared" si="33"/>
        <v>0</v>
      </c>
      <c r="T174" s="10">
        <f t="shared" si="37"/>
        <v>0.60068309668850195</v>
      </c>
      <c r="U174" s="10">
        <f t="shared" si="37"/>
        <v>0.23417815238642037</v>
      </c>
      <c r="V174" s="10">
        <f t="shared" si="37"/>
        <v>-0.15783611562392819</v>
      </c>
      <c r="W174" s="10">
        <f t="shared" si="37"/>
        <v>0.62538476797979792</v>
      </c>
      <c r="X174" s="10">
        <f t="shared" si="37"/>
        <v>0.49967800000181795</v>
      </c>
      <c r="Y174" s="10">
        <f t="shared" si="36"/>
        <v>0.12871341837594452</v>
      </c>
      <c r="Z174" s="10">
        <f t="shared" si="36"/>
        <v>-0.49967800000181795</v>
      </c>
      <c r="AA174" s="10">
        <f t="shared" si="36"/>
        <v>-0.12871341837594452</v>
      </c>
      <c r="AB174" s="7">
        <f t="shared" si="35"/>
        <v>1.3024099014307911</v>
      </c>
      <c r="AC174" s="7">
        <v>1.450358473838179</v>
      </c>
    </row>
    <row r="175" spans="1:29" x14ac:dyDescent="0.25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28">
        <v>-1</v>
      </c>
      <c r="I175" s="28">
        <v>1</v>
      </c>
      <c r="J175" s="28">
        <v>-1</v>
      </c>
      <c r="K175" s="28">
        <v>1</v>
      </c>
      <c r="L175" s="9">
        <f t="shared" si="34"/>
        <v>0</v>
      </c>
      <c r="M175" s="9">
        <f t="shared" si="27"/>
        <v>2.4923827839817841E-4</v>
      </c>
      <c r="N175" s="9">
        <f t="shared" si="28"/>
        <v>0</v>
      </c>
      <c r="O175" s="9">
        <f t="shared" si="29"/>
        <v>-1.626381046712644E-3</v>
      </c>
      <c r="P175" s="9">
        <f t="shared" si="30"/>
        <v>1.308177553893897E-2</v>
      </c>
      <c r="Q175" s="9">
        <f t="shared" si="31"/>
        <v>0</v>
      </c>
      <c r="R175" s="9">
        <f t="shared" si="32"/>
        <v>-1.308177553893897E-2</v>
      </c>
      <c r="S175" s="9">
        <f t="shared" si="33"/>
        <v>0</v>
      </c>
      <c r="T175" s="10">
        <f t="shared" si="37"/>
        <v>0.60068309668850195</v>
      </c>
      <c r="U175" s="10">
        <f t="shared" si="37"/>
        <v>0.23442739066481855</v>
      </c>
      <c r="V175" s="10">
        <f t="shared" si="37"/>
        <v>-0.15783611562392819</v>
      </c>
      <c r="W175" s="10">
        <f t="shared" si="37"/>
        <v>0.62375838693308527</v>
      </c>
      <c r="X175" s="10">
        <f t="shared" si="37"/>
        <v>0.51275977554075691</v>
      </c>
      <c r="Y175" s="10">
        <f t="shared" si="36"/>
        <v>0.12871341837594452</v>
      </c>
      <c r="Z175" s="10">
        <f t="shared" si="36"/>
        <v>-0.51275977554075691</v>
      </c>
      <c r="AA175" s="10">
        <f t="shared" si="36"/>
        <v>-0.12871341837594452</v>
      </c>
      <c r="AB175" s="7">
        <f t="shared" si="35"/>
        <v>1.3010327586624766</v>
      </c>
      <c r="AC175" s="7">
        <v>1.468268261402808</v>
      </c>
    </row>
    <row r="176" spans="1:29" x14ac:dyDescent="0.25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28">
        <v>-1</v>
      </c>
      <c r="I176" s="28">
        <v>1</v>
      </c>
      <c r="J176" s="28">
        <v>-1</v>
      </c>
      <c r="K176" s="28">
        <v>1</v>
      </c>
      <c r="L176" s="9">
        <f t="shared" si="34"/>
        <v>0</v>
      </c>
      <c r="M176" s="9">
        <f t="shared" si="27"/>
        <v>-8.1001466830965541E-4</v>
      </c>
      <c r="N176" s="9">
        <f t="shared" si="28"/>
        <v>0</v>
      </c>
      <c r="O176" s="9">
        <f t="shared" si="29"/>
        <v>1.190613000962293E-2</v>
      </c>
      <c r="P176" s="9">
        <f t="shared" si="30"/>
        <v>6.2035128732260691E-3</v>
      </c>
      <c r="Q176" s="9">
        <f t="shared" si="31"/>
        <v>0</v>
      </c>
      <c r="R176" s="9">
        <f t="shared" si="32"/>
        <v>-6.2035128732260691E-3</v>
      </c>
      <c r="S176" s="9">
        <f t="shared" si="33"/>
        <v>0</v>
      </c>
      <c r="T176" s="10">
        <f t="shared" si="37"/>
        <v>0.60068309668850195</v>
      </c>
      <c r="U176" s="10">
        <f t="shared" si="37"/>
        <v>0.23361737599650889</v>
      </c>
      <c r="V176" s="10">
        <f t="shared" si="37"/>
        <v>-0.15783611562392819</v>
      </c>
      <c r="W176" s="10">
        <f t="shared" si="37"/>
        <v>0.6356645169427082</v>
      </c>
      <c r="X176" s="10">
        <f t="shared" si="37"/>
        <v>0.51896328841398298</v>
      </c>
      <c r="Y176" s="10">
        <f t="shared" si="36"/>
        <v>0.12871341837594452</v>
      </c>
      <c r="Z176" s="10">
        <f t="shared" si="36"/>
        <v>-0.51896328841398298</v>
      </c>
      <c r="AA176" s="10">
        <f t="shared" si="36"/>
        <v>-0.12871341837594452</v>
      </c>
      <c r="AB176" s="7">
        <f t="shared" si="35"/>
        <v>1.3121288740037897</v>
      </c>
      <c r="AC176" s="7">
        <v>1.5069212223870081</v>
      </c>
    </row>
    <row r="177" spans="1:29" x14ac:dyDescent="0.25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28">
        <v>-1</v>
      </c>
      <c r="I177" s="28">
        <v>1</v>
      </c>
      <c r="J177" s="28">
        <v>-1</v>
      </c>
      <c r="K177" s="28">
        <v>1</v>
      </c>
      <c r="L177" s="9">
        <f t="shared" si="34"/>
        <v>0</v>
      </c>
      <c r="M177" s="9">
        <f t="shared" si="27"/>
        <v>-8.6017252817170986E-3</v>
      </c>
      <c r="N177" s="9">
        <f t="shared" si="28"/>
        <v>0</v>
      </c>
      <c r="O177" s="9">
        <f t="shared" si="29"/>
        <v>4.8361162221480791E-3</v>
      </c>
      <c r="P177" s="9">
        <f t="shared" si="30"/>
        <v>2.3646124910285948E-3</v>
      </c>
      <c r="Q177" s="9">
        <f t="shared" si="31"/>
        <v>0</v>
      </c>
      <c r="R177" s="9">
        <f t="shared" si="32"/>
        <v>-2.3646124910285948E-3</v>
      </c>
      <c r="S177" s="9">
        <f t="shared" si="33"/>
        <v>0</v>
      </c>
      <c r="T177" s="10">
        <f t="shared" si="37"/>
        <v>0.60068309668850195</v>
      </c>
      <c r="U177" s="10">
        <f t="shared" si="37"/>
        <v>0.22501565071479179</v>
      </c>
      <c r="V177" s="10">
        <f t="shared" si="37"/>
        <v>-0.15783611562392819</v>
      </c>
      <c r="W177" s="10">
        <f t="shared" si="37"/>
        <v>0.64050063316485628</v>
      </c>
      <c r="X177" s="10">
        <f t="shared" si="37"/>
        <v>0.52132790090501158</v>
      </c>
      <c r="Y177" s="10">
        <f t="shared" si="36"/>
        <v>0.12871341837594452</v>
      </c>
      <c r="Z177" s="10">
        <f t="shared" si="36"/>
        <v>-0.52132790090501158</v>
      </c>
      <c r="AA177" s="10">
        <f t="shared" si="36"/>
        <v>-0.12871341837594452</v>
      </c>
      <c r="AB177" s="7">
        <f t="shared" si="35"/>
        <v>1.3083632649442207</v>
      </c>
      <c r="AC177" s="7">
        <v>1.5084756711374241</v>
      </c>
    </row>
    <row r="178" spans="1:29" x14ac:dyDescent="0.25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28">
        <v>1</v>
      </c>
      <c r="I178" s="28">
        <v>1</v>
      </c>
      <c r="J178" s="28">
        <v>1</v>
      </c>
      <c r="K178" s="28">
        <v>1</v>
      </c>
      <c r="L178" s="9">
        <f t="shared" si="34"/>
        <v>3.8493924675357949E-3</v>
      </c>
      <c r="M178" s="9">
        <f t="shared" si="27"/>
        <v>0</v>
      </c>
      <c r="N178" s="9">
        <f t="shared" si="28"/>
        <v>4.638654928052599E-3</v>
      </c>
      <c r="O178" s="9">
        <f t="shared" si="29"/>
        <v>0</v>
      </c>
      <c r="P178" s="9">
        <f t="shared" si="30"/>
        <v>-2.282884690280151E-3</v>
      </c>
      <c r="Q178" s="9">
        <f t="shared" si="31"/>
        <v>0</v>
      </c>
      <c r="R178" s="9">
        <f t="shared" si="32"/>
        <v>2.282884690280151E-3</v>
      </c>
      <c r="S178" s="9">
        <f t="shared" si="33"/>
        <v>0</v>
      </c>
      <c r="T178" s="10">
        <f t="shared" si="37"/>
        <v>0.60453248915603774</v>
      </c>
      <c r="U178" s="10">
        <f t="shared" si="37"/>
        <v>0.22501565071479179</v>
      </c>
      <c r="V178" s="10">
        <f t="shared" si="37"/>
        <v>-0.15319746069587559</v>
      </c>
      <c r="W178" s="10">
        <f t="shared" si="37"/>
        <v>0.64050063316485628</v>
      </c>
      <c r="X178" s="10">
        <f t="shared" si="37"/>
        <v>0.51904501621473143</v>
      </c>
      <c r="Y178" s="10">
        <f t="shared" si="36"/>
        <v>0.12871341837594452</v>
      </c>
      <c r="Z178" s="10">
        <f t="shared" si="36"/>
        <v>-0.51904501621473143</v>
      </c>
      <c r="AA178" s="10">
        <f t="shared" si="36"/>
        <v>-0.12871341837594452</v>
      </c>
      <c r="AB178" s="7">
        <f t="shared" si="35"/>
        <v>1.3168513123398091</v>
      </c>
      <c r="AC178" s="7">
        <v>1.5185580865139461</v>
      </c>
    </row>
    <row r="179" spans="1:29" x14ac:dyDescent="0.25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28">
        <v>1</v>
      </c>
      <c r="I179" s="28">
        <v>-1</v>
      </c>
      <c r="J179" s="28">
        <v>1</v>
      </c>
      <c r="K179" s="28">
        <v>-1</v>
      </c>
      <c r="L179" s="9">
        <f t="shared" si="34"/>
        <v>1.307813747545516E-2</v>
      </c>
      <c r="M179" s="9">
        <f t="shared" si="27"/>
        <v>0</v>
      </c>
      <c r="N179" s="9">
        <f t="shared" si="28"/>
        <v>-5.62119711219633E-3</v>
      </c>
      <c r="O179" s="9">
        <f t="shared" si="29"/>
        <v>0</v>
      </c>
      <c r="P179" s="9">
        <f t="shared" si="30"/>
        <v>0</v>
      </c>
      <c r="Q179" s="9">
        <f t="shared" si="31"/>
        <v>-6.7938139638688E-3</v>
      </c>
      <c r="R179" s="9">
        <f t="shared" si="32"/>
        <v>0</v>
      </c>
      <c r="S179" s="9">
        <f t="shared" si="33"/>
        <v>6.7938139638688E-3</v>
      </c>
      <c r="T179" s="10">
        <f t="shared" si="37"/>
        <v>0.61761062663149291</v>
      </c>
      <c r="U179" s="10">
        <f t="shared" si="37"/>
        <v>0.22501565071479179</v>
      </c>
      <c r="V179" s="10">
        <f t="shared" si="37"/>
        <v>-0.15881865780807192</v>
      </c>
      <c r="W179" s="10">
        <f t="shared" si="37"/>
        <v>0.64050063316485628</v>
      </c>
      <c r="X179" s="10">
        <f t="shared" si="37"/>
        <v>0.51904501621473143</v>
      </c>
      <c r="Y179" s="10">
        <f t="shared" si="36"/>
        <v>0.12191960441207572</v>
      </c>
      <c r="Z179" s="10">
        <f t="shared" si="36"/>
        <v>-0.51904501621473143</v>
      </c>
      <c r="AA179" s="10">
        <f t="shared" si="36"/>
        <v>-0.12191960441207572</v>
      </c>
      <c r="AB179" s="7">
        <f t="shared" si="35"/>
        <v>1.3243082527030678</v>
      </c>
      <c r="AC179" s="7">
        <v>1.5328241321079361</v>
      </c>
    </row>
    <row r="180" spans="1:29" x14ac:dyDescent="0.25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28">
        <v>1</v>
      </c>
      <c r="I180" s="28">
        <v>-1</v>
      </c>
      <c r="J180" s="28">
        <v>1</v>
      </c>
      <c r="K180" s="28">
        <v>-1</v>
      </c>
      <c r="L180" s="9">
        <f t="shared" si="34"/>
        <v>-4.6306885245674936E-3</v>
      </c>
      <c r="M180" s="9">
        <f t="shared" si="27"/>
        <v>0</v>
      </c>
      <c r="N180" s="9">
        <f t="shared" si="28"/>
        <v>1.9203089975543541E-2</v>
      </c>
      <c r="O180" s="9">
        <f t="shared" si="29"/>
        <v>0</v>
      </c>
      <c r="P180" s="9">
        <f t="shared" si="30"/>
        <v>0</v>
      </c>
      <c r="Q180" s="9">
        <f t="shared" si="31"/>
        <v>-9.1969690142181815E-3</v>
      </c>
      <c r="R180" s="9">
        <f t="shared" si="32"/>
        <v>0</v>
      </c>
      <c r="S180" s="9">
        <f t="shared" si="33"/>
        <v>9.1969690142181815E-3</v>
      </c>
      <c r="T180" s="10">
        <f t="shared" si="37"/>
        <v>0.61297993810692541</v>
      </c>
      <c r="U180" s="10">
        <f t="shared" si="37"/>
        <v>0.22501565071479179</v>
      </c>
      <c r="V180" s="10">
        <f t="shared" si="37"/>
        <v>-0.13961556783252838</v>
      </c>
      <c r="W180" s="10">
        <f t="shared" si="37"/>
        <v>0.64050063316485628</v>
      </c>
      <c r="X180" s="10">
        <f t="shared" si="37"/>
        <v>0.51904501621473143</v>
      </c>
      <c r="Y180" s="10">
        <f t="shared" si="36"/>
        <v>0.11272263539785754</v>
      </c>
      <c r="Z180" s="10">
        <f t="shared" si="36"/>
        <v>-0.51904501621473143</v>
      </c>
      <c r="AA180" s="10">
        <f t="shared" si="36"/>
        <v>-0.11272263539785754</v>
      </c>
      <c r="AB180" s="7">
        <f t="shared" si="35"/>
        <v>1.3388806541540439</v>
      </c>
      <c r="AC180" s="7">
        <v>1.5394102331105159</v>
      </c>
    </row>
    <row r="181" spans="1:29" x14ac:dyDescent="0.25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28">
        <v>-1</v>
      </c>
      <c r="I181" s="28">
        <v>-1</v>
      </c>
      <c r="J181" s="28">
        <v>-1</v>
      </c>
      <c r="K181" s="28">
        <v>-1</v>
      </c>
      <c r="L181" s="9">
        <f t="shared" si="34"/>
        <v>0</v>
      </c>
      <c r="M181" s="9">
        <f t="shared" si="27"/>
        <v>1.9832641239647669E-4</v>
      </c>
      <c r="N181" s="9">
        <f t="shared" si="28"/>
        <v>0</v>
      </c>
      <c r="O181" s="9">
        <f t="shared" si="29"/>
        <v>-9.190819958692531E-3</v>
      </c>
      <c r="P181" s="9">
        <f t="shared" si="30"/>
        <v>0</v>
      </c>
      <c r="Q181" s="9">
        <f t="shared" si="31"/>
        <v>-2.42211354882782E-3</v>
      </c>
      <c r="R181" s="9">
        <f t="shared" si="32"/>
        <v>0</v>
      </c>
      <c r="S181" s="9">
        <f t="shared" si="33"/>
        <v>2.42211354882782E-3</v>
      </c>
      <c r="T181" s="10">
        <f t="shared" si="37"/>
        <v>0.61297993810692541</v>
      </c>
      <c r="U181" s="10">
        <f t="shared" si="37"/>
        <v>0.22521397712718827</v>
      </c>
      <c r="V181" s="10">
        <f t="shared" si="37"/>
        <v>-0.13961556783252838</v>
      </c>
      <c r="W181" s="10">
        <f t="shared" si="37"/>
        <v>0.63130981320616375</v>
      </c>
      <c r="X181" s="10">
        <f t="shared" si="37"/>
        <v>0.51904501621473143</v>
      </c>
      <c r="Y181" s="10">
        <f t="shared" si="36"/>
        <v>0.11030052184902972</v>
      </c>
      <c r="Z181" s="10">
        <f t="shared" si="36"/>
        <v>-0.51904501621473143</v>
      </c>
      <c r="AA181" s="10">
        <f t="shared" si="36"/>
        <v>-0.11030052184902972</v>
      </c>
      <c r="AB181" s="7">
        <f t="shared" si="35"/>
        <v>1.3298881606077479</v>
      </c>
      <c r="AC181" s="7">
        <v>1.55988392126522</v>
      </c>
    </row>
    <row r="182" spans="1:29" x14ac:dyDescent="0.25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28">
        <v>1</v>
      </c>
      <c r="I182" s="28">
        <v>1</v>
      </c>
      <c r="J182" s="28">
        <v>1</v>
      </c>
      <c r="K182" s="28">
        <v>1</v>
      </c>
      <c r="L182" s="9">
        <f t="shared" si="34"/>
        <v>1.881645695014145E-2</v>
      </c>
      <c r="M182" s="9">
        <f t="shared" si="27"/>
        <v>0</v>
      </c>
      <c r="N182" s="9">
        <f t="shared" si="28"/>
        <v>-8.3707388784715064E-3</v>
      </c>
      <c r="O182" s="9">
        <f t="shared" si="29"/>
        <v>0</v>
      </c>
      <c r="P182" s="9">
        <f t="shared" si="30"/>
        <v>4.4554779546983614E-3</v>
      </c>
      <c r="Q182" s="9">
        <f t="shared" si="31"/>
        <v>0</v>
      </c>
      <c r="R182" s="9">
        <f t="shared" si="32"/>
        <v>-4.4554779546983614E-3</v>
      </c>
      <c r="S182" s="9">
        <f t="shared" si="33"/>
        <v>0</v>
      </c>
      <c r="T182" s="10">
        <f t="shared" si="37"/>
        <v>0.63179639505706686</v>
      </c>
      <c r="U182" s="10">
        <f t="shared" si="37"/>
        <v>0.22521397712718827</v>
      </c>
      <c r="V182" s="10">
        <f t="shared" si="37"/>
        <v>-0.14798630671099988</v>
      </c>
      <c r="W182" s="10">
        <f t="shared" si="37"/>
        <v>0.63130981320616375</v>
      </c>
      <c r="X182" s="10">
        <f t="shared" si="37"/>
        <v>0.52350049416942979</v>
      </c>
      <c r="Y182" s="10">
        <f t="shared" si="36"/>
        <v>0.11030052184902972</v>
      </c>
      <c r="Z182" s="10">
        <f t="shared" si="36"/>
        <v>-0.52350049416942979</v>
      </c>
      <c r="AA182" s="10">
        <f t="shared" si="36"/>
        <v>-0.11030052184902972</v>
      </c>
      <c r="AB182" s="7">
        <f t="shared" si="35"/>
        <v>1.3403338786794179</v>
      </c>
      <c r="AC182" s="7">
        <v>1.563180641953438</v>
      </c>
    </row>
    <row r="183" spans="1:29" x14ac:dyDescent="0.25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28">
        <v>-1</v>
      </c>
      <c r="I183" s="28">
        <v>-1</v>
      </c>
      <c r="J183" s="28">
        <v>-1</v>
      </c>
      <c r="K183" s="28">
        <v>-1</v>
      </c>
      <c r="L183" s="9">
        <f t="shared" si="34"/>
        <v>0</v>
      </c>
      <c r="M183" s="9">
        <f t="shared" si="27"/>
        <v>-7.1674059653247246E-3</v>
      </c>
      <c r="N183" s="9">
        <f t="shared" si="28"/>
        <v>0</v>
      </c>
      <c r="O183" s="9">
        <f t="shared" si="29"/>
        <v>-1.1333056816163371E-2</v>
      </c>
      <c r="P183" s="9">
        <f t="shared" si="30"/>
        <v>0</v>
      </c>
      <c r="Q183" s="9">
        <f t="shared" si="31"/>
        <v>3.650324776223846E-3</v>
      </c>
      <c r="R183" s="9">
        <f t="shared" si="32"/>
        <v>0</v>
      </c>
      <c r="S183" s="9">
        <f t="shared" si="33"/>
        <v>-3.650324776223846E-3</v>
      </c>
      <c r="T183" s="10">
        <f t="shared" si="37"/>
        <v>0.63179639505706686</v>
      </c>
      <c r="U183" s="10">
        <f t="shared" si="37"/>
        <v>0.21804657116186354</v>
      </c>
      <c r="V183" s="10">
        <f t="shared" si="37"/>
        <v>-0.14798630671099988</v>
      </c>
      <c r="W183" s="10">
        <f t="shared" si="37"/>
        <v>0.61997675639000038</v>
      </c>
      <c r="X183" s="10">
        <f t="shared" si="37"/>
        <v>0.52350049416942979</v>
      </c>
      <c r="Y183" s="10">
        <f t="shared" si="36"/>
        <v>0.11395084662525357</v>
      </c>
      <c r="Z183" s="10">
        <f t="shared" si="36"/>
        <v>-0.52350049416942979</v>
      </c>
      <c r="AA183" s="10">
        <f t="shared" si="36"/>
        <v>-0.11395084662525357</v>
      </c>
      <c r="AB183" s="7">
        <f t="shared" si="35"/>
        <v>1.3218334158979297</v>
      </c>
      <c r="AC183" s="7">
        <v>1.583249654920539</v>
      </c>
    </row>
    <row r="184" spans="1:29" x14ac:dyDescent="0.25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28">
        <v>-1</v>
      </c>
      <c r="I184" s="28">
        <v>1</v>
      </c>
      <c r="J184" s="28">
        <v>-1</v>
      </c>
      <c r="K184" s="28">
        <v>1</v>
      </c>
      <c r="L184" s="9">
        <f t="shared" si="34"/>
        <v>0</v>
      </c>
      <c r="M184" s="9">
        <f t="shared" si="27"/>
        <v>-2.193858495006529E-4</v>
      </c>
      <c r="N184" s="9">
        <f t="shared" si="28"/>
        <v>0</v>
      </c>
      <c r="O184" s="9">
        <f t="shared" si="29"/>
        <v>3.969901101559925E-3</v>
      </c>
      <c r="P184" s="9">
        <f t="shared" si="30"/>
        <v>1.245147295176363E-2</v>
      </c>
      <c r="Q184" s="9">
        <f t="shared" si="31"/>
        <v>0</v>
      </c>
      <c r="R184" s="9">
        <f t="shared" si="32"/>
        <v>-1.245147295176363E-2</v>
      </c>
      <c r="S184" s="9">
        <f t="shared" si="33"/>
        <v>0</v>
      </c>
      <c r="T184" s="10">
        <f t="shared" si="37"/>
        <v>0.63179639505706686</v>
      </c>
      <c r="U184" s="10">
        <f t="shared" si="37"/>
        <v>0.21782718531236289</v>
      </c>
      <c r="V184" s="10">
        <f t="shared" si="37"/>
        <v>-0.14798630671099988</v>
      </c>
      <c r="W184" s="10">
        <f t="shared" si="37"/>
        <v>0.62394665749156031</v>
      </c>
      <c r="X184" s="10">
        <f t="shared" si="37"/>
        <v>0.53595196712119342</v>
      </c>
      <c r="Y184" s="10">
        <f t="shared" si="36"/>
        <v>0.11395084662525357</v>
      </c>
      <c r="Z184" s="10">
        <f t="shared" si="36"/>
        <v>-0.53595196712119342</v>
      </c>
      <c r="AA184" s="10">
        <f t="shared" si="36"/>
        <v>-0.11395084662525357</v>
      </c>
      <c r="AB184" s="7">
        <f t="shared" si="35"/>
        <v>1.3255839311499891</v>
      </c>
      <c r="AC184" s="7">
        <v>1.606657415561507</v>
      </c>
    </row>
    <row r="185" spans="1:29" x14ac:dyDescent="0.25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28">
        <v>1</v>
      </c>
      <c r="I185" s="28">
        <v>1</v>
      </c>
      <c r="J185" s="28">
        <v>1</v>
      </c>
      <c r="K185" s="28">
        <v>1</v>
      </c>
      <c r="L185" s="9">
        <f t="shared" si="34"/>
        <v>1.9216956464672471E-2</v>
      </c>
      <c r="M185" s="9">
        <f t="shared" si="27"/>
        <v>0</v>
      </c>
      <c r="N185" s="9">
        <f t="shared" si="28"/>
        <v>1.2799047923051751E-2</v>
      </c>
      <c r="O185" s="9">
        <f t="shared" si="29"/>
        <v>0</v>
      </c>
      <c r="P185" s="9">
        <f t="shared" si="30"/>
        <v>5.901474264317752E-3</v>
      </c>
      <c r="Q185" s="9">
        <f t="shared" si="31"/>
        <v>0</v>
      </c>
      <c r="R185" s="9">
        <f t="shared" si="32"/>
        <v>-5.901474264317752E-3</v>
      </c>
      <c r="S185" s="9">
        <f t="shared" si="33"/>
        <v>0</v>
      </c>
      <c r="T185" s="10">
        <f t="shared" si="37"/>
        <v>0.65101335152173934</v>
      </c>
      <c r="U185" s="10">
        <f t="shared" si="37"/>
        <v>0.21782718531236289</v>
      </c>
      <c r="V185" s="10">
        <f t="shared" si="37"/>
        <v>-0.13518725878794813</v>
      </c>
      <c r="W185" s="10">
        <f t="shared" si="37"/>
        <v>0.62394665749156031</v>
      </c>
      <c r="X185" s="10">
        <f t="shared" si="37"/>
        <v>0.54185344138551117</v>
      </c>
      <c r="Y185" s="10">
        <f t="shared" si="36"/>
        <v>0.11395084662525357</v>
      </c>
      <c r="Z185" s="10">
        <f t="shared" si="36"/>
        <v>-0.54185344138551117</v>
      </c>
      <c r="AA185" s="10">
        <f t="shared" si="36"/>
        <v>-0.11395084662525357</v>
      </c>
      <c r="AB185" s="7">
        <f t="shared" si="35"/>
        <v>1.3575999355377133</v>
      </c>
      <c r="AC185" s="7">
        <v>1.636952568145525</v>
      </c>
    </row>
    <row r="186" spans="1:29" x14ac:dyDescent="0.25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28">
        <v>-1</v>
      </c>
      <c r="I186" s="28">
        <v>-1</v>
      </c>
      <c r="J186" s="28">
        <v>-1</v>
      </c>
      <c r="K186" s="28">
        <v>-1</v>
      </c>
      <c r="L186" s="9">
        <f t="shared" si="34"/>
        <v>0</v>
      </c>
      <c r="M186" s="9">
        <f t="shared" si="27"/>
        <v>2.6841790251385111E-3</v>
      </c>
      <c r="N186" s="9">
        <f t="shared" si="28"/>
        <v>0</v>
      </c>
      <c r="O186" s="9">
        <f t="shared" si="29"/>
        <v>1.8066681161298059E-2</v>
      </c>
      <c r="P186" s="9">
        <f t="shared" si="30"/>
        <v>0</v>
      </c>
      <c r="Q186" s="9">
        <f t="shared" si="31"/>
        <v>3.5388565890582808E-3</v>
      </c>
      <c r="R186" s="9">
        <f t="shared" si="32"/>
        <v>0</v>
      </c>
      <c r="S186" s="9">
        <f t="shared" si="33"/>
        <v>-3.5388565890582808E-3</v>
      </c>
      <c r="T186" s="10">
        <f t="shared" si="37"/>
        <v>0.65101335152173934</v>
      </c>
      <c r="U186" s="10">
        <f t="shared" si="37"/>
        <v>0.2205113643375014</v>
      </c>
      <c r="V186" s="10">
        <f t="shared" si="37"/>
        <v>-0.13518725878794813</v>
      </c>
      <c r="W186" s="10">
        <f t="shared" si="37"/>
        <v>0.64201333865285837</v>
      </c>
      <c r="X186" s="10">
        <f t="shared" si="37"/>
        <v>0.54185344138551117</v>
      </c>
      <c r="Y186" s="10">
        <f t="shared" si="36"/>
        <v>0.11748970321431185</v>
      </c>
      <c r="Z186" s="10">
        <f t="shared" si="36"/>
        <v>-0.54185344138551117</v>
      </c>
      <c r="AA186" s="10">
        <f t="shared" si="36"/>
        <v>-0.11748970321431185</v>
      </c>
      <c r="AB186" s="7">
        <f t="shared" si="35"/>
        <v>1.3783507957241499</v>
      </c>
      <c r="AC186" s="7">
        <v>1.6491255346172371</v>
      </c>
    </row>
    <row r="187" spans="1:29" x14ac:dyDescent="0.25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28">
        <v>-1</v>
      </c>
      <c r="I187" s="28">
        <v>1</v>
      </c>
      <c r="J187" s="28">
        <v>-1</v>
      </c>
      <c r="K187" s="28">
        <v>1</v>
      </c>
      <c r="L187" s="9">
        <f t="shared" si="34"/>
        <v>0</v>
      </c>
      <c r="M187" s="9">
        <f t="shared" si="27"/>
        <v>4.777033424082977E-3</v>
      </c>
      <c r="N187" s="9">
        <f t="shared" si="28"/>
        <v>0</v>
      </c>
      <c r="O187" s="9">
        <f t="shared" si="29"/>
        <v>-7.8391667020806244E-3</v>
      </c>
      <c r="P187" s="9">
        <f t="shared" si="30"/>
        <v>2.6190367026323269E-2</v>
      </c>
      <c r="Q187" s="9">
        <f t="shared" si="31"/>
        <v>0</v>
      </c>
      <c r="R187" s="9">
        <f t="shared" si="32"/>
        <v>-2.6190367026323269E-2</v>
      </c>
      <c r="S187" s="9">
        <f t="shared" si="33"/>
        <v>0</v>
      </c>
      <c r="T187" s="10">
        <f t="shared" si="37"/>
        <v>0.65101335152173934</v>
      </c>
      <c r="U187" s="10">
        <f t="shared" si="37"/>
        <v>0.22528839776158438</v>
      </c>
      <c r="V187" s="10">
        <f t="shared" si="37"/>
        <v>-0.13518725878794813</v>
      </c>
      <c r="W187" s="10">
        <f t="shared" si="37"/>
        <v>0.63417417195077774</v>
      </c>
      <c r="X187" s="10">
        <f t="shared" si="37"/>
        <v>0.56804380841183444</v>
      </c>
      <c r="Y187" s="10">
        <f t="shared" si="36"/>
        <v>0.11748970321431185</v>
      </c>
      <c r="Z187" s="10">
        <f t="shared" si="36"/>
        <v>-0.56804380841183444</v>
      </c>
      <c r="AA187" s="10">
        <f t="shared" si="36"/>
        <v>-0.11748970321431185</v>
      </c>
      <c r="AB187" s="7">
        <f t="shared" si="35"/>
        <v>1.3752886624461522</v>
      </c>
      <c r="AC187" s="7">
        <v>1.7043224906798771</v>
      </c>
    </row>
    <row r="188" spans="1:29" x14ac:dyDescent="0.25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28">
        <v>-1</v>
      </c>
      <c r="I188" s="28">
        <v>1</v>
      </c>
      <c r="J188" s="28">
        <v>-1</v>
      </c>
      <c r="K188" s="28">
        <v>1</v>
      </c>
      <c r="L188" s="9">
        <f t="shared" si="34"/>
        <v>0</v>
      </c>
      <c r="M188" s="9">
        <f t="shared" si="27"/>
        <v>-4.9350165201832441E-3</v>
      </c>
      <c r="N188" s="9">
        <f t="shared" si="28"/>
        <v>0</v>
      </c>
      <c r="O188" s="9">
        <f t="shared" si="29"/>
        <v>1.4138227736990141E-2</v>
      </c>
      <c r="P188" s="9">
        <f t="shared" si="30"/>
        <v>-5.0449819458576413E-2</v>
      </c>
      <c r="Q188" s="9">
        <f t="shared" si="31"/>
        <v>0</v>
      </c>
      <c r="R188" s="9">
        <f t="shared" si="32"/>
        <v>5.0449819458576413E-2</v>
      </c>
      <c r="S188" s="9">
        <f t="shared" si="33"/>
        <v>0</v>
      </c>
      <c r="T188" s="10">
        <f t="shared" si="37"/>
        <v>0.65101335152173934</v>
      </c>
      <c r="U188" s="10">
        <f t="shared" si="37"/>
        <v>0.22035338124140114</v>
      </c>
      <c r="V188" s="10">
        <f t="shared" si="37"/>
        <v>-0.13518725878794813</v>
      </c>
      <c r="W188" s="10">
        <f t="shared" si="37"/>
        <v>0.64831239968776788</v>
      </c>
      <c r="X188" s="10">
        <f t="shared" si="37"/>
        <v>0.51759398895325803</v>
      </c>
      <c r="Y188" s="10">
        <f t="shared" si="36"/>
        <v>0.11748970321431185</v>
      </c>
      <c r="Z188" s="10">
        <f t="shared" si="36"/>
        <v>-0.51759398895325803</v>
      </c>
      <c r="AA188" s="10">
        <f t="shared" si="36"/>
        <v>-0.11748970321431185</v>
      </c>
      <c r="AB188" s="7">
        <f t="shared" si="35"/>
        <v>1.384491873662959</v>
      </c>
      <c r="AC188" s="7">
        <v>1.6701021810892289</v>
      </c>
    </row>
    <row r="189" spans="1:29" x14ac:dyDescent="0.25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28">
        <v>1</v>
      </c>
      <c r="I189" s="28">
        <v>1</v>
      </c>
      <c r="J189" s="28">
        <v>1</v>
      </c>
      <c r="K189" s="28">
        <v>1</v>
      </c>
      <c r="L189" s="9">
        <f t="shared" si="34"/>
        <v>-2.6141547801387551E-2</v>
      </c>
      <c r="M189" s="9">
        <f t="shared" si="27"/>
        <v>0</v>
      </c>
      <c r="N189" s="9">
        <f t="shared" si="28"/>
        <v>-2.3534069137912561E-2</v>
      </c>
      <c r="O189" s="9">
        <f t="shared" si="29"/>
        <v>0</v>
      </c>
      <c r="P189" s="9">
        <f t="shared" si="30"/>
        <v>4.340725483261143E-3</v>
      </c>
      <c r="Q189" s="9">
        <f t="shared" si="31"/>
        <v>0</v>
      </c>
      <c r="R189" s="9">
        <f t="shared" si="32"/>
        <v>-4.340725483261143E-3</v>
      </c>
      <c r="S189" s="9">
        <f t="shared" si="33"/>
        <v>0</v>
      </c>
      <c r="T189" s="10">
        <f t="shared" si="37"/>
        <v>0.62487180372035178</v>
      </c>
      <c r="U189" s="10">
        <f t="shared" si="37"/>
        <v>0.22035338124140114</v>
      </c>
      <c r="V189" s="10">
        <f t="shared" si="37"/>
        <v>-0.15872132792586069</v>
      </c>
      <c r="W189" s="10">
        <f t="shared" si="37"/>
        <v>0.64831239968776788</v>
      </c>
      <c r="X189" s="10">
        <f t="shared" si="37"/>
        <v>0.52193471443651918</v>
      </c>
      <c r="Y189" s="10">
        <f t="shared" si="36"/>
        <v>0.11748970321431185</v>
      </c>
      <c r="Z189" s="10">
        <f t="shared" si="36"/>
        <v>-0.52193471443651918</v>
      </c>
      <c r="AA189" s="10">
        <f t="shared" si="36"/>
        <v>-0.11748970321431185</v>
      </c>
      <c r="AB189" s="7">
        <f t="shared" si="35"/>
        <v>1.3348162567236588</v>
      </c>
      <c r="AC189" s="7">
        <v>1.643939055562357</v>
      </c>
    </row>
    <row r="190" spans="1:29" x14ac:dyDescent="0.25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28">
        <v>-1</v>
      </c>
      <c r="I190" s="28">
        <v>-1</v>
      </c>
      <c r="J190" s="28">
        <v>-1</v>
      </c>
      <c r="K190" s="28">
        <v>-1</v>
      </c>
      <c r="L190" s="9">
        <f t="shared" si="34"/>
        <v>0</v>
      </c>
      <c r="M190" s="9">
        <f t="shared" si="27"/>
        <v>7.7319381982361426E-3</v>
      </c>
      <c r="N190" s="9">
        <f t="shared" si="28"/>
        <v>0</v>
      </c>
      <c r="O190" s="9">
        <f t="shared" si="29"/>
        <v>5.4768428301287253E-3</v>
      </c>
      <c r="P190" s="9">
        <f t="shared" si="30"/>
        <v>0</v>
      </c>
      <c r="Q190" s="9">
        <f t="shared" si="31"/>
        <v>1.2462232344846219E-2</v>
      </c>
      <c r="R190" s="9">
        <f t="shared" si="32"/>
        <v>0</v>
      </c>
      <c r="S190" s="9">
        <f t="shared" si="33"/>
        <v>-1.2462232344846219E-2</v>
      </c>
      <c r="T190" s="10">
        <f t="shared" si="37"/>
        <v>0.62487180372035178</v>
      </c>
      <c r="U190" s="10">
        <f t="shared" si="37"/>
        <v>0.22808531943963728</v>
      </c>
      <c r="V190" s="10">
        <f t="shared" si="37"/>
        <v>-0.15872132792586069</v>
      </c>
      <c r="W190" s="10">
        <f t="shared" si="37"/>
        <v>0.65378924251789661</v>
      </c>
      <c r="X190" s="10">
        <f t="shared" si="37"/>
        <v>0.52193471443651918</v>
      </c>
      <c r="Y190" s="10">
        <f t="shared" si="36"/>
        <v>0.12995193555915807</v>
      </c>
      <c r="Z190" s="10">
        <f t="shared" si="36"/>
        <v>-0.52193471443651918</v>
      </c>
      <c r="AA190" s="10">
        <f t="shared" si="36"/>
        <v>-0.12995193555915807</v>
      </c>
      <c r="AB190" s="7">
        <f t="shared" si="35"/>
        <v>1.3480250377520235</v>
      </c>
      <c r="AC190" s="7">
        <v>1.650258701604213</v>
      </c>
    </row>
    <row r="191" spans="1:29" x14ac:dyDescent="0.25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28">
        <v>-1</v>
      </c>
      <c r="I191" s="28">
        <v>1</v>
      </c>
      <c r="J191" s="28">
        <v>-1</v>
      </c>
      <c r="K191" s="28">
        <v>1</v>
      </c>
      <c r="L191" s="9">
        <f t="shared" si="34"/>
        <v>0</v>
      </c>
      <c r="M191" s="9">
        <f t="shared" si="27"/>
        <v>8.7428792215901163E-3</v>
      </c>
      <c r="N191" s="9">
        <f t="shared" si="28"/>
        <v>0</v>
      </c>
      <c r="O191" s="9">
        <f t="shared" si="29"/>
        <v>3.3467073488942178E-2</v>
      </c>
      <c r="P191" s="9">
        <f t="shared" si="30"/>
        <v>9.1856954528783952E-3</v>
      </c>
      <c r="Q191" s="9">
        <f t="shared" si="31"/>
        <v>0</v>
      </c>
      <c r="R191" s="9">
        <f t="shared" si="32"/>
        <v>-9.1856954528783952E-3</v>
      </c>
      <c r="S191" s="9">
        <f t="shared" si="33"/>
        <v>0</v>
      </c>
      <c r="T191" s="10">
        <f t="shared" si="37"/>
        <v>0.62487180372035178</v>
      </c>
      <c r="U191" s="10">
        <f t="shared" si="37"/>
        <v>0.2368281986612274</v>
      </c>
      <c r="V191" s="10">
        <f t="shared" si="37"/>
        <v>-0.15872132792586069</v>
      </c>
      <c r="W191" s="10">
        <f t="shared" si="37"/>
        <v>0.68725631600683879</v>
      </c>
      <c r="X191" s="10">
        <f t="shared" si="37"/>
        <v>0.53112040988939757</v>
      </c>
      <c r="Y191" s="10">
        <f t="shared" si="36"/>
        <v>0.12995193555915807</v>
      </c>
      <c r="Z191" s="10">
        <f t="shared" si="36"/>
        <v>-0.53112040988939757</v>
      </c>
      <c r="AA191" s="10">
        <f t="shared" si="36"/>
        <v>-0.12995193555915807</v>
      </c>
      <c r="AB191" s="7">
        <f t="shared" si="35"/>
        <v>1.3902349904625559</v>
      </c>
      <c r="AC191" s="7">
        <v>1.6747376882157949</v>
      </c>
    </row>
    <row r="192" spans="1:29" x14ac:dyDescent="0.25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28">
        <v>-1</v>
      </c>
      <c r="I192" s="28">
        <v>1</v>
      </c>
      <c r="J192" s="28">
        <v>-1</v>
      </c>
      <c r="K192" s="28">
        <v>1</v>
      </c>
      <c r="L192" s="9">
        <f t="shared" si="34"/>
        <v>0</v>
      </c>
      <c r="M192" s="9">
        <f t="shared" si="27"/>
        <v>1.0702613697867069E-2</v>
      </c>
      <c r="N192" s="9">
        <f t="shared" si="28"/>
        <v>0</v>
      </c>
      <c r="O192" s="9">
        <f t="shared" si="29"/>
        <v>9.7952395698687189E-3</v>
      </c>
      <c r="P192" s="9">
        <f t="shared" si="30"/>
        <v>2.3549466685563462E-2</v>
      </c>
      <c r="Q192" s="9">
        <f t="shared" si="31"/>
        <v>0</v>
      </c>
      <c r="R192" s="9">
        <f t="shared" si="32"/>
        <v>-2.3549466685563462E-2</v>
      </c>
      <c r="S192" s="9">
        <f t="shared" si="33"/>
        <v>0</v>
      </c>
      <c r="T192" s="10">
        <f t="shared" si="37"/>
        <v>0.62487180372035178</v>
      </c>
      <c r="U192" s="10">
        <f t="shared" si="37"/>
        <v>0.24753081235909447</v>
      </c>
      <c r="V192" s="10">
        <f t="shared" si="37"/>
        <v>-0.15872132792586069</v>
      </c>
      <c r="W192" s="10">
        <f t="shared" si="37"/>
        <v>0.6970515555767075</v>
      </c>
      <c r="X192" s="10">
        <f t="shared" si="37"/>
        <v>0.55466987657496103</v>
      </c>
      <c r="Y192" s="10">
        <f t="shared" si="36"/>
        <v>0.12995193555915807</v>
      </c>
      <c r="Z192" s="10">
        <f t="shared" si="36"/>
        <v>-0.55466987657496103</v>
      </c>
      <c r="AA192" s="10">
        <f t="shared" si="36"/>
        <v>-0.12995193555915807</v>
      </c>
      <c r="AB192" s="7">
        <f t="shared" si="35"/>
        <v>1.4107328437302917</v>
      </c>
      <c r="AC192" s="7">
        <v>1.6807619383345951</v>
      </c>
    </row>
    <row r="193" spans="1:29" x14ac:dyDescent="0.25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28">
        <v>-1</v>
      </c>
      <c r="I193" s="28">
        <v>1</v>
      </c>
      <c r="J193" s="28">
        <v>-1</v>
      </c>
      <c r="K193" s="28">
        <v>1</v>
      </c>
      <c r="L193" s="9">
        <f t="shared" si="34"/>
        <v>0</v>
      </c>
      <c r="M193" s="9">
        <f t="shared" si="27"/>
        <v>-4.1249514738249671E-3</v>
      </c>
      <c r="N193" s="9">
        <f t="shared" si="28"/>
        <v>0</v>
      </c>
      <c r="O193" s="9">
        <f t="shared" si="29"/>
        <v>3.6298995730215111E-3</v>
      </c>
      <c r="P193" s="9">
        <f t="shared" si="30"/>
        <v>2.4226884761957331E-2</v>
      </c>
      <c r="Q193" s="9">
        <f t="shared" si="31"/>
        <v>0</v>
      </c>
      <c r="R193" s="9">
        <f t="shared" si="32"/>
        <v>-2.4226884761957331E-2</v>
      </c>
      <c r="S193" s="9">
        <f t="shared" si="33"/>
        <v>0</v>
      </c>
      <c r="T193" s="10">
        <f t="shared" si="37"/>
        <v>0.62487180372035178</v>
      </c>
      <c r="U193" s="10">
        <f t="shared" si="37"/>
        <v>0.2434058608852695</v>
      </c>
      <c r="V193" s="10">
        <f t="shared" si="37"/>
        <v>-0.15872132792586069</v>
      </c>
      <c r="W193" s="10">
        <f t="shared" si="37"/>
        <v>0.70068145514972902</v>
      </c>
      <c r="X193" s="10">
        <f t="shared" si="37"/>
        <v>0.57889676133691836</v>
      </c>
      <c r="Y193" s="10">
        <f t="shared" si="36"/>
        <v>0.12995193555915807</v>
      </c>
      <c r="Z193" s="10">
        <f t="shared" si="36"/>
        <v>-0.57889676133691836</v>
      </c>
      <c r="AA193" s="10">
        <f t="shared" si="36"/>
        <v>-0.12995193555915807</v>
      </c>
      <c r="AB193" s="7">
        <f t="shared" si="35"/>
        <v>1.4102377918294882</v>
      </c>
      <c r="AC193" s="7">
        <v>1.717451453865074</v>
      </c>
    </row>
    <row r="194" spans="1:29" x14ac:dyDescent="0.25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28">
        <v>-1</v>
      </c>
      <c r="I194" s="28">
        <v>1</v>
      </c>
      <c r="J194" s="28">
        <v>-1</v>
      </c>
      <c r="K194" s="28">
        <v>1</v>
      </c>
      <c r="L194" s="9">
        <f t="shared" si="34"/>
        <v>0</v>
      </c>
      <c r="M194" s="9">
        <f t="shared" si="27"/>
        <v>-1.384171078120244E-2</v>
      </c>
      <c r="N194" s="9">
        <f t="shared" si="28"/>
        <v>0</v>
      </c>
      <c r="O194" s="9">
        <f t="shared" si="29"/>
        <v>-3.0840974975054891E-3</v>
      </c>
      <c r="P194" s="9">
        <f t="shared" si="30"/>
        <v>1.503110523891704E-2</v>
      </c>
      <c r="Q194" s="9">
        <f t="shared" si="31"/>
        <v>0</v>
      </c>
      <c r="R194" s="9">
        <f t="shared" si="32"/>
        <v>-1.503110523891704E-2</v>
      </c>
      <c r="S194" s="9">
        <f t="shared" si="33"/>
        <v>0</v>
      </c>
      <c r="T194" s="10">
        <f t="shared" si="37"/>
        <v>0.62487180372035178</v>
      </c>
      <c r="U194" s="10">
        <f t="shared" si="37"/>
        <v>0.22956415010406706</v>
      </c>
      <c r="V194" s="10">
        <f t="shared" si="37"/>
        <v>-0.15872132792586069</v>
      </c>
      <c r="W194" s="10">
        <f t="shared" si="37"/>
        <v>0.69759735765222353</v>
      </c>
      <c r="X194" s="10">
        <f t="shared" si="37"/>
        <v>0.59392786657583541</v>
      </c>
      <c r="Y194" s="10">
        <f t="shared" si="36"/>
        <v>0.12995193555915807</v>
      </c>
      <c r="Z194" s="10">
        <f t="shared" si="36"/>
        <v>-0.59392786657583541</v>
      </c>
      <c r="AA194" s="10">
        <f t="shared" si="36"/>
        <v>-0.12995193555915807</v>
      </c>
      <c r="AB194" s="7">
        <f t="shared" si="35"/>
        <v>1.3933119835507803</v>
      </c>
      <c r="AC194" s="7">
        <v>1.7491051419325521</v>
      </c>
    </row>
    <row r="195" spans="1:29" x14ac:dyDescent="0.25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28">
        <v>-1</v>
      </c>
      <c r="I195" s="28">
        <v>1</v>
      </c>
      <c r="J195" s="28">
        <v>-1</v>
      </c>
      <c r="K195" s="28">
        <v>1</v>
      </c>
      <c r="L195" s="9">
        <f t="shared" si="34"/>
        <v>0</v>
      </c>
      <c r="M195" s="9">
        <f t="shared" ref="M195:M258" si="38">IF(H195=-1,-D195,0)</f>
        <v>1.0222833276981591E-3</v>
      </c>
      <c r="N195" s="9">
        <f t="shared" ref="N195:N258" si="39">IF(H195=1,-E195,0)</f>
        <v>0</v>
      </c>
      <c r="O195" s="9">
        <f t="shared" ref="O195:O258" si="40">IF(H195=-1,E195,0)</f>
        <v>4.0446510873923813E-3</v>
      </c>
      <c r="P195" s="9">
        <f t="shared" ref="P195:P258" si="41">IF(I195=1,F195,0)</f>
        <v>-7.6287586864474122E-3</v>
      </c>
      <c r="Q195" s="9">
        <f t="shared" ref="Q195:Q258" si="42">IF($I195=-1,-$F195,0)</f>
        <v>0</v>
      </c>
      <c r="R195" s="9">
        <f t="shared" ref="R195:R258" si="43">IF($I195=1,-$F195,0)</f>
        <v>7.6287586864474122E-3</v>
      </c>
      <c r="S195" s="9">
        <f t="shared" ref="S195:S258" si="44">IF($I195=-1,$F195,0)</f>
        <v>0</v>
      </c>
      <c r="T195" s="10">
        <f t="shared" si="37"/>
        <v>0.62487180372035178</v>
      </c>
      <c r="U195" s="10">
        <f t="shared" si="37"/>
        <v>0.23058643343176521</v>
      </c>
      <c r="V195" s="10">
        <f t="shared" si="37"/>
        <v>-0.15872132792586069</v>
      </c>
      <c r="W195" s="10">
        <f t="shared" si="37"/>
        <v>0.70164200873961591</v>
      </c>
      <c r="X195" s="10">
        <f t="shared" si="37"/>
        <v>0.58629910788938799</v>
      </c>
      <c r="Y195" s="10">
        <f t="shared" si="36"/>
        <v>0.12995193555915807</v>
      </c>
      <c r="Z195" s="10">
        <f t="shared" si="36"/>
        <v>-0.58629910788938799</v>
      </c>
      <c r="AA195" s="10">
        <f t="shared" si="36"/>
        <v>-0.12995193555915807</v>
      </c>
      <c r="AB195" s="7">
        <f t="shared" si="35"/>
        <v>1.398378917965871</v>
      </c>
      <c r="AC195" s="7">
        <v>1.7551460809381929</v>
      </c>
    </row>
    <row r="196" spans="1:29" x14ac:dyDescent="0.25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28">
        <v>1</v>
      </c>
      <c r="I196" s="28">
        <v>1</v>
      </c>
      <c r="J196" s="28">
        <v>1</v>
      </c>
      <c r="K196" s="28">
        <v>1</v>
      </c>
      <c r="L196" s="9">
        <f t="shared" ref="L196:L259" si="45">IF(H196=1,D196,0)</f>
        <v>-1.9565506686919368E-2</v>
      </c>
      <c r="M196" s="9">
        <f t="shared" si="38"/>
        <v>0</v>
      </c>
      <c r="N196" s="9">
        <f t="shared" si="39"/>
        <v>1.0546934301961519E-3</v>
      </c>
      <c r="O196" s="9">
        <f t="shared" si="40"/>
        <v>0</v>
      </c>
      <c r="P196" s="9">
        <f t="shared" si="41"/>
        <v>-9.9729013807206002E-3</v>
      </c>
      <c r="Q196" s="9">
        <f t="shared" si="42"/>
        <v>0</v>
      </c>
      <c r="R196" s="9">
        <f t="shared" si="43"/>
        <v>9.9729013807206002E-3</v>
      </c>
      <c r="S196" s="9">
        <f t="shared" si="44"/>
        <v>0</v>
      </c>
      <c r="T196" s="10">
        <f t="shared" si="37"/>
        <v>0.60530629703343242</v>
      </c>
      <c r="U196" s="10">
        <f t="shared" si="37"/>
        <v>0.23058643343176521</v>
      </c>
      <c r="V196" s="10">
        <f t="shared" si="37"/>
        <v>-0.15766663449566454</v>
      </c>
      <c r="W196" s="10">
        <f t="shared" si="37"/>
        <v>0.70164200873961591</v>
      </c>
      <c r="X196" s="10">
        <f t="shared" si="37"/>
        <v>0.57632620650866739</v>
      </c>
      <c r="Y196" s="10">
        <f t="shared" si="36"/>
        <v>0.12995193555915807</v>
      </c>
      <c r="Z196" s="10">
        <f t="shared" si="36"/>
        <v>-0.57632620650866739</v>
      </c>
      <c r="AA196" s="10">
        <f t="shared" si="36"/>
        <v>-0.12995193555915807</v>
      </c>
      <c r="AB196" s="7">
        <f t="shared" ref="AB196:AB259" si="46">AB195+SUM(L196:S196)</f>
        <v>1.3798681047091477</v>
      </c>
      <c r="AC196" s="7">
        <v>1.685790543672034</v>
      </c>
    </row>
    <row r="197" spans="1:29" x14ac:dyDescent="0.25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28">
        <v>1</v>
      </c>
      <c r="I197" s="28">
        <v>-1</v>
      </c>
      <c r="J197" s="28">
        <v>1</v>
      </c>
      <c r="K197" s="28">
        <v>-1</v>
      </c>
      <c r="L197" s="9">
        <f t="shared" si="45"/>
        <v>3.9765351056806453E-2</v>
      </c>
      <c r="M197" s="9">
        <f t="shared" si="38"/>
        <v>0</v>
      </c>
      <c r="N197" s="9">
        <f t="shared" si="39"/>
        <v>-2.7214346531511109E-3</v>
      </c>
      <c r="O197" s="9">
        <f t="shared" si="40"/>
        <v>0</v>
      </c>
      <c r="P197" s="9">
        <f t="shared" si="41"/>
        <v>0</v>
      </c>
      <c r="Q197" s="9">
        <f t="shared" si="42"/>
        <v>-3.7972407459660913E-2</v>
      </c>
      <c r="R197" s="9">
        <f t="shared" si="43"/>
        <v>0</v>
      </c>
      <c r="S197" s="9">
        <f t="shared" si="44"/>
        <v>3.7972407459660913E-2</v>
      </c>
      <c r="T197" s="10">
        <f t="shared" si="37"/>
        <v>0.64507164809023887</v>
      </c>
      <c r="U197" s="10">
        <f t="shared" si="37"/>
        <v>0.23058643343176521</v>
      </c>
      <c r="V197" s="10">
        <f t="shared" si="37"/>
        <v>-0.16038806914881565</v>
      </c>
      <c r="W197" s="10">
        <f t="shared" si="37"/>
        <v>0.70164200873961591</v>
      </c>
      <c r="X197" s="10">
        <f t="shared" si="37"/>
        <v>0.57632620650866739</v>
      </c>
      <c r="Y197" s="10">
        <f t="shared" si="36"/>
        <v>9.1979528099497165E-2</v>
      </c>
      <c r="Z197" s="10">
        <f t="shared" si="36"/>
        <v>-0.57632620650866739</v>
      </c>
      <c r="AA197" s="10">
        <f t="shared" si="36"/>
        <v>-9.1979528099497165E-2</v>
      </c>
      <c r="AB197" s="7">
        <f t="shared" si="46"/>
        <v>1.416912021112803</v>
      </c>
      <c r="AC197" s="7">
        <v>1.7055763730136171</v>
      </c>
    </row>
    <row r="198" spans="1:29" x14ac:dyDescent="0.25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28">
        <v>1</v>
      </c>
      <c r="I198" s="28">
        <v>-1</v>
      </c>
      <c r="J198" s="28">
        <v>1</v>
      </c>
      <c r="K198" s="28">
        <v>-1</v>
      </c>
      <c r="L198" s="9">
        <f t="shared" si="45"/>
        <v>6.5670846543383843E-2</v>
      </c>
      <c r="M198" s="9">
        <f t="shared" si="38"/>
        <v>0</v>
      </c>
      <c r="N198" s="9">
        <f t="shared" si="39"/>
        <v>-1.6650503075373859E-3</v>
      </c>
      <c r="O198" s="9">
        <f t="shared" si="40"/>
        <v>0</v>
      </c>
      <c r="P198" s="9">
        <f t="shared" si="41"/>
        <v>0</v>
      </c>
      <c r="Q198" s="9">
        <f t="shared" si="42"/>
        <v>4.2016884652981153E-2</v>
      </c>
      <c r="R198" s="9">
        <f t="shared" si="43"/>
        <v>0</v>
      </c>
      <c r="S198" s="9">
        <f t="shared" si="44"/>
        <v>-4.2016884652981153E-2</v>
      </c>
      <c r="T198" s="10">
        <f t="shared" si="37"/>
        <v>0.71074249463362271</v>
      </c>
      <c r="U198" s="10">
        <f t="shared" si="37"/>
        <v>0.23058643343176521</v>
      </c>
      <c r="V198" s="10">
        <f t="shared" si="37"/>
        <v>-0.16205311945635303</v>
      </c>
      <c r="W198" s="10">
        <f t="shared" si="37"/>
        <v>0.70164200873961591</v>
      </c>
      <c r="X198" s="10">
        <f t="shared" si="37"/>
        <v>0.57632620650866739</v>
      </c>
      <c r="Y198" s="10">
        <f t="shared" si="36"/>
        <v>0.13399641275247831</v>
      </c>
      <c r="Z198" s="10">
        <f t="shared" si="36"/>
        <v>-0.57632620650866739</v>
      </c>
      <c r="AA198" s="10">
        <f t="shared" si="36"/>
        <v>-0.13399641275247831</v>
      </c>
      <c r="AB198" s="7">
        <f t="shared" si="46"/>
        <v>1.4809178173486495</v>
      </c>
      <c r="AC198" s="7">
        <v>1.6168082161034929</v>
      </c>
    </row>
    <row r="199" spans="1:29" x14ac:dyDescent="0.25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28">
        <v>-1</v>
      </c>
      <c r="I199" s="28">
        <v>-1</v>
      </c>
      <c r="J199" s="28">
        <v>-1</v>
      </c>
      <c r="K199" s="28">
        <v>-1</v>
      </c>
      <c r="L199" s="9">
        <f t="shared" si="45"/>
        <v>0</v>
      </c>
      <c r="M199" s="9">
        <f t="shared" si="38"/>
        <v>-2.4678704072346069E-2</v>
      </c>
      <c r="N199" s="9">
        <f t="shared" si="39"/>
        <v>0</v>
      </c>
      <c r="O199" s="9">
        <f t="shared" si="40"/>
        <v>1.37038599729189E-2</v>
      </c>
      <c r="P199" s="9">
        <f t="shared" si="41"/>
        <v>0</v>
      </c>
      <c r="Q199" s="9">
        <f t="shared" si="42"/>
        <v>-2.7953196449690521E-2</v>
      </c>
      <c r="R199" s="9">
        <f t="shared" si="43"/>
        <v>0</v>
      </c>
      <c r="S199" s="9">
        <f t="shared" si="44"/>
        <v>2.7953196449690521E-2</v>
      </c>
      <c r="T199" s="10">
        <f t="shared" si="37"/>
        <v>0.71074249463362271</v>
      </c>
      <c r="U199" s="10">
        <f t="shared" si="37"/>
        <v>0.20590772935941914</v>
      </c>
      <c r="V199" s="10">
        <f t="shared" si="37"/>
        <v>-0.16205311945635303</v>
      </c>
      <c r="W199" s="10">
        <f t="shared" si="37"/>
        <v>0.7153458687125348</v>
      </c>
      <c r="X199" s="10">
        <f t="shared" si="37"/>
        <v>0.57632620650866739</v>
      </c>
      <c r="Y199" s="10">
        <f t="shared" si="36"/>
        <v>0.10604321630278779</v>
      </c>
      <c r="Z199" s="10">
        <f t="shared" si="36"/>
        <v>-0.57632620650866739</v>
      </c>
      <c r="AA199" s="10">
        <f t="shared" si="36"/>
        <v>-0.10604321630278779</v>
      </c>
      <c r="AB199" s="7">
        <f t="shared" si="46"/>
        <v>1.4699429732492222</v>
      </c>
      <c r="AC199" s="7">
        <v>1.6952860253908739</v>
      </c>
    </row>
    <row r="200" spans="1:29" x14ac:dyDescent="0.25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28">
        <v>-1</v>
      </c>
      <c r="I200" s="28">
        <v>1</v>
      </c>
      <c r="J200" s="28">
        <v>-1</v>
      </c>
      <c r="K200" s="28">
        <v>1</v>
      </c>
      <c r="L200" s="9">
        <f t="shared" si="45"/>
        <v>0</v>
      </c>
      <c r="M200" s="9">
        <f t="shared" si="38"/>
        <v>1.6460889887104371E-3</v>
      </c>
      <c r="N200" s="9">
        <f t="shared" si="39"/>
        <v>0</v>
      </c>
      <c r="O200" s="9">
        <f t="shared" si="40"/>
        <v>-1.2744780484765791E-2</v>
      </c>
      <c r="P200" s="9">
        <f t="shared" si="41"/>
        <v>8.5786419607747355E-4</v>
      </c>
      <c r="Q200" s="9">
        <f t="shared" si="42"/>
        <v>0</v>
      </c>
      <c r="R200" s="9">
        <f t="shared" si="43"/>
        <v>-8.5786419607747355E-4</v>
      </c>
      <c r="S200" s="9">
        <f t="shared" si="44"/>
        <v>0</v>
      </c>
      <c r="T200" s="10">
        <f t="shared" si="37"/>
        <v>0.71074249463362271</v>
      </c>
      <c r="U200" s="10">
        <f t="shared" si="37"/>
        <v>0.20755381834812958</v>
      </c>
      <c r="V200" s="10">
        <f t="shared" si="37"/>
        <v>-0.16205311945635303</v>
      </c>
      <c r="W200" s="10">
        <f t="shared" si="37"/>
        <v>0.70260108822776901</v>
      </c>
      <c r="X200" s="10">
        <f t="shared" si="37"/>
        <v>0.57718407070474487</v>
      </c>
      <c r="Y200" s="10">
        <f t="shared" si="36"/>
        <v>0.10604321630278779</v>
      </c>
      <c r="Z200" s="10">
        <f t="shared" si="36"/>
        <v>-0.57718407070474487</v>
      </c>
      <c r="AA200" s="10">
        <f t="shared" si="36"/>
        <v>-0.10604321630278779</v>
      </c>
      <c r="AB200" s="7">
        <f t="shared" si="46"/>
        <v>1.4588442817531668</v>
      </c>
      <c r="AC200" s="7">
        <v>1.727449271643505</v>
      </c>
    </row>
    <row r="201" spans="1:29" x14ac:dyDescent="0.25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28">
        <v>1</v>
      </c>
      <c r="I201" s="28">
        <v>1</v>
      </c>
      <c r="J201" s="28">
        <v>1</v>
      </c>
      <c r="K201" s="28">
        <v>1</v>
      </c>
      <c r="L201" s="9">
        <f t="shared" si="45"/>
        <v>-7.6770919622154432E-3</v>
      </c>
      <c r="M201" s="9">
        <f t="shared" si="38"/>
        <v>0</v>
      </c>
      <c r="N201" s="9">
        <f t="shared" si="39"/>
        <v>-2.8159385034979612E-2</v>
      </c>
      <c r="O201" s="9">
        <f t="shared" si="40"/>
        <v>0</v>
      </c>
      <c r="P201" s="9">
        <f t="shared" si="41"/>
        <v>-1.31757476410046E-2</v>
      </c>
      <c r="Q201" s="9">
        <f t="shared" si="42"/>
        <v>0</v>
      </c>
      <c r="R201" s="9">
        <f t="shared" si="43"/>
        <v>1.31757476410046E-2</v>
      </c>
      <c r="S201" s="9">
        <f t="shared" si="44"/>
        <v>0</v>
      </c>
      <c r="T201" s="10">
        <f t="shared" si="37"/>
        <v>0.70306540267140727</v>
      </c>
      <c r="U201" s="10">
        <f t="shared" si="37"/>
        <v>0.20755381834812958</v>
      </c>
      <c r="V201" s="10">
        <f t="shared" si="37"/>
        <v>-0.19021250449133265</v>
      </c>
      <c r="W201" s="10">
        <f t="shared" si="37"/>
        <v>0.70260108822776901</v>
      </c>
      <c r="X201" s="10">
        <f t="shared" si="37"/>
        <v>0.56400832306374027</v>
      </c>
      <c r="Y201" s="10">
        <f t="shared" si="36"/>
        <v>0.10604321630278779</v>
      </c>
      <c r="Z201" s="10">
        <f t="shared" si="36"/>
        <v>-0.56400832306374027</v>
      </c>
      <c r="AA201" s="10">
        <f t="shared" si="36"/>
        <v>-0.10604321630278779</v>
      </c>
      <c r="AB201" s="7">
        <f t="shared" si="46"/>
        <v>1.4230078047559718</v>
      </c>
      <c r="AC201" s="7">
        <v>1.745946795327026</v>
      </c>
    </row>
    <row r="202" spans="1:29" x14ac:dyDescent="0.25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28">
        <v>-1</v>
      </c>
      <c r="I202" s="28">
        <v>-1</v>
      </c>
      <c r="J202" s="28">
        <v>-1</v>
      </c>
      <c r="K202" s="28">
        <v>-1</v>
      </c>
      <c r="L202" s="9">
        <f t="shared" si="45"/>
        <v>0</v>
      </c>
      <c r="M202" s="9">
        <f t="shared" si="38"/>
        <v>-1.2891173176882381E-2</v>
      </c>
      <c r="N202" s="9">
        <f t="shared" si="39"/>
        <v>0</v>
      </c>
      <c r="O202" s="9">
        <f t="shared" si="40"/>
        <v>1.0971627800424599E-2</v>
      </c>
      <c r="P202" s="9">
        <f t="shared" si="41"/>
        <v>0</v>
      </c>
      <c r="Q202" s="9">
        <f t="shared" si="42"/>
        <v>-2.1416237895486079E-2</v>
      </c>
      <c r="R202" s="9">
        <f t="shared" si="43"/>
        <v>0</v>
      </c>
      <c r="S202" s="9">
        <f t="shared" si="44"/>
        <v>2.1416237895486079E-2</v>
      </c>
      <c r="T202" s="10">
        <f t="shared" si="37"/>
        <v>0.70306540267140727</v>
      </c>
      <c r="U202" s="10">
        <f t="shared" si="37"/>
        <v>0.19466264517124721</v>
      </c>
      <c r="V202" s="10">
        <f t="shared" si="37"/>
        <v>-0.19021250449133265</v>
      </c>
      <c r="W202" s="10">
        <f t="shared" si="37"/>
        <v>0.71357271602819361</v>
      </c>
      <c r="X202" s="10">
        <f t="shared" si="37"/>
        <v>0.56400832306374027</v>
      </c>
      <c r="Y202" s="10">
        <f t="shared" si="36"/>
        <v>8.4626978407301712E-2</v>
      </c>
      <c r="Z202" s="10">
        <f t="shared" si="36"/>
        <v>-0.56400832306374027</v>
      </c>
      <c r="AA202" s="10">
        <f t="shared" si="36"/>
        <v>-8.4626978407301712E-2</v>
      </c>
      <c r="AB202" s="7">
        <f t="shared" si="46"/>
        <v>1.421088259379514</v>
      </c>
      <c r="AC202" s="7">
        <v>1.78617583793178</v>
      </c>
    </row>
    <row r="203" spans="1:29" x14ac:dyDescent="0.25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28">
        <v>1</v>
      </c>
      <c r="I203" s="28">
        <v>1</v>
      </c>
      <c r="J203" s="28">
        <v>1</v>
      </c>
      <c r="K203" s="28">
        <v>1</v>
      </c>
      <c r="L203" s="9">
        <f t="shared" si="45"/>
        <v>-3.9777113255939467E-2</v>
      </c>
      <c r="M203" s="9">
        <f t="shared" si="38"/>
        <v>0</v>
      </c>
      <c r="N203" s="9">
        <f t="shared" si="39"/>
        <v>-4.9192841503328921E-2</v>
      </c>
      <c r="O203" s="9">
        <f t="shared" si="40"/>
        <v>0</v>
      </c>
      <c r="P203" s="9">
        <f t="shared" si="41"/>
        <v>-2.0702850534254139E-2</v>
      </c>
      <c r="Q203" s="9">
        <f t="shared" si="42"/>
        <v>0</v>
      </c>
      <c r="R203" s="9">
        <f t="shared" si="43"/>
        <v>2.0702850534254139E-2</v>
      </c>
      <c r="S203" s="9">
        <f t="shared" si="44"/>
        <v>0</v>
      </c>
      <c r="T203" s="10">
        <f t="shared" si="37"/>
        <v>0.6632882894154678</v>
      </c>
      <c r="U203" s="10">
        <f t="shared" si="37"/>
        <v>0.19466264517124721</v>
      </c>
      <c r="V203" s="10">
        <f t="shared" si="37"/>
        <v>-0.23940534599466157</v>
      </c>
      <c r="W203" s="10">
        <f t="shared" si="37"/>
        <v>0.71357271602819361</v>
      </c>
      <c r="X203" s="10">
        <f t="shared" si="37"/>
        <v>0.54330547252948613</v>
      </c>
      <c r="Y203" s="10">
        <f t="shared" si="36"/>
        <v>8.4626978407301712E-2</v>
      </c>
      <c r="Z203" s="10">
        <f t="shared" si="36"/>
        <v>-0.54330547252948613</v>
      </c>
      <c r="AA203" s="10">
        <f t="shared" si="36"/>
        <v>-8.4626978407301712E-2</v>
      </c>
      <c r="AB203" s="7">
        <f t="shared" si="46"/>
        <v>1.3321183046202456</v>
      </c>
      <c r="AC203" s="7">
        <v>1.7212753840628769</v>
      </c>
    </row>
    <row r="204" spans="1:29" x14ac:dyDescent="0.25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28">
        <v>-1</v>
      </c>
      <c r="I204" s="28">
        <v>-1</v>
      </c>
      <c r="J204" s="28">
        <v>-1</v>
      </c>
      <c r="K204" s="28">
        <v>-1</v>
      </c>
      <c r="L204" s="9">
        <f t="shared" si="45"/>
        <v>0</v>
      </c>
      <c r="M204" s="9">
        <f t="shared" si="38"/>
        <v>3.338140846534277E-3</v>
      </c>
      <c r="N204" s="9">
        <f t="shared" si="39"/>
        <v>0</v>
      </c>
      <c r="O204" s="9">
        <f t="shared" si="40"/>
        <v>1.0523285845390419E-2</v>
      </c>
      <c r="P204" s="9">
        <f t="shared" si="41"/>
        <v>0</v>
      </c>
      <c r="Q204" s="9">
        <f t="shared" si="42"/>
        <v>-4.4335285985562238E-2</v>
      </c>
      <c r="R204" s="9">
        <f t="shared" si="43"/>
        <v>0</v>
      </c>
      <c r="S204" s="9">
        <f t="shared" si="44"/>
        <v>4.4335285985562238E-2</v>
      </c>
      <c r="T204" s="10">
        <f t="shared" si="37"/>
        <v>0.6632882894154678</v>
      </c>
      <c r="U204" s="10">
        <f t="shared" si="37"/>
        <v>0.19800078601778148</v>
      </c>
      <c r="V204" s="10">
        <f t="shared" si="37"/>
        <v>-0.23940534599466157</v>
      </c>
      <c r="W204" s="10">
        <f t="shared" si="37"/>
        <v>0.72409600187358403</v>
      </c>
      <c r="X204" s="10">
        <f t="shared" si="37"/>
        <v>0.54330547252948613</v>
      </c>
      <c r="Y204" s="10">
        <f t="shared" si="36"/>
        <v>4.0291692421739474E-2</v>
      </c>
      <c r="Z204" s="10">
        <f t="shared" si="36"/>
        <v>-0.54330547252948613</v>
      </c>
      <c r="AA204" s="10">
        <f t="shared" si="36"/>
        <v>-4.0291692421739474E-2</v>
      </c>
      <c r="AB204" s="7">
        <f t="shared" si="46"/>
        <v>1.3459797313121702</v>
      </c>
      <c r="AC204" s="7">
        <v>1.789084767299141</v>
      </c>
    </row>
    <row r="205" spans="1:29" x14ac:dyDescent="0.25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28">
        <v>-1</v>
      </c>
      <c r="I205" s="28">
        <v>1</v>
      </c>
      <c r="J205" s="28">
        <v>-1</v>
      </c>
      <c r="K205" s="28">
        <v>1</v>
      </c>
      <c r="L205" s="9">
        <f t="shared" si="45"/>
        <v>0</v>
      </c>
      <c r="M205" s="9">
        <f t="shared" si="38"/>
        <v>1.4442548038223759E-3</v>
      </c>
      <c r="N205" s="9">
        <f t="shared" si="39"/>
        <v>0</v>
      </c>
      <c r="O205" s="9">
        <f t="shared" si="40"/>
        <v>7.248268766894439E-3</v>
      </c>
      <c r="P205" s="9">
        <f t="shared" si="41"/>
        <v>1.304516870355954E-2</v>
      </c>
      <c r="Q205" s="9">
        <f t="shared" si="42"/>
        <v>0</v>
      </c>
      <c r="R205" s="9">
        <f t="shared" si="43"/>
        <v>-1.304516870355954E-2</v>
      </c>
      <c r="S205" s="9">
        <f t="shared" si="44"/>
        <v>0</v>
      </c>
      <c r="T205" s="10">
        <f t="shared" si="37"/>
        <v>0.6632882894154678</v>
      </c>
      <c r="U205" s="10">
        <f t="shared" si="37"/>
        <v>0.19944504082160386</v>
      </c>
      <c r="V205" s="10">
        <f t="shared" si="37"/>
        <v>-0.23940534599466157</v>
      </c>
      <c r="W205" s="10">
        <f t="shared" si="37"/>
        <v>0.73134427064047847</v>
      </c>
      <c r="X205" s="10">
        <f t="shared" si="37"/>
        <v>0.55635064123304567</v>
      </c>
      <c r="Y205" s="10">
        <f t="shared" si="36"/>
        <v>4.0291692421739474E-2</v>
      </c>
      <c r="Z205" s="10">
        <f t="shared" si="36"/>
        <v>-0.55635064123304567</v>
      </c>
      <c r="AA205" s="10">
        <f t="shared" si="36"/>
        <v>-4.0291692421739474E-2</v>
      </c>
      <c r="AB205" s="7">
        <f t="shared" si="46"/>
        <v>1.3546722548828871</v>
      </c>
      <c r="AC205" s="7">
        <v>1.804396528437638</v>
      </c>
    </row>
    <row r="206" spans="1:29" x14ac:dyDescent="0.25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28">
        <v>1</v>
      </c>
      <c r="I206" s="28">
        <v>1</v>
      </c>
      <c r="J206" s="28">
        <v>1</v>
      </c>
      <c r="K206" s="28">
        <v>1</v>
      </c>
      <c r="L206" s="9">
        <f t="shared" si="45"/>
        <v>5.0981081936363193E-4</v>
      </c>
      <c r="M206" s="9">
        <f t="shared" si="38"/>
        <v>0</v>
      </c>
      <c r="N206" s="9">
        <f t="shared" si="39"/>
        <v>-1.8930473888803308E-2</v>
      </c>
      <c r="O206" s="9">
        <f t="shared" si="40"/>
        <v>0</v>
      </c>
      <c r="P206" s="9">
        <f t="shared" si="41"/>
        <v>-3.1696625135023908E-2</v>
      </c>
      <c r="Q206" s="9">
        <f t="shared" si="42"/>
        <v>0</v>
      </c>
      <c r="R206" s="9">
        <f t="shared" si="43"/>
        <v>3.1696625135023908E-2</v>
      </c>
      <c r="S206" s="9">
        <f t="shared" si="44"/>
        <v>0</v>
      </c>
      <c r="T206" s="10">
        <f t="shared" ref="T206:AA269" si="47">L206+T205</f>
        <v>0.66379810023483143</v>
      </c>
      <c r="U206" s="10">
        <f t="shared" si="47"/>
        <v>0.19944504082160386</v>
      </c>
      <c r="V206" s="10">
        <f t="shared" si="47"/>
        <v>-0.25833581988346488</v>
      </c>
      <c r="W206" s="10">
        <f t="shared" si="47"/>
        <v>0.73134427064047847</v>
      </c>
      <c r="X206" s="10">
        <f t="shared" si="47"/>
        <v>0.52465401609802176</v>
      </c>
      <c r="Y206" s="10">
        <f t="shared" si="36"/>
        <v>4.0291692421739474E-2</v>
      </c>
      <c r="Z206" s="10">
        <f t="shared" si="36"/>
        <v>-0.52465401609802176</v>
      </c>
      <c r="AA206" s="10">
        <f t="shared" si="36"/>
        <v>-4.0291692421739474E-2</v>
      </c>
      <c r="AB206" s="7">
        <f t="shared" si="46"/>
        <v>1.3362515918134474</v>
      </c>
      <c r="AC206" s="7">
        <v>1.7897466705676519</v>
      </c>
    </row>
    <row r="207" spans="1:29" x14ac:dyDescent="0.25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28">
        <v>-1</v>
      </c>
      <c r="I207" s="28">
        <v>-1</v>
      </c>
      <c r="J207" s="28">
        <v>-1</v>
      </c>
      <c r="K207" s="28">
        <v>-1</v>
      </c>
      <c r="L207" s="9">
        <f t="shared" si="45"/>
        <v>0</v>
      </c>
      <c r="M207" s="9">
        <f t="shared" si="38"/>
        <v>4.7651219580187032E-3</v>
      </c>
      <c r="N207" s="9">
        <f t="shared" si="39"/>
        <v>0</v>
      </c>
      <c r="O207" s="9">
        <f t="shared" si="40"/>
        <v>8.7705058723580587E-3</v>
      </c>
      <c r="P207" s="9">
        <f t="shared" si="41"/>
        <v>0</v>
      </c>
      <c r="Q207" s="9">
        <f t="shared" si="42"/>
        <v>-1.963398090446267E-2</v>
      </c>
      <c r="R207" s="9">
        <f t="shared" si="43"/>
        <v>0</v>
      </c>
      <c r="S207" s="9">
        <f t="shared" si="44"/>
        <v>1.963398090446267E-2</v>
      </c>
      <c r="T207" s="10">
        <f t="shared" si="47"/>
        <v>0.66379810023483143</v>
      </c>
      <c r="U207" s="10">
        <f t="shared" si="47"/>
        <v>0.20421016277962256</v>
      </c>
      <c r="V207" s="10">
        <f t="shared" si="47"/>
        <v>-0.25833581988346488</v>
      </c>
      <c r="W207" s="10">
        <f t="shared" si="47"/>
        <v>0.74011477651283653</v>
      </c>
      <c r="X207" s="10">
        <f t="shared" si="47"/>
        <v>0.52465401609802176</v>
      </c>
      <c r="Y207" s="10">
        <f t="shared" si="36"/>
        <v>2.0657711517276803E-2</v>
      </c>
      <c r="Z207" s="10">
        <f t="shared" si="36"/>
        <v>-0.52465401609802176</v>
      </c>
      <c r="AA207" s="10">
        <f t="shared" si="36"/>
        <v>-2.0657711517276803E-2</v>
      </c>
      <c r="AB207" s="7">
        <f t="shared" si="46"/>
        <v>1.3497872196438241</v>
      </c>
      <c r="AC207" s="7">
        <v>1.809307259758058</v>
      </c>
    </row>
    <row r="208" spans="1:29" x14ac:dyDescent="0.25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28">
        <v>-1</v>
      </c>
      <c r="I208" s="28">
        <v>1</v>
      </c>
      <c r="J208" s="28">
        <v>-1</v>
      </c>
      <c r="K208" s="28">
        <v>1</v>
      </c>
      <c r="L208" s="9">
        <f t="shared" si="45"/>
        <v>0</v>
      </c>
      <c r="M208" s="9">
        <f t="shared" si="38"/>
        <v>-1.1115374898164051E-2</v>
      </c>
      <c r="N208" s="9">
        <f t="shared" si="39"/>
        <v>0</v>
      </c>
      <c r="O208" s="9">
        <f t="shared" si="40"/>
        <v>1.9643933721634092E-2</v>
      </c>
      <c r="P208" s="9">
        <f t="shared" si="41"/>
        <v>-1.2148748134702351E-2</v>
      </c>
      <c r="Q208" s="9">
        <f t="shared" si="42"/>
        <v>0</v>
      </c>
      <c r="R208" s="9">
        <f t="shared" si="43"/>
        <v>1.2148748134702351E-2</v>
      </c>
      <c r="S208" s="9">
        <f t="shared" si="44"/>
        <v>0</v>
      </c>
      <c r="T208" s="10">
        <f t="shared" si="47"/>
        <v>0.66379810023483143</v>
      </c>
      <c r="U208" s="10">
        <f t="shared" si="47"/>
        <v>0.19309478788145851</v>
      </c>
      <c r="V208" s="10">
        <f t="shared" si="47"/>
        <v>-0.25833581988346488</v>
      </c>
      <c r="W208" s="10">
        <f t="shared" si="47"/>
        <v>0.75975871023447061</v>
      </c>
      <c r="X208" s="10">
        <f t="shared" si="47"/>
        <v>0.51250526796331941</v>
      </c>
      <c r="Y208" s="10">
        <f t="shared" si="36"/>
        <v>2.0657711517276803E-2</v>
      </c>
      <c r="Z208" s="10">
        <f t="shared" si="36"/>
        <v>-0.51250526796331941</v>
      </c>
      <c r="AA208" s="10">
        <f t="shared" si="36"/>
        <v>-2.0657711517276803E-2</v>
      </c>
      <c r="AB208" s="7">
        <f t="shared" si="46"/>
        <v>1.3583157784672941</v>
      </c>
      <c r="AC208" s="7">
        <v>1.8319075275220931</v>
      </c>
    </row>
    <row r="209" spans="1:29" x14ac:dyDescent="0.25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28">
        <v>-1</v>
      </c>
      <c r="I209" s="28">
        <v>1</v>
      </c>
      <c r="J209" s="28">
        <v>-1</v>
      </c>
      <c r="K209" s="28">
        <v>1</v>
      </c>
      <c r="L209" s="9">
        <f t="shared" si="45"/>
        <v>0</v>
      </c>
      <c r="M209" s="9">
        <f t="shared" si="38"/>
        <v>-1.298848792926977E-2</v>
      </c>
      <c r="N209" s="9">
        <f t="shared" si="39"/>
        <v>0</v>
      </c>
      <c r="O209" s="9">
        <f t="shared" si="40"/>
        <v>5.02572900614906E-3</v>
      </c>
      <c r="P209" s="9">
        <f t="shared" si="41"/>
        <v>1.591992993951008E-2</v>
      </c>
      <c r="Q209" s="9">
        <f t="shared" si="42"/>
        <v>0</v>
      </c>
      <c r="R209" s="9">
        <f t="shared" si="43"/>
        <v>-1.591992993951008E-2</v>
      </c>
      <c r="S209" s="9">
        <f t="shared" si="44"/>
        <v>0</v>
      </c>
      <c r="T209" s="10">
        <f t="shared" si="47"/>
        <v>0.66379810023483143</v>
      </c>
      <c r="U209" s="10">
        <f t="shared" si="47"/>
        <v>0.18010629995218874</v>
      </c>
      <c r="V209" s="10">
        <f t="shared" si="47"/>
        <v>-0.25833581988346488</v>
      </c>
      <c r="W209" s="10">
        <f t="shared" si="47"/>
        <v>0.76478443924061967</v>
      </c>
      <c r="X209" s="10">
        <f t="shared" si="47"/>
        <v>0.52842519790282949</v>
      </c>
      <c r="Y209" s="10">
        <f t="shared" si="36"/>
        <v>2.0657711517276803E-2</v>
      </c>
      <c r="Z209" s="10">
        <f t="shared" si="36"/>
        <v>-0.52842519790282949</v>
      </c>
      <c r="AA209" s="10">
        <f t="shared" si="36"/>
        <v>-2.0657711517276803E-2</v>
      </c>
      <c r="AB209" s="7">
        <f t="shared" si="46"/>
        <v>1.3503530195441733</v>
      </c>
      <c r="AC209" s="7">
        <v>1.8676180512986811</v>
      </c>
    </row>
    <row r="210" spans="1:29" x14ac:dyDescent="0.25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28">
        <v>-1</v>
      </c>
      <c r="I210" s="28">
        <v>1</v>
      </c>
      <c r="J210" s="28">
        <v>-1</v>
      </c>
      <c r="K210" s="28">
        <v>1</v>
      </c>
      <c r="L210" s="9">
        <f t="shared" si="45"/>
        <v>0</v>
      </c>
      <c r="M210" s="9">
        <f t="shared" si="38"/>
        <v>-3.550513197692617E-3</v>
      </c>
      <c r="N210" s="9">
        <f t="shared" si="39"/>
        <v>0</v>
      </c>
      <c r="O210" s="9">
        <f t="shared" si="40"/>
        <v>-8.5348301612558908E-3</v>
      </c>
      <c r="P210" s="9">
        <f t="shared" si="41"/>
        <v>1.90126907208954E-3</v>
      </c>
      <c r="Q210" s="9">
        <f t="shared" si="42"/>
        <v>0</v>
      </c>
      <c r="R210" s="9">
        <f t="shared" si="43"/>
        <v>-1.90126907208954E-3</v>
      </c>
      <c r="S210" s="9">
        <f t="shared" si="44"/>
        <v>0</v>
      </c>
      <c r="T210" s="10">
        <f t="shared" si="47"/>
        <v>0.66379810023483143</v>
      </c>
      <c r="U210" s="10">
        <f t="shared" si="47"/>
        <v>0.17655578675449612</v>
      </c>
      <c r="V210" s="10">
        <f t="shared" si="47"/>
        <v>-0.25833581988346488</v>
      </c>
      <c r="W210" s="10">
        <f t="shared" si="47"/>
        <v>0.75624960907936378</v>
      </c>
      <c r="X210" s="10">
        <f t="shared" si="47"/>
        <v>0.53032646697491903</v>
      </c>
      <c r="Y210" s="10">
        <f t="shared" si="47"/>
        <v>2.0657711517276803E-2</v>
      </c>
      <c r="Z210" s="10">
        <f t="shared" si="47"/>
        <v>-0.53032646697491903</v>
      </c>
      <c r="AA210" s="10">
        <f t="shared" si="47"/>
        <v>-2.0657711517276803E-2</v>
      </c>
      <c r="AB210" s="7">
        <f t="shared" si="46"/>
        <v>1.3382676761852248</v>
      </c>
      <c r="AC210" s="7">
        <v>1.8965020601716569</v>
      </c>
    </row>
    <row r="211" spans="1:29" x14ac:dyDescent="0.25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28">
        <v>1</v>
      </c>
      <c r="I211" s="28">
        <v>1</v>
      </c>
      <c r="J211" s="28">
        <v>1</v>
      </c>
      <c r="K211" s="28">
        <v>1</v>
      </c>
      <c r="L211" s="9">
        <f t="shared" si="45"/>
        <v>-3.0181610082432479E-2</v>
      </c>
      <c r="M211" s="9">
        <f t="shared" si="38"/>
        <v>0</v>
      </c>
      <c r="N211" s="9">
        <f t="shared" si="39"/>
        <v>-3.4859425718876902E-2</v>
      </c>
      <c r="O211" s="9">
        <f t="shared" si="40"/>
        <v>0</v>
      </c>
      <c r="P211" s="9">
        <f t="shared" si="41"/>
        <v>8.1123348560113717E-3</v>
      </c>
      <c r="Q211" s="9">
        <f t="shared" si="42"/>
        <v>0</v>
      </c>
      <c r="R211" s="9">
        <f t="shared" si="43"/>
        <v>-8.1123348560113717E-3</v>
      </c>
      <c r="S211" s="9">
        <f t="shared" si="44"/>
        <v>0</v>
      </c>
      <c r="T211" s="10">
        <f t="shared" si="47"/>
        <v>0.63361649015239896</v>
      </c>
      <c r="U211" s="10">
        <f t="shared" si="47"/>
        <v>0.17655578675449612</v>
      </c>
      <c r="V211" s="10">
        <f t="shared" si="47"/>
        <v>-0.29319524560234178</v>
      </c>
      <c r="W211" s="10">
        <f t="shared" si="47"/>
        <v>0.75624960907936378</v>
      </c>
      <c r="X211" s="10">
        <f t="shared" si="47"/>
        <v>0.5384388018309304</v>
      </c>
      <c r="Y211" s="10">
        <f t="shared" si="47"/>
        <v>2.0657711517276803E-2</v>
      </c>
      <c r="Z211" s="10">
        <f t="shared" si="47"/>
        <v>-0.5384388018309304</v>
      </c>
      <c r="AA211" s="10">
        <f t="shared" si="47"/>
        <v>-2.0657711517276803E-2</v>
      </c>
      <c r="AB211" s="7">
        <f t="shared" si="46"/>
        <v>1.2732266403839154</v>
      </c>
      <c r="AC211" s="7">
        <v>1.8966885767057611</v>
      </c>
    </row>
    <row r="212" spans="1:29" x14ac:dyDescent="0.25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28">
        <v>1</v>
      </c>
      <c r="I212" s="28">
        <v>-1</v>
      </c>
      <c r="J212" s="28">
        <v>1</v>
      </c>
      <c r="K212" s="28">
        <v>-1</v>
      </c>
      <c r="L212" s="9">
        <f t="shared" si="45"/>
        <v>-8.309359927727189E-2</v>
      </c>
      <c r="M212" s="9">
        <f t="shared" si="38"/>
        <v>0</v>
      </c>
      <c r="N212" s="9">
        <f t="shared" si="39"/>
        <v>-3.3460520555865243E-2</v>
      </c>
      <c r="O212" s="9">
        <f t="shared" si="40"/>
        <v>0</v>
      </c>
      <c r="P212" s="9">
        <f t="shared" si="41"/>
        <v>0</v>
      </c>
      <c r="Q212" s="9">
        <f t="shared" si="42"/>
        <v>-3.2252934734914973E-2</v>
      </c>
      <c r="R212" s="9">
        <f t="shared" si="43"/>
        <v>0</v>
      </c>
      <c r="S212" s="9">
        <f t="shared" si="44"/>
        <v>3.2252934734914973E-2</v>
      </c>
      <c r="T212" s="10">
        <f t="shared" si="47"/>
        <v>0.55052289087512707</v>
      </c>
      <c r="U212" s="10">
        <f t="shared" si="47"/>
        <v>0.17655578675449612</v>
      </c>
      <c r="V212" s="10">
        <f t="shared" si="47"/>
        <v>-0.32665576615820702</v>
      </c>
      <c r="W212" s="10">
        <f t="shared" si="47"/>
        <v>0.75624960907936378</v>
      </c>
      <c r="X212" s="10">
        <f t="shared" si="47"/>
        <v>0.5384388018309304</v>
      </c>
      <c r="Y212" s="10">
        <f t="shared" si="47"/>
        <v>-1.159522321763817E-2</v>
      </c>
      <c r="Z212" s="10">
        <f t="shared" si="47"/>
        <v>-0.5384388018309304</v>
      </c>
      <c r="AA212" s="10">
        <f t="shared" si="47"/>
        <v>1.159522321763817E-2</v>
      </c>
      <c r="AB212" s="7">
        <f t="shared" si="46"/>
        <v>1.1566725205507784</v>
      </c>
      <c r="AC212" s="7">
        <v>1.8166565954725951</v>
      </c>
    </row>
    <row r="213" spans="1:29" x14ac:dyDescent="0.25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28">
        <v>1</v>
      </c>
      <c r="I213" s="28">
        <v>-1</v>
      </c>
      <c r="J213" s="28">
        <v>1</v>
      </c>
      <c r="K213" s="28">
        <v>-1</v>
      </c>
      <c r="L213" s="9">
        <f t="shared" si="45"/>
        <v>0.12617956872831779</v>
      </c>
      <c r="M213" s="9">
        <f t="shared" si="38"/>
        <v>0</v>
      </c>
      <c r="N213" s="9">
        <f t="shared" si="39"/>
        <v>-3.5592340462273893E-2</v>
      </c>
      <c r="O213" s="9">
        <f t="shared" si="40"/>
        <v>0</v>
      </c>
      <c r="P213" s="9">
        <f t="shared" si="41"/>
        <v>0</v>
      </c>
      <c r="Q213" s="9">
        <f t="shared" si="42"/>
        <v>-6.9343987070509261E-3</v>
      </c>
      <c r="R213" s="9">
        <f t="shared" si="43"/>
        <v>0</v>
      </c>
      <c r="S213" s="9">
        <f t="shared" si="44"/>
        <v>6.9343987070509261E-3</v>
      </c>
      <c r="T213" s="10">
        <f t="shared" si="47"/>
        <v>0.67670245960344488</v>
      </c>
      <c r="U213" s="10">
        <f t="shared" si="47"/>
        <v>0.17655578675449612</v>
      </c>
      <c r="V213" s="10">
        <f t="shared" si="47"/>
        <v>-0.3622481066204809</v>
      </c>
      <c r="W213" s="10">
        <f t="shared" si="47"/>
        <v>0.75624960907936378</v>
      </c>
      <c r="X213" s="10">
        <f t="shared" si="47"/>
        <v>0.5384388018309304</v>
      </c>
      <c r="Y213" s="10">
        <f t="shared" si="47"/>
        <v>-1.8529621924689096E-2</v>
      </c>
      <c r="Z213" s="10">
        <f t="shared" si="47"/>
        <v>-0.5384388018309304</v>
      </c>
      <c r="AA213" s="10">
        <f t="shared" si="47"/>
        <v>1.8529621924689096E-2</v>
      </c>
      <c r="AB213" s="7">
        <f t="shared" si="46"/>
        <v>1.2472597488168222</v>
      </c>
      <c r="AC213" s="7">
        <v>1.717447693203626</v>
      </c>
    </row>
    <row r="214" spans="1:29" x14ac:dyDescent="0.25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28">
        <v>-1</v>
      </c>
      <c r="I214" s="28">
        <v>-1</v>
      </c>
      <c r="J214" s="28">
        <v>-1</v>
      </c>
      <c r="K214" s="28">
        <v>-1</v>
      </c>
      <c r="L214" s="9">
        <f t="shared" si="45"/>
        <v>0</v>
      </c>
      <c r="M214" s="9">
        <f t="shared" si="38"/>
        <v>-4.055448493089564E-2</v>
      </c>
      <c r="N214" s="9">
        <f t="shared" si="39"/>
        <v>0</v>
      </c>
      <c r="O214" s="9">
        <f t="shared" si="40"/>
        <v>-1.631271156349301E-2</v>
      </c>
      <c r="P214" s="9">
        <f t="shared" si="41"/>
        <v>0</v>
      </c>
      <c r="Q214" s="9">
        <f t="shared" si="42"/>
        <v>-3.180206779905681E-2</v>
      </c>
      <c r="R214" s="9">
        <f t="shared" si="43"/>
        <v>0</v>
      </c>
      <c r="S214" s="9">
        <f t="shared" si="44"/>
        <v>3.180206779905681E-2</v>
      </c>
      <c r="T214" s="10">
        <f t="shared" si="47"/>
        <v>0.67670245960344488</v>
      </c>
      <c r="U214" s="10">
        <f t="shared" si="47"/>
        <v>0.13600130182360048</v>
      </c>
      <c r="V214" s="10">
        <f t="shared" si="47"/>
        <v>-0.3622481066204809</v>
      </c>
      <c r="W214" s="10">
        <f t="shared" si="47"/>
        <v>0.73993689751587077</v>
      </c>
      <c r="X214" s="10">
        <f t="shared" si="47"/>
        <v>0.5384388018309304</v>
      </c>
      <c r="Y214" s="10">
        <f t="shared" si="47"/>
        <v>-5.0331689723745909E-2</v>
      </c>
      <c r="Z214" s="10">
        <f t="shared" si="47"/>
        <v>-0.5384388018309304</v>
      </c>
      <c r="AA214" s="10">
        <f t="shared" si="47"/>
        <v>5.0331689723745909E-2</v>
      </c>
      <c r="AB214" s="7">
        <f t="shared" si="46"/>
        <v>1.1903925523224337</v>
      </c>
      <c r="AC214" s="7">
        <v>1.8437579022913879</v>
      </c>
    </row>
    <row r="215" spans="1:29" x14ac:dyDescent="0.25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28">
        <v>-1</v>
      </c>
      <c r="I215" s="28">
        <v>1</v>
      </c>
      <c r="J215" s="28">
        <v>-1</v>
      </c>
      <c r="K215" s="28">
        <v>1</v>
      </c>
      <c r="L215" s="9">
        <f t="shared" si="45"/>
        <v>0</v>
      </c>
      <c r="M215" s="9">
        <f t="shared" si="38"/>
        <v>-3.1709685465570632E-2</v>
      </c>
      <c r="N215" s="9">
        <f t="shared" si="39"/>
        <v>0</v>
      </c>
      <c r="O215" s="9">
        <f t="shared" si="40"/>
        <v>-5.7689029307027573E-3</v>
      </c>
      <c r="P215" s="9">
        <f t="shared" si="41"/>
        <v>-9.187622288678976E-3</v>
      </c>
      <c r="Q215" s="9">
        <f t="shared" si="42"/>
        <v>0</v>
      </c>
      <c r="R215" s="9">
        <f t="shared" si="43"/>
        <v>9.187622288678976E-3</v>
      </c>
      <c r="S215" s="9">
        <f t="shared" si="44"/>
        <v>0</v>
      </c>
      <c r="T215" s="10">
        <f t="shared" si="47"/>
        <v>0.67670245960344488</v>
      </c>
      <c r="U215" s="10">
        <f t="shared" si="47"/>
        <v>0.10429161635802986</v>
      </c>
      <c r="V215" s="10">
        <f t="shared" si="47"/>
        <v>-0.3622481066204809</v>
      </c>
      <c r="W215" s="10">
        <f t="shared" si="47"/>
        <v>0.73416799458516802</v>
      </c>
      <c r="X215" s="10">
        <f t="shared" si="47"/>
        <v>0.52925117954225143</v>
      </c>
      <c r="Y215" s="10">
        <f t="shared" si="47"/>
        <v>-5.0331689723745909E-2</v>
      </c>
      <c r="Z215" s="10">
        <f t="shared" si="47"/>
        <v>-0.52925117954225143</v>
      </c>
      <c r="AA215" s="10">
        <f t="shared" si="47"/>
        <v>5.0331689723745909E-2</v>
      </c>
      <c r="AB215" s="7">
        <f t="shared" si="46"/>
        <v>1.1529139639261603</v>
      </c>
      <c r="AC215" s="7">
        <v>1.892250775572428</v>
      </c>
    </row>
    <row r="216" spans="1:29" x14ac:dyDescent="0.25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28">
        <v>-1</v>
      </c>
      <c r="I216" s="28">
        <v>1</v>
      </c>
      <c r="J216" s="28">
        <v>-1</v>
      </c>
      <c r="K216" s="28">
        <v>1</v>
      </c>
      <c r="L216" s="9">
        <f t="shared" si="45"/>
        <v>0</v>
      </c>
      <c r="M216" s="9">
        <f t="shared" si="38"/>
        <v>1.364660738711887E-5</v>
      </c>
      <c r="N216" s="9">
        <f t="shared" si="39"/>
        <v>0</v>
      </c>
      <c r="O216" s="9">
        <f t="shared" si="40"/>
        <v>9.5973114134728643E-3</v>
      </c>
      <c r="P216" s="9">
        <f t="shared" si="41"/>
        <v>4.8632860728509808E-2</v>
      </c>
      <c r="Q216" s="9">
        <f t="shared" si="42"/>
        <v>0</v>
      </c>
      <c r="R216" s="9">
        <f t="shared" si="43"/>
        <v>-4.8632860728509808E-2</v>
      </c>
      <c r="S216" s="9">
        <f t="shared" si="44"/>
        <v>0</v>
      </c>
      <c r="T216" s="10">
        <f t="shared" si="47"/>
        <v>0.67670245960344488</v>
      </c>
      <c r="U216" s="10">
        <f t="shared" si="47"/>
        <v>0.10430526296541698</v>
      </c>
      <c r="V216" s="10">
        <f t="shared" si="47"/>
        <v>-0.3622481066204809</v>
      </c>
      <c r="W216" s="10">
        <f t="shared" si="47"/>
        <v>0.74376530599864088</v>
      </c>
      <c r="X216" s="10">
        <f t="shared" si="47"/>
        <v>0.57788404027076123</v>
      </c>
      <c r="Y216" s="10">
        <f t="shared" si="47"/>
        <v>-5.0331689723745909E-2</v>
      </c>
      <c r="Z216" s="10">
        <f t="shared" si="47"/>
        <v>-0.57788404027076123</v>
      </c>
      <c r="AA216" s="10">
        <f t="shared" si="47"/>
        <v>5.0331689723745909E-2</v>
      </c>
      <c r="AB216" s="7">
        <f t="shared" si="46"/>
        <v>1.1625249219470204</v>
      </c>
      <c r="AC216" s="7">
        <v>1.913347088120136</v>
      </c>
    </row>
    <row r="217" spans="1:29" x14ac:dyDescent="0.25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28">
        <v>-1</v>
      </c>
      <c r="I217" s="28">
        <v>1</v>
      </c>
      <c r="J217" s="28">
        <v>-1</v>
      </c>
      <c r="K217" s="28">
        <v>1</v>
      </c>
      <c r="L217" s="9">
        <f t="shared" si="45"/>
        <v>0</v>
      </c>
      <c r="M217" s="9">
        <f t="shared" si="38"/>
        <v>7.8944200111852325E-4</v>
      </c>
      <c r="N217" s="9">
        <f t="shared" si="39"/>
        <v>0</v>
      </c>
      <c r="O217" s="9">
        <f t="shared" si="40"/>
        <v>1.907180820279453E-2</v>
      </c>
      <c r="P217" s="9">
        <f t="shared" si="41"/>
        <v>2.5283718016310349E-2</v>
      </c>
      <c r="Q217" s="9">
        <f t="shared" si="42"/>
        <v>0</v>
      </c>
      <c r="R217" s="9">
        <f t="shared" si="43"/>
        <v>-2.5283718016310349E-2</v>
      </c>
      <c r="S217" s="9">
        <f t="shared" si="44"/>
        <v>0</v>
      </c>
      <c r="T217" s="10">
        <f t="shared" si="47"/>
        <v>0.67670245960344488</v>
      </c>
      <c r="U217" s="10">
        <f t="shared" si="47"/>
        <v>0.1050947049665355</v>
      </c>
      <c r="V217" s="10">
        <f t="shared" si="47"/>
        <v>-0.3622481066204809</v>
      </c>
      <c r="W217" s="10">
        <f t="shared" si="47"/>
        <v>0.76283711420143541</v>
      </c>
      <c r="X217" s="10">
        <f t="shared" si="47"/>
        <v>0.60316775828707159</v>
      </c>
      <c r="Y217" s="10">
        <f t="shared" si="47"/>
        <v>-5.0331689723745909E-2</v>
      </c>
      <c r="Z217" s="10">
        <f t="shared" si="47"/>
        <v>-0.60316775828707159</v>
      </c>
      <c r="AA217" s="10">
        <f t="shared" si="47"/>
        <v>5.0331689723745909E-2</v>
      </c>
      <c r="AB217" s="7">
        <f t="shared" si="46"/>
        <v>1.1823861721509334</v>
      </c>
      <c r="AC217" s="7">
        <v>1.9713533680124891</v>
      </c>
    </row>
    <row r="218" spans="1:29" x14ac:dyDescent="0.25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28">
        <v>-1</v>
      </c>
      <c r="I218" s="28">
        <v>1</v>
      </c>
      <c r="J218" s="28">
        <v>-1</v>
      </c>
      <c r="K218" s="28">
        <v>1</v>
      </c>
      <c r="L218" s="9">
        <f t="shared" si="45"/>
        <v>0</v>
      </c>
      <c r="M218" s="9">
        <f t="shared" si="38"/>
        <v>-2.868134432505753E-2</v>
      </c>
      <c r="N218" s="9">
        <f t="shared" si="39"/>
        <v>0</v>
      </c>
      <c r="O218" s="9">
        <f t="shared" si="40"/>
        <v>-2.4216499146975878E-2</v>
      </c>
      <c r="P218" s="9">
        <f t="shared" si="41"/>
        <v>2.4428279126085251E-2</v>
      </c>
      <c r="Q218" s="9">
        <f t="shared" si="42"/>
        <v>0</v>
      </c>
      <c r="R218" s="9">
        <f t="shared" si="43"/>
        <v>-2.4428279126085251E-2</v>
      </c>
      <c r="S218" s="9">
        <f t="shared" si="44"/>
        <v>0</v>
      </c>
      <c r="T218" s="10">
        <f t="shared" si="47"/>
        <v>0.67670245960344488</v>
      </c>
      <c r="U218" s="10">
        <f t="shared" si="47"/>
        <v>7.6413360641477968E-2</v>
      </c>
      <c r="V218" s="10">
        <f t="shared" si="47"/>
        <v>-0.3622481066204809</v>
      </c>
      <c r="W218" s="10">
        <f t="shared" si="47"/>
        <v>0.73862061505445953</v>
      </c>
      <c r="X218" s="10">
        <f t="shared" si="47"/>
        <v>0.62759603741315684</v>
      </c>
      <c r="Y218" s="10">
        <f t="shared" si="47"/>
        <v>-5.0331689723745909E-2</v>
      </c>
      <c r="Z218" s="10">
        <f t="shared" si="47"/>
        <v>-0.62759603741315684</v>
      </c>
      <c r="AA218" s="10">
        <f t="shared" si="47"/>
        <v>5.0331689723745909E-2</v>
      </c>
      <c r="AB218" s="7">
        <f t="shared" si="46"/>
        <v>1.1294883286788999</v>
      </c>
      <c r="AC218" s="7">
        <v>2.039195901888454</v>
      </c>
    </row>
    <row r="219" spans="1:29" x14ac:dyDescent="0.25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28">
        <v>1</v>
      </c>
      <c r="I219" s="28">
        <v>1</v>
      </c>
      <c r="J219" s="28">
        <v>1</v>
      </c>
      <c r="K219" s="28">
        <v>1</v>
      </c>
      <c r="L219" s="9">
        <f t="shared" si="45"/>
        <v>1.438680298905215E-2</v>
      </c>
      <c r="M219" s="9">
        <f t="shared" si="38"/>
        <v>0</v>
      </c>
      <c r="N219" s="9">
        <f t="shared" si="39"/>
        <v>6.1083737294953533E-3</v>
      </c>
      <c r="O219" s="9">
        <f t="shared" si="40"/>
        <v>0</v>
      </c>
      <c r="P219" s="9">
        <f t="shared" si="41"/>
        <v>-4.6019132277675068E-2</v>
      </c>
      <c r="Q219" s="9">
        <f t="shared" si="42"/>
        <v>0</v>
      </c>
      <c r="R219" s="9">
        <f t="shared" si="43"/>
        <v>4.6019132277675068E-2</v>
      </c>
      <c r="S219" s="9">
        <f t="shared" si="44"/>
        <v>0</v>
      </c>
      <c r="T219" s="10">
        <f t="shared" si="47"/>
        <v>0.69108926259249703</v>
      </c>
      <c r="U219" s="10">
        <f t="shared" si="47"/>
        <v>7.6413360641477968E-2</v>
      </c>
      <c r="V219" s="10">
        <f t="shared" si="47"/>
        <v>-0.35613973289098555</v>
      </c>
      <c r="W219" s="10">
        <f t="shared" si="47"/>
        <v>0.73862061505445953</v>
      </c>
      <c r="X219" s="10">
        <f t="shared" si="47"/>
        <v>0.58157690513548177</v>
      </c>
      <c r="Y219" s="10">
        <f t="shared" si="47"/>
        <v>-5.0331689723745909E-2</v>
      </c>
      <c r="Z219" s="10">
        <f t="shared" si="47"/>
        <v>-0.58157690513548177</v>
      </c>
      <c r="AA219" s="10">
        <f t="shared" si="47"/>
        <v>5.0331689723745909E-2</v>
      </c>
      <c r="AB219" s="7">
        <f t="shared" si="46"/>
        <v>1.1499835053974474</v>
      </c>
      <c r="AC219" s="7">
        <v>2.0034582422280822</v>
      </c>
    </row>
    <row r="220" spans="1:29" x14ac:dyDescent="0.25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28">
        <v>-1</v>
      </c>
      <c r="I220" s="28">
        <v>-1</v>
      </c>
      <c r="J220" s="28">
        <v>-1</v>
      </c>
      <c r="K220" s="28">
        <v>-1</v>
      </c>
      <c r="L220" s="9">
        <f t="shared" si="45"/>
        <v>0</v>
      </c>
      <c r="M220" s="9">
        <f t="shared" si="38"/>
        <v>4.7487023436683207E-2</v>
      </c>
      <c r="N220" s="9">
        <f t="shared" si="39"/>
        <v>0</v>
      </c>
      <c r="O220" s="9">
        <f t="shared" si="40"/>
        <v>-6.9108277296058276E-3</v>
      </c>
      <c r="P220" s="9">
        <f t="shared" si="41"/>
        <v>0</v>
      </c>
      <c r="Q220" s="9">
        <f t="shared" si="42"/>
        <v>-1.7849188571451902E-2</v>
      </c>
      <c r="R220" s="9">
        <f t="shared" si="43"/>
        <v>0</v>
      </c>
      <c r="S220" s="9">
        <f t="shared" si="44"/>
        <v>1.7849188571451902E-2</v>
      </c>
      <c r="T220" s="10">
        <f t="shared" si="47"/>
        <v>0.69108926259249703</v>
      </c>
      <c r="U220" s="10">
        <f t="shared" si="47"/>
        <v>0.12390038407816117</v>
      </c>
      <c r="V220" s="10">
        <f t="shared" si="47"/>
        <v>-0.35613973289098555</v>
      </c>
      <c r="W220" s="10">
        <f t="shared" si="47"/>
        <v>0.7317097873248537</v>
      </c>
      <c r="X220" s="10">
        <f t="shared" si="47"/>
        <v>0.58157690513548177</v>
      </c>
      <c r="Y220" s="10">
        <f t="shared" si="47"/>
        <v>-6.8180878295197811E-2</v>
      </c>
      <c r="Z220" s="10">
        <f t="shared" si="47"/>
        <v>-0.58157690513548177</v>
      </c>
      <c r="AA220" s="10">
        <f t="shared" si="47"/>
        <v>6.8180878295197811E-2</v>
      </c>
      <c r="AB220" s="7">
        <f t="shared" si="46"/>
        <v>1.1905597011045248</v>
      </c>
      <c r="AC220" s="7">
        <v>1.979960266834802</v>
      </c>
    </row>
    <row r="221" spans="1:29" x14ac:dyDescent="0.25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28">
        <v>-1</v>
      </c>
      <c r="I221" s="28">
        <v>1</v>
      </c>
      <c r="J221" s="28">
        <v>-1</v>
      </c>
      <c r="K221" s="28">
        <v>1</v>
      </c>
      <c r="L221" s="9">
        <f t="shared" si="45"/>
        <v>0</v>
      </c>
      <c r="M221" s="9">
        <f t="shared" si="38"/>
        <v>-1.8924314016548701E-2</v>
      </c>
      <c r="N221" s="9">
        <f t="shared" si="39"/>
        <v>0</v>
      </c>
      <c r="O221" s="9">
        <f t="shared" si="40"/>
        <v>-9.1553067599295934E-3</v>
      </c>
      <c r="P221" s="9">
        <f t="shared" si="41"/>
        <v>7.0487960096269675E-2</v>
      </c>
      <c r="Q221" s="9">
        <f t="shared" si="42"/>
        <v>0</v>
      </c>
      <c r="R221" s="9">
        <f t="shared" si="43"/>
        <v>-7.0487960096269675E-2</v>
      </c>
      <c r="S221" s="9">
        <f t="shared" si="44"/>
        <v>0</v>
      </c>
      <c r="T221" s="10">
        <f t="shared" si="47"/>
        <v>0.69108926259249703</v>
      </c>
      <c r="U221" s="10">
        <f t="shared" si="47"/>
        <v>0.10497607006161247</v>
      </c>
      <c r="V221" s="10">
        <f t="shared" si="47"/>
        <v>-0.35613973289098555</v>
      </c>
      <c r="W221" s="10">
        <f t="shared" si="47"/>
        <v>0.72255448056492411</v>
      </c>
      <c r="X221" s="10">
        <f t="shared" si="47"/>
        <v>0.65206486523175144</v>
      </c>
      <c r="Y221" s="10">
        <f t="shared" si="47"/>
        <v>-6.8180878295197811E-2</v>
      </c>
      <c r="Z221" s="10">
        <f t="shared" si="47"/>
        <v>-0.65206486523175144</v>
      </c>
      <c r="AA221" s="10">
        <f t="shared" si="47"/>
        <v>6.8180878295197811E-2</v>
      </c>
      <c r="AB221" s="7">
        <f t="shared" si="46"/>
        <v>1.1624800803280464</v>
      </c>
      <c r="AC221" s="7">
        <v>2.0844755370235371</v>
      </c>
    </row>
    <row r="222" spans="1:29" x14ac:dyDescent="0.25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28">
        <v>-1</v>
      </c>
      <c r="I222" s="28">
        <v>1</v>
      </c>
      <c r="J222" s="28">
        <v>-1</v>
      </c>
      <c r="K222" s="28">
        <v>1</v>
      </c>
      <c r="L222" s="9">
        <f t="shared" si="45"/>
        <v>0</v>
      </c>
      <c r="M222" s="9">
        <f t="shared" si="38"/>
        <v>-1.6294423489302771E-2</v>
      </c>
      <c r="N222" s="9">
        <f t="shared" si="39"/>
        <v>0</v>
      </c>
      <c r="O222" s="9">
        <f t="shared" si="40"/>
        <v>5.0074395225220281E-3</v>
      </c>
      <c r="P222" s="9">
        <f t="shared" si="41"/>
        <v>1.933126192782153E-2</v>
      </c>
      <c r="Q222" s="9">
        <f t="shared" si="42"/>
        <v>0</v>
      </c>
      <c r="R222" s="9">
        <f t="shared" si="43"/>
        <v>-1.933126192782153E-2</v>
      </c>
      <c r="S222" s="9">
        <f t="shared" si="44"/>
        <v>0</v>
      </c>
      <c r="T222" s="10">
        <f t="shared" si="47"/>
        <v>0.69108926259249703</v>
      </c>
      <c r="U222" s="10">
        <f t="shared" si="47"/>
        <v>8.8681646572309702E-2</v>
      </c>
      <c r="V222" s="10">
        <f t="shared" si="47"/>
        <v>-0.35613973289098555</v>
      </c>
      <c r="W222" s="10">
        <f t="shared" si="47"/>
        <v>0.72756192008744613</v>
      </c>
      <c r="X222" s="10">
        <f t="shared" si="47"/>
        <v>0.67139612715957298</v>
      </c>
      <c r="Y222" s="10">
        <f t="shared" si="47"/>
        <v>-6.8180878295197811E-2</v>
      </c>
      <c r="Z222" s="10">
        <f t="shared" si="47"/>
        <v>-0.67139612715957298</v>
      </c>
      <c r="AA222" s="10">
        <f t="shared" si="47"/>
        <v>6.8180878295197811E-2</v>
      </c>
      <c r="AB222" s="7">
        <f t="shared" si="46"/>
        <v>1.1511930963612655</v>
      </c>
      <c r="AC222" s="7">
        <v>2.1211937600999859</v>
      </c>
    </row>
    <row r="223" spans="1:29" x14ac:dyDescent="0.25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28">
        <v>-1</v>
      </c>
      <c r="I223" s="28">
        <v>1</v>
      </c>
      <c r="J223" s="28">
        <v>-1</v>
      </c>
      <c r="K223" s="28">
        <v>1</v>
      </c>
      <c r="L223" s="9">
        <f t="shared" si="45"/>
        <v>0</v>
      </c>
      <c r="M223" s="9">
        <f t="shared" si="38"/>
        <v>3.7420615465962648E-2</v>
      </c>
      <c r="N223" s="9">
        <f t="shared" si="39"/>
        <v>0</v>
      </c>
      <c r="O223" s="9">
        <f t="shared" si="40"/>
        <v>-1.0888397416708551E-2</v>
      </c>
      <c r="P223" s="9">
        <f t="shared" si="41"/>
        <v>1.980734870681267E-2</v>
      </c>
      <c r="Q223" s="9">
        <f t="shared" si="42"/>
        <v>0</v>
      </c>
      <c r="R223" s="9">
        <f t="shared" si="43"/>
        <v>-1.980734870681267E-2</v>
      </c>
      <c r="S223" s="9">
        <f t="shared" si="44"/>
        <v>0</v>
      </c>
      <c r="T223" s="10">
        <f t="shared" si="47"/>
        <v>0.69108926259249703</v>
      </c>
      <c r="U223" s="10">
        <f t="shared" si="47"/>
        <v>0.12610226203827235</v>
      </c>
      <c r="V223" s="10">
        <f t="shared" si="47"/>
        <v>-0.35613973289098555</v>
      </c>
      <c r="W223" s="10">
        <f t="shared" si="47"/>
        <v>0.71667352267073758</v>
      </c>
      <c r="X223" s="10">
        <f t="shared" si="47"/>
        <v>0.69120347586638564</v>
      </c>
      <c r="Y223" s="10">
        <f t="shared" si="47"/>
        <v>-6.8180878295197811E-2</v>
      </c>
      <c r="Z223" s="10">
        <f t="shared" si="47"/>
        <v>-0.69120347586638564</v>
      </c>
      <c r="AA223" s="10">
        <f t="shared" si="47"/>
        <v>6.8180878295197811E-2</v>
      </c>
      <c r="AB223" s="7">
        <f t="shared" si="46"/>
        <v>1.1777253144105195</v>
      </c>
      <c r="AC223" s="7">
        <v>2.1119556023219759</v>
      </c>
    </row>
    <row r="224" spans="1:29" x14ac:dyDescent="0.25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28">
        <v>-1</v>
      </c>
      <c r="I224" s="28">
        <v>1</v>
      </c>
      <c r="J224" s="28">
        <v>-1</v>
      </c>
      <c r="K224" s="28">
        <v>1</v>
      </c>
      <c r="L224" s="9">
        <f t="shared" si="45"/>
        <v>0</v>
      </c>
      <c r="M224" s="9">
        <f t="shared" si="38"/>
        <v>1.7014929599760031E-2</v>
      </c>
      <c r="N224" s="9">
        <f t="shared" si="39"/>
        <v>0</v>
      </c>
      <c r="O224" s="9">
        <f t="shared" si="40"/>
        <v>7.2848360068952234E-3</v>
      </c>
      <c r="P224" s="9">
        <f t="shared" si="41"/>
        <v>4.6873706956129579E-2</v>
      </c>
      <c r="Q224" s="9">
        <f t="shared" si="42"/>
        <v>0</v>
      </c>
      <c r="R224" s="9">
        <f t="shared" si="43"/>
        <v>-4.6873706956129579E-2</v>
      </c>
      <c r="S224" s="9">
        <f t="shared" si="44"/>
        <v>0</v>
      </c>
      <c r="T224" s="10">
        <f t="shared" si="47"/>
        <v>0.69108926259249703</v>
      </c>
      <c r="U224" s="10">
        <f t="shared" si="47"/>
        <v>0.14311719163803238</v>
      </c>
      <c r="V224" s="10">
        <f t="shared" si="47"/>
        <v>-0.35613973289098555</v>
      </c>
      <c r="W224" s="10">
        <f t="shared" si="47"/>
        <v>0.72395835867763281</v>
      </c>
      <c r="X224" s="10">
        <f t="shared" si="47"/>
        <v>0.73807718282251522</v>
      </c>
      <c r="Y224" s="10">
        <f t="shared" si="47"/>
        <v>-6.8180878295197811E-2</v>
      </c>
      <c r="Z224" s="10">
        <f t="shared" si="47"/>
        <v>-0.73807718282251522</v>
      </c>
      <c r="AA224" s="10">
        <f t="shared" si="47"/>
        <v>6.8180878295197811E-2</v>
      </c>
      <c r="AB224" s="7">
        <f t="shared" si="46"/>
        <v>1.2020250800171748</v>
      </c>
      <c r="AC224" s="7">
        <v>2.1401394952476371</v>
      </c>
    </row>
    <row r="225" spans="1:29" x14ac:dyDescent="0.25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28">
        <v>-1</v>
      </c>
      <c r="I225" s="28">
        <v>1</v>
      </c>
      <c r="J225" s="28">
        <v>-1</v>
      </c>
      <c r="K225" s="28">
        <v>1</v>
      </c>
      <c r="L225" s="9">
        <f t="shared" si="45"/>
        <v>0</v>
      </c>
      <c r="M225" s="9">
        <f t="shared" si="38"/>
        <v>-1.7666221233699101E-2</v>
      </c>
      <c r="N225" s="9">
        <f t="shared" si="39"/>
        <v>0</v>
      </c>
      <c r="O225" s="9">
        <f t="shared" si="40"/>
        <v>5.4014789331912061E-3</v>
      </c>
      <c r="P225" s="9">
        <f t="shared" si="41"/>
        <v>9.2130963252262665E-3</v>
      </c>
      <c r="Q225" s="9">
        <f t="shared" si="42"/>
        <v>0</v>
      </c>
      <c r="R225" s="9">
        <f t="shared" si="43"/>
        <v>-9.2130963252262665E-3</v>
      </c>
      <c r="S225" s="9">
        <f t="shared" si="44"/>
        <v>0</v>
      </c>
      <c r="T225" s="10">
        <f t="shared" si="47"/>
        <v>0.69108926259249703</v>
      </c>
      <c r="U225" s="10">
        <f t="shared" si="47"/>
        <v>0.12545097040433328</v>
      </c>
      <c r="V225" s="10">
        <f t="shared" si="47"/>
        <v>-0.35613973289098555</v>
      </c>
      <c r="W225" s="10">
        <f t="shared" si="47"/>
        <v>0.72935983761082401</v>
      </c>
      <c r="X225" s="10">
        <f t="shared" si="47"/>
        <v>0.74729027914774149</v>
      </c>
      <c r="Y225" s="10">
        <f t="shared" si="47"/>
        <v>-6.8180878295197811E-2</v>
      </c>
      <c r="Z225" s="10">
        <f t="shared" si="47"/>
        <v>-0.74729027914774149</v>
      </c>
      <c r="AA225" s="10">
        <f t="shared" si="47"/>
        <v>6.8180878295197811E-2</v>
      </c>
      <c r="AB225" s="7">
        <f t="shared" si="46"/>
        <v>1.1897603377166668</v>
      </c>
      <c r="AC225" s="7">
        <v>2.1857403806222049</v>
      </c>
    </row>
    <row r="226" spans="1:29" x14ac:dyDescent="0.25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28">
        <v>-1</v>
      </c>
      <c r="I226" s="28">
        <v>1</v>
      </c>
      <c r="J226" s="28">
        <v>-1</v>
      </c>
      <c r="K226" s="28">
        <v>1</v>
      </c>
      <c r="L226" s="9">
        <f t="shared" si="45"/>
        <v>0</v>
      </c>
      <c r="M226" s="9">
        <f t="shared" si="38"/>
        <v>-1.2229061609691391E-2</v>
      </c>
      <c r="N226" s="9">
        <f t="shared" si="39"/>
        <v>0</v>
      </c>
      <c r="O226" s="9">
        <f t="shared" si="40"/>
        <v>-1.249457119786801E-2</v>
      </c>
      <c r="P226" s="9">
        <f t="shared" si="41"/>
        <v>3.0465744343403101E-2</v>
      </c>
      <c r="Q226" s="9">
        <f t="shared" si="42"/>
        <v>0</v>
      </c>
      <c r="R226" s="9">
        <f t="shared" si="43"/>
        <v>-3.0465744343403101E-2</v>
      </c>
      <c r="S226" s="9">
        <f t="shared" si="44"/>
        <v>0</v>
      </c>
      <c r="T226" s="10">
        <f t="shared" si="47"/>
        <v>0.69108926259249703</v>
      </c>
      <c r="U226" s="10">
        <f t="shared" si="47"/>
        <v>0.11322190879464189</v>
      </c>
      <c r="V226" s="10">
        <f t="shared" si="47"/>
        <v>-0.35613973289098555</v>
      </c>
      <c r="W226" s="10">
        <f t="shared" si="47"/>
        <v>0.716865266412956</v>
      </c>
      <c r="X226" s="10">
        <f t="shared" si="47"/>
        <v>0.77775602349114459</v>
      </c>
      <c r="Y226" s="10">
        <f t="shared" si="47"/>
        <v>-6.8180878295197811E-2</v>
      </c>
      <c r="Z226" s="10">
        <f t="shared" si="47"/>
        <v>-0.77775602349114459</v>
      </c>
      <c r="AA226" s="10">
        <f t="shared" si="47"/>
        <v>6.8180878295197811E-2</v>
      </c>
      <c r="AB226" s="7">
        <f t="shared" si="46"/>
        <v>1.1650367049091075</v>
      </c>
      <c r="AC226" s="7">
        <v>2.2377981040202211</v>
      </c>
    </row>
    <row r="227" spans="1:29" x14ac:dyDescent="0.25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28">
        <v>1</v>
      </c>
      <c r="I227" s="28">
        <v>1</v>
      </c>
      <c r="J227" s="28">
        <v>1</v>
      </c>
      <c r="K227" s="28">
        <v>1</v>
      </c>
      <c r="L227" s="9">
        <f t="shared" si="45"/>
        <v>1.227379600930156E-2</v>
      </c>
      <c r="M227" s="9">
        <f t="shared" si="38"/>
        <v>0</v>
      </c>
      <c r="N227" s="9">
        <f t="shared" si="39"/>
        <v>-5.6375877342584868E-3</v>
      </c>
      <c r="O227" s="9">
        <f t="shared" si="40"/>
        <v>0</v>
      </c>
      <c r="P227" s="9">
        <f t="shared" si="41"/>
        <v>1.1564042957680321E-2</v>
      </c>
      <c r="Q227" s="9">
        <f t="shared" si="42"/>
        <v>0</v>
      </c>
      <c r="R227" s="9">
        <f t="shared" si="43"/>
        <v>-1.1564042957680321E-2</v>
      </c>
      <c r="S227" s="9">
        <f t="shared" si="44"/>
        <v>0</v>
      </c>
      <c r="T227" s="10">
        <f t="shared" si="47"/>
        <v>0.7033630586017986</v>
      </c>
      <c r="U227" s="10">
        <f t="shared" si="47"/>
        <v>0.11322190879464189</v>
      </c>
      <c r="V227" s="10">
        <f t="shared" si="47"/>
        <v>-0.36177732062524404</v>
      </c>
      <c r="W227" s="10">
        <f t="shared" si="47"/>
        <v>0.716865266412956</v>
      </c>
      <c r="X227" s="10">
        <f t="shared" si="47"/>
        <v>0.78932006644882491</v>
      </c>
      <c r="Y227" s="10">
        <f t="shared" si="47"/>
        <v>-6.8180878295197811E-2</v>
      </c>
      <c r="Z227" s="10">
        <f t="shared" si="47"/>
        <v>-0.78932006644882491</v>
      </c>
      <c r="AA227" s="10">
        <f t="shared" si="47"/>
        <v>6.8180878295197811E-2</v>
      </c>
      <c r="AB227" s="7">
        <f t="shared" si="46"/>
        <v>1.1716729131841506</v>
      </c>
      <c r="AC227" s="7">
        <v>2.2450884700186791</v>
      </c>
    </row>
    <row r="228" spans="1:29" x14ac:dyDescent="0.25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28">
        <v>1</v>
      </c>
      <c r="I228" s="28">
        <v>-1</v>
      </c>
      <c r="J228" s="28">
        <v>1</v>
      </c>
      <c r="K228" s="28">
        <v>-1</v>
      </c>
      <c r="L228" s="9">
        <f t="shared" si="45"/>
        <v>1.700435905875286E-2</v>
      </c>
      <c r="M228" s="9">
        <f t="shared" si="38"/>
        <v>0</v>
      </c>
      <c r="N228" s="9">
        <f t="shared" si="39"/>
        <v>-7.4960514795694433E-3</v>
      </c>
      <c r="O228" s="9">
        <f t="shared" si="40"/>
        <v>0</v>
      </c>
      <c r="P228" s="9">
        <f t="shared" si="41"/>
        <v>0</v>
      </c>
      <c r="Q228" s="9">
        <f t="shared" si="42"/>
        <v>-5.156312301881294E-3</v>
      </c>
      <c r="R228" s="9">
        <f t="shared" si="43"/>
        <v>0</v>
      </c>
      <c r="S228" s="9">
        <f t="shared" si="44"/>
        <v>5.156312301881294E-3</v>
      </c>
      <c r="T228" s="10">
        <f t="shared" si="47"/>
        <v>0.72036741766055146</v>
      </c>
      <c r="U228" s="10">
        <f t="shared" si="47"/>
        <v>0.11322190879464189</v>
      </c>
      <c r="V228" s="10">
        <f t="shared" si="47"/>
        <v>-0.36927337210481348</v>
      </c>
      <c r="W228" s="10">
        <f t="shared" si="47"/>
        <v>0.716865266412956</v>
      </c>
      <c r="X228" s="10">
        <f t="shared" si="47"/>
        <v>0.78932006644882491</v>
      </c>
      <c r="Y228" s="10">
        <f t="shared" si="47"/>
        <v>-7.3337190597079105E-2</v>
      </c>
      <c r="Z228" s="10">
        <f t="shared" si="47"/>
        <v>-0.78932006644882491</v>
      </c>
      <c r="AA228" s="10">
        <f t="shared" si="47"/>
        <v>7.3337190597079105E-2</v>
      </c>
      <c r="AB228" s="7">
        <f t="shared" si="46"/>
        <v>1.1811812207633339</v>
      </c>
      <c r="AC228" s="7">
        <v>2.2675865147296488</v>
      </c>
    </row>
    <row r="229" spans="1:29" x14ac:dyDescent="0.25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28">
        <v>1</v>
      </c>
      <c r="I229" s="28">
        <v>-1</v>
      </c>
      <c r="J229" s="28">
        <v>1</v>
      </c>
      <c r="K229" s="28">
        <v>-1</v>
      </c>
      <c r="L229" s="9">
        <f t="shared" si="45"/>
        <v>7.0662182858713951E-3</v>
      </c>
      <c r="M229" s="9">
        <f t="shared" si="38"/>
        <v>0</v>
      </c>
      <c r="N229" s="9">
        <f t="shared" si="39"/>
        <v>-2.4350113479276739E-4</v>
      </c>
      <c r="O229" s="9">
        <f t="shared" si="40"/>
        <v>0</v>
      </c>
      <c r="P229" s="9">
        <f t="shared" si="41"/>
        <v>0</v>
      </c>
      <c r="Q229" s="9">
        <f t="shared" si="42"/>
        <v>-6.7446904977427344E-3</v>
      </c>
      <c r="R229" s="9">
        <f t="shared" si="43"/>
        <v>0</v>
      </c>
      <c r="S229" s="9">
        <f t="shared" si="44"/>
        <v>6.7446904977427344E-3</v>
      </c>
      <c r="T229" s="10">
        <f t="shared" si="47"/>
        <v>0.72743363594642285</v>
      </c>
      <c r="U229" s="10">
        <f t="shared" si="47"/>
        <v>0.11322190879464189</v>
      </c>
      <c r="V229" s="10">
        <f t="shared" si="47"/>
        <v>-0.36951687323960625</v>
      </c>
      <c r="W229" s="10">
        <f t="shared" si="47"/>
        <v>0.716865266412956</v>
      </c>
      <c r="X229" s="10">
        <f t="shared" si="47"/>
        <v>0.78932006644882491</v>
      </c>
      <c r="Y229" s="10">
        <f t="shared" si="47"/>
        <v>-8.0081881094821838E-2</v>
      </c>
      <c r="Z229" s="10">
        <f t="shared" si="47"/>
        <v>-0.78932006644882491</v>
      </c>
      <c r="AA229" s="10">
        <f t="shared" si="47"/>
        <v>8.0081881094821838E-2</v>
      </c>
      <c r="AB229" s="7">
        <f t="shared" si="46"/>
        <v>1.1880039379144125</v>
      </c>
      <c r="AC229" s="7">
        <v>2.292231150394064</v>
      </c>
    </row>
    <row r="230" spans="1:29" x14ac:dyDescent="0.25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28">
        <v>-1</v>
      </c>
      <c r="I230" s="28">
        <v>-1</v>
      </c>
      <c r="J230" s="28">
        <v>-1</v>
      </c>
      <c r="K230" s="28">
        <v>-1</v>
      </c>
      <c r="L230" s="9">
        <f t="shared" si="45"/>
        <v>0</v>
      </c>
      <c r="M230" s="9">
        <f t="shared" si="38"/>
        <v>-1.8436080966524489E-2</v>
      </c>
      <c r="N230" s="9">
        <f t="shared" si="39"/>
        <v>0</v>
      </c>
      <c r="O230" s="9">
        <f t="shared" si="40"/>
        <v>-1.13725154964901E-2</v>
      </c>
      <c r="P230" s="9">
        <f t="shared" si="41"/>
        <v>0</v>
      </c>
      <c r="Q230" s="9">
        <f t="shared" si="42"/>
        <v>-9.1038204296556291E-3</v>
      </c>
      <c r="R230" s="9">
        <f t="shared" si="43"/>
        <v>0</v>
      </c>
      <c r="S230" s="9">
        <f t="shared" si="44"/>
        <v>9.1038204296556291E-3</v>
      </c>
      <c r="T230" s="10">
        <f t="shared" si="47"/>
        <v>0.72743363594642285</v>
      </c>
      <c r="U230" s="10">
        <f t="shared" si="47"/>
        <v>9.4785827828117397E-2</v>
      </c>
      <c r="V230" s="10">
        <f t="shared" si="47"/>
        <v>-0.36951687323960625</v>
      </c>
      <c r="W230" s="10">
        <f t="shared" si="47"/>
        <v>0.7054927509164659</v>
      </c>
      <c r="X230" s="10">
        <f t="shared" si="47"/>
        <v>0.78932006644882491</v>
      </c>
      <c r="Y230" s="10">
        <f t="shared" si="47"/>
        <v>-8.9185701524477468E-2</v>
      </c>
      <c r="Z230" s="10">
        <f t="shared" si="47"/>
        <v>-0.78932006644882491</v>
      </c>
      <c r="AA230" s="10">
        <f t="shared" si="47"/>
        <v>8.9185701524477468E-2</v>
      </c>
      <c r="AB230" s="7">
        <f t="shared" si="46"/>
        <v>1.1581953414513979</v>
      </c>
      <c r="AC230" s="7">
        <v>2.3218630100492912</v>
      </c>
    </row>
    <row r="231" spans="1:29" x14ac:dyDescent="0.25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28">
        <v>1</v>
      </c>
      <c r="I231" s="28">
        <v>1</v>
      </c>
      <c r="J231" s="28">
        <v>1</v>
      </c>
      <c r="K231" s="28">
        <v>1</v>
      </c>
      <c r="L231" s="9">
        <f t="shared" si="45"/>
        <v>-1.975489700036304E-2</v>
      </c>
      <c r="M231" s="9">
        <f t="shared" si="38"/>
        <v>0</v>
      </c>
      <c r="N231" s="9">
        <f t="shared" si="39"/>
        <v>5.0026237131217788E-2</v>
      </c>
      <c r="O231" s="9">
        <f t="shared" si="40"/>
        <v>0</v>
      </c>
      <c r="P231" s="9">
        <f t="shared" si="41"/>
        <v>-1.4286043815575631E-3</v>
      </c>
      <c r="Q231" s="9">
        <f t="shared" si="42"/>
        <v>0</v>
      </c>
      <c r="R231" s="9">
        <f t="shared" si="43"/>
        <v>1.4286043815575631E-3</v>
      </c>
      <c r="S231" s="9">
        <f t="shared" si="44"/>
        <v>0</v>
      </c>
      <c r="T231" s="10">
        <f t="shared" si="47"/>
        <v>0.70767873894605982</v>
      </c>
      <c r="U231" s="10">
        <f t="shared" si="47"/>
        <v>9.4785827828117397E-2</v>
      </c>
      <c r="V231" s="10">
        <f t="shared" si="47"/>
        <v>-0.31949063610838846</v>
      </c>
      <c r="W231" s="10">
        <f t="shared" si="47"/>
        <v>0.7054927509164659</v>
      </c>
      <c r="X231" s="10">
        <f t="shared" si="47"/>
        <v>0.78789146206726735</v>
      </c>
      <c r="Y231" s="10">
        <f t="shared" si="47"/>
        <v>-8.9185701524477468E-2</v>
      </c>
      <c r="Z231" s="10">
        <f t="shared" si="47"/>
        <v>-0.78789146206726735</v>
      </c>
      <c r="AA231" s="10">
        <f t="shared" si="47"/>
        <v>8.9185701524477468E-2</v>
      </c>
      <c r="AB231" s="7">
        <f t="shared" si="46"/>
        <v>1.1884666815822527</v>
      </c>
      <c r="AC231" s="7">
        <v>2.2748400124431329</v>
      </c>
    </row>
    <row r="232" spans="1:29" x14ac:dyDescent="0.25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28">
        <v>-1</v>
      </c>
      <c r="I232" s="28">
        <v>-1</v>
      </c>
      <c r="J232" s="28">
        <v>-1</v>
      </c>
      <c r="K232" s="28">
        <v>-1</v>
      </c>
      <c r="L232" s="9">
        <f t="shared" si="45"/>
        <v>0</v>
      </c>
      <c r="M232" s="9">
        <f t="shared" si="38"/>
        <v>-1.2474433735060851E-2</v>
      </c>
      <c r="N232" s="9">
        <f t="shared" si="39"/>
        <v>0</v>
      </c>
      <c r="O232" s="9">
        <f t="shared" si="40"/>
        <v>3.5622372828651223E-2</v>
      </c>
      <c r="P232" s="9">
        <f t="shared" si="41"/>
        <v>0</v>
      </c>
      <c r="Q232" s="9">
        <f t="shared" si="42"/>
        <v>-2.219491727057743E-2</v>
      </c>
      <c r="R232" s="9">
        <f t="shared" si="43"/>
        <v>0</v>
      </c>
      <c r="S232" s="9">
        <f t="shared" si="44"/>
        <v>2.219491727057743E-2</v>
      </c>
      <c r="T232" s="10">
        <f t="shared" si="47"/>
        <v>0.70767873894605982</v>
      </c>
      <c r="U232" s="10">
        <f t="shared" si="47"/>
        <v>8.2311394093056545E-2</v>
      </c>
      <c r="V232" s="10">
        <f t="shared" si="47"/>
        <v>-0.31949063610838846</v>
      </c>
      <c r="W232" s="10">
        <f t="shared" si="47"/>
        <v>0.74111512374511712</v>
      </c>
      <c r="X232" s="10">
        <f t="shared" si="47"/>
        <v>0.78789146206726735</v>
      </c>
      <c r="Y232" s="10">
        <f t="shared" si="47"/>
        <v>-0.1113806187950549</v>
      </c>
      <c r="Z232" s="10">
        <f t="shared" si="47"/>
        <v>-0.78789146206726735</v>
      </c>
      <c r="AA232" s="10">
        <f t="shared" si="47"/>
        <v>0.1113806187950549</v>
      </c>
      <c r="AB232" s="7">
        <f t="shared" si="46"/>
        <v>1.2116146206758431</v>
      </c>
      <c r="AC232" s="7">
        <v>2.343229678444017</v>
      </c>
    </row>
    <row r="233" spans="1:29" x14ac:dyDescent="0.25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28">
        <v>-1</v>
      </c>
      <c r="I233" s="28">
        <v>1</v>
      </c>
      <c r="J233" s="28">
        <v>-1</v>
      </c>
      <c r="K233" s="28">
        <v>1</v>
      </c>
      <c r="L233" s="9">
        <f t="shared" si="45"/>
        <v>0</v>
      </c>
      <c r="M233" s="9">
        <f t="shared" si="38"/>
        <v>2.8313591639895112E-2</v>
      </c>
      <c r="N233" s="9">
        <f t="shared" si="39"/>
        <v>0</v>
      </c>
      <c r="O233" s="9">
        <f t="shared" si="40"/>
        <v>2.2300921522953709E-2</v>
      </c>
      <c r="P233" s="9">
        <f t="shared" si="41"/>
        <v>2.0050690844943819E-2</v>
      </c>
      <c r="Q233" s="9">
        <f t="shared" si="42"/>
        <v>0</v>
      </c>
      <c r="R233" s="9">
        <f t="shared" si="43"/>
        <v>-2.0050690844943819E-2</v>
      </c>
      <c r="S233" s="9">
        <f t="shared" si="44"/>
        <v>0</v>
      </c>
      <c r="T233" s="10">
        <f t="shared" si="47"/>
        <v>0.70767873894605982</v>
      </c>
      <c r="U233" s="10">
        <f t="shared" si="47"/>
        <v>0.11062498573295165</v>
      </c>
      <c r="V233" s="10">
        <f t="shared" si="47"/>
        <v>-0.31949063610838846</v>
      </c>
      <c r="W233" s="10">
        <f t="shared" si="47"/>
        <v>0.76341604526807083</v>
      </c>
      <c r="X233" s="10">
        <f t="shared" si="47"/>
        <v>0.80794215291221116</v>
      </c>
      <c r="Y233" s="10">
        <f t="shared" si="47"/>
        <v>-0.1113806187950549</v>
      </c>
      <c r="Z233" s="10">
        <f t="shared" si="47"/>
        <v>-0.80794215291221116</v>
      </c>
      <c r="AA233" s="10">
        <f t="shared" si="47"/>
        <v>0.1113806187950549</v>
      </c>
      <c r="AB233" s="7">
        <f t="shared" si="46"/>
        <v>1.262229133838692</v>
      </c>
      <c r="AC233" s="7">
        <v>2.3358199743225319</v>
      </c>
    </row>
    <row r="234" spans="1:29" x14ac:dyDescent="0.25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28">
        <v>-1</v>
      </c>
      <c r="I234" s="28">
        <v>1</v>
      </c>
      <c r="J234" s="28">
        <v>-1</v>
      </c>
      <c r="K234" s="28">
        <v>1</v>
      </c>
      <c r="L234" s="9">
        <f t="shared" si="45"/>
        <v>0</v>
      </c>
      <c r="M234" s="9">
        <f t="shared" si="38"/>
        <v>-2.5550259004561319E-2</v>
      </c>
      <c r="N234" s="9">
        <f t="shared" si="39"/>
        <v>0</v>
      </c>
      <c r="O234" s="9">
        <f t="shared" si="40"/>
        <v>-6.1673684027755424E-3</v>
      </c>
      <c r="P234" s="9">
        <f t="shared" si="41"/>
        <v>2.8035968740761859E-2</v>
      </c>
      <c r="Q234" s="9">
        <f t="shared" si="42"/>
        <v>0</v>
      </c>
      <c r="R234" s="9">
        <f t="shared" si="43"/>
        <v>-2.8035968740761859E-2</v>
      </c>
      <c r="S234" s="9">
        <f t="shared" si="44"/>
        <v>0</v>
      </c>
      <c r="T234" s="10">
        <f t="shared" si="47"/>
        <v>0.70767873894605982</v>
      </c>
      <c r="U234" s="10">
        <f t="shared" si="47"/>
        <v>8.5074726728390337E-2</v>
      </c>
      <c r="V234" s="10">
        <f t="shared" si="47"/>
        <v>-0.31949063610838846</v>
      </c>
      <c r="W234" s="10">
        <f t="shared" si="47"/>
        <v>0.75724867686529529</v>
      </c>
      <c r="X234" s="10">
        <f t="shared" si="47"/>
        <v>0.83597812165297303</v>
      </c>
      <c r="Y234" s="10">
        <f t="shared" si="47"/>
        <v>-0.1113806187950549</v>
      </c>
      <c r="Z234" s="10">
        <f t="shared" si="47"/>
        <v>-0.83597812165297303</v>
      </c>
      <c r="AA234" s="10">
        <f t="shared" si="47"/>
        <v>0.1113806187950549</v>
      </c>
      <c r="AB234" s="7">
        <f t="shared" si="46"/>
        <v>1.230511506431355</v>
      </c>
      <c r="AC234" s="7">
        <v>2.3822668812281922</v>
      </c>
    </row>
    <row r="235" spans="1:29" x14ac:dyDescent="0.25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28">
        <v>1</v>
      </c>
      <c r="I235" s="28">
        <v>1</v>
      </c>
      <c r="J235" s="28">
        <v>1</v>
      </c>
      <c r="K235" s="28">
        <v>1</v>
      </c>
      <c r="L235" s="9">
        <f t="shared" si="45"/>
        <v>2.3190662748362789E-2</v>
      </c>
      <c r="M235" s="9">
        <f t="shared" si="38"/>
        <v>0</v>
      </c>
      <c r="N235" s="9">
        <f t="shared" si="39"/>
        <v>1.662357454088603E-4</v>
      </c>
      <c r="O235" s="9">
        <f t="shared" si="40"/>
        <v>0</v>
      </c>
      <c r="P235" s="9">
        <f t="shared" si="41"/>
        <v>-1.8640057655344929E-2</v>
      </c>
      <c r="Q235" s="9">
        <f t="shared" si="42"/>
        <v>0</v>
      </c>
      <c r="R235" s="9">
        <f t="shared" si="43"/>
        <v>1.8640057655344929E-2</v>
      </c>
      <c r="S235" s="9">
        <f t="shared" si="44"/>
        <v>0</v>
      </c>
      <c r="T235" s="10">
        <f t="shared" si="47"/>
        <v>0.7308694016944226</v>
      </c>
      <c r="U235" s="10">
        <f t="shared" si="47"/>
        <v>8.5074726728390337E-2</v>
      </c>
      <c r="V235" s="10">
        <f t="shared" si="47"/>
        <v>-0.3193244003629796</v>
      </c>
      <c r="W235" s="10">
        <f t="shared" si="47"/>
        <v>0.75724867686529529</v>
      </c>
      <c r="X235" s="10">
        <f t="shared" si="47"/>
        <v>0.81733806399762809</v>
      </c>
      <c r="Y235" s="10">
        <f t="shared" si="47"/>
        <v>-0.1113806187950549</v>
      </c>
      <c r="Z235" s="10">
        <f t="shared" si="47"/>
        <v>-0.81733806399762809</v>
      </c>
      <c r="AA235" s="10">
        <f t="shared" si="47"/>
        <v>0.1113806187950549</v>
      </c>
      <c r="AB235" s="7">
        <f t="shared" si="46"/>
        <v>1.2538684049251265</v>
      </c>
      <c r="AC235" s="7">
        <v>2.3294702444948969</v>
      </c>
    </row>
    <row r="236" spans="1:29" x14ac:dyDescent="0.25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28">
        <v>1</v>
      </c>
      <c r="I236" s="28">
        <v>-1</v>
      </c>
      <c r="J236" s="28">
        <v>1</v>
      </c>
      <c r="K236" s="28">
        <v>-1</v>
      </c>
      <c r="L236" s="9">
        <f t="shared" si="45"/>
        <v>1.6815974799750721E-2</v>
      </c>
      <c r="M236" s="9">
        <f t="shared" si="38"/>
        <v>0</v>
      </c>
      <c r="N236" s="9">
        <f t="shared" si="39"/>
        <v>-9.5265295821835849E-3</v>
      </c>
      <c r="O236" s="9">
        <f t="shared" si="40"/>
        <v>0</v>
      </c>
      <c r="P236" s="9">
        <f t="shared" si="41"/>
        <v>0</v>
      </c>
      <c r="Q236" s="9">
        <f t="shared" si="42"/>
        <v>5.5409923942915107E-3</v>
      </c>
      <c r="R236" s="9">
        <f t="shared" si="43"/>
        <v>0</v>
      </c>
      <c r="S236" s="9">
        <f t="shared" si="44"/>
        <v>-5.5409923942915107E-3</v>
      </c>
      <c r="T236" s="10">
        <f t="shared" si="47"/>
        <v>0.74768537649417333</v>
      </c>
      <c r="U236" s="10">
        <f t="shared" si="47"/>
        <v>8.5074726728390337E-2</v>
      </c>
      <c r="V236" s="10">
        <f t="shared" si="47"/>
        <v>-0.32885092994516318</v>
      </c>
      <c r="W236" s="10">
        <f t="shared" si="47"/>
        <v>0.75724867686529529</v>
      </c>
      <c r="X236" s="10">
        <f t="shared" si="47"/>
        <v>0.81733806399762809</v>
      </c>
      <c r="Y236" s="10">
        <f t="shared" si="47"/>
        <v>-0.10583962640076339</v>
      </c>
      <c r="Z236" s="10">
        <f t="shared" si="47"/>
        <v>-0.81733806399762809</v>
      </c>
      <c r="AA236" s="10">
        <f t="shared" si="47"/>
        <v>0.10583962640076339</v>
      </c>
      <c r="AB236" s="7">
        <f t="shared" si="46"/>
        <v>1.2611578501426937</v>
      </c>
      <c r="AC236" s="7">
        <v>2.3013352057379932</v>
      </c>
    </row>
    <row r="237" spans="1:29" x14ac:dyDescent="0.25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28">
        <v>-1</v>
      </c>
      <c r="I237" s="28">
        <v>-1</v>
      </c>
      <c r="J237" s="28">
        <v>-1</v>
      </c>
      <c r="K237" s="28">
        <v>-1</v>
      </c>
      <c r="L237" s="9">
        <f t="shared" si="45"/>
        <v>0</v>
      </c>
      <c r="M237" s="9">
        <f t="shared" si="38"/>
        <v>-1.6698733505068671E-2</v>
      </c>
      <c r="N237" s="9">
        <f t="shared" si="39"/>
        <v>0</v>
      </c>
      <c r="O237" s="9">
        <f t="shared" si="40"/>
        <v>1.3729640052377531E-2</v>
      </c>
      <c r="P237" s="9">
        <f t="shared" si="41"/>
        <v>0</v>
      </c>
      <c r="Q237" s="9">
        <f t="shared" si="42"/>
        <v>3.9416337561247183E-2</v>
      </c>
      <c r="R237" s="9">
        <f t="shared" si="43"/>
        <v>0</v>
      </c>
      <c r="S237" s="9">
        <f t="shared" si="44"/>
        <v>-3.9416337561247183E-2</v>
      </c>
      <c r="T237" s="10">
        <f t="shared" si="47"/>
        <v>0.74768537649417333</v>
      </c>
      <c r="U237" s="10">
        <f t="shared" si="47"/>
        <v>6.8375993223321663E-2</v>
      </c>
      <c r="V237" s="10">
        <f t="shared" si="47"/>
        <v>-0.32885092994516318</v>
      </c>
      <c r="W237" s="10">
        <f t="shared" si="47"/>
        <v>0.77097831691767282</v>
      </c>
      <c r="X237" s="10">
        <f t="shared" si="47"/>
        <v>0.81733806399762809</v>
      </c>
      <c r="Y237" s="10">
        <f t="shared" si="47"/>
        <v>-6.6423288839516204E-2</v>
      </c>
      <c r="Z237" s="10">
        <f t="shared" si="47"/>
        <v>-0.81733806399762809</v>
      </c>
      <c r="AA237" s="10">
        <f t="shared" si="47"/>
        <v>6.6423288839516204E-2</v>
      </c>
      <c r="AB237" s="7">
        <f t="shared" si="46"/>
        <v>1.2581887566900025</v>
      </c>
      <c r="AC237" s="7">
        <v>2.3406435142524669</v>
      </c>
    </row>
    <row r="238" spans="1:29" x14ac:dyDescent="0.25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28">
        <v>-1</v>
      </c>
      <c r="I238" s="28">
        <v>1</v>
      </c>
      <c r="J238" s="28">
        <v>-1</v>
      </c>
      <c r="K238" s="28">
        <v>1</v>
      </c>
      <c r="L238" s="9">
        <f t="shared" si="45"/>
        <v>0</v>
      </c>
      <c r="M238" s="9">
        <f t="shared" si="38"/>
        <v>3.2047412684026111E-2</v>
      </c>
      <c r="N238" s="9">
        <f t="shared" si="39"/>
        <v>0</v>
      </c>
      <c r="O238" s="9">
        <f t="shared" si="40"/>
        <v>-4.2417777482451902E-3</v>
      </c>
      <c r="P238" s="9">
        <f t="shared" si="41"/>
        <v>-6.1910252345177552E-3</v>
      </c>
      <c r="Q238" s="9">
        <f t="shared" si="42"/>
        <v>0</v>
      </c>
      <c r="R238" s="9">
        <f t="shared" si="43"/>
        <v>6.1910252345177552E-3</v>
      </c>
      <c r="S238" s="9">
        <f t="shared" si="44"/>
        <v>0</v>
      </c>
      <c r="T238" s="10">
        <f t="shared" si="47"/>
        <v>0.74768537649417333</v>
      </c>
      <c r="U238" s="10">
        <f t="shared" si="47"/>
        <v>0.10042340590734777</v>
      </c>
      <c r="V238" s="10">
        <f t="shared" si="47"/>
        <v>-0.32885092994516318</v>
      </c>
      <c r="W238" s="10">
        <f t="shared" si="47"/>
        <v>0.76673653916942763</v>
      </c>
      <c r="X238" s="10">
        <f t="shared" si="47"/>
        <v>0.81114703876311034</v>
      </c>
      <c r="Y238" s="10">
        <f t="shared" si="47"/>
        <v>-6.6423288839516204E-2</v>
      </c>
      <c r="Z238" s="10">
        <f t="shared" si="47"/>
        <v>-0.81114703876311034</v>
      </c>
      <c r="AA238" s="10">
        <f t="shared" si="47"/>
        <v>6.6423288839516204E-2</v>
      </c>
      <c r="AB238" s="7">
        <f t="shared" si="46"/>
        <v>1.2859943916257834</v>
      </c>
      <c r="AC238" s="7">
        <v>2.2513549465627349</v>
      </c>
    </row>
    <row r="239" spans="1:29" x14ac:dyDescent="0.25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28">
        <v>1</v>
      </c>
      <c r="I239" s="28">
        <v>1</v>
      </c>
      <c r="J239" s="28">
        <v>1</v>
      </c>
      <c r="K239" s="28">
        <v>1</v>
      </c>
      <c r="L239" s="9">
        <f t="shared" si="45"/>
        <v>5.8830657322931801E-2</v>
      </c>
      <c r="M239" s="9">
        <f t="shared" si="38"/>
        <v>0</v>
      </c>
      <c r="N239" s="9">
        <f t="shared" si="39"/>
        <v>1.6014090677818341E-2</v>
      </c>
      <c r="O239" s="9">
        <f t="shared" si="40"/>
        <v>0</v>
      </c>
      <c r="P239" s="9">
        <f t="shared" si="41"/>
        <v>-4.5558759380792679E-4</v>
      </c>
      <c r="Q239" s="9">
        <f t="shared" si="42"/>
        <v>0</v>
      </c>
      <c r="R239" s="9">
        <f t="shared" si="43"/>
        <v>4.5558759380792679E-4</v>
      </c>
      <c r="S239" s="9">
        <f t="shared" si="44"/>
        <v>0</v>
      </c>
      <c r="T239" s="10">
        <f t="shared" si="47"/>
        <v>0.80651603381710513</v>
      </c>
      <c r="U239" s="10">
        <f t="shared" si="47"/>
        <v>0.10042340590734777</v>
      </c>
      <c r="V239" s="10">
        <f t="shared" si="47"/>
        <v>-0.31283683926734485</v>
      </c>
      <c r="W239" s="10">
        <f t="shared" ref="W239:AA302" si="48">O239+W238</f>
        <v>0.76673653916942763</v>
      </c>
      <c r="X239" s="10">
        <f t="shared" si="48"/>
        <v>0.81069145116930241</v>
      </c>
      <c r="Y239" s="10">
        <f t="shared" si="48"/>
        <v>-6.6423288839516204E-2</v>
      </c>
      <c r="Z239" s="10">
        <f t="shared" si="48"/>
        <v>-0.81069145116930241</v>
      </c>
      <c r="AA239" s="10">
        <f t="shared" si="48"/>
        <v>6.6423288839516204E-2</v>
      </c>
      <c r="AB239" s="7">
        <f t="shared" si="46"/>
        <v>1.3608391396265336</v>
      </c>
      <c r="AC239" s="7">
        <v>2.2575144409190981</v>
      </c>
    </row>
    <row r="240" spans="1:29" x14ac:dyDescent="0.25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28">
        <v>1</v>
      </c>
      <c r="I240" s="28">
        <v>-1</v>
      </c>
      <c r="J240" s="28">
        <v>1</v>
      </c>
      <c r="K240" s="28">
        <v>-1</v>
      </c>
      <c r="L240" s="9">
        <f t="shared" si="45"/>
        <v>8.4049131891030804E-3</v>
      </c>
      <c r="M240" s="9">
        <f t="shared" si="38"/>
        <v>0</v>
      </c>
      <c r="N240" s="9">
        <f t="shared" si="39"/>
        <v>-1.4893244713936051E-2</v>
      </c>
      <c r="O240" s="9">
        <f t="shared" si="40"/>
        <v>0</v>
      </c>
      <c r="P240" s="9">
        <f t="shared" si="41"/>
        <v>0</v>
      </c>
      <c r="Q240" s="9">
        <f t="shared" si="42"/>
        <v>-7.180403421903625E-3</v>
      </c>
      <c r="R240" s="9">
        <f t="shared" si="43"/>
        <v>0</v>
      </c>
      <c r="S240" s="9">
        <f t="shared" si="44"/>
        <v>7.180403421903625E-3</v>
      </c>
      <c r="T240" s="10">
        <f t="shared" ref="T240:V303" si="49">L240+T239</f>
        <v>0.81492094700620821</v>
      </c>
      <c r="U240" s="10">
        <f t="shared" si="49"/>
        <v>0.10042340590734777</v>
      </c>
      <c r="V240" s="10">
        <f t="shared" si="49"/>
        <v>-0.3277300839812809</v>
      </c>
      <c r="W240" s="10">
        <f t="shared" si="48"/>
        <v>0.76673653916942763</v>
      </c>
      <c r="X240" s="10">
        <f t="shared" si="48"/>
        <v>0.81069145116930241</v>
      </c>
      <c r="Y240" s="10">
        <f t="shared" si="48"/>
        <v>-7.3603692261419829E-2</v>
      </c>
      <c r="Z240" s="10">
        <f t="shared" si="48"/>
        <v>-0.81069145116930241</v>
      </c>
      <c r="AA240" s="10">
        <f t="shared" si="48"/>
        <v>7.3603692261419829E-2</v>
      </c>
      <c r="AB240" s="7">
        <f t="shared" si="46"/>
        <v>1.3543508081017006</v>
      </c>
      <c r="AC240" s="7">
        <v>2.1751443478941548</v>
      </c>
    </row>
    <row r="241" spans="1:29" x14ac:dyDescent="0.25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28">
        <v>-1</v>
      </c>
      <c r="I241" s="28">
        <v>-1</v>
      </c>
      <c r="J241" s="28">
        <v>-1</v>
      </c>
      <c r="K241" s="28">
        <v>-1</v>
      </c>
      <c r="L241" s="9">
        <f t="shared" si="45"/>
        <v>0</v>
      </c>
      <c r="M241" s="9">
        <f t="shared" si="38"/>
        <v>-4.2471497343544828E-2</v>
      </c>
      <c r="N241" s="9">
        <f t="shared" si="39"/>
        <v>0</v>
      </c>
      <c r="O241" s="9">
        <f t="shared" si="40"/>
        <v>-9.3929502476586269E-3</v>
      </c>
      <c r="P241" s="9">
        <f t="shared" si="41"/>
        <v>0</v>
      </c>
      <c r="Q241" s="9">
        <f t="shared" si="42"/>
        <v>-2.9997192599240829E-2</v>
      </c>
      <c r="R241" s="9">
        <f t="shared" si="43"/>
        <v>0</v>
      </c>
      <c r="S241" s="9">
        <f t="shared" si="44"/>
        <v>2.9997192599240829E-2</v>
      </c>
      <c r="T241" s="10">
        <f t="shared" si="49"/>
        <v>0.81492094700620821</v>
      </c>
      <c r="U241" s="10">
        <f t="shared" si="49"/>
        <v>5.7951908563802945E-2</v>
      </c>
      <c r="V241" s="10">
        <f t="shared" si="49"/>
        <v>-0.3277300839812809</v>
      </c>
      <c r="W241" s="10">
        <f t="shared" si="48"/>
        <v>0.75734358892176901</v>
      </c>
      <c r="X241" s="10">
        <f t="shared" si="48"/>
        <v>0.81069145116930241</v>
      </c>
      <c r="Y241" s="10">
        <f t="shared" si="48"/>
        <v>-0.10360088486066066</v>
      </c>
      <c r="Z241" s="10">
        <f t="shared" si="48"/>
        <v>-0.81069145116930241</v>
      </c>
      <c r="AA241" s="10">
        <f t="shared" si="48"/>
        <v>0.10360088486066066</v>
      </c>
      <c r="AB241" s="7">
        <f t="shared" si="46"/>
        <v>1.302486360510497</v>
      </c>
      <c r="AC241" s="7">
        <v>2.2648059588308</v>
      </c>
    </row>
    <row r="242" spans="1:29" x14ac:dyDescent="0.25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28">
        <v>-1</v>
      </c>
      <c r="I242" s="28">
        <v>1</v>
      </c>
      <c r="J242" s="28">
        <v>-1</v>
      </c>
      <c r="K242" s="28">
        <v>1</v>
      </c>
      <c r="L242" s="9">
        <f t="shared" si="45"/>
        <v>0</v>
      </c>
      <c r="M242" s="9">
        <f t="shared" si="38"/>
        <v>6.4971228771752432E-2</v>
      </c>
      <c r="N242" s="9">
        <f t="shared" si="39"/>
        <v>0</v>
      </c>
      <c r="O242" s="9">
        <f t="shared" si="40"/>
        <v>-1.0059041115307419E-2</v>
      </c>
      <c r="P242" s="9">
        <f t="shared" si="41"/>
        <v>3.735157250942978E-3</v>
      </c>
      <c r="Q242" s="9">
        <f t="shared" si="42"/>
        <v>0</v>
      </c>
      <c r="R242" s="9">
        <f t="shared" si="43"/>
        <v>-3.735157250942978E-3</v>
      </c>
      <c r="S242" s="9">
        <f t="shared" si="44"/>
        <v>0</v>
      </c>
      <c r="T242" s="10">
        <f t="shared" si="49"/>
        <v>0.81492094700620821</v>
      </c>
      <c r="U242" s="10">
        <f t="shared" si="49"/>
        <v>0.12292313733555538</v>
      </c>
      <c r="V242" s="10">
        <f t="shared" si="49"/>
        <v>-0.3277300839812809</v>
      </c>
      <c r="W242" s="10">
        <f t="shared" si="48"/>
        <v>0.74728454780646159</v>
      </c>
      <c r="X242" s="10">
        <f t="shared" si="48"/>
        <v>0.81442660842024539</v>
      </c>
      <c r="Y242" s="10">
        <f t="shared" si="48"/>
        <v>-0.10360088486066066</v>
      </c>
      <c r="Z242" s="10">
        <f t="shared" si="48"/>
        <v>-0.81442660842024539</v>
      </c>
      <c r="AA242" s="10">
        <f t="shared" si="48"/>
        <v>0.10360088486066066</v>
      </c>
      <c r="AB242" s="7">
        <f t="shared" si="46"/>
        <v>1.3573985481669419</v>
      </c>
      <c r="AC242" s="7">
        <v>2.2248208031284382</v>
      </c>
    </row>
    <row r="243" spans="1:29" x14ac:dyDescent="0.25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28">
        <v>-1</v>
      </c>
      <c r="I243" s="28">
        <v>1</v>
      </c>
      <c r="J243" s="28">
        <v>-1</v>
      </c>
      <c r="K243" s="28">
        <v>1</v>
      </c>
      <c r="L243" s="9">
        <f t="shared" si="45"/>
        <v>0</v>
      </c>
      <c r="M243" s="9">
        <f t="shared" si="38"/>
        <v>4.5876222008975683E-2</v>
      </c>
      <c r="N243" s="9">
        <f t="shared" si="39"/>
        <v>0</v>
      </c>
      <c r="O243" s="9">
        <f t="shared" si="40"/>
        <v>-2.5961489164245118E-2</v>
      </c>
      <c r="P243" s="9">
        <f t="shared" si="41"/>
        <v>1.332145561269671E-2</v>
      </c>
      <c r="Q243" s="9">
        <f t="shared" si="42"/>
        <v>0</v>
      </c>
      <c r="R243" s="9">
        <f t="shared" si="43"/>
        <v>-1.332145561269671E-2</v>
      </c>
      <c r="S243" s="9">
        <f t="shared" si="44"/>
        <v>0</v>
      </c>
      <c r="T243" s="10">
        <f t="shared" si="49"/>
        <v>0.81492094700620821</v>
      </c>
      <c r="U243" s="10">
        <f t="shared" si="49"/>
        <v>0.16879935934453105</v>
      </c>
      <c r="V243" s="10">
        <f t="shared" si="49"/>
        <v>-0.3277300839812809</v>
      </c>
      <c r="W243" s="10">
        <f t="shared" si="48"/>
        <v>0.72132305864221646</v>
      </c>
      <c r="X243" s="10">
        <f t="shared" si="48"/>
        <v>0.8277480640329421</v>
      </c>
      <c r="Y243" s="10">
        <f t="shared" si="48"/>
        <v>-0.10360088486066066</v>
      </c>
      <c r="Z243" s="10">
        <f t="shared" si="48"/>
        <v>-0.8277480640329421</v>
      </c>
      <c r="AA243" s="10">
        <f t="shared" si="48"/>
        <v>0.10360088486066066</v>
      </c>
      <c r="AB243" s="7">
        <f t="shared" si="46"/>
        <v>1.3773132810116726</v>
      </c>
      <c r="AC243" s="7">
        <v>2.130332819430893</v>
      </c>
    </row>
    <row r="244" spans="1:29" x14ac:dyDescent="0.25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28">
        <v>-1</v>
      </c>
      <c r="I244" s="28">
        <v>1</v>
      </c>
      <c r="J244" s="28">
        <v>-1</v>
      </c>
      <c r="K244" s="28">
        <v>1</v>
      </c>
      <c r="L244" s="9">
        <f t="shared" si="45"/>
        <v>0</v>
      </c>
      <c r="M244" s="9">
        <f t="shared" si="38"/>
        <v>-3.1898406646399091E-2</v>
      </c>
      <c r="N244" s="9">
        <f t="shared" si="39"/>
        <v>0</v>
      </c>
      <c r="O244" s="9">
        <f t="shared" si="40"/>
        <v>3.1724303537678411E-2</v>
      </c>
      <c r="P244" s="9">
        <f t="shared" si="41"/>
        <v>1.6849724382092202E-2</v>
      </c>
      <c r="Q244" s="9">
        <f t="shared" si="42"/>
        <v>0</v>
      </c>
      <c r="R244" s="9">
        <f t="shared" si="43"/>
        <v>-1.6849724382092202E-2</v>
      </c>
      <c r="S244" s="9">
        <f t="shared" si="44"/>
        <v>0</v>
      </c>
      <c r="T244" s="10">
        <f t="shared" si="49"/>
        <v>0.81492094700620821</v>
      </c>
      <c r="U244" s="10">
        <f t="shared" si="49"/>
        <v>0.13690095269813196</v>
      </c>
      <c r="V244" s="10">
        <f t="shared" si="49"/>
        <v>-0.3277300839812809</v>
      </c>
      <c r="W244" s="10">
        <f t="shared" si="48"/>
        <v>0.75304736217989487</v>
      </c>
      <c r="X244" s="10">
        <f t="shared" si="48"/>
        <v>0.8445977884150343</v>
      </c>
      <c r="Y244" s="10">
        <f t="shared" si="48"/>
        <v>-0.10360088486066066</v>
      </c>
      <c r="Z244" s="10">
        <f t="shared" si="48"/>
        <v>-0.8445977884150343</v>
      </c>
      <c r="AA244" s="10">
        <f t="shared" si="48"/>
        <v>0.10360088486066066</v>
      </c>
      <c r="AB244" s="7">
        <f t="shared" si="46"/>
        <v>1.377139177902952</v>
      </c>
      <c r="AC244" s="7">
        <v>2.2116928364247199</v>
      </c>
    </row>
    <row r="245" spans="1:29" x14ac:dyDescent="0.25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28">
        <v>1</v>
      </c>
      <c r="I245" s="28">
        <v>1</v>
      </c>
      <c r="J245" s="28">
        <v>1</v>
      </c>
      <c r="K245" s="28">
        <v>1</v>
      </c>
      <c r="L245" s="9">
        <f t="shared" si="45"/>
        <v>3.3360830493271321E-2</v>
      </c>
      <c r="M245" s="9">
        <f t="shared" si="38"/>
        <v>0</v>
      </c>
      <c r="N245" s="9">
        <f t="shared" si="39"/>
        <v>-2.6690130762190619E-2</v>
      </c>
      <c r="O245" s="9">
        <f t="shared" si="40"/>
        <v>0</v>
      </c>
      <c r="P245" s="9">
        <f t="shared" si="41"/>
        <v>-1.5810211799955679E-2</v>
      </c>
      <c r="Q245" s="9">
        <f t="shared" si="42"/>
        <v>0</v>
      </c>
      <c r="R245" s="9">
        <f t="shared" si="43"/>
        <v>1.5810211799955679E-2</v>
      </c>
      <c r="S245" s="9">
        <f t="shared" si="44"/>
        <v>0</v>
      </c>
      <c r="T245" s="10">
        <f t="shared" si="49"/>
        <v>0.84828177749947953</v>
      </c>
      <c r="U245" s="10">
        <f t="shared" si="49"/>
        <v>0.13690095269813196</v>
      </c>
      <c r="V245" s="10">
        <f t="shared" si="49"/>
        <v>-0.35442021474347152</v>
      </c>
      <c r="W245" s="10">
        <f t="shared" si="48"/>
        <v>0.75304736217989487</v>
      </c>
      <c r="X245" s="10">
        <f t="shared" si="48"/>
        <v>0.82878757661507862</v>
      </c>
      <c r="Y245" s="10">
        <f t="shared" si="48"/>
        <v>-0.10360088486066066</v>
      </c>
      <c r="Z245" s="10">
        <f t="shared" si="48"/>
        <v>-0.82878757661507862</v>
      </c>
      <c r="AA245" s="10">
        <f t="shared" si="48"/>
        <v>0.10360088486066066</v>
      </c>
      <c r="AB245" s="7">
        <f t="shared" si="46"/>
        <v>1.3838098776340328</v>
      </c>
      <c r="AC245" s="7">
        <v>2.2689075080125618</v>
      </c>
    </row>
    <row r="246" spans="1:29" x14ac:dyDescent="0.25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28">
        <v>1</v>
      </c>
      <c r="I246" s="28">
        <v>-1</v>
      </c>
      <c r="J246" s="28">
        <v>1</v>
      </c>
      <c r="K246" s="28">
        <v>-1</v>
      </c>
      <c r="L246" s="9">
        <f t="shared" si="45"/>
        <v>-9.5189650497244926E-3</v>
      </c>
      <c r="M246" s="9">
        <f t="shared" si="38"/>
        <v>0</v>
      </c>
      <c r="N246" s="9">
        <f t="shared" si="39"/>
        <v>4.029111657519191E-2</v>
      </c>
      <c r="O246" s="9">
        <f t="shared" si="40"/>
        <v>0</v>
      </c>
      <c r="P246" s="9">
        <f t="shared" si="41"/>
        <v>0</v>
      </c>
      <c r="Q246" s="9">
        <f t="shared" si="42"/>
        <v>3.5994647823447079E-2</v>
      </c>
      <c r="R246" s="9">
        <f t="shared" si="43"/>
        <v>0</v>
      </c>
      <c r="S246" s="9">
        <f t="shared" si="44"/>
        <v>-3.5994647823447079E-2</v>
      </c>
      <c r="T246" s="10">
        <f t="shared" si="49"/>
        <v>0.83876281244975504</v>
      </c>
      <c r="U246" s="10">
        <f t="shared" si="49"/>
        <v>0.13690095269813196</v>
      </c>
      <c r="V246" s="10">
        <f t="shared" si="49"/>
        <v>-0.31412909816827961</v>
      </c>
      <c r="W246" s="10">
        <f t="shared" si="48"/>
        <v>0.75304736217989487</v>
      </c>
      <c r="X246" s="10">
        <f t="shared" si="48"/>
        <v>0.82878757661507862</v>
      </c>
      <c r="Y246" s="10">
        <f t="shared" si="48"/>
        <v>-6.7606237037213579E-2</v>
      </c>
      <c r="Z246" s="10">
        <f t="shared" si="48"/>
        <v>-0.82878757661507862</v>
      </c>
      <c r="AA246" s="10">
        <f t="shared" si="48"/>
        <v>6.7606237037213579E-2</v>
      </c>
      <c r="AB246" s="7">
        <f t="shared" si="46"/>
        <v>1.4145820291595004</v>
      </c>
      <c r="AC246" s="7">
        <v>2.210924455325149</v>
      </c>
    </row>
    <row r="247" spans="1:29" x14ac:dyDescent="0.25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28">
        <v>1</v>
      </c>
      <c r="I247" s="28">
        <v>-1</v>
      </c>
      <c r="J247" s="28">
        <v>1</v>
      </c>
      <c r="K247" s="28">
        <v>-1</v>
      </c>
      <c r="L247" s="9">
        <f t="shared" si="45"/>
        <v>1.5819258771188841E-2</v>
      </c>
      <c r="M247" s="9">
        <f t="shared" si="38"/>
        <v>0</v>
      </c>
      <c r="N247" s="9">
        <f t="shared" si="39"/>
        <v>4.1089881848044302E-4</v>
      </c>
      <c r="O247" s="9">
        <f t="shared" si="40"/>
        <v>0</v>
      </c>
      <c r="P247" s="9">
        <f t="shared" si="41"/>
        <v>0</v>
      </c>
      <c r="Q247" s="9">
        <f t="shared" si="42"/>
        <v>-1.4461935811890149E-2</v>
      </c>
      <c r="R247" s="9">
        <f t="shared" si="43"/>
        <v>0</v>
      </c>
      <c r="S247" s="9">
        <f t="shared" si="44"/>
        <v>1.4461935811890149E-2</v>
      </c>
      <c r="T247" s="10">
        <f t="shared" si="49"/>
        <v>0.85458207122094387</v>
      </c>
      <c r="U247" s="10">
        <f t="shared" si="49"/>
        <v>0.13690095269813196</v>
      </c>
      <c r="V247" s="10">
        <f t="shared" si="49"/>
        <v>-0.31371819934979916</v>
      </c>
      <c r="W247" s="10">
        <f t="shared" si="48"/>
        <v>0.75304736217989487</v>
      </c>
      <c r="X247" s="10">
        <f t="shared" si="48"/>
        <v>0.82878757661507862</v>
      </c>
      <c r="Y247" s="10">
        <f t="shared" si="48"/>
        <v>-8.2068172849103727E-2</v>
      </c>
      <c r="Z247" s="10">
        <f t="shared" si="48"/>
        <v>-0.82878757661507862</v>
      </c>
      <c r="AA247" s="10">
        <f t="shared" si="48"/>
        <v>8.2068172849103727E-2</v>
      </c>
      <c r="AB247" s="7">
        <f t="shared" si="46"/>
        <v>1.4308121867491697</v>
      </c>
      <c r="AC247" s="7">
        <v>2.2730414178856519</v>
      </c>
    </row>
    <row r="248" spans="1:29" x14ac:dyDescent="0.25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28">
        <v>-1</v>
      </c>
      <c r="I248" s="28">
        <v>-1</v>
      </c>
      <c r="J248" s="28">
        <v>-1</v>
      </c>
      <c r="K248" s="28">
        <v>-1</v>
      </c>
      <c r="L248" s="9">
        <f t="shared" si="45"/>
        <v>0</v>
      </c>
      <c r="M248" s="9">
        <f t="shared" si="38"/>
        <v>5.6532403693871913E-3</v>
      </c>
      <c r="N248" s="9">
        <f t="shared" si="39"/>
        <v>0</v>
      </c>
      <c r="O248" s="9">
        <f t="shared" si="40"/>
        <v>4.0875296187974364E-3</v>
      </c>
      <c r="P248" s="9">
        <f t="shared" si="41"/>
        <v>0</v>
      </c>
      <c r="Q248" s="9">
        <f t="shared" si="42"/>
        <v>-2.1522906024489141E-2</v>
      </c>
      <c r="R248" s="9">
        <f t="shared" si="43"/>
        <v>0</v>
      </c>
      <c r="S248" s="9">
        <f t="shared" si="44"/>
        <v>2.1522906024489141E-2</v>
      </c>
      <c r="T248" s="10">
        <f t="shared" si="49"/>
        <v>0.85458207122094387</v>
      </c>
      <c r="U248" s="10">
        <f t="shared" si="49"/>
        <v>0.14255419306751915</v>
      </c>
      <c r="V248" s="10">
        <f t="shared" si="49"/>
        <v>-0.31371819934979916</v>
      </c>
      <c r="W248" s="10">
        <f t="shared" si="48"/>
        <v>0.75713489179869231</v>
      </c>
      <c r="X248" s="10">
        <f t="shared" si="48"/>
        <v>0.82878757661507862</v>
      </c>
      <c r="Y248" s="10">
        <f t="shared" si="48"/>
        <v>-0.10359107887359287</v>
      </c>
      <c r="Z248" s="10">
        <f t="shared" si="48"/>
        <v>-0.82878757661507862</v>
      </c>
      <c r="AA248" s="10">
        <f t="shared" si="48"/>
        <v>0.10359107887359287</v>
      </c>
      <c r="AB248" s="7">
        <f t="shared" si="46"/>
        <v>1.4405529567373543</v>
      </c>
      <c r="AC248" s="7">
        <v>2.2484610918470529</v>
      </c>
    </row>
    <row r="249" spans="1:29" x14ac:dyDescent="0.25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28">
        <v>1</v>
      </c>
      <c r="I249" s="28">
        <v>1</v>
      </c>
      <c r="J249" s="28">
        <v>1</v>
      </c>
      <c r="K249" s="28">
        <v>1</v>
      </c>
      <c r="L249" s="9">
        <f t="shared" si="45"/>
        <v>2.6328618187439919E-2</v>
      </c>
      <c r="M249" s="9">
        <f t="shared" si="38"/>
        <v>0</v>
      </c>
      <c r="N249" s="9">
        <f t="shared" si="39"/>
        <v>-1.346620224712947E-2</v>
      </c>
      <c r="O249" s="9">
        <f t="shared" si="40"/>
        <v>0</v>
      </c>
      <c r="P249" s="9">
        <f t="shared" si="41"/>
        <v>5.3432890843728709E-3</v>
      </c>
      <c r="Q249" s="9">
        <f t="shared" si="42"/>
        <v>0</v>
      </c>
      <c r="R249" s="9">
        <f t="shared" si="43"/>
        <v>-5.3432890843728709E-3</v>
      </c>
      <c r="S249" s="9">
        <f t="shared" si="44"/>
        <v>0</v>
      </c>
      <c r="T249" s="10">
        <f t="shared" si="49"/>
        <v>0.8809106894083838</v>
      </c>
      <c r="U249" s="10">
        <f t="shared" si="49"/>
        <v>0.14255419306751915</v>
      </c>
      <c r="V249" s="10">
        <f t="shared" si="49"/>
        <v>-0.32718440159692863</v>
      </c>
      <c r="W249" s="10">
        <f t="shared" si="48"/>
        <v>0.75713489179869231</v>
      </c>
      <c r="X249" s="10">
        <f t="shared" si="48"/>
        <v>0.8341308656994515</v>
      </c>
      <c r="Y249" s="10">
        <f t="shared" si="48"/>
        <v>-0.10359107887359287</v>
      </c>
      <c r="Z249" s="10">
        <f t="shared" si="48"/>
        <v>-0.8341308656994515</v>
      </c>
      <c r="AA249" s="10">
        <f t="shared" si="48"/>
        <v>0.10359107887359287</v>
      </c>
      <c r="AB249" s="7">
        <f t="shared" si="46"/>
        <v>1.4534153726776646</v>
      </c>
      <c r="AC249" s="7">
        <v>2.2863349306304541</v>
      </c>
    </row>
    <row r="250" spans="1:29" x14ac:dyDescent="0.25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28">
        <v>-1</v>
      </c>
      <c r="I250" s="28">
        <v>-1</v>
      </c>
      <c r="J250" s="28">
        <v>-1</v>
      </c>
      <c r="K250" s="28">
        <v>-1</v>
      </c>
      <c r="L250" s="9">
        <f t="shared" si="45"/>
        <v>0</v>
      </c>
      <c r="M250" s="9">
        <f t="shared" si="38"/>
        <v>-8.3338768950933506E-3</v>
      </c>
      <c r="N250" s="9">
        <f t="shared" si="39"/>
        <v>0</v>
      </c>
      <c r="O250" s="9">
        <f t="shared" si="40"/>
        <v>1.0253967038495789E-2</v>
      </c>
      <c r="P250" s="9">
        <f t="shared" si="41"/>
        <v>0</v>
      </c>
      <c r="Q250" s="9">
        <f t="shared" si="42"/>
        <v>-5.716545940072093E-4</v>
      </c>
      <c r="R250" s="9">
        <f t="shared" si="43"/>
        <v>0</v>
      </c>
      <c r="S250" s="9">
        <f t="shared" si="44"/>
        <v>5.716545940072093E-4</v>
      </c>
      <c r="T250" s="10">
        <f t="shared" si="49"/>
        <v>0.8809106894083838</v>
      </c>
      <c r="U250" s="10">
        <f t="shared" si="49"/>
        <v>0.1342203161724258</v>
      </c>
      <c r="V250" s="10">
        <f t="shared" si="49"/>
        <v>-0.32718440159692863</v>
      </c>
      <c r="W250" s="10">
        <f t="shared" si="48"/>
        <v>0.7673888588371881</v>
      </c>
      <c r="X250" s="10">
        <f t="shared" si="48"/>
        <v>0.8341308656994515</v>
      </c>
      <c r="Y250" s="10">
        <f t="shared" si="48"/>
        <v>-0.10416273346760008</v>
      </c>
      <c r="Z250" s="10">
        <f t="shared" si="48"/>
        <v>-0.8341308656994515</v>
      </c>
      <c r="AA250" s="10">
        <f t="shared" si="48"/>
        <v>0.10416273346760008</v>
      </c>
      <c r="AB250" s="7">
        <f t="shared" si="46"/>
        <v>1.4553354628210671</v>
      </c>
      <c r="AC250" s="7">
        <v>2.302707483901385</v>
      </c>
    </row>
    <row r="251" spans="1:29" x14ac:dyDescent="0.25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28">
        <v>-1</v>
      </c>
      <c r="I251" s="28">
        <v>1</v>
      </c>
      <c r="J251" s="28">
        <v>-1</v>
      </c>
      <c r="K251" s="28">
        <v>1</v>
      </c>
      <c r="L251" s="9">
        <f t="shared" si="45"/>
        <v>0</v>
      </c>
      <c r="M251" s="9">
        <f t="shared" si="38"/>
        <v>1.615198151974973E-3</v>
      </c>
      <c r="N251" s="9">
        <f t="shared" si="39"/>
        <v>0</v>
      </c>
      <c r="O251" s="9">
        <f t="shared" si="40"/>
        <v>1.866718971593662E-2</v>
      </c>
      <c r="P251" s="9">
        <f t="shared" si="41"/>
        <v>-7.6834658899839203E-3</v>
      </c>
      <c r="Q251" s="9">
        <f t="shared" si="42"/>
        <v>0</v>
      </c>
      <c r="R251" s="9">
        <f t="shared" si="43"/>
        <v>7.6834658899839203E-3</v>
      </c>
      <c r="S251" s="9">
        <f t="shared" si="44"/>
        <v>0</v>
      </c>
      <c r="T251" s="10">
        <f t="shared" si="49"/>
        <v>0.8809106894083838</v>
      </c>
      <c r="U251" s="10">
        <f t="shared" si="49"/>
        <v>0.13583551432440077</v>
      </c>
      <c r="V251" s="10">
        <f t="shared" si="49"/>
        <v>-0.32718440159692863</v>
      </c>
      <c r="W251" s="10">
        <f t="shared" si="48"/>
        <v>0.78605604855312472</v>
      </c>
      <c r="X251" s="10">
        <f t="shared" si="48"/>
        <v>0.82644739980946758</v>
      </c>
      <c r="Y251" s="10">
        <f t="shared" si="48"/>
        <v>-0.10416273346760008</v>
      </c>
      <c r="Z251" s="10">
        <f t="shared" si="48"/>
        <v>-0.82644739980946758</v>
      </c>
      <c r="AA251" s="10">
        <f t="shared" si="48"/>
        <v>0.10416273346760008</v>
      </c>
      <c r="AB251" s="7">
        <f t="shared" si="46"/>
        <v>1.4756178506889788</v>
      </c>
      <c r="AC251" s="7">
        <v>2.307992643727768</v>
      </c>
    </row>
    <row r="252" spans="1:29" x14ac:dyDescent="0.25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28">
        <v>-1</v>
      </c>
      <c r="I252" s="28">
        <v>1</v>
      </c>
      <c r="J252" s="28">
        <v>-1</v>
      </c>
      <c r="K252" s="28">
        <v>1</v>
      </c>
      <c r="L252" s="9">
        <f t="shared" si="45"/>
        <v>0</v>
      </c>
      <c r="M252" s="9">
        <f t="shared" si="38"/>
        <v>-1.556409558544081E-2</v>
      </c>
      <c r="N252" s="9">
        <f t="shared" si="39"/>
        <v>0</v>
      </c>
      <c r="O252" s="9">
        <f t="shared" si="40"/>
        <v>6.4350676354238967E-3</v>
      </c>
      <c r="P252" s="9">
        <f t="shared" si="41"/>
        <v>2.0765485891562241E-2</v>
      </c>
      <c r="Q252" s="9">
        <f t="shared" si="42"/>
        <v>0</v>
      </c>
      <c r="R252" s="9">
        <f t="shared" si="43"/>
        <v>-2.0765485891562241E-2</v>
      </c>
      <c r="S252" s="9">
        <f t="shared" si="44"/>
        <v>0</v>
      </c>
      <c r="T252" s="10">
        <f t="shared" si="49"/>
        <v>0.8809106894083838</v>
      </c>
      <c r="U252" s="10">
        <f t="shared" si="49"/>
        <v>0.12027141873895997</v>
      </c>
      <c r="V252" s="10">
        <f t="shared" si="49"/>
        <v>-0.32718440159692863</v>
      </c>
      <c r="W252" s="10">
        <f t="shared" si="48"/>
        <v>0.79249111618854862</v>
      </c>
      <c r="X252" s="10">
        <f t="shared" si="48"/>
        <v>0.84721288570102982</v>
      </c>
      <c r="Y252" s="10">
        <f t="shared" si="48"/>
        <v>-0.10416273346760008</v>
      </c>
      <c r="Z252" s="10">
        <f t="shared" si="48"/>
        <v>-0.84721288570102982</v>
      </c>
      <c r="AA252" s="10">
        <f t="shared" si="48"/>
        <v>0.10416273346760008</v>
      </c>
      <c r="AB252" s="7">
        <f t="shared" si="46"/>
        <v>1.4664888227389619</v>
      </c>
      <c r="AC252" s="7">
        <v>2.3713100896199482</v>
      </c>
    </row>
    <row r="253" spans="1:29" x14ac:dyDescent="0.25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28">
        <v>-1</v>
      </c>
      <c r="I253" s="28">
        <v>1</v>
      </c>
      <c r="J253" s="28">
        <v>-1</v>
      </c>
      <c r="K253" s="28">
        <v>1</v>
      </c>
      <c r="L253" s="9">
        <f t="shared" si="45"/>
        <v>0</v>
      </c>
      <c r="M253" s="9">
        <f t="shared" si="38"/>
        <v>-7.9481408337445103E-3</v>
      </c>
      <c r="N253" s="9">
        <f t="shared" si="39"/>
        <v>0</v>
      </c>
      <c r="O253" s="9">
        <f t="shared" si="40"/>
        <v>-1.27983076099466E-2</v>
      </c>
      <c r="P253" s="9">
        <f t="shared" si="41"/>
        <v>-8.1609246464321439E-3</v>
      </c>
      <c r="Q253" s="9">
        <f t="shared" si="42"/>
        <v>0</v>
      </c>
      <c r="R253" s="9">
        <f t="shared" si="43"/>
        <v>8.1609246464321439E-3</v>
      </c>
      <c r="S253" s="9">
        <f t="shared" si="44"/>
        <v>0</v>
      </c>
      <c r="T253" s="10">
        <f t="shared" si="49"/>
        <v>0.8809106894083838</v>
      </c>
      <c r="U253" s="10">
        <f t="shared" si="49"/>
        <v>0.11232327790521546</v>
      </c>
      <c r="V253" s="10">
        <f t="shared" si="49"/>
        <v>-0.32718440159692863</v>
      </c>
      <c r="W253" s="10">
        <f t="shared" si="48"/>
        <v>0.77969280857860201</v>
      </c>
      <c r="X253" s="10">
        <f t="shared" si="48"/>
        <v>0.83905196105459767</v>
      </c>
      <c r="Y253" s="10">
        <f t="shared" si="48"/>
        <v>-0.10416273346760008</v>
      </c>
      <c r="Z253" s="10">
        <f t="shared" si="48"/>
        <v>-0.83905196105459767</v>
      </c>
      <c r="AA253" s="10">
        <f t="shared" si="48"/>
        <v>0.10416273346760008</v>
      </c>
      <c r="AB253" s="7">
        <f t="shared" si="46"/>
        <v>1.4457423742952709</v>
      </c>
      <c r="AC253" s="7">
        <v>2.403785093581412</v>
      </c>
    </row>
    <row r="254" spans="1:29" x14ac:dyDescent="0.25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28">
        <v>-1</v>
      </c>
      <c r="I254" s="28">
        <v>1</v>
      </c>
      <c r="J254" s="28">
        <v>-1</v>
      </c>
      <c r="K254" s="28">
        <v>1</v>
      </c>
      <c r="L254" s="9">
        <f t="shared" si="45"/>
        <v>0</v>
      </c>
      <c r="M254" s="9">
        <f t="shared" si="38"/>
        <v>-2.5071299781027179E-2</v>
      </c>
      <c r="N254" s="9">
        <f t="shared" si="39"/>
        <v>0</v>
      </c>
      <c r="O254" s="9">
        <f t="shared" si="40"/>
        <v>4.3990711427028588E-2</v>
      </c>
      <c r="P254" s="9">
        <f t="shared" si="41"/>
        <v>-1.5432315897249469E-2</v>
      </c>
      <c r="Q254" s="9">
        <f t="shared" si="42"/>
        <v>0</v>
      </c>
      <c r="R254" s="9">
        <f t="shared" si="43"/>
        <v>1.5432315897249469E-2</v>
      </c>
      <c r="S254" s="9">
        <f t="shared" si="44"/>
        <v>0</v>
      </c>
      <c r="T254" s="10">
        <f t="shared" si="49"/>
        <v>0.8809106894083838</v>
      </c>
      <c r="U254" s="10">
        <f t="shared" si="49"/>
        <v>8.7251978124188279E-2</v>
      </c>
      <c r="V254" s="10">
        <f t="shared" si="49"/>
        <v>-0.32718440159692863</v>
      </c>
      <c r="W254" s="10">
        <f t="shared" si="48"/>
        <v>0.82368352000563061</v>
      </c>
      <c r="X254" s="10">
        <f t="shared" si="48"/>
        <v>0.8236196451573482</v>
      </c>
      <c r="Y254" s="10">
        <f t="shared" si="48"/>
        <v>-0.10416273346760008</v>
      </c>
      <c r="Z254" s="10">
        <f t="shared" si="48"/>
        <v>-0.8236196451573482</v>
      </c>
      <c r="AA254" s="10">
        <f t="shared" si="48"/>
        <v>0.10416273346760008</v>
      </c>
      <c r="AB254" s="7">
        <f t="shared" si="46"/>
        <v>1.4646617859412723</v>
      </c>
      <c r="AC254" s="7">
        <v>2.3880666592149469</v>
      </c>
    </row>
    <row r="255" spans="1:29" x14ac:dyDescent="0.25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28">
        <v>-1</v>
      </c>
      <c r="I255" s="28">
        <v>1</v>
      </c>
      <c r="J255" s="28">
        <v>-1</v>
      </c>
      <c r="K255" s="28">
        <v>1</v>
      </c>
      <c r="L255" s="9">
        <f t="shared" si="45"/>
        <v>0</v>
      </c>
      <c r="M255" s="9">
        <f t="shared" si="38"/>
        <v>6.7163377164752847E-3</v>
      </c>
      <c r="N255" s="9">
        <f t="shared" si="39"/>
        <v>0</v>
      </c>
      <c r="O255" s="9">
        <f t="shared" si="40"/>
        <v>-3.0094477680093101E-2</v>
      </c>
      <c r="P255" s="9">
        <f t="shared" si="41"/>
        <v>-1.074320599260503E-2</v>
      </c>
      <c r="Q255" s="9">
        <f t="shared" si="42"/>
        <v>0</v>
      </c>
      <c r="R255" s="9">
        <f t="shared" si="43"/>
        <v>1.074320599260503E-2</v>
      </c>
      <c r="S255" s="9">
        <f t="shared" si="44"/>
        <v>0</v>
      </c>
      <c r="T255" s="10">
        <f t="shared" si="49"/>
        <v>0.8809106894083838</v>
      </c>
      <c r="U255" s="10">
        <f t="shared" si="49"/>
        <v>9.3968315840663563E-2</v>
      </c>
      <c r="V255" s="10">
        <f t="shared" si="49"/>
        <v>-0.32718440159692863</v>
      </c>
      <c r="W255" s="10">
        <f t="shared" si="48"/>
        <v>0.79358904232553751</v>
      </c>
      <c r="X255" s="10">
        <f t="shared" si="48"/>
        <v>0.81287643916474317</v>
      </c>
      <c r="Y255" s="10">
        <f t="shared" si="48"/>
        <v>-0.10416273346760008</v>
      </c>
      <c r="Z255" s="10">
        <f t="shared" si="48"/>
        <v>-0.81287643916474317</v>
      </c>
      <c r="AA255" s="10">
        <f t="shared" si="48"/>
        <v>0.10416273346760008</v>
      </c>
      <c r="AB255" s="7">
        <f t="shared" si="46"/>
        <v>1.4412836459776543</v>
      </c>
      <c r="AC255" s="7">
        <v>2.3399805261025559</v>
      </c>
    </row>
    <row r="256" spans="1:29" x14ac:dyDescent="0.25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28">
        <v>-1</v>
      </c>
      <c r="I256" s="28">
        <v>1</v>
      </c>
      <c r="J256" s="28">
        <v>-1</v>
      </c>
      <c r="K256" s="28">
        <v>1</v>
      </c>
      <c r="L256" s="9">
        <f t="shared" si="45"/>
        <v>0</v>
      </c>
      <c r="M256" s="9">
        <f t="shared" si="38"/>
        <v>6.8174303094270527E-3</v>
      </c>
      <c r="N256" s="9">
        <f t="shared" si="39"/>
        <v>0</v>
      </c>
      <c r="O256" s="9">
        <f t="shared" si="40"/>
        <v>4.6329681347054841E-3</v>
      </c>
      <c r="P256" s="9">
        <f t="shared" si="41"/>
        <v>4.9943423282756694E-3</v>
      </c>
      <c r="Q256" s="9">
        <f t="shared" si="42"/>
        <v>0</v>
      </c>
      <c r="R256" s="9">
        <f t="shared" si="43"/>
        <v>-4.9943423282756694E-3</v>
      </c>
      <c r="S256" s="9">
        <f t="shared" si="44"/>
        <v>0</v>
      </c>
      <c r="T256" s="10">
        <f t="shared" si="49"/>
        <v>0.8809106894083838</v>
      </c>
      <c r="U256" s="10">
        <f t="shared" si="49"/>
        <v>0.10078574615009062</v>
      </c>
      <c r="V256" s="10">
        <f t="shared" si="49"/>
        <v>-0.32718440159692863</v>
      </c>
      <c r="W256" s="10">
        <f t="shared" si="48"/>
        <v>0.79822201046024299</v>
      </c>
      <c r="X256" s="10">
        <f t="shared" si="48"/>
        <v>0.81787078149301884</v>
      </c>
      <c r="Y256" s="10">
        <f t="shared" si="48"/>
        <v>-0.10416273346760008</v>
      </c>
      <c r="Z256" s="10">
        <f t="shared" si="48"/>
        <v>-0.81787078149301884</v>
      </c>
      <c r="AA256" s="10">
        <f t="shared" si="48"/>
        <v>0.10416273346760008</v>
      </c>
      <c r="AB256" s="7">
        <f t="shared" si="46"/>
        <v>1.4527340444217869</v>
      </c>
      <c r="AC256" s="7">
        <v>2.318859445155383</v>
      </c>
    </row>
    <row r="257" spans="1:29" x14ac:dyDescent="0.25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28">
        <v>1</v>
      </c>
      <c r="I257" s="28">
        <v>1</v>
      </c>
      <c r="J257" s="28">
        <v>1</v>
      </c>
      <c r="K257" s="28">
        <v>1</v>
      </c>
      <c r="L257" s="9">
        <f t="shared" si="45"/>
        <v>6.8993651449281712E-3</v>
      </c>
      <c r="M257" s="9">
        <f t="shared" si="38"/>
        <v>0</v>
      </c>
      <c r="N257" s="9">
        <f t="shared" si="39"/>
        <v>-1.1453852266020361E-2</v>
      </c>
      <c r="O257" s="9">
        <f t="shared" si="40"/>
        <v>0</v>
      </c>
      <c r="P257" s="9">
        <f t="shared" si="41"/>
        <v>4.4098955238720983E-2</v>
      </c>
      <c r="Q257" s="9">
        <f t="shared" si="42"/>
        <v>0</v>
      </c>
      <c r="R257" s="9">
        <f t="shared" si="43"/>
        <v>-4.4098955238720983E-2</v>
      </c>
      <c r="S257" s="9">
        <f t="shared" si="44"/>
        <v>0</v>
      </c>
      <c r="T257" s="10">
        <f t="shared" si="49"/>
        <v>0.88781005455331197</v>
      </c>
      <c r="U257" s="10">
        <f t="shared" si="49"/>
        <v>0.10078574615009062</v>
      </c>
      <c r="V257" s="10">
        <f t="shared" si="49"/>
        <v>-0.33863825386294899</v>
      </c>
      <c r="W257" s="10">
        <f t="shared" si="48"/>
        <v>0.79822201046024299</v>
      </c>
      <c r="X257" s="10">
        <f t="shared" si="48"/>
        <v>0.86196973673173982</v>
      </c>
      <c r="Y257" s="10">
        <f t="shared" si="48"/>
        <v>-0.10416273346760008</v>
      </c>
      <c r="Z257" s="10">
        <f t="shared" si="48"/>
        <v>-0.86196973673173982</v>
      </c>
      <c r="AA257" s="10">
        <f t="shared" si="48"/>
        <v>0.10416273346760008</v>
      </c>
      <c r="AB257" s="7">
        <f t="shared" si="46"/>
        <v>1.4481795573006946</v>
      </c>
      <c r="AC257" s="7">
        <v>2.4069459505138799</v>
      </c>
    </row>
    <row r="258" spans="1:29" x14ac:dyDescent="0.25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28">
        <v>1</v>
      </c>
      <c r="I258" s="28">
        <v>-1</v>
      </c>
      <c r="J258" s="28">
        <v>1</v>
      </c>
      <c r="K258" s="28">
        <v>-1</v>
      </c>
      <c r="L258" s="9">
        <f t="shared" si="45"/>
        <v>5.5229063045624249E-3</v>
      </c>
      <c r="M258" s="9">
        <f t="shared" si="38"/>
        <v>0</v>
      </c>
      <c r="N258" s="9">
        <f t="shared" si="39"/>
        <v>2.6845082824344951E-4</v>
      </c>
      <c r="O258" s="9">
        <f t="shared" si="40"/>
        <v>0</v>
      </c>
      <c r="P258" s="9">
        <f t="shared" si="41"/>
        <v>0</v>
      </c>
      <c r="Q258" s="9">
        <f t="shared" si="42"/>
        <v>-4.0700255344728884E-3</v>
      </c>
      <c r="R258" s="9">
        <f t="shared" si="43"/>
        <v>0</v>
      </c>
      <c r="S258" s="9">
        <f t="shared" si="44"/>
        <v>4.0700255344728884E-3</v>
      </c>
      <c r="T258" s="10">
        <f t="shared" si="49"/>
        <v>0.89333296085787439</v>
      </c>
      <c r="U258" s="10">
        <f t="shared" si="49"/>
        <v>0.10078574615009062</v>
      </c>
      <c r="V258" s="10">
        <f t="shared" si="49"/>
        <v>-0.33836980303470554</v>
      </c>
      <c r="W258" s="10">
        <f t="shared" si="48"/>
        <v>0.79822201046024299</v>
      </c>
      <c r="X258" s="10">
        <f t="shared" si="48"/>
        <v>0.86196973673173982</v>
      </c>
      <c r="Y258" s="10">
        <f t="shared" si="48"/>
        <v>-0.10823275900207296</v>
      </c>
      <c r="Z258" s="10">
        <f t="shared" si="48"/>
        <v>-0.86196973673173982</v>
      </c>
      <c r="AA258" s="10">
        <f t="shared" si="48"/>
        <v>0.10823275900207296</v>
      </c>
      <c r="AB258" s="7">
        <f t="shared" si="46"/>
        <v>1.4539709144335005</v>
      </c>
      <c r="AC258" s="7">
        <v>2.4519785650756538</v>
      </c>
    </row>
    <row r="259" spans="1:29" x14ac:dyDescent="0.25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28">
        <v>-1</v>
      </c>
      <c r="I259" s="28">
        <v>-1</v>
      </c>
      <c r="J259" s="28">
        <v>-1</v>
      </c>
      <c r="K259" s="28">
        <v>-1</v>
      </c>
      <c r="L259" s="9">
        <f t="shared" si="45"/>
        <v>0</v>
      </c>
      <c r="M259" s="9">
        <f t="shared" ref="M259:M278" si="50">IF(H259=-1,-D259,0)</f>
        <v>3.9098161767312511E-3</v>
      </c>
      <c r="N259" s="9">
        <f t="shared" ref="N259:N278" si="51">IF(H259=1,-E259,0)</f>
        <v>0</v>
      </c>
      <c r="O259" s="9">
        <f t="shared" ref="O259:O278" si="52">IF(H259=-1,E259,0)</f>
        <v>2.9164599312065609E-2</v>
      </c>
      <c r="P259" s="9">
        <f t="shared" ref="P259:P278" si="53">IF(I259=1,F259,0)</f>
        <v>0</v>
      </c>
      <c r="Q259" s="9">
        <f t="shared" ref="Q259:Q278" si="54">IF($I259=-1,-$F259,0)</f>
        <v>1.3384140943141221E-3</v>
      </c>
      <c r="R259" s="9">
        <f t="shared" ref="R259:R278" si="55">IF($I259=1,-$F259,0)</f>
        <v>0</v>
      </c>
      <c r="S259" s="9">
        <f t="shared" ref="S259:S278" si="56">IF($I259=-1,$F259,0)</f>
        <v>-1.3384140943141221E-3</v>
      </c>
      <c r="T259" s="10">
        <f t="shared" si="49"/>
        <v>0.89333296085787439</v>
      </c>
      <c r="U259" s="10">
        <f t="shared" si="49"/>
        <v>0.10469556232682187</v>
      </c>
      <c r="V259" s="10">
        <f t="shared" si="49"/>
        <v>-0.33836980303470554</v>
      </c>
      <c r="W259" s="10">
        <f t="shared" si="48"/>
        <v>0.8273866097723086</v>
      </c>
      <c r="X259" s="10">
        <f t="shared" si="48"/>
        <v>0.86196973673173982</v>
      </c>
      <c r="Y259" s="10">
        <f t="shared" si="48"/>
        <v>-0.10689434490775884</v>
      </c>
      <c r="Z259" s="10">
        <f t="shared" si="48"/>
        <v>-0.86196973673173982</v>
      </c>
      <c r="AA259" s="10">
        <f t="shared" si="48"/>
        <v>0.10689434490775884</v>
      </c>
      <c r="AB259" s="7">
        <f t="shared" si="46"/>
        <v>1.4870453299222972</v>
      </c>
      <c r="AC259" s="7">
        <v>2.4682806182406329</v>
      </c>
    </row>
    <row r="260" spans="1:29" x14ac:dyDescent="0.25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28">
        <v>-1</v>
      </c>
      <c r="I260" s="28">
        <v>1</v>
      </c>
      <c r="J260" s="28">
        <v>-1</v>
      </c>
      <c r="K260" s="28">
        <v>1</v>
      </c>
      <c r="L260" s="9">
        <f t="shared" ref="L260:L278" si="57">IF(H260=1,D260,0)</f>
        <v>0</v>
      </c>
      <c r="M260" s="9">
        <f t="shared" si="50"/>
        <v>-1.1581644277732779E-3</v>
      </c>
      <c r="N260" s="9">
        <f t="shared" si="51"/>
        <v>0</v>
      </c>
      <c r="O260" s="9">
        <f t="shared" si="52"/>
        <v>1.6757673707675891E-2</v>
      </c>
      <c r="P260" s="9">
        <f t="shared" si="53"/>
        <v>3.121803858747418E-2</v>
      </c>
      <c r="Q260" s="9">
        <f t="shared" si="54"/>
        <v>0</v>
      </c>
      <c r="R260" s="9">
        <f t="shared" si="55"/>
        <v>-3.121803858747418E-2</v>
      </c>
      <c r="S260" s="9">
        <f t="shared" si="56"/>
        <v>0</v>
      </c>
      <c r="T260" s="10">
        <f t="shared" si="49"/>
        <v>0.89333296085787439</v>
      </c>
      <c r="U260" s="10">
        <f t="shared" si="49"/>
        <v>0.10353739789904859</v>
      </c>
      <c r="V260" s="10">
        <f t="shared" si="49"/>
        <v>-0.33836980303470554</v>
      </c>
      <c r="W260" s="10">
        <f t="shared" si="48"/>
        <v>0.84414428347998449</v>
      </c>
      <c r="X260" s="10">
        <f t="shared" si="48"/>
        <v>0.89318777531921401</v>
      </c>
      <c r="Y260" s="10">
        <f t="shared" si="48"/>
        <v>-0.10689434490775884</v>
      </c>
      <c r="Z260" s="10">
        <f t="shared" si="48"/>
        <v>-0.89318777531921401</v>
      </c>
      <c r="AA260" s="10">
        <f t="shared" si="48"/>
        <v>0.10689434490775884</v>
      </c>
      <c r="AB260" s="7">
        <f t="shared" ref="AB260:AB278" si="58">AB259+SUM(L260:S260)</f>
        <v>1.5026448392021998</v>
      </c>
      <c r="AC260" s="7">
        <v>2.5197693657958391</v>
      </c>
    </row>
    <row r="261" spans="1:29" x14ac:dyDescent="0.25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28">
        <v>-1</v>
      </c>
      <c r="I261" s="28">
        <v>1</v>
      </c>
      <c r="J261" s="28">
        <v>-1</v>
      </c>
      <c r="K261" s="28">
        <v>1</v>
      </c>
      <c r="L261" s="9">
        <f t="shared" si="57"/>
        <v>0</v>
      </c>
      <c r="M261" s="9">
        <f t="shared" si="50"/>
        <v>-1.70714707773556E-3</v>
      </c>
      <c r="N261" s="9">
        <f t="shared" si="51"/>
        <v>0</v>
      </c>
      <c r="O261" s="9">
        <f t="shared" si="52"/>
        <v>1.6413090518260901E-2</v>
      </c>
      <c r="P261" s="9">
        <f t="shared" si="53"/>
        <v>1.331547192758142E-2</v>
      </c>
      <c r="Q261" s="9">
        <f t="shared" si="54"/>
        <v>0</v>
      </c>
      <c r="R261" s="9">
        <f t="shared" si="55"/>
        <v>-1.331547192758142E-2</v>
      </c>
      <c r="S261" s="9">
        <f t="shared" si="56"/>
        <v>0</v>
      </c>
      <c r="T261" s="10">
        <f t="shared" si="49"/>
        <v>0.89333296085787439</v>
      </c>
      <c r="U261" s="10">
        <f t="shared" si="49"/>
        <v>0.10183025082131303</v>
      </c>
      <c r="V261" s="10">
        <f t="shared" si="49"/>
        <v>-0.33836980303470554</v>
      </c>
      <c r="W261" s="10">
        <f t="shared" si="48"/>
        <v>0.86055737399824539</v>
      </c>
      <c r="X261" s="10">
        <f t="shared" si="48"/>
        <v>0.90650324724679543</v>
      </c>
      <c r="Y261" s="10">
        <f t="shared" si="48"/>
        <v>-0.10689434490775884</v>
      </c>
      <c r="Z261" s="10">
        <f t="shared" si="48"/>
        <v>-0.90650324724679543</v>
      </c>
      <c r="AA261" s="10">
        <f t="shared" si="48"/>
        <v>0.10689434490775884</v>
      </c>
      <c r="AB261" s="7">
        <f t="shared" si="58"/>
        <v>1.5173507826427253</v>
      </c>
      <c r="AC261" s="7">
        <v>2.5523305831680339</v>
      </c>
    </row>
    <row r="262" spans="1:29" x14ac:dyDescent="0.25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28">
        <v>-1</v>
      </c>
      <c r="I262" s="28">
        <v>1</v>
      </c>
      <c r="J262" s="28">
        <v>-1</v>
      </c>
      <c r="K262" s="28">
        <v>1</v>
      </c>
      <c r="L262" s="9">
        <f t="shared" si="57"/>
        <v>0</v>
      </c>
      <c r="M262" s="9">
        <f t="shared" si="50"/>
        <v>-1.397625858482365E-2</v>
      </c>
      <c r="N262" s="9">
        <f t="shared" si="51"/>
        <v>0</v>
      </c>
      <c r="O262" s="9">
        <f t="shared" si="52"/>
        <v>-1.0349871827254111E-2</v>
      </c>
      <c r="P262" s="9">
        <f t="shared" si="53"/>
        <v>-8.7585502185608677E-3</v>
      </c>
      <c r="Q262" s="9">
        <f t="shared" si="54"/>
        <v>0</v>
      </c>
      <c r="R262" s="9">
        <f t="shared" si="55"/>
        <v>8.7585502185608677E-3</v>
      </c>
      <c r="S262" s="9">
        <f t="shared" si="56"/>
        <v>0</v>
      </c>
      <c r="T262" s="10">
        <f t="shared" si="49"/>
        <v>0.89333296085787439</v>
      </c>
      <c r="U262" s="10">
        <f t="shared" si="49"/>
        <v>8.7853992236489376E-2</v>
      </c>
      <c r="V262" s="10">
        <f t="shared" si="49"/>
        <v>-0.33836980303470554</v>
      </c>
      <c r="W262" s="10">
        <f t="shared" si="48"/>
        <v>0.85020750217099128</v>
      </c>
      <c r="X262" s="10">
        <f t="shared" si="48"/>
        <v>0.89774469702823456</v>
      </c>
      <c r="Y262" s="10">
        <f t="shared" si="48"/>
        <v>-0.10689434490775884</v>
      </c>
      <c r="Z262" s="10">
        <f t="shared" si="48"/>
        <v>-0.89774469702823456</v>
      </c>
      <c r="AA262" s="10">
        <f t="shared" si="48"/>
        <v>0.10689434490775884</v>
      </c>
      <c r="AB262" s="7">
        <f t="shared" si="58"/>
        <v>1.4930246522306474</v>
      </c>
      <c r="AC262" s="7">
        <v>2.511938858285073</v>
      </c>
    </row>
    <row r="263" spans="1:29" x14ac:dyDescent="0.25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28">
        <v>-1</v>
      </c>
      <c r="I263" s="28">
        <v>1</v>
      </c>
      <c r="J263" s="28">
        <v>-1</v>
      </c>
      <c r="K263" s="28">
        <v>1</v>
      </c>
      <c r="L263" s="9">
        <f t="shared" si="57"/>
        <v>0</v>
      </c>
      <c r="M263" s="9">
        <f t="shared" si="50"/>
        <v>7.396600863248004E-3</v>
      </c>
      <c r="N263" s="9">
        <f t="shared" si="51"/>
        <v>0</v>
      </c>
      <c r="O263" s="9">
        <f t="shared" si="52"/>
        <v>-1.225216155157249E-2</v>
      </c>
      <c r="P263" s="9">
        <f t="shared" si="53"/>
        <v>2.993188164738236E-2</v>
      </c>
      <c r="Q263" s="9">
        <f t="shared" si="54"/>
        <v>0</v>
      </c>
      <c r="R263" s="9">
        <f t="shared" si="55"/>
        <v>-2.993188164738236E-2</v>
      </c>
      <c r="S263" s="9">
        <f t="shared" si="56"/>
        <v>0</v>
      </c>
      <c r="T263" s="10">
        <f t="shared" si="49"/>
        <v>0.89333296085787439</v>
      </c>
      <c r="U263" s="10">
        <f t="shared" si="49"/>
        <v>9.525059309973738E-2</v>
      </c>
      <c r="V263" s="10">
        <f t="shared" si="49"/>
        <v>-0.33836980303470554</v>
      </c>
      <c r="W263" s="10">
        <f t="shared" si="48"/>
        <v>0.83795534061941879</v>
      </c>
      <c r="X263" s="10">
        <f t="shared" si="48"/>
        <v>0.92767657867561693</v>
      </c>
      <c r="Y263" s="10">
        <f t="shared" si="48"/>
        <v>-0.10689434490775884</v>
      </c>
      <c r="Z263" s="10">
        <f t="shared" si="48"/>
        <v>-0.92767657867561693</v>
      </c>
      <c r="AA263" s="10">
        <f t="shared" si="48"/>
        <v>0.10689434490775884</v>
      </c>
      <c r="AB263" s="7">
        <f t="shared" si="58"/>
        <v>1.4881690915423229</v>
      </c>
      <c r="AC263" s="7">
        <v>2.561711090362885</v>
      </c>
    </row>
    <row r="264" spans="1:29" x14ac:dyDescent="0.25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28">
        <v>1</v>
      </c>
      <c r="I264" s="28">
        <v>1</v>
      </c>
      <c r="J264" s="28">
        <v>1</v>
      </c>
      <c r="K264" s="28">
        <v>1</v>
      </c>
      <c r="L264" s="9">
        <f t="shared" si="57"/>
        <v>2.7401657752254009E-3</v>
      </c>
      <c r="M264" s="9">
        <f t="shared" si="50"/>
        <v>0</v>
      </c>
      <c r="N264" s="9">
        <f t="shared" si="51"/>
        <v>2.7223292211015829E-2</v>
      </c>
      <c r="O264" s="9">
        <f t="shared" si="52"/>
        <v>0</v>
      </c>
      <c r="P264" s="9">
        <f t="shared" si="53"/>
        <v>1.258397426519575E-2</v>
      </c>
      <c r="Q264" s="9">
        <f t="shared" si="54"/>
        <v>0</v>
      </c>
      <c r="R264" s="9">
        <f t="shared" si="55"/>
        <v>-1.258397426519575E-2</v>
      </c>
      <c r="S264" s="9">
        <f t="shared" si="56"/>
        <v>0</v>
      </c>
      <c r="T264" s="10">
        <f t="shared" si="49"/>
        <v>0.89607312663309979</v>
      </c>
      <c r="U264" s="10">
        <f t="shared" si="49"/>
        <v>9.525059309973738E-2</v>
      </c>
      <c r="V264" s="10">
        <f t="shared" si="49"/>
        <v>-0.31114651082368971</v>
      </c>
      <c r="W264" s="10">
        <f t="shared" si="48"/>
        <v>0.83795534061941879</v>
      </c>
      <c r="X264" s="10">
        <f t="shared" si="48"/>
        <v>0.94026055294081268</v>
      </c>
      <c r="Y264" s="10">
        <f t="shared" si="48"/>
        <v>-0.10689434490775884</v>
      </c>
      <c r="Z264" s="10">
        <f t="shared" si="48"/>
        <v>-0.94026055294081268</v>
      </c>
      <c r="AA264" s="10">
        <f t="shared" si="48"/>
        <v>0.10689434490775884</v>
      </c>
      <c r="AB264" s="7">
        <f t="shared" si="58"/>
        <v>1.518132549528564</v>
      </c>
      <c r="AC264" s="7">
        <v>2.5965600661871289</v>
      </c>
    </row>
    <row r="265" spans="1:29" x14ac:dyDescent="0.25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28">
        <v>-1</v>
      </c>
      <c r="I265" s="28">
        <v>-1</v>
      </c>
      <c r="J265" s="28">
        <v>-1</v>
      </c>
      <c r="K265" s="28">
        <v>-1</v>
      </c>
      <c r="L265" s="9">
        <f t="shared" si="57"/>
        <v>0</v>
      </c>
      <c r="M265" s="9">
        <f t="shared" si="50"/>
        <v>6.4659075061866966E-3</v>
      </c>
      <c r="N265" s="9">
        <f t="shared" si="51"/>
        <v>0</v>
      </c>
      <c r="O265" s="9">
        <f t="shared" si="52"/>
        <v>2.324303146473217E-2</v>
      </c>
      <c r="P265" s="9">
        <f t="shared" si="53"/>
        <v>0</v>
      </c>
      <c r="Q265" s="9">
        <f t="shared" si="54"/>
        <v>-2.0171064671094859E-2</v>
      </c>
      <c r="R265" s="9">
        <f t="shared" si="55"/>
        <v>0</v>
      </c>
      <c r="S265" s="9">
        <f t="shared" si="56"/>
        <v>2.0171064671094859E-2</v>
      </c>
      <c r="T265" s="10">
        <f t="shared" si="49"/>
        <v>0.89607312663309979</v>
      </c>
      <c r="U265" s="10">
        <f t="shared" si="49"/>
        <v>0.10171650060592408</v>
      </c>
      <c r="V265" s="10">
        <f t="shared" si="49"/>
        <v>-0.31114651082368971</v>
      </c>
      <c r="W265" s="10">
        <f t="shared" si="48"/>
        <v>0.86119837208415095</v>
      </c>
      <c r="X265" s="10">
        <f t="shared" si="48"/>
        <v>0.94026055294081268</v>
      </c>
      <c r="Y265" s="10">
        <f t="shared" si="48"/>
        <v>-0.12706540957885371</v>
      </c>
      <c r="Z265" s="10">
        <f t="shared" si="48"/>
        <v>-0.94026055294081268</v>
      </c>
      <c r="AA265" s="10">
        <f t="shared" si="48"/>
        <v>0.12706540957885371</v>
      </c>
      <c r="AB265" s="7">
        <f t="shared" si="58"/>
        <v>1.5478414884994829</v>
      </c>
      <c r="AC265" s="7">
        <v>2.6094614250079191</v>
      </c>
    </row>
    <row r="266" spans="1:29" x14ac:dyDescent="0.25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28">
        <v>1</v>
      </c>
      <c r="I266" s="28">
        <v>1</v>
      </c>
      <c r="J266" s="28">
        <v>1</v>
      </c>
      <c r="K266" s="28">
        <v>1</v>
      </c>
      <c r="L266" s="9">
        <f t="shared" si="57"/>
        <v>5.5964680962656832E-3</v>
      </c>
      <c r="M266" s="9">
        <f t="shared" si="50"/>
        <v>0</v>
      </c>
      <c r="N266" s="9">
        <f t="shared" si="51"/>
        <v>2.2810488295141429E-2</v>
      </c>
      <c r="O266" s="9">
        <f t="shared" si="52"/>
        <v>0</v>
      </c>
      <c r="P266" s="9">
        <f t="shared" si="53"/>
        <v>-5.9367354543300777E-2</v>
      </c>
      <c r="Q266" s="9">
        <f t="shared" si="54"/>
        <v>0</v>
      </c>
      <c r="R266" s="9">
        <f t="shared" si="55"/>
        <v>5.9367354543300777E-2</v>
      </c>
      <c r="S266" s="9">
        <f t="shared" si="56"/>
        <v>0</v>
      </c>
      <c r="T266" s="10">
        <f t="shared" si="49"/>
        <v>0.90166959472936548</v>
      </c>
      <c r="U266" s="10">
        <f t="shared" si="49"/>
        <v>0.10171650060592408</v>
      </c>
      <c r="V266" s="10">
        <f t="shared" si="49"/>
        <v>-0.28833602252854829</v>
      </c>
      <c r="W266" s="10">
        <f t="shared" si="48"/>
        <v>0.86119837208415095</v>
      </c>
      <c r="X266" s="10">
        <f t="shared" si="48"/>
        <v>0.8808931983975119</v>
      </c>
      <c r="Y266" s="10">
        <f t="shared" si="48"/>
        <v>-0.12706540957885371</v>
      </c>
      <c r="Z266" s="10">
        <f t="shared" si="48"/>
        <v>-0.8808931983975119</v>
      </c>
      <c r="AA266" s="10">
        <f t="shared" si="48"/>
        <v>0.12706540957885371</v>
      </c>
      <c r="AB266" s="7">
        <f t="shared" si="58"/>
        <v>1.57624844489089</v>
      </c>
      <c r="AC266" s="7">
        <v>2.6340973198726969</v>
      </c>
    </row>
    <row r="267" spans="1:29" x14ac:dyDescent="0.25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28">
        <v>1</v>
      </c>
      <c r="I267" s="28">
        <v>-1</v>
      </c>
      <c r="J267" s="28">
        <v>1</v>
      </c>
      <c r="K267" s="28">
        <v>-1</v>
      </c>
      <c r="L267" s="9">
        <f t="shared" si="57"/>
        <v>7.1774017959299607E-3</v>
      </c>
      <c r="M267" s="9">
        <f t="shared" si="50"/>
        <v>0</v>
      </c>
      <c r="N267" s="9">
        <f t="shared" si="51"/>
        <v>5.7312763823882404E-3</v>
      </c>
      <c r="O267" s="9">
        <f t="shared" si="52"/>
        <v>0</v>
      </c>
      <c r="P267" s="9">
        <f t="shared" si="53"/>
        <v>0</v>
      </c>
      <c r="Q267" s="9">
        <f t="shared" si="54"/>
        <v>3.0692104617247359E-2</v>
      </c>
      <c r="R267" s="9">
        <f t="shared" si="55"/>
        <v>0</v>
      </c>
      <c r="S267" s="9">
        <f t="shared" si="56"/>
        <v>-3.0692104617247359E-2</v>
      </c>
      <c r="T267" s="10">
        <f t="shared" si="49"/>
        <v>0.90884699652529544</v>
      </c>
      <c r="U267" s="10">
        <f t="shared" si="49"/>
        <v>0.10171650060592408</v>
      </c>
      <c r="V267" s="10">
        <f t="shared" si="49"/>
        <v>-0.28260474614616005</v>
      </c>
      <c r="W267" s="10">
        <f t="shared" si="48"/>
        <v>0.86119837208415095</v>
      </c>
      <c r="X267" s="10">
        <f t="shared" si="48"/>
        <v>0.8808931983975119</v>
      </c>
      <c r="Y267" s="10">
        <f t="shared" si="48"/>
        <v>-9.6373304961606343E-2</v>
      </c>
      <c r="Z267" s="10">
        <f t="shared" si="48"/>
        <v>-0.8808931983975119</v>
      </c>
      <c r="AA267" s="10">
        <f t="shared" si="48"/>
        <v>9.6373304961606343E-2</v>
      </c>
      <c r="AB267" s="7">
        <f t="shared" si="58"/>
        <v>1.5891571230692083</v>
      </c>
      <c r="AC267" s="7">
        <v>2.6555976984525032</v>
      </c>
    </row>
    <row r="268" spans="1:29" x14ac:dyDescent="0.25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28">
        <v>-1</v>
      </c>
      <c r="I268" s="28">
        <v>-1</v>
      </c>
      <c r="J268" s="28">
        <v>-1</v>
      </c>
      <c r="K268" s="28">
        <v>-1</v>
      </c>
      <c r="L268" s="9">
        <f t="shared" si="57"/>
        <v>0</v>
      </c>
      <c r="M268" s="9">
        <f t="shared" si="50"/>
        <v>2.5769658325618949E-2</v>
      </c>
      <c r="N268" s="9">
        <f t="shared" si="51"/>
        <v>0</v>
      </c>
      <c r="O268" s="9">
        <f t="shared" si="52"/>
        <v>2.433348415011416E-3</v>
      </c>
      <c r="P268" s="9">
        <f t="shared" si="53"/>
        <v>0</v>
      </c>
      <c r="Q268" s="9">
        <f t="shared" si="54"/>
        <v>1.0317692162005289E-2</v>
      </c>
      <c r="R268" s="9">
        <f t="shared" si="55"/>
        <v>0</v>
      </c>
      <c r="S268" s="9">
        <f t="shared" si="56"/>
        <v>-1.0317692162005289E-2</v>
      </c>
      <c r="T268" s="10">
        <f t="shared" si="49"/>
        <v>0.90884699652529544</v>
      </c>
      <c r="U268" s="10">
        <f t="shared" si="49"/>
        <v>0.12748615893154303</v>
      </c>
      <c r="V268" s="10">
        <f t="shared" si="49"/>
        <v>-0.28260474614616005</v>
      </c>
      <c r="W268" s="10">
        <f t="shared" si="48"/>
        <v>0.86363172049916237</v>
      </c>
      <c r="X268" s="10">
        <f t="shared" si="48"/>
        <v>0.8808931983975119</v>
      </c>
      <c r="Y268" s="10">
        <f t="shared" si="48"/>
        <v>-8.6055612799601056E-2</v>
      </c>
      <c r="Z268" s="10">
        <f t="shared" si="48"/>
        <v>-0.8808931983975119</v>
      </c>
      <c r="AA268" s="10">
        <f t="shared" si="48"/>
        <v>8.6055612799601056E-2</v>
      </c>
      <c r="AB268" s="7">
        <f t="shared" si="58"/>
        <v>1.6173601298098386</v>
      </c>
      <c r="AC268" s="7">
        <v>2.647177747586118</v>
      </c>
    </row>
    <row r="269" spans="1:29" x14ac:dyDescent="0.25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28">
        <v>-1</v>
      </c>
      <c r="I269" s="28">
        <v>1</v>
      </c>
      <c r="J269" s="28">
        <v>-1</v>
      </c>
      <c r="K269" s="28">
        <v>1</v>
      </c>
      <c r="L269" s="9">
        <f t="shared" si="57"/>
        <v>0</v>
      </c>
      <c r="M269" s="9">
        <f t="shared" si="50"/>
        <v>-1.4895143461754251E-2</v>
      </c>
      <c r="N269" s="9">
        <f t="shared" si="51"/>
        <v>0</v>
      </c>
      <c r="O269" s="9">
        <f t="shared" si="52"/>
        <v>3.9809360517639281E-2</v>
      </c>
      <c r="P269" s="9">
        <f t="shared" si="53"/>
        <v>4.6756031294631677E-2</v>
      </c>
      <c r="Q269" s="9">
        <f t="shared" si="54"/>
        <v>0</v>
      </c>
      <c r="R269" s="9">
        <f t="shared" si="55"/>
        <v>-4.6756031294631677E-2</v>
      </c>
      <c r="S269" s="9">
        <f t="shared" si="56"/>
        <v>0</v>
      </c>
      <c r="T269" s="10">
        <f t="shared" si="49"/>
        <v>0.90884699652529544</v>
      </c>
      <c r="U269" s="10">
        <f t="shared" si="49"/>
        <v>0.11259101546978878</v>
      </c>
      <c r="V269" s="10">
        <f t="shared" si="49"/>
        <v>-0.28260474614616005</v>
      </c>
      <c r="W269" s="10">
        <f t="shared" si="48"/>
        <v>0.90344108101680165</v>
      </c>
      <c r="X269" s="10">
        <f t="shared" si="48"/>
        <v>0.92764922969214358</v>
      </c>
      <c r="Y269" s="10">
        <f t="shared" si="48"/>
        <v>-8.6055612799601056E-2</v>
      </c>
      <c r="Z269" s="10">
        <f t="shared" si="48"/>
        <v>-0.92764922969214358</v>
      </c>
      <c r="AA269" s="10">
        <f t="shared" si="48"/>
        <v>8.6055612799601056E-2</v>
      </c>
      <c r="AB269" s="7">
        <f t="shared" si="58"/>
        <v>1.6422743468657235</v>
      </c>
      <c r="AC269" s="7">
        <v>2.7057140672197342</v>
      </c>
    </row>
    <row r="270" spans="1:29" x14ac:dyDescent="0.25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28">
        <v>-1</v>
      </c>
      <c r="I270" s="28">
        <v>1</v>
      </c>
      <c r="J270" s="28">
        <v>-1</v>
      </c>
      <c r="K270" s="28">
        <v>1</v>
      </c>
      <c r="L270" s="9">
        <f t="shared" si="57"/>
        <v>0</v>
      </c>
      <c r="M270" s="9">
        <f t="shared" si="50"/>
        <v>8.4063412140974458E-3</v>
      </c>
      <c r="N270" s="9">
        <f t="shared" si="51"/>
        <v>0</v>
      </c>
      <c r="O270" s="9">
        <f t="shared" si="52"/>
        <v>-1.1027446796406659E-2</v>
      </c>
      <c r="P270" s="9">
        <f t="shared" si="53"/>
        <v>8.7157755752241828E-3</v>
      </c>
      <c r="Q270" s="9">
        <f t="shared" si="54"/>
        <v>0</v>
      </c>
      <c r="R270" s="9">
        <f t="shared" si="55"/>
        <v>-8.7157755752241828E-3</v>
      </c>
      <c r="S270" s="9">
        <f t="shared" si="56"/>
        <v>0</v>
      </c>
      <c r="T270" s="10">
        <f t="shared" si="49"/>
        <v>0.90884699652529544</v>
      </c>
      <c r="U270" s="10">
        <f t="shared" si="49"/>
        <v>0.12099735668388623</v>
      </c>
      <c r="V270" s="10">
        <f t="shared" si="49"/>
        <v>-0.28260474614616005</v>
      </c>
      <c r="W270" s="10">
        <f t="shared" si="48"/>
        <v>0.89241363422039499</v>
      </c>
      <c r="X270" s="10">
        <f t="shared" si="48"/>
        <v>0.93636500526736777</v>
      </c>
      <c r="Y270" s="10">
        <f t="shared" si="48"/>
        <v>-8.6055612799601056E-2</v>
      </c>
      <c r="Z270" s="10">
        <f t="shared" si="48"/>
        <v>-0.93636500526736777</v>
      </c>
      <c r="AA270" s="10">
        <f t="shared" si="48"/>
        <v>8.6055612799601056E-2</v>
      </c>
      <c r="AB270" s="7">
        <f t="shared" si="58"/>
        <v>1.6396532412834142</v>
      </c>
      <c r="AC270" s="7">
        <v>2.682194504292216</v>
      </c>
    </row>
    <row r="271" spans="1:29" x14ac:dyDescent="0.25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28">
        <v>-1</v>
      </c>
      <c r="I271" s="28">
        <v>1</v>
      </c>
      <c r="J271" s="28">
        <v>-1</v>
      </c>
      <c r="K271" s="28">
        <v>1</v>
      </c>
      <c r="L271" s="9">
        <f t="shared" si="57"/>
        <v>0</v>
      </c>
      <c r="M271" s="9">
        <f t="shared" si="50"/>
        <v>9.9906566732472779E-3</v>
      </c>
      <c r="N271" s="9">
        <f t="shared" si="51"/>
        <v>0</v>
      </c>
      <c r="O271" s="9">
        <f t="shared" si="52"/>
        <v>6.2721624241458551E-3</v>
      </c>
      <c r="P271" s="9">
        <f t="shared" si="53"/>
        <v>5.9639600654837199E-3</v>
      </c>
      <c r="Q271" s="9">
        <f t="shared" si="54"/>
        <v>0</v>
      </c>
      <c r="R271" s="9">
        <f t="shared" si="55"/>
        <v>-5.9639600654837199E-3</v>
      </c>
      <c r="S271" s="9">
        <f t="shared" si="56"/>
        <v>0</v>
      </c>
      <c r="T271" s="10">
        <f t="shared" si="49"/>
        <v>0.90884699652529544</v>
      </c>
      <c r="U271" s="10">
        <f t="shared" si="49"/>
        <v>0.1309880133571335</v>
      </c>
      <c r="V271" s="10">
        <f t="shared" si="49"/>
        <v>-0.28260474614616005</v>
      </c>
      <c r="W271" s="10">
        <f t="shared" si="48"/>
        <v>0.89868579664454085</v>
      </c>
      <c r="X271" s="10">
        <f t="shared" si="48"/>
        <v>0.94232896533285149</v>
      </c>
      <c r="Y271" s="10">
        <f t="shared" si="48"/>
        <v>-8.6055612799601056E-2</v>
      </c>
      <c r="Z271" s="10">
        <f t="shared" si="48"/>
        <v>-0.94232896533285149</v>
      </c>
      <c r="AA271" s="10">
        <f t="shared" si="48"/>
        <v>8.6055612799601056E-2</v>
      </c>
      <c r="AB271" s="7">
        <f t="shared" si="58"/>
        <v>1.6559160603808074</v>
      </c>
      <c r="AC271" s="7">
        <v>2.7094473207969831</v>
      </c>
    </row>
    <row r="272" spans="1:29" x14ac:dyDescent="0.25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28">
        <v>1</v>
      </c>
      <c r="I272" s="28">
        <v>1</v>
      </c>
      <c r="J272" s="28">
        <v>1</v>
      </c>
      <c r="K272" s="28">
        <v>1</v>
      </c>
      <c r="L272" s="9">
        <f t="shared" si="57"/>
        <v>-4.8247651784222301E-3</v>
      </c>
      <c r="M272" s="9">
        <f t="shared" si="50"/>
        <v>0</v>
      </c>
      <c r="N272" s="9">
        <f t="shared" si="51"/>
        <v>-2.8351407840832229E-2</v>
      </c>
      <c r="O272" s="9">
        <f t="shared" si="52"/>
        <v>0</v>
      </c>
      <c r="P272" s="9">
        <f t="shared" si="53"/>
        <v>-1.644732809261362E-3</v>
      </c>
      <c r="Q272" s="9">
        <f t="shared" si="54"/>
        <v>0</v>
      </c>
      <c r="R272" s="9">
        <f t="shared" si="55"/>
        <v>1.644732809261362E-3</v>
      </c>
      <c r="S272" s="9">
        <f t="shared" si="56"/>
        <v>0</v>
      </c>
      <c r="T272" s="10">
        <f t="shared" si="49"/>
        <v>0.90402223134687321</v>
      </c>
      <c r="U272" s="10">
        <f t="shared" si="49"/>
        <v>0.1309880133571335</v>
      </c>
      <c r="V272" s="10">
        <f t="shared" si="49"/>
        <v>-0.31095615398699228</v>
      </c>
      <c r="W272" s="10">
        <f t="shared" si="48"/>
        <v>0.89868579664454085</v>
      </c>
      <c r="X272" s="10">
        <f t="shared" si="48"/>
        <v>0.94068423252359012</v>
      </c>
      <c r="Y272" s="10">
        <f t="shared" si="48"/>
        <v>-8.6055612799601056E-2</v>
      </c>
      <c r="Z272" s="10">
        <f t="shared" si="48"/>
        <v>-0.94068423252359012</v>
      </c>
      <c r="AA272" s="10">
        <f t="shared" si="48"/>
        <v>8.6055612799601056E-2</v>
      </c>
      <c r="AB272" s="7">
        <f t="shared" si="58"/>
        <v>1.6227398873615528</v>
      </c>
      <c r="AC272" s="7">
        <v>2.6972923962901092</v>
      </c>
    </row>
    <row r="273" spans="1:29" x14ac:dyDescent="0.25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28">
        <v>1</v>
      </c>
      <c r="I273" s="28">
        <v>-1</v>
      </c>
      <c r="J273" s="28">
        <v>1</v>
      </c>
      <c r="K273" s="28">
        <v>-1</v>
      </c>
      <c r="L273" s="9">
        <f t="shared" si="57"/>
        <v>-7.7071332159225348E-3</v>
      </c>
      <c r="M273" s="9">
        <f t="shared" si="50"/>
        <v>0</v>
      </c>
      <c r="N273" s="9">
        <f t="shared" si="51"/>
        <v>-3.854075532923718E-3</v>
      </c>
      <c r="O273" s="9">
        <f t="shared" si="52"/>
        <v>0</v>
      </c>
      <c r="P273" s="9">
        <f t="shared" si="53"/>
        <v>0</v>
      </c>
      <c r="Q273" s="9">
        <f t="shared" si="54"/>
        <v>3.07552886760829E-2</v>
      </c>
      <c r="R273" s="9">
        <f t="shared" si="55"/>
        <v>0</v>
      </c>
      <c r="S273" s="9">
        <f t="shared" si="56"/>
        <v>-3.07552886760829E-2</v>
      </c>
      <c r="T273" s="10">
        <f t="shared" si="49"/>
        <v>0.89631509813095067</v>
      </c>
      <c r="U273" s="10">
        <f t="shared" si="49"/>
        <v>0.1309880133571335</v>
      </c>
      <c r="V273" s="10">
        <f t="shared" si="49"/>
        <v>-0.314810229519916</v>
      </c>
      <c r="W273" s="10">
        <f t="shared" si="48"/>
        <v>0.89868579664454085</v>
      </c>
      <c r="X273" s="10">
        <f t="shared" si="48"/>
        <v>0.94068423252359012</v>
      </c>
      <c r="Y273" s="10">
        <f t="shared" si="48"/>
        <v>-5.5300324123518152E-2</v>
      </c>
      <c r="Z273" s="10">
        <f t="shared" si="48"/>
        <v>-0.94068423252359012</v>
      </c>
      <c r="AA273" s="10">
        <f t="shared" si="48"/>
        <v>5.5300324123518152E-2</v>
      </c>
      <c r="AB273" s="7">
        <f t="shared" si="58"/>
        <v>1.6111786786127067</v>
      </c>
      <c r="AC273" s="7">
        <v>2.641745304078706</v>
      </c>
    </row>
    <row r="274" spans="1:29" x14ac:dyDescent="0.25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28">
        <v>1</v>
      </c>
      <c r="I274" s="28">
        <v>-1</v>
      </c>
      <c r="J274" s="28">
        <v>1</v>
      </c>
      <c r="K274" s="28">
        <v>-1</v>
      </c>
      <c r="L274" s="9">
        <f t="shared" si="57"/>
        <v>5.0847313003916213E-2</v>
      </c>
      <c r="M274" s="9">
        <f t="shared" si="50"/>
        <v>0</v>
      </c>
      <c r="N274" s="9">
        <f t="shared" si="51"/>
        <v>-3.4206800895675633E-2</v>
      </c>
      <c r="O274" s="9">
        <f t="shared" si="52"/>
        <v>0</v>
      </c>
      <c r="P274" s="9">
        <f t="shared" si="53"/>
        <v>0</v>
      </c>
      <c r="Q274" s="9">
        <f t="shared" si="54"/>
        <v>0.10045214054978201</v>
      </c>
      <c r="R274" s="9">
        <f t="shared" si="55"/>
        <v>0</v>
      </c>
      <c r="S274" s="9">
        <f t="shared" si="56"/>
        <v>-0.10045214054978201</v>
      </c>
      <c r="T274" s="10">
        <f t="shared" si="49"/>
        <v>0.94716241113486688</v>
      </c>
      <c r="U274" s="10">
        <f t="shared" si="49"/>
        <v>0.1309880133571335</v>
      </c>
      <c r="V274" s="10">
        <f t="shared" si="49"/>
        <v>-0.34901703041559162</v>
      </c>
      <c r="W274" s="10">
        <f t="shared" si="48"/>
        <v>0.89868579664454085</v>
      </c>
      <c r="X274" s="10">
        <f t="shared" si="48"/>
        <v>0.94068423252359012</v>
      </c>
      <c r="Y274" s="10">
        <f t="shared" si="48"/>
        <v>4.5151816426263855E-2</v>
      </c>
      <c r="Z274" s="10">
        <f t="shared" si="48"/>
        <v>-0.94068423252359012</v>
      </c>
      <c r="AA274" s="10">
        <f t="shared" si="48"/>
        <v>-4.5151816426263855E-2</v>
      </c>
      <c r="AB274" s="7">
        <f t="shared" si="58"/>
        <v>1.6278191907209472</v>
      </c>
      <c r="AC274" s="7">
        <v>2.6438352333767021</v>
      </c>
    </row>
    <row r="275" spans="1:29" x14ac:dyDescent="0.25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28">
        <v>-1</v>
      </c>
      <c r="I275" s="28">
        <v>-1</v>
      </c>
      <c r="J275" s="28">
        <v>-1</v>
      </c>
      <c r="K275" s="28">
        <v>-1</v>
      </c>
      <c r="L275" s="9">
        <f t="shared" si="57"/>
        <v>0</v>
      </c>
      <c r="M275" s="9">
        <f t="shared" si="50"/>
        <v>-1.1402910569974001E-2</v>
      </c>
      <c r="N275" s="9">
        <f t="shared" si="51"/>
        <v>0</v>
      </c>
      <c r="O275" s="9">
        <f t="shared" si="52"/>
        <v>2.7302779016475601E-2</v>
      </c>
      <c r="P275" s="9">
        <f t="shared" si="53"/>
        <v>0</v>
      </c>
      <c r="Q275" s="9">
        <f t="shared" si="54"/>
        <v>-1.204379430636404E-2</v>
      </c>
      <c r="R275" s="9">
        <f t="shared" si="55"/>
        <v>0</v>
      </c>
      <c r="S275" s="9">
        <f t="shared" si="56"/>
        <v>1.204379430636404E-2</v>
      </c>
      <c r="T275" s="10">
        <f t="shared" si="49"/>
        <v>0.94716241113486688</v>
      </c>
      <c r="U275" s="10">
        <f t="shared" si="49"/>
        <v>0.1195851027871595</v>
      </c>
      <c r="V275" s="10">
        <f t="shared" si="49"/>
        <v>-0.34901703041559162</v>
      </c>
      <c r="W275" s="10">
        <f t="shared" si="48"/>
        <v>0.92598857566101644</v>
      </c>
      <c r="X275" s="10">
        <f t="shared" si="48"/>
        <v>0.94068423252359012</v>
      </c>
      <c r="Y275" s="10">
        <f t="shared" si="48"/>
        <v>3.3108022119899813E-2</v>
      </c>
      <c r="Z275" s="10">
        <f t="shared" si="48"/>
        <v>-0.94068423252359012</v>
      </c>
      <c r="AA275" s="10">
        <f t="shared" si="48"/>
        <v>-3.3108022119899813E-2</v>
      </c>
      <c r="AB275" s="7">
        <f t="shared" si="58"/>
        <v>1.6437190591674489</v>
      </c>
      <c r="AC275" s="7">
        <v>2.7060042862219729</v>
      </c>
    </row>
    <row r="276" spans="1:29" x14ac:dyDescent="0.25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28">
        <v>-1</v>
      </c>
      <c r="I276" s="28">
        <v>1</v>
      </c>
      <c r="J276" s="28">
        <v>-1</v>
      </c>
      <c r="K276" s="28">
        <v>1</v>
      </c>
      <c r="L276" s="9">
        <f t="shared" si="57"/>
        <v>0</v>
      </c>
      <c r="M276" s="9">
        <f t="shared" si="50"/>
        <v>-2.9180958003939491E-2</v>
      </c>
      <c r="N276" s="9">
        <f t="shared" si="51"/>
        <v>0</v>
      </c>
      <c r="O276" s="9">
        <f t="shared" si="52"/>
        <v>1.7020920487673449E-2</v>
      </c>
      <c r="P276" s="9">
        <f t="shared" si="53"/>
        <v>1.6503335429217669E-2</v>
      </c>
      <c r="Q276" s="9">
        <f t="shared" si="54"/>
        <v>0</v>
      </c>
      <c r="R276" s="9">
        <f t="shared" si="55"/>
        <v>-1.6503335429217669E-2</v>
      </c>
      <c r="S276" s="9">
        <f t="shared" si="56"/>
        <v>0</v>
      </c>
      <c r="T276" s="10">
        <f t="shared" si="49"/>
        <v>0.94716241113486688</v>
      </c>
      <c r="U276" s="10">
        <f t="shared" si="49"/>
        <v>9.0404144783220008E-2</v>
      </c>
      <c r="V276" s="10">
        <f t="shared" si="49"/>
        <v>-0.34901703041559162</v>
      </c>
      <c r="W276" s="10">
        <f t="shared" si="48"/>
        <v>0.9430094961486899</v>
      </c>
      <c r="X276" s="10">
        <f t="shared" si="48"/>
        <v>0.95718756795280779</v>
      </c>
      <c r="Y276" s="10">
        <f t="shared" si="48"/>
        <v>3.3108022119899813E-2</v>
      </c>
      <c r="Z276" s="10">
        <f t="shared" si="48"/>
        <v>-0.95718756795280779</v>
      </c>
      <c r="AA276" s="10">
        <f t="shared" si="48"/>
        <v>-3.3108022119899813E-2</v>
      </c>
      <c r="AB276" s="7">
        <f t="shared" si="58"/>
        <v>1.6315590216511828</v>
      </c>
      <c r="AC276" s="7">
        <v>2.7565490644019581</v>
      </c>
    </row>
    <row r="277" spans="1:29" x14ac:dyDescent="0.25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28">
        <v>-1</v>
      </c>
      <c r="I277" s="28">
        <v>1</v>
      </c>
      <c r="J277" s="28">
        <v>-1</v>
      </c>
      <c r="K277" s="28">
        <v>1</v>
      </c>
      <c r="L277" s="9">
        <f t="shared" si="57"/>
        <v>0</v>
      </c>
      <c r="M277" s="9">
        <f t="shared" si="50"/>
        <v>-5.1636496140897714E-3</v>
      </c>
      <c r="N277" s="9">
        <f t="shared" si="51"/>
        <v>0</v>
      </c>
      <c r="O277" s="9">
        <f t="shared" si="52"/>
        <v>4.8247440591927537E-3</v>
      </c>
      <c r="P277" s="9">
        <f t="shared" si="53"/>
        <v>4.0913142780306666E-3</v>
      </c>
      <c r="Q277" s="9">
        <f t="shared" si="54"/>
        <v>0</v>
      </c>
      <c r="R277" s="9">
        <f t="shared" si="55"/>
        <v>-4.0913142780306666E-3</v>
      </c>
      <c r="S277" s="9">
        <f t="shared" si="56"/>
        <v>0</v>
      </c>
      <c r="T277" s="10">
        <f t="shared" si="49"/>
        <v>0.94716241113486688</v>
      </c>
      <c r="U277" s="10">
        <f t="shared" si="49"/>
        <v>8.5240495169130237E-2</v>
      </c>
      <c r="V277" s="10">
        <f t="shared" si="49"/>
        <v>-0.34901703041559162</v>
      </c>
      <c r="W277" s="10">
        <f t="shared" si="48"/>
        <v>0.94783424020788265</v>
      </c>
      <c r="X277" s="10">
        <f t="shared" si="48"/>
        <v>0.96127888223083846</v>
      </c>
      <c r="Y277" s="10">
        <f t="shared" si="48"/>
        <v>3.3108022119899813E-2</v>
      </c>
      <c r="Z277" s="10">
        <f t="shared" si="48"/>
        <v>-0.96127888223083846</v>
      </c>
      <c r="AA277" s="10">
        <f t="shared" si="48"/>
        <v>-3.3108022119899813E-2</v>
      </c>
      <c r="AB277" s="7">
        <f t="shared" si="58"/>
        <v>1.6312201160962858</v>
      </c>
      <c r="AC277" s="7">
        <v>2.7795102426250078</v>
      </c>
    </row>
    <row r="278" spans="1:29" x14ac:dyDescent="0.25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28">
        <v>-1</v>
      </c>
      <c r="I278" s="28">
        <v>1</v>
      </c>
      <c r="J278" s="28">
        <v>-1</v>
      </c>
      <c r="K278" s="28">
        <v>1</v>
      </c>
      <c r="L278" s="9">
        <f t="shared" si="57"/>
        <v>0</v>
      </c>
      <c r="M278" s="9">
        <f t="shared" si="50"/>
        <v>-1.4998977325476731E-2</v>
      </c>
      <c r="N278" s="9">
        <f t="shared" si="51"/>
        <v>0</v>
      </c>
      <c r="O278" s="9">
        <f t="shared" si="52"/>
        <v>2.2755625040031808E-3</v>
      </c>
      <c r="P278" s="9">
        <f t="shared" si="53"/>
        <v>5.6146303123538743E-4</v>
      </c>
      <c r="Q278" s="9">
        <f t="shared" si="54"/>
        <v>0</v>
      </c>
      <c r="R278" s="9">
        <f t="shared" si="55"/>
        <v>-5.6146303123538743E-4</v>
      </c>
      <c r="S278" s="9">
        <f t="shared" si="56"/>
        <v>0</v>
      </c>
      <c r="T278" s="15">
        <f t="shared" si="49"/>
        <v>0.94716241113486688</v>
      </c>
      <c r="U278" s="15">
        <f t="shared" si="49"/>
        <v>7.0241517843653511E-2</v>
      </c>
      <c r="V278" s="15">
        <f t="shared" si="49"/>
        <v>-0.34901703041559162</v>
      </c>
      <c r="W278" s="15">
        <f t="shared" si="48"/>
        <v>0.95010980271188583</v>
      </c>
      <c r="X278" s="20">
        <f t="shared" si="48"/>
        <v>0.96184034526207385</v>
      </c>
      <c r="Y278" s="20">
        <f t="shared" si="48"/>
        <v>3.3108022119899813E-2</v>
      </c>
      <c r="Z278" s="21">
        <f t="shared" si="48"/>
        <v>-0.96184034526207385</v>
      </c>
      <c r="AA278" s="19">
        <f t="shared" si="48"/>
        <v>-3.3108022119899813E-2</v>
      </c>
      <c r="AB278" s="19">
        <f t="shared" si="58"/>
        <v>1.6184967012748122</v>
      </c>
      <c r="AC278" s="7">
        <v>2.8004000561701399</v>
      </c>
    </row>
    <row r="279" spans="1:29" s="27" customFormat="1" x14ac:dyDescent="0.25">
      <c r="A279" s="26"/>
      <c r="B279" s="16"/>
      <c r="C279" s="16"/>
      <c r="D279" s="16"/>
      <c r="E279" s="16"/>
      <c r="F279" s="16"/>
      <c r="G279" s="16"/>
      <c r="H279" s="29">
        <f>SUM(H2:H278)</f>
        <v>-71</v>
      </c>
      <c r="I279" s="29">
        <f>SUM(I2:I278)</f>
        <v>70</v>
      </c>
      <c r="J279" s="29">
        <f>SUM(J2:J278)</f>
        <v>-71</v>
      </c>
      <c r="K279" s="29">
        <f>SUM(K2:K278)</f>
        <v>70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1" spans="1:29" x14ac:dyDescent="0.25">
      <c r="T281" s="7" t="s">
        <v>35</v>
      </c>
    </row>
    <row r="282" spans="1:29" x14ac:dyDescent="0.25">
      <c r="T282" s="17" t="s">
        <v>36</v>
      </c>
      <c r="U282" s="13"/>
    </row>
    <row r="283" spans="1:29" x14ac:dyDescent="0.25">
      <c r="T283" s="21" t="s">
        <v>37</v>
      </c>
      <c r="U283" s="22"/>
    </row>
    <row r="284" spans="1:29" x14ac:dyDescent="0.25">
      <c r="T284" s="19" t="s">
        <v>33</v>
      </c>
      <c r="U284" s="19"/>
    </row>
    <row r="289" spans="20:20" x14ac:dyDescent="0.25">
      <c r="T289" s="25" t="s">
        <v>38</v>
      </c>
    </row>
    <row r="1048576" spans="8:8" x14ac:dyDescent="0.25">
      <c r="H1048576" s="28">
        <f>SUM(H2:H1048575)</f>
        <v>-142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449-9063-4695-8833-DDF9DE9DFBB8}">
  <dimension ref="A1:AF295"/>
  <sheetViews>
    <sheetView tabSelected="1" zoomScale="85" zoomScaleNormal="85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K12" sqref="AK12"/>
    </sheetView>
  </sheetViews>
  <sheetFormatPr defaultRowHeight="15" x14ac:dyDescent="0.25"/>
  <cols>
    <col min="1" max="1" width="10.85546875" style="6" bestFit="1" customWidth="1"/>
    <col min="2" max="2" width="7.85546875" style="7" bestFit="1" customWidth="1"/>
    <col min="3" max="3" width="12.85546875" style="7" bestFit="1" customWidth="1"/>
    <col min="4" max="4" width="12.7109375" style="7" bestFit="1" customWidth="1"/>
    <col min="5" max="6" width="12.5703125" style="7" bestFit="1" customWidth="1"/>
    <col min="7" max="7" width="12.42578125" style="7" bestFit="1" customWidth="1"/>
    <col min="8" max="8" width="15.140625" style="12" bestFit="1" customWidth="1"/>
    <col min="9" max="9" width="15" style="12" bestFit="1" customWidth="1"/>
    <col min="10" max="10" width="14.5703125" style="23" bestFit="1" customWidth="1"/>
    <col min="11" max="11" width="14.42578125" style="23" bestFit="1" customWidth="1"/>
    <col min="12" max="12" width="28.140625" style="7" bestFit="1" customWidth="1"/>
    <col min="13" max="13" width="28.7109375" style="7" bestFit="1" customWidth="1"/>
    <col min="14" max="14" width="28.42578125" style="7" bestFit="1" customWidth="1"/>
    <col min="15" max="15" width="27.85546875" style="7" bestFit="1" customWidth="1"/>
    <col min="16" max="16" width="29" style="7" bestFit="1" customWidth="1"/>
    <col min="17" max="17" width="29.5703125" style="7" bestFit="1" customWidth="1"/>
    <col min="18" max="18" width="29.28515625" style="7" bestFit="1" customWidth="1"/>
    <col min="19" max="19" width="28.7109375" style="7" bestFit="1" customWidth="1"/>
    <col min="20" max="20" width="32.140625" style="7" bestFit="1" customWidth="1"/>
    <col min="21" max="21" width="32.5703125" style="7" bestFit="1" customWidth="1"/>
    <col min="22" max="22" width="32.28515625" style="7" bestFit="1" customWidth="1"/>
    <col min="23" max="23" width="31.7109375" style="7" bestFit="1" customWidth="1"/>
    <col min="24" max="24" width="32.85546875" style="7" bestFit="1" customWidth="1"/>
    <col min="25" max="25" width="33.42578125" style="7" bestFit="1" customWidth="1"/>
    <col min="26" max="26" width="33.140625" style="7" bestFit="1" customWidth="1"/>
    <col min="27" max="27" width="32.5703125" style="7" bestFit="1" customWidth="1"/>
    <col min="28" max="28" width="8.7109375" style="7" bestFit="1" customWidth="1"/>
    <col min="29" max="29" width="11.28515625" style="7" bestFit="1" customWidth="1"/>
    <col min="30" max="31" width="9.140625" style="8"/>
    <col min="32" max="32" width="9.140625" style="7"/>
    <col min="33" max="16384" width="9.140625" style="8"/>
  </cols>
  <sheetData>
    <row r="1" spans="1:32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2" t="s">
        <v>29</v>
      </c>
      <c r="I1" s="12" t="s">
        <v>30</v>
      </c>
      <c r="J1" s="23" t="s">
        <v>28</v>
      </c>
      <c r="K1" s="23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  <c r="AF1" s="7" t="s">
        <v>39</v>
      </c>
    </row>
    <row r="2" spans="1:32" x14ac:dyDescent="0.25">
      <c r="A2" s="6">
        <v>37469</v>
      </c>
      <c r="B2" s="7">
        <v>6.7786154352028833E-3</v>
      </c>
      <c r="C2" s="7">
        <v>1.0151052696173293E-2</v>
      </c>
      <c r="D2" s="7">
        <v>-4.2345772443368498E-2</v>
      </c>
      <c r="E2" s="7">
        <v>1.469165253014592E-2</v>
      </c>
      <c r="F2" s="7">
        <v>-3.414351278145604E-2</v>
      </c>
      <c r="G2" s="7">
        <v>1.4075972845321685E-2</v>
      </c>
      <c r="H2" s="12">
        <v>-1</v>
      </c>
      <c r="I2" s="12">
        <v>0</v>
      </c>
      <c r="J2" s="23">
        <v>-1</v>
      </c>
      <c r="K2" s="23">
        <v>0</v>
      </c>
      <c r="L2" s="9">
        <f>IF(H2=1,D2,0)</f>
        <v>0</v>
      </c>
      <c r="M2" s="9">
        <f>IF(H2=-1,-D2,0)</f>
        <v>4.2345772443368498E-2</v>
      </c>
      <c r="N2" s="9">
        <f>IF(H2=1,-E2,0)</f>
        <v>0</v>
      </c>
      <c r="O2" s="9">
        <f>IF(H2=-1,E2,0)</f>
        <v>1.469165253014592E-2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4.2345772443368498E-2</v>
      </c>
      <c r="V2" s="10">
        <f>N2</f>
        <v>0</v>
      </c>
      <c r="W2" s="10">
        <f>O2</f>
        <v>1.469165253014592E-2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5.7037424973514418E-2</v>
      </c>
      <c r="AC2" s="7">
        <v>1.1221760356182281E-2</v>
      </c>
      <c r="AF2" s="7">
        <v>5.7037424973514418E-2</v>
      </c>
    </row>
    <row r="3" spans="1:32" x14ac:dyDescent="0.25">
      <c r="A3" s="6">
        <v>37500</v>
      </c>
      <c r="B3" s="7">
        <v>-0.11076677231132262</v>
      </c>
      <c r="C3" s="7">
        <v>-0.12654670885184757</v>
      </c>
      <c r="D3" s="7">
        <v>-2.2605263607593816E-2</v>
      </c>
      <c r="E3" s="7">
        <v>3.3248630832344141E-3</v>
      </c>
      <c r="F3" s="7">
        <v>-1.2278930521347042E-2</v>
      </c>
      <c r="G3" s="7">
        <v>7.1598070258672257E-3</v>
      </c>
      <c r="H3" s="12">
        <v>1</v>
      </c>
      <c r="I3" s="12">
        <v>1</v>
      </c>
      <c r="J3" s="23">
        <v>1</v>
      </c>
      <c r="K3" s="23">
        <v>1</v>
      </c>
      <c r="L3" s="9">
        <f>IF(H3=1,D3,0)</f>
        <v>-2.2605263607593816E-2</v>
      </c>
      <c r="M3" s="9">
        <f t="shared" ref="M3:M66" si="1">IF(H3=-1,-D3,0)</f>
        <v>0</v>
      </c>
      <c r="N3" s="9">
        <f t="shared" ref="N3:N66" si="2">IF(H3=1,-E3,0)</f>
        <v>-3.3248630832344141E-3</v>
      </c>
      <c r="O3" s="9">
        <f t="shared" ref="O3:O66" si="3">IF(H3=-1,E3,0)</f>
        <v>0</v>
      </c>
      <c r="P3" s="9">
        <f t="shared" ref="P3:P66" si="4">IF(I3=1,F3,0)</f>
        <v>-1.2278930521347042E-2</v>
      </c>
      <c r="Q3" s="9">
        <f t="shared" ref="Q3:Q66" si="5">IF($I3=-1,-$F3,0)</f>
        <v>0</v>
      </c>
      <c r="R3" s="9">
        <f t="shared" ref="R3:R66" si="6">IF($I3=1,-$F3,0)</f>
        <v>1.2278930521347042E-2</v>
      </c>
      <c r="S3" s="9">
        <f t="shared" ref="S3:S66" si="7">IF($I3=-1,$F3,0)</f>
        <v>0</v>
      </c>
      <c r="T3" s="10">
        <f>L3+T2</f>
        <v>-2.2605263607593816E-2</v>
      </c>
      <c r="U3" s="10">
        <f>M3+U2</f>
        <v>4.2345772443368498E-2</v>
      </c>
      <c r="V3" s="10">
        <f t="shared" ref="V3:AA18" si="8">N3+V2</f>
        <v>-3.3248630832344141E-3</v>
      </c>
      <c r="W3" s="10">
        <f t="shared" si="8"/>
        <v>1.469165253014592E-2</v>
      </c>
      <c r="X3" s="10">
        <f t="shared" si="8"/>
        <v>-1.2278930521347042E-2</v>
      </c>
      <c r="Y3" s="10">
        <f t="shared" si="8"/>
        <v>0</v>
      </c>
      <c r="Z3" s="10">
        <f t="shared" si="8"/>
        <v>1.2278930521347042E-2</v>
      </c>
      <c r="AA3" s="10">
        <f t="shared" si="8"/>
        <v>0</v>
      </c>
      <c r="AB3" s="7">
        <f>AB2+SUM(L3:S3)</f>
        <v>3.1107298282686192E-2</v>
      </c>
      <c r="AC3" s="7">
        <v>-9.6333951281998287E-2</v>
      </c>
      <c r="AF3" s="7">
        <v>1.1668560735471921E-2</v>
      </c>
    </row>
    <row r="4" spans="1:32" x14ac:dyDescent="0.25">
      <c r="A4" s="6">
        <v>37530</v>
      </c>
      <c r="B4" s="7">
        <v>7.9072556471592031E-2</v>
      </c>
      <c r="C4" s="7">
        <v>0.16075988880458544</v>
      </c>
      <c r="D4" s="7">
        <v>-1.8468757302789001E-2</v>
      </c>
      <c r="E4" s="7">
        <v>2.5574892630438432E-2</v>
      </c>
      <c r="F4" s="7">
        <v>-3.3063528520603847E-2</v>
      </c>
      <c r="G4" s="7">
        <v>-4.4185292609520352E-3</v>
      </c>
      <c r="H4" s="12">
        <v>-1</v>
      </c>
      <c r="I4" s="12">
        <v>-1</v>
      </c>
      <c r="J4" s="23">
        <v>-1</v>
      </c>
      <c r="K4" s="23">
        <v>-1</v>
      </c>
      <c r="L4" s="9">
        <f t="shared" ref="L4:L67" si="9">IF(H4=1,D4,0)</f>
        <v>0</v>
      </c>
      <c r="M4" s="9">
        <f t="shared" si="1"/>
        <v>1.8468757302789001E-2</v>
      </c>
      <c r="N4" s="9">
        <f t="shared" si="2"/>
        <v>0</v>
      </c>
      <c r="O4" s="9">
        <f t="shared" si="3"/>
        <v>2.5574892630438432E-2</v>
      </c>
      <c r="P4" s="9">
        <f t="shared" si="4"/>
        <v>0</v>
      </c>
      <c r="Q4" s="9">
        <f t="shared" si="5"/>
        <v>3.3063528520603847E-2</v>
      </c>
      <c r="R4" s="9">
        <f t="shared" si="6"/>
        <v>0</v>
      </c>
      <c r="S4" s="9">
        <f t="shared" si="7"/>
        <v>-3.3063528520603847E-2</v>
      </c>
      <c r="T4" s="10">
        <f>L4+T3</f>
        <v>-2.2605263607593816E-2</v>
      </c>
      <c r="U4" s="10">
        <f t="shared" ref="U4:AA19" si="10">M4+U3</f>
        <v>6.0814529746157503E-2</v>
      </c>
      <c r="V4" s="10">
        <f t="shared" si="8"/>
        <v>-3.3248630832344141E-3</v>
      </c>
      <c r="W4" s="10">
        <f t="shared" si="8"/>
        <v>4.0266545160584352E-2</v>
      </c>
      <c r="X4" s="10">
        <f t="shared" si="8"/>
        <v>-1.2278930521347042E-2</v>
      </c>
      <c r="Y4" s="10">
        <f t="shared" si="8"/>
        <v>3.3063528520603847E-2</v>
      </c>
      <c r="Z4" s="10">
        <f t="shared" si="8"/>
        <v>1.2278930521347042E-2</v>
      </c>
      <c r="AA4" s="10">
        <f t="shared" si="8"/>
        <v>-3.3063528520603847E-2</v>
      </c>
      <c r="AB4" s="7">
        <f t="shared" ref="AB4:AB67" si="11">AB3+SUM(L4:S4)</f>
        <v>7.5150948215913616E-2</v>
      </c>
      <c r="AC4" s="7">
        <v>-1.081832374806435E-2</v>
      </c>
      <c r="AF4" s="7">
        <v>8.4357209928351162E-2</v>
      </c>
    </row>
    <row r="5" spans="1:32" x14ac:dyDescent="0.25">
      <c r="A5" s="6">
        <v>37561</v>
      </c>
      <c r="B5" s="7">
        <v>5.9854092957559765E-2</v>
      </c>
      <c r="C5" s="7">
        <v>6.3586580985996705E-2</v>
      </c>
      <c r="D5" s="7">
        <v>-1.1693546525228817E-3</v>
      </c>
      <c r="E5" s="7">
        <v>-6.6405285442990448E-3</v>
      </c>
      <c r="F5" s="7">
        <v>2.4990820097527615E-2</v>
      </c>
      <c r="G5" s="7">
        <v>1.5959440241275595E-2</v>
      </c>
      <c r="H5" s="12">
        <v>-1</v>
      </c>
      <c r="I5" s="12">
        <v>1</v>
      </c>
      <c r="J5" s="23">
        <v>-1</v>
      </c>
      <c r="K5" s="23">
        <v>1</v>
      </c>
      <c r="L5" s="9">
        <f t="shared" si="9"/>
        <v>0</v>
      </c>
      <c r="M5" s="9">
        <f t="shared" si="1"/>
        <v>1.1693546525228817E-3</v>
      </c>
      <c r="N5" s="9">
        <f t="shared" si="2"/>
        <v>0</v>
      </c>
      <c r="O5" s="9">
        <f t="shared" si="3"/>
        <v>-6.6405285442990448E-3</v>
      </c>
      <c r="P5" s="9">
        <f t="shared" si="4"/>
        <v>2.4990820097527615E-2</v>
      </c>
      <c r="Q5" s="9">
        <f t="shared" si="5"/>
        <v>0</v>
      </c>
      <c r="R5" s="9">
        <f t="shared" si="6"/>
        <v>-2.4990820097527615E-2</v>
      </c>
      <c r="S5" s="9">
        <f t="shared" si="7"/>
        <v>0</v>
      </c>
      <c r="T5" s="10">
        <f>L5+T4</f>
        <v>-2.2605263607593816E-2</v>
      </c>
      <c r="U5" s="10">
        <f t="shared" si="10"/>
        <v>6.1983884398680383E-2</v>
      </c>
      <c r="V5" s="10">
        <f t="shared" si="8"/>
        <v>-3.3248630832344141E-3</v>
      </c>
      <c r="W5" s="10">
        <f t="shared" si="8"/>
        <v>3.3626016616285309E-2</v>
      </c>
      <c r="X5" s="10">
        <f t="shared" si="8"/>
        <v>1.2711889576180573E-2</v>
      </c>
      <c r="Y5" s="10">
        <f t="shared" si="8"/>
        <v>3.3063528520603847E-2</v>
      </c>
      <c r="Z5" s="10">
        <f t="shared" si="8"/>
        <v>-1.2711889576180573E-2</v>
      </c>
      <c r="AA5" s="10">
        <f t="shared" si="8"/>
        <v>-3.3063528520603847E-2</v>
      </c>
      <c r="AB5" s="7">
        <f t="shared" si="11"/>
        <v>6.9679774324137453E-2</v>
      </c>
      <c r="AC5" s="7">
        <v>5.1193350125372072E-2</v>
      </c>
      <c r="AF5" s="7">
        <v>8.7917415892827019E-2</v>
      </c>
    </row>
    <row r="6" spans="1:32" x14ac:dyDescent="0.25">
      <c r="A6" s="6">
        <v>37591</v>
      </c>
      <c r="B6" s="7">
        <v>-5.823252946503793E-2</v>
      </c>
      <c r="C6" s="7">
        <v>-6.4204942347053789E-2</v>
      </c>
      <c r="D6" s="7">
        <v>-1.975141288916684E-2</v>
      </c>
      <c r="E6" s="7">
        <v>1.8537161373992306E-2</v>
      </c>
      <c r="F6" s="7">
        <v>-2.0967368053873555E-2</v>
      </c>
      <c r="G6" s="7">
        <v>1.1778490418373625E-2</v>
      </c>
      <c r="H6" s="12">
        <v>1</v>
      </c>
      <c r="I6" s="12">
        <v>1</v>
      </c>
      <c r="J6" s="23">
        <v>1</v>
      </c>
      <c r="K6" s="23">
        <v>1</v>
      </c>
      <c r="L6" s="9">
        <f t="shared" si="9"/>
        <v>-1.975141288916684E-2</v>
      </c>
      <c r="M6" s="9">
        <f t="shared" si="1"/>
        <v>0</v>
      </c>
      <c r="N6" s="9">
        <f t="shared" si="2"/>
        <v>-1.8537161373992306E-2</v>
      </c>
      <c r="O6" s="9">
        <f t="shared" si="3"/>
        <v>0</v>
      </c>
      <c r="P6" s="9">
        <f t="shared" si="4"/>
        <v>-2.0967368053873555E-2</v>
      </c>
      <c r="Q6" s="9">
        <f t="shared" si="5"/>
        <v>0</v>
      </c>
      <c r="R6" s="9">
        <f t="shared" si="6"/>
        <v>2.0967368053873555E-2</v>
      </c>
      <c r="S6" s="9">
        <f t="shared" si="7"/>
        <v>0</v>
      </c>
      <c r="T6" s="10">
        <f t="shared" ref="T6:AA21" si="12">L6+T5</f>
        <v>-4.2356676496760656E-2</v>
      </c>
      <c r="U6" s="10">
        <f t="shared" si="10"/>
        <v>6.1983884398680383E-2</v>
      </c>
      <c r="V6" s="10">
        <f t="shared" si="8"/>
        <v>-2.1862024457226719E-2</v>
      </c>
      <c r="W6" s="10">
        <f t="shared" si="8"/>
        <v>3.3626016616285309E-2</v>
      </c>
      <c r="X6" s="10">
        <f t="shared" si="8"/>
        <v>-8.2554784776929825E-3</v>
      </c>
      <c r="Y6" s="10">
        <f t="shared" si="8"/>
        <v>3.3063528520603847E-2</v>
      </c>
      <c r="Z6" s="10">
        <f t="shared" si="8"/>
        <v>8.2554784776929825E-3</v>
      </c>
      <c r="AA6" s="10">
        <f t="shared" si="8"/>
        <v>-3.3063528520603847E-2</v>
      </c>
      <c r="AB6" s="7">
        <f t="shared" si="11"/>
        <v>3.1391200060978314E-2</v>
      </c>
      <c r="AC6" s="7">
        <v>-5.3738688844074964E-3</v>
      </c>
      <c r="AF6" s="7">
        <v>1.6882983157420692E-2</v>
      </c>
    </row>
    <row r="7" spans="1:32" x14ac:dyDescent="0.25">
      <c r="A7" s="6">
        <v>37622</v>
      </c>
      <c r="B7" s="7">
        <v>-2.4902965529687425E-2</v>
      </c>
      <c r="C7" s="7">
        <v>1.8151719234693674E-2</v>
      </c>
      <c r="D7" s="7">
        <v>-3.0328305801601459E-2</v>
      </c>
      <c r="E7" s="7">
        <v>6.9506100607132654E-3</v>
      </c>
      <c r="F7" s="7">
        <v>3.5188717539179765E-2</v>
      </c>
      <c r="G7" s="7">
        <v>-1.8000451301945945E-2</v>
      </c>
      <c r="H7" s="12">
        <v>-1</v>
      </c>
      <c r="I7" s="12">
        <v>-1</v>
      </c>
      <c r="J7" s="23">
        <v>-1</v>
      </c>
      <c r="K7" s="23">
        <v>-1</v>
      </c>
      <c r="L7" s="9">
        <f t="shared" si="9"/>
        <v>0</v>
      </c>
      <c r="M7" s="9">
        <f t="shared" si="1"/>
        <v>3.0328305801601459E-2</v>
      </c>
      <c r="N7" s="9">
        <f t="shared" si="2"/>
        <v>0</v>
      </c>
      <c r="O7" s="9">
        <f t="shared" si="3"/>
        <v>6.9506100607132654E-3</v>
      </c>
      <c r="P7" s="9">
        <f t="shared" si="4"/>
        <v>0</v>
      </c>
      <c r="Q7" s="9">
        <f t="shared" si="5"/>
        <v>-3.5188717539179765E-2</v>
      </c>
      <c r="R7" s="9">
        <f t="shared" si="6"/>
        <v>0</v>
      </c>
      <c r="S7" s="9">
        <f t="shared" si="7"/>
        <v>3.5188717539179765E-2</v>
      </c>
      <c r="T7" s="10">
        <f t="shared" si="12"/>
        <v>-4.2356676496760656E-2</v>
      </c>
      <c r="U7" s="10">
        <f t="shared" si="10"/>
        <v>9.2312190200281835E-2</v>
      </c>
      <c r="V7" s="10">
        <f t="shared" si="8"/>
        <v>-2.1862024457226719E-2</v>
      </c>
      <c r="W7" s="10">
        <f t="shared" si="8"/>
        <v>4.0576626676998573E-2</v>
      </c>
      <c r="X7" s="10">
        <f t="shared" si="8"/>
        <v>-8.2554784776929825E-3</v>
      </c>
      <c r="Y7" s="10">
        <f t="shared" si="8"/>
        <v>-2.1251890185759181E-3</v>
      </c>
      <c r="Z7" s="10">
        <f t="shared" si="8"/>
        <v>8.2554784776929825E-3</v>
      </c>
      <c r="AA7" s="10">
        <f t="shared" si="8"/>
        <v>2.1251890185759181E-3</v>
      </c>
      <c r="AB7" s="7">
        <f t="shared" si="11"/>
        <v>6.8670115923293029E-2</v>
      </c>
      <c r="AC7" s="7">
        <v>-2.802007346142887E-2</v>
      </c>
      <c r="AF7" s="7">
        <v>9.7273017860970493E-4</v>
      </c>
    </row>
    <row r="8" spans="1:32" x14ac:dyDescent="0.25">
      <c r="A8" s="6">
        <v>37653</v>
      </c>
      <c r="B8" s="7">
        <v>-1.3570614197984544E-2</v>
      </c>
      <c r="C8" s="7">
        <v>-3.7582425932882781E-2</v>
      </c>
      <c r="D8" s="7">
        <v>1.3040803122683371E-2</v>
      </c>
      <c r="E8" s="7">
        <v>1.9532753075675407E-2</v>
      </c>
      <c r="F8" s="7">
        <v>-3.1156082648895776E-2</v>
      </c>
      <c r="G8" s="7">
        <v>7.5842026835619726E-3</v>
      </c>
      <c r="H8" s="12">
        <v>1</v>
      </c>
      <c r="I8" s="12">
        <v>1</v>
      </c>
      <c r="J8" s="23">
        <v>1</v>
      </c>
      <c r="K8" s="23">
        <v>1</v>
      </c>
      <c r="L8" s="9">
        <f t="shared" si="9"/>
        <v>1.3040803122683371E-2</v>
      </c>
      <c r="M8" s="9">
        <f t="shared" si="1"/>
        <v>0</v>
      </c>
      <c r="N8" s="9">
        <f t="shared" si="2"/>
        <v>-1.9532753075675407E-2</v>
      </c>
      <c r="O8" s="9">
        <f t="shared" si="3"/>
        <v>0</v>
      </c>
      <c r="P8" s="9">
        <f t="shared" si="4"/>
        <v>-3.1156082648895776E-2</v>
      </c>
      <c r="Q8" s="9">
        <f t="shared" si="5"/>
        <v>0</v>
      </c>
      <c r="R8" s="9">
        <f t="shared" si="6"/>
        <v>3.1156082648895776E-2</v>
      </c>
      <c r="S8" s="9">
        <f t="shared" si="7"/>
        <v>0</v>
      </c>
      <c r="T8" s="10">
        <f t="shared" si="12"/>
        <v>-2.9315873374077286E-2</v>
      </c>
      <c r="U8" s="10">
        <f t="shared" si="10"/>
        <v>9.2312190200281835E-2</v>
      </c>
      <c r="V8" s="10">
        <f t="shared" si="8"/>
        <v>-4.1394777532902126E-2</v>
      </c>
      <c r="W8" s="10">
        <f t="shared" si="8"/>
        <v>4.0576626676998573E-2</v>
      </c>
      <c r="X8" s="10">
        <f t="shared" si="8"/>
        <v>-3.9411561126588758E-2</v>
      </c>
      <c r="Y8" s="10">
        <f t="shared" si="8"/>
        <v>-2.1251890185759181E-3</v>
      </c>
      <c r="Z8" s="10">
        <f t="shared" si="8"/>
        <v>3.9411561126588758E-2</v>
      </c>
      <c r="AA8" s="10">
        <f t="shared" si="8"/>
        <v>2.1251890185759181E-3</v>
      </c>
      <c r="AB8" s="7">
        <f t="shared" si="11"/>
        <v>6.2178165970300986E-2</v>
      </c>
      <c r="AC8" s="7">
        <v>-4.0369236003721443E-2</v>
      </c>
      <c r="AF8" s="7">
        <v>-4.4259505106840083E-2</v>
      </c>
    </row>
    <row r="9" spans="1:32" x14ac:dyDescent="0.25">
      <c r="A9" s="6">
        <v>37681</v>
      </c>
      <c r="B9" s="7">
        <v>2.1372549105130832E-3</v>
      </c>
      <c r="C9" s="7">
        <v>0.10501108443958183</v>
      </c>
      <c r="D9" s="7">
        <v>-5.6549706399883812E-2</v>
      </c>
      <c r="E9" s="7">
        <v>3.2583379175479654E-2</v>
      </c>
      <c r="F9" s="7">
        <v>-1.8785634688455129E-2</v>
      </c>
      <c r="G9" s="7">
        <v>4.7606175207964068E-3</v>
      </c>
      <c r="H9" s="12">
        <v>-1</v>
      </c>
      <c r="I9" s="12">
        <v>-1</v>
      </c>
      <c r="J9" s="23">
        <v>-1</v>
      </c>
      <c r="K9" s="23">
        <v>-1</v>
      </c>
      <c r="L9" s="9">
        <f t="shared" si="9"/>
        <v>0</v>
      </c>
      <c r="M9" s="9">
        <f t="shared" si="1"/>
        <v>5.6549706399883812E-2</v>
      </c>
      <c r="N9" s="9">
        <f t="shared" si="2"/>
        <v>0</v>
      </c>
      <c r="O9" s="9">
        <f t="shared" si="3"/>
        <v>3.2583379175479654E-2</v>
      </c>
      <c r="P9" s="9">
        <f t="shared" si="4"/>
        <v>0</v>
      </c>
      <c r="Q9" s="9">
        <f t="shared" si="5"/>
        <v>1.8785634688455129E-2</v>
      </c>
      <c r="R9" s="9">
        <f t="shared" si="6"/>
        <v>0</v>
      </c>
      <c r="S9" s="9">
        <f t="shared" si="7"/>
        <v>-1.8785634688455129E-2</v>
      </c>
      <c r="T9" s="10">
        <f t="shared" si="12"/>
        <v>-2.9315873374077286E-2</v>
      </c>
      <c r="U9" s="10">
        <f t="shared" si="10"/>
        <v>0.14886189660016563</v>
      </c>
      <c r="V9" s="10">
        <f t="shared" si="8"/>
        <v>-4.1394777532902126E-2</v>
      </c>
      <c r="W9" s="10">
        <f t="shared" si="8"/>
        <v>7.3160005852478227E-2</v>
      </c>
      <c r="X9" s="10">
        <f t="shared" si="8"/>
        <v>-3.9411561126588758E-2</v>
      </c>
      <c r="Y9" s="10">
        <f t="shared" si="8"/>
        <v>1.6660445669879211E-2</v>
      </c>
      <c r="Z9" s="10">
        <f t="shared" si="8"/>
        <v>3.9411561126588758E-2</v>
      </c>
      <c r="AA9" s="10">
        <f t="shared" si="8"/>
        <v>-1.6660445669879211E-2</v>
      </c>
      <c r="AB9" s="7">
        <f t="shared" si="11"/>
        <v>0.15131125154566447</v>
      </c>
      <c r="AC9" s="7">
        <v>-3.5352963424969852E-2</v>
      </c>
      <c r="AF9" s="7">
        <v>6.8419832677774919E-2</v>
      </c>
    </row>
    <row r="10" spans="1:32" x14ac:dyDescent="0.25">
      <c r="A10" s="6">
        <v>37712</v>
      </c>
      <c r="B10" s="7">
        <v>8.1223226482743216E-2</v>
      </c>
      <c r="C10" s="7">
        <v>8.3760679445333275E-2</v>
      </c>
      <c r="D10" s="7">
        <v>6.2214800188667239E-3</v>
      </c>
      <c r="E10" s="7">
        <v>1.9188037405920927E-2</v>
      </c>
      <c r="F10" s="7">
        <v>3.831759761064675E-2</v>
      </c>
      <c r="G10" s="7">
        <v>-1.9068062442549067E-2</v>
      </c>
      <c r="H10" s="12">
        <v>-1</v>
      </c>
      <c r="I10" s="12">
        <v>1</v>
      </c>
      <c r="J10" s="23">
        <v>-1</v>
      </c>
      <c r="K10" s="23">
        <v>1</v>
      </c>
      <c r="L10" s="9">
        <f t="shared" si="9"/>
        <v>0</v>
      </c>
      <c r="M10" s="9">
        <f t="shared" si="1"/>
        <v>-6.2214800188667239E-3</v>
      </c>
      <c r="N10" s="9">
        <f t="shared" si="2"/>
        <v>0</v>
      </c>
      <c r="O10" s="9">
        <f t="shared" si="3"/>
        <v>1.9188037405920927E-2</v>
      </c>
      <c r="P10" s="9">
        <f t="shared" si="4"/>
        <v>3.831759761064675E-2</v>
      </c>
      <c r="Q10" s="9">
        <f t="shared" si="5"/>
        <v>0</v>
      </c>
      <c r="R10" s="9">
        <f t="shared" si="6"/>
        <v>-3.831759761064675E-2</v>
      </c>
      <c r="S10" s="9">
        <f t="shared" si="7"/>
        <v>0</v>
      </c>
      <c r="T10" s="10">
        <f t="shared" si="12"/>
        <v>-2.9315873374077286E-2</v>
      </c>
      <c r="U10" s="10">
        <f t="shared" si="10"/>
        <v>0.14264041658129892</v>
      </c>
      <c r="V10" s="10">
        <f t="shared" si="8"/>
        <v>-4.1394777532902126E-2</v>
      </c>
      <c r="W10" s="10">
        <f t="shared" si="8"/>
        <v>9.2348043258399154E-2</v>
      </c>
      <c r="X10" s="10">
        <f t="shared" si="8"/>
        <v>-1.0939635159420077E-3</v>
      </c>
      <c r="Y10" s="10">
        <f t="shared" si="8"/>
        <v>1.6660445669879211E-2</v>
      </c>
      <c r="Z10" s="10">
        <f t="shared" si="8"/>
        <v>1.0939635159420077E-3</v>
      </c>
      <c r="AA10" s="10">
        <f t="shared" si="8"/>
        <v>-1.6660445669879211E-2</v>
      </c>
      <c r="AB10" s="7">
        <f t="shared" si="11"/>
        <v>0.16427780893271868</v>
      </c>
      <c r="AC10" s="7">
        <v>4.7416891525050693E-2</v>
      </c>
      <c r="AF10" s="7">
        <v>0.13877205011802496</v>
      </c>
    </row>
    <row r="11" spans="1:32" x14ac:dyDescent="0.25">
      <c r="A11" s="6">
        <v>37742</v>
      </c>
      <c r="B11" s="7">
        <v>5.3384245512395956E-2</v>
      </c>
      <c r="C11" s="7">
        <v>-5.5054602565912339E-2</v>
      </c>
      <c r="D11" s="7">
        <v>4.5364642152558296E-2</v>
      </c>
      <c r="E11" s="7">
        <v>-1.7950653737101154E-3</v>
      </c>
      <c r="F11" s="7">
        <v>1.597342757041828E-2</v>
      </c>
      <c r="G11" s="7">
        <v>1.442703785556722E-2</v>
      </c>
      <c r="H11" s="12">
        <v>1</v>
      </c>
      <c r="I11" s="12">
        <v>1</v>
      </c>
      <c r="J11" s="23">
        <v>1</v>
      </c>
      <c r="K11" s="23">
        <v>1</v>
      </c>
      <c r="L11" s="9">
        <f t="shared" si="9"/>
        <v>4.5364642152558296E-2</v>
      </c>
      <c r="M11" s="9">
        <f t="shared" si="1"/>
        <v>0</v>
      </c>
      <c r="N11" s="9">
        <f t="shared" si="2"/>
        <v>1.7950653737101154E-3</v>
      </c>
      <c r="O11" s="9">
        <f t="shared" si="3"/>
        <v>0</v>
      </c>
      <c r="P11" s="9">
        <f t="shared" si="4"/>
        <v>1.597342757041828E-2</v>
      </c>
      <c r="Q11" s="9">
        <f t="shared" si="5"/>
        <v>0</v>
      </c>
      <c r="R11" s="9">
        <f t="shared" si="6"/>
        <v>-1.597342757041828E-2</v>
      </c>
      <c r="S11" s="9">
        <f t="shared" si="7"/>
        <v>0</v>
      </c>
      <c r="T11" s="10">
        <f t="shared" si="12"/>
        <v>1.604876877848101E-2</v>
      </c>
      <c r="U11" s="10">
        <f t="shared" si="10"/>
        <v>0.14264041658129892</v>
      </c>
      <c r="V11" s="10">
        <f t="shared" si="8"/>
        <v>-3.9599712159192009E-2</v>
      </c>
      <c r="W11" s="10">
        <f t="shared" si="8"/>
        <v>9.2348043258399154E-2</v>
      </c>
      <c r="X11" s="10">
        <f t="shared" si="8"/>
        <v>1.4879464054476273E-2</v>
      </c>
      <c r="Y11" s="10">
        <f t="shared" si="8"/>
        <v>1.6660445669879211E-2</v>
      </c>
      <c r="Z11" s="10">
        <f t="shared" si="8"/>
        <v>-1.4879464054476273E-2</v>
      </c>
      <c r="AA11" s="10">
        <f t="shared" si="8"/>
        <v>-1.6660445669879211E-2</v>
      </c>
      <c r="AB11" s="7">
        <f t="shared" si="11"/>
        <v>0.21143751645898709</v>
      </c>
      <c r="AC11" s="7">
        <v>0.10183121091010611</v>
      </c>
      <c r="AF11" s="7">
        <v>0.18747814735914442</v>
      </c>
    </row>
    <row r="12" spans="1:32" x14ac:dyDescent="0.25">
      <c r="A12" s="6">
        <v>37773</v>
      </c>
      <c r="B12" s="7">
        <v>1.0596063862264466E-2</v>
      </c>
      <c r="C12" s="7">
        <v>3.3775056393808359E-2</v>
      </c>
      <c r="D12" s="7">
        <v>-1.8369472849866106E-2</v>
      </c>
      <c r="E12" s="7">
        <v>-1.3423260708564914E-2</v>
      </c>
      <c r="F12" s="7">
        <v>2.3548221525163844E-2</v>
      </c>
      <c r="G12" s="7">
        <v>-6.5859764806690951E-4</v>
      </c>
      <c r="H12" s="12">
        <v>-1</v>
      </c>
      <c r="I12" s="12">
        <v>-1</v>
      </c>
      <c r="J12" s="23">
        <v>-1</v>
      </c>
      <c r="K12" s="23">
        <v>-1</v>
      </c>
      <c r="L12" s="9">
        <f t="shared" si="9"/>
        <v>0</v>
      </c>
      <c r="M12" s="9">
        <f t="shared" si="1"/>
        <v>1.8369472849866106E-2</v>
      </c>
      <c r="N12" s="9">
        <f t="shared" si="2"/>
        <v>0</v>
      </c>
      <c r="O12" s="9">
        <f t="shared" si="3"/>
        <v>-1.3423260708564914E-2</v>
      </c>
      <c r="P12" s="9">
        <f t="shared" si="4"/>
        <v>0</v>
      </c>
      <c r="Q12" s="9">
        <f t="shared" si="5"/>
        <v>-2.3548221525163844E-2</v>
      </c>
      <c r="R12" s="9">
        <f t="shared" si="6"/>
        <v>0</v>
      </c>
      <c r="S12" s="9">
        <f t="shared" si="7"/>
        <v>2.3548221525163844E-2</v>
      </c>
      <c r="T12" s="10">
        <f t="shared" si="12"/>
        <v>1.604876877848101E-2</v>
      </c>
      <c r="U12" s="10">
        <f t="shared" si="10"/>
        <v>0.16100988943116501</v>
      </c>
      <c r="V12" s="10">
        <f t="shared" si="8"/>
        <v>-3.9599712159192009E-2</v>
      </c>
      <c r="W12" s="10">
        <f t="shared" si="8"/>
        <v>7.8924782549834233E-2</v>
      </c>
      <c r="X12" s="10">
        <f t="shared" si="8"/>
        <v>1.4879464054476273E-2</v>
      </c>
      <c r="Y12" s="10">
        <f t="shared" si="8"/>
        <v>-6.8877758552846335E-3</v>
      </c>
      <c r="Z12" s="10">
        <f t="shared" si="8"/>
        <v>-1.4879464054476273E-2</v>
      </c>
      <c r="AA12" s="10">
        <f t="shared" si="8"/>
        <v>6.8877758552846335E-3</v>
      </c>
      <c r="AB12" s="7">
        <f t="shared" si="11"/>
        <v>0.21638372860028829</v>
      </c>
      <c r="AC12" s="7">
        <v>0.1133810498872404</v>
      </c>
      <c r="AF12" s="7">
        <v>0.16821754032721487</v>
      </c>
    </row>
    <row r="13" spans="1:32" x14ac:dyDescent="0.25">
      <c r="A13" s="6">
        <v>37803</v>
      </c>
      <c r="B13" s="7">
        <v>1.7866740475004139E-2</v>
      </c>
      <c r="C13" s="7">
        <v>8.1669580238746195E-2</v>
      </c>
      <c r="D13" s="7">
        <v>2.216397670015548E-3</v>
      </c>
      <c r="E13" s="7">
        <v>-3.9127789601589372E-2</v>
      </c>
      <c r="F13" s="7">
        <v>3.5419742157082566E-2</v>
      </c>
      <c r="G13" s="7">
        <v>-2.2465039596315295E-2</v>
      </c>
      <c r="H13" s="12">
        <v>-1</v>
      </c>
      <c r="I13" s="12">
        <v>1</v>
      </c>
      <c r="J13" s="23">
        <v>-1</v>
      </c>
      <c r="K13" s="23">
        <v>1</v>
      </c>
      <c r="L13" s="9">
        <f t="shared" si="9"/>
        <v>0</v>
      </c>
      <c r="M13" s="9">
        <f t="shared" si="1"/>
        <v>-2.216397670015548E-3</v>
      </c>
      <c r="N13" s="9">
        <f t="shared" si="2"/>
        <v>0</v>
      </c>
      <c r="O13" s="9">
        <f t="shared" si="3"/>
        <v>-3.9127789601589372E-2</v>
      </c>
      <c r="P13" s="9">
        <f t="shared" si="4"/>
        <v>3.5419742157082566E-2</v>
      </c>
      <c r="Q13" s="9">
        <f t="shared" si="5"/>
        <v>0</v>
      </c>
      <c r="R13" s="9">
        <f t="shared" si="6"/>
        <v>-3.5419742157082566E-2</v>
      </c>
      <c r="S13" s="9">
        <f t="shared" si="7"/>
        <v>0</v>
      </c>
      <c r="T13" s="10">
        <f t="shared" si="12"/>
        <v>1.604876877848101E-2</v>
      </c>
      <c r="U13" s="10">
        <f t="shared" si="10"/>
        <v>0.15879349176114946</v>
      </c>
      <c r="V13" s="10">
        <f t="shared" si="8"/>
        <v>-3.9599712159192009E-2</v>
      </c>
      <c r="W13" s="10">
        <f t="shared" si="8"/>
        <v>3.9796992948244861E-2</v>
      </c>
      <c r="X13" s="10">
        <f t="shared" si="8"/>
        <v>5.0299206211558839E-2</v>
      </c>
      <c r="Y13" s="10">
        <f t="shared" si="8"/>
        <v>-6.8877758552846335E-3</v>
      </c>
      <c r="Z13" s="10">
        <f t="shared" si="8"/>
        <v>-5.0299206211558839E-2</v>
      </c>
      <c r="AA13" s="10">
        <f t="shared" si="8"/>
        <v>6.8877758552846335E-3</v>
      </c>
      <c r="AB13" s="7">
        <f t="shared" si="11"/>
        <v>0.17503954132868338</v>
      </c>
      <c r="AC13" s="7">
        <v>0.1322781134359047</v>
      </c>
      <c r="AF13" s="7">
        <v>0.18475813480900782</v>
      </c>
    </row>
    <row r="14" spans="1:32" x14ac:dyDescent="0.25">
      <c r="A14" s="6">
        <v>37834</v>
      </c>
      <c r="B14" s="7">
        <v>2.0415823630765294E-2</v>
      </c>
      <c r="C14" s="7">
        <v>8.6189233696981997E-3</v>
      </c>
      <c r="D14" s="7">
        <v>6.6266254038208159E-3</v>
      </c>
      <c r="E14" s="7">
        <v>7.8013612977776373E-3</v>
      </c>
      <c r="F14" s="7">
        <v>-1.4084041863477519E-2</v>
      </c>
      <c r="G14" s="7">
        <v>1.7146179916123636E-2</v>
      </c>
      <c r="H14" s="12">
        <v>-1</v>
      </c>
      <c r="I14" s="12">
        <v>1</v>
      </c>
      <c r="J14" s="23">
        <v>-1</v>
      </c>
      <c r="K14" s="23">
        <v>1</v>
      </c>
      <c r="L14" s="9">
        <f t="shared" si="9"/>
        <v>0</v>
      </c>
      <c r="M14" s="9">
        <f t="shared" si="1"/>
        <v>-6.6266254038208159E-3</v>
      </c>
      <c r="N14" s="9">
        <f t="shared" si="2"/>
        <v>0</v>
      </c>
      <c r="O14" s="9">
        <f t="shared" si="3"/>
        <v>7.8013612977776373E-3</v>
      </c>
      <c r="P14" s="9">
        <f t="shared" si="4"/>
        <v>-1.4084041863477519E-2</v>
      </c>
      <c r="Q14" s="9">
        <f t="shared" si="5"/>
        <v>0</v>
      </c>
      <c r="R14" s="9">
        <f t="shared" si="6"/>
        <v>1.4084041863477519E-2</v>
      </c>
      <c r="S14" s="9">
        <f t="shared" si="7"/>
        <v>0</v>
      </c>
      <c r="T14" s="10">
        <f t="shared" si="12"/>
        <v>1.604876877848101E-2</v>
      </c>
      <c r="U14" s="10">
        <f t="shared" si="10"/>
        <v>0.15216686635732865</v>
      </c>
      <c r="V14" s="10">
        <f t="shared" si="8"/>
        <v>-3.9599712159192009E-2</v>
      </c>
      <c r="W14" s="10">
        <f t="shared" si="8"/>
        <v>4.7598354246022496E-2</v>
      </c>
      <c r="X14" s="10">
        <f t="shared" si="8"/>
        <v>3.6215164348081322E-2</v>
      </c>
      <c r="Y14" s="10">
        <f t="shared" si="8"/>
        <v>-6.8877758552846335E-3</v>
      </c>
      <c r="Z14" s="10">
        <f t="shared" si="8"/>
        <v>-3.6215164348081322E-2</v>
      </c>
      <c r="AA14" s="10">
        <f t="shared" si="8"/>
        <v>6.8877758552846335E-3</v>
      </c>
      <c r="AB14" s="7">
        <f t="shared" si="11"/>
        <v>0.17621427722264021</v>
      </c>
      <c r="AC14" s="7">
        <v>0.15325968276089399</v>
      </c>
      <c r="AF14" s="7">
        <v>0.15470264892336349</v>
      </c>
    </row>
    <row r="15" spans="1:32" x14ac:dyDescent="0.25">
      <c r="A15" s="6">
        <v>37865</v>
      </c>
      <c r="B15" s="7">
        <v>-1.0966089333232471E-2</v>
      </c>
      <c r="C15" s="7">
        <v>-5.1631716224384014E-3</v>
      </c>
      <c r="D15" s="7">
        <v>-2.5680352408644094E-2</v>
      </c>
      <c r="E15" s="7">
        <v>3.7771205546862821E-2</v>
      </c>
      <c r="F15" s="7">
        <v>2.1841664622560132E-2</v>
      </c>
      <c r="G15" s="7">
        <v>-9.3762190842890634E-4</v>
      </c>
      <c r="H15" s="12">
        <v>1</v>
      </c>
      <c r="I15" s="12">
        <v>1</v>
      </c>
      <c r="J15" s="23">
        <v>1</v>
      </c>
      <c r="K15" s="23">
        <v>1</v>
      </c>
      <c r="L15" s="9">
        <f t="shared" si="9"/>
        <v>-2.5680352408644094E-2</v>
      </c>
      <c r="M15" s="9">
        <f t="shared" si="1"/>
        <v>0</v>
      </c>
      <c r="N15" s="9">
        <f t="shared" si="2"/>
        <v>-3.7771205546862821E-2</v>
      </c>
      <c r="O15" s="9">
        <f t="shared" si="3"/>
        <v>0</v>
      </c>
      <c r="P15" s="9">
        <f t="shared" si="4"/>
        <v>2.1841664622560132E-2</v>
      </c>
      <c r="Q15" s="9">
        <f t="shared" si="5"/>
        <v>0</v>
      </c>
      <c r="R15" s="9">
        <f t="shared" si="6"/>
        <v>-2.1841664622560132E-2</v>
      </c>
      <c r="S15" s="9">
        <f t="shared" si="7"/>
        <v>0</v>
      </c>
      <c r="T15" s="10">
        <f t="shared" si="12"/>
        <v>-9.631583630163084E-3</v>
      </c>
      <c r="U15" s="10">
        <f t="shared" si="10"/>
        <v>0.15216686635732865</v>
      </c>
      <c r="V15" s="10">
        <f t="shared" si="8"/>
        <v>-7.7370917706054837E-2</v>
      </c>
      <c r="W15" s="10">
        <f t="shared" si="8"/>
        <v>4.7598354246022496E-2</v>
      </c>
      <c r="X15" s="10">
        <f t="shared" si="8"/>
        <v>5.8056828970641454E-2</v>
      </c>
      <c r="Y15" s="10">
        <f t="shared" si="8"/>
        <v>-6.8877758552846335E-3</v>
      </c>
      <c r="Z15" s="10">
        <f t="shared" si="8"/>
        <v>-5.8056828970641454E-2</v>
      </c>
      <c r="AA15" s="10">
        <f t="shared" si="8"/>
        <v>6.8877758552846335E-3</v>
      </c>
      <c r="AB15" s="7">
        <f t="shared" si="11"/>
        <v>0.1127627192671333</v>
      </c>
      <c r="AC15" s="7">
        <v>0.14308219723530469</v>
      </c>
      <c r="AF15" s="7">
        <v>0.11403037749884562</v>
      </c>
    </row>
    <row r="16" spans="1:32" x14ac:dyDescent="0.25">
      <c r="A16" s="6">
        <v>37895</v>
      </c>
      <c r="B16" s="7">
        <v>5.2144139912676593E-2</v>
      </c>
      <c r="C16" s="7">
        <v>9.1258810603082163E-2</v>
      </c>
      <c r="D16" s="7">
        <v>4.187473498823085E-3</v>
      </c>
      <c r="E16" s="7">
        <v>1.2520683132503714E-2</v>
      </c>
      <c r="F16" s="7">
        <v>4.221811855834802E-2</v>
      </c>
      <c r="G16" s="7">
        <v>-3.6904121899701381E-2</v>
      </c>
      <c r="H16" s="12">
        <v>-1</v>
      </c>
      <c r="I16" s="12">
        <v>-1</v>
      </c>
      <c r="J16" s="23">
        <v>-1</v>
      </c>
      <c r="K16" s="23">
        <v>-1</v>
      </c>
      <c r="L16" s="9">
        <f t="shared" si="9"/>
        <v>0</v>
      </c>
      <c r="M16" s="9">
        <f t="shared" si="1"/>
        <v>-4.187473498823085E-3</v>
      </c>
      <c r="N16" s="9">
        <f t="shared" si="2"/>
        <v>0</v>
      </c>
      <c r="O16" s="9">
        <f t="shared" si="3"/>
        <v>1.2520683132503714E-2</v>
      </c>
      <c r="P16" s="9">
        <f t="shared" si="4"/>
        <v>0</v>
      </c>
      <c r="Q16" s="9">
        <f t="shared" si="5"/>
        <v>-4.221811855834802E-2</v>
      </c>
      <c r="R16" s="9">
        <f t="shared" si="6"/>
        <v>0</v>
      </c>
      <c r="S16" s="9">
        <f t="shared" si="7"/>
        <v>4.221811855834802E-2</v>
      </c>
      <c r="T16" s="10">
        <f t="shared" si="12"/>
        <v>-9.631583630163084E-3</v>
      </c>
      <c r="U16" s="10">
        <f t="shared" si="10"/>
        <v>0.14797939285850556</v>
      </c>
      <c r="V16" s="10">
        <f t="shared" si="8"/>
        <v>-7.7370917706054837E-2</v>
      </c>
      <c r="W16" s="10">
        <f t="shared" si="8"/>
        <v>6.0119037378526211E-2</v>
      </c>
      <c r="X16" s="10">
        <f t="shared" si="8"/>
        <v>5.8056828970641454E-2</v>
      </c>
      <c r="Y16" s="10">
        <f t="shared" si="8"/>
        <v>-4.9105894413632653E-2</v>
      </c>
      <c r="Z16" s="10">
        <f t="shared" si="8"/>
        <v>-5.8056828970641454E-2</v>
      </c>
      <c r="AA16" s="10">
        <f t="shared" si="8"/>
        <v>4.9105894413632653E-2</v>
      </c>
      <c r="AB16" s="7">
        <f t="shared" si="11"/>
        <v>0.12109592890081393</v>
      </c>
      <c r="AC16" s="7">
        <v>0.19581808369583359</v>
      </c>
      <c r="AF16" s="7">
        <v>4.3241346674476849E-2</v>
      </c>
    </row>
    <row r="17" spans="1:32" x14ac:dyDescent="0.25">
      <c r="A17" s="6">
        <v>37926</v>
      </c>
      <c r="B17" s="7">
        <v>1.0861449368547426E-2</v>
      </c>
      <c r="C17" s="7">
        <v>-2.9759385248789294E-2</v>
      </c>
      <c r="D17" s="7">
        <v>2.1266989697093914E-2</v>
      </c>
      <c r="E17" s="7">
        <v>-1.5965120188949303E-2</v>
      </c>
      <c r="F17" s="7">
        <v>2.9385173054028513E-3</v>
      </c>
      <c r="G17" s="7">
        <v>-1.594344880559977E-2</v>
      </c>
      <c r="H17" s="12">
        <v>1</v>
      </c>
      <c r="I17" s="12">
        <v>1</v>
      </c>
      <c r="J17" s="23">
        <v>1</v>
      </c>
      <c r="K17" s="23">
        <v>1</v>
      </c>
      <c r="L17" s="9">
        <f t="shared" si="9"/>
        <v>2.1266989697093914E-2</v>
      </c>
      <c r="M17" s="9">
        <f t="shared" si="1"/>
        <v>0</v>
      </c>
      <c r="N17" s="9">
        <f t="shared" si="2"/>
        <v>1.5965120188949303E-2</v>
      </c>
      <c r="O17" s="9">
        <f t="shared" si="3"/>
        <v>0</v>
      </c>
      <c r="P17" s="9">
        <f t="shared" si="4"/>
        <v>2.9385173054028513E-3</v>
      </c>
      <c r="Q17" s="9">
        <f t="shared" si="5"/>
        <v>0</v>
      </c>
      <c r="R17" s="9">
        <f t="shared" si="6"/>
        <v>-2.9385173054028513E-3</v>
      </c>
      <c r="S17" s="9">
        <f t="shared" si="7"/>
        <v>0</v>
      </c>
      <c r="T17" s="10">
        <f t="shared" si="12"/>
        <v>1.163540606693083E-2</v>
      </c>
      <c r="U17" s="10">
        <f t="shared" si="10"/>
        <v>0.14797939285850556</v>
      </c>
      <c r="V17" s="10">
        <f t="shared" si="8"/>
        <v>-6.1405797517105537E-2</v>
      </c>
      <c r="W17" s="10">
        <f t="shared" si="8"/>
        <v>6.0119037378526211E-2</v>
      </c>
      <c r="X17" s="10">
        <f t="shared" si="8"/>
        <v>6.0995346276044304E-2</v>
      </c>
      <c r="Y17" s="10">
        <f t="shared" si="8"/>
        <v>-4.9105894413632653E-2</v>
      </c>
      <c r="Z17" s="10">
        <f t="shared" si="8"/>
        <v>-6.0995346276044304E-2</v>
      </c>
      <c r="AA17" s="10">
        <f t="shared" si="8"/>
        <v>4.9105894413632653E-2</v>
      </c>
      <c r="AB17" s="7">
        <f t="shared" si="11"/>
        <v>0.15832803878685714</v>
      </c>
      <c r="AC17" s="7">
        <v>0.20710432713903479</v>
      </c>
      <c r="AF17" s="7">
        <v>9.9355422671522683E-2</v>
      </c>
    </row>
    <row r="18" spans="1:32" x14ac:dyDescent="0.25">
      <c r="A18" s="6">
        <v>37956</v>
      </c>
      <c r="B18" s="7">
        <v>4.9087898099312438E-2</v>
      </c>
      <c r="C18" s="7">
        <v>1.3271875247031131E-5</v>
      </c>
      <c r="D18" s="7">
        <v>2.1619299732725618E-2</v>
      </c>
      <c r="E18" s="7">
        <v>-1.411171926405454E-2</v>
      </c>
      <c r="F18" s="7">
        <v>3.7503646150602258E-3</v>
      </c>
      <c r="G18" s="7">
        <v>1.2761996920309574E-2</v>
      </c>
      <c r="H18" s="12">
        <v>-1</v>
      </c>
      <c r="I18" s="12">
        <v>-1</v>
      </c>
      <c r="J18" s="23">
        <v>-1</v>
      </c>
      <c r="K18" s="23">
        <v>-1</v>
      </c>
      <c r="L18" s="9">
        <f t="shared" si="9"/>
        <v>0</v>
      </c>
      <c r="M18" s="9">
        <f t="shared" si="1"/>
        <v>-2.1619299732725618E-2</v>
      </c>
      <c r="N18" s="9">
        <f t="shared" si="2"/>
        <v>0</v>
      </c>
      <c r="O18" s="9">
        <f t="shared" si="3"/>
        <v>-1.411171926405454E-2</v>
      </c>
      <c r="P18" s="9">
        <f t="shared" si="4"/>
        <v>0</v>
      </c>
      <c r="Q18" s="9">
        <f t="shared" si="5"/>
        <v>-3.7503646150602258E-3</v>
      </c>
      <c r="R18" s="9">
        <f t="shared" si="6"/>
        <v>0</v>
      </c>
      <c r="S18" s="9">
        <f t="shared" si="7"/>
        <v>3.7503646150602258E-3</v>
      </c>
      <c r="T18" s="10">
        <f t="shared" si="12"/>
        <v>1.163540606693083E-2</v>
      </c>
      <c r="U18" s="10">
        <f t="shared" si="10"/>
        <v>0.12636009312577995</v>
      </c>
      <c r="V18" s="10">
        <f t="shared" si="8"/>
        <v>-6.1405797517105537E-2</v>
      </c>
      <c r="W18" s="10">
        <f t="shared" si="8"/>
        <v>4.6007318114471674E-2</v>
      </c>
      <c r="X18" s="10">
        <f t="shared" si="8"/>
        <v>6.0995346276044304E-2</v>
      </c>
      <c r="Y18" s="10">
        <f t="shared" si="8"/>
        <v>-5.2856259028692877E-2</v>
      </c>
      <c r="Z18" s="10">
        <f t="shared" si="8"/>
        <v>-6.0995346276044304E-2</v>
      </c>
      <c r="AA18" s="10">
        <f t="shared" si="8"/>
        <v>5.2856259028692877E-2</v>
      </c>
      <c r="AB18" s="7">
        <f t="shared" si="11"/>
        <v>0.12259701979007698</v>
      </c>
      <c r="AC18" s="7">
        <v>0.25661662234210031</v>
      </c>
      <c r="AF18" s="7">
        <v>7.2636035979991881E-2</v>
      </c>
    </row>
    <row r="19" spans="1:32" x14ac:dyDescent="0.25">
      <c r="A19" s="6">
        <v>37987</v>
      </c>
      <c r="B19" s="7">
        <v>1.9577025972393632E-2</v>
      </c>
      <c r="C19" s="7">
        <v>5.5776224237058785E-3</v>
      </c>
      <c r="D19" s="7">
        <v>-8.3370962572605293E-3</v>
      </c>
      <c r="E19" s="7">
        <v>-3.8998462570735415E-3</v>
      </c>
      <c r="F19" s="7">
        <v>1.8695655003773966E-2</v>
      </c>
      <c r="G19" s="7">
        <v>1.1744042368061811E-4</v>
      </c>
      <c r="H19" s="12">
        <v>-1</v>
      </c>
      <c r="I19" s="12">
        <v>1</v>
      </c>
      <c r="J19" s="23">
        <v>-1</v>
      </c>
      <c r="K19" s="23">
        <v>1</v>
      </c>
      <c r="L19" s="9">
        <f t="shared" si="9"/>
        <v>0</v>
      </c>
      <c r="M19" s="9">
        <f t="shared" si="1"/>
        <v>8.3370962572605293E-3</v>
      </c>
      <c r="N19" s="9">
        <f t="shared" si="2"/>
        <v>0</v>
      </c>
      <c r="O19" s="9">
        <f t="shared" si="3"/>
        <v>-3.8998462570735415E-3</v>
      </c>
      <c r="P19" s="9">
        <f t="shared" si="4"/>
        <v>1.8695655003773966E-2</v>
      </c>
      <c r="Q19" s="9">
        <f t="shared" si="5"/>
        <v>0</v>
      </c>
      <c r="R19" s="9">
        <f t="shared" si="6"/>
        <v>-1.8695655003773966E-2</v>
      </c>
      <c r="S19" s="9">
        <f t="shared" si="7"/>
        <v>0</v>
      </c>
      <c r="T19" s="10">
        <f t="shared" si="12"/>
        <v>1.163540606693083E-2</v>
      </c>
      <c r="U19" s="10">
        <f t="shared" si="10"/>
        <v>0.13469718938304048</v>
      </c>
      <c r="V19" s="10">
        <f t="shared" si="10"/>
        <v>-6.1405797517105537E-2</v>
      </c>
      <c r="W19" s="10">
        <f t="shared" si="10"/>
        <v>4.2107471857398132E-2</v>
      </c>
      <c r="X19" s="10">
        <f t="shared" si="10"/>
        <v>7.9691001279818263E-2</v>
      </c>
      <c r="Y19" s="10">
        <f t="shared" si="10"/>
        <v>-5.2856259028692877E-2</v>
      </c>
      <c r="Z19" s="10">
        <f t="shared" si="10"/>
        <v>-7.9691001279818263E-2</v>
      </c>
      <c r="AA19" s="10">
        <f t="shared" si="10"/>
        <v>5.2856259028692877E-2</v>
      </c>
      <c r="AB19" s="7">
        <f t="shared" si="11"/>
        <v>0.12703426979026397</v>
      </c>
      <c r="AC19" s="7">
        <v>0.27663216711394761</v>
      </c>
      <c r="AF19" s="7">
        <v>9.5651500560272218E-2</v>
      </c>
    </row>
    <row r="20" spans="1:32" x14ac:dyDescent="0.25">
      <c r="A20" s="6">
        <v>38018</v>
      </c>
      <c r="B20" s="7">
        <v>1.3479708802168621E-2</v>
      </c>
      <c r="C20" s="7">
        <v>-3.9915077704742391E-3</v>
      </c>
      <c r="D20" s="7">
        <v>3.7455402371840744E-3</v>
      </c>
      <c r="E20" s="7">
        <v>8.837824589380738E-3</v>
      </c>
      <c r="F20" s="7">
        <v>8.5113765150951239E-3</v>
      </c>
      <c r="G20" s="7">
        <v>8.021269081473081E-3</v>
      </c>
      <c r="H20" s="12">
        <v>1</v>
      </c>
      <c r="I20" s="12">
        <v>1</v>
      </c>
      <c r="J20" s="23">
        <v>1</v>
      </c>
      <c r="K20" s="23">
        <v>1</v>
      </c>
      <c r="L20" s="9">
        <f t="shared" si="9"/>
        <v>3.7455402371840744E-3</v>
      </c>
      <c r="M20" s="9">
        <f t="shared" si="1"/>
        <v>0</v>
      </c>
      <c r="N20" s="9">
        <f t="shared" si="2"/>
        <v>-8.837824589380738E-3</v>
      </c>
      <c r="O20" s="9">
        <f t="shared" si="3"/>
        <v>0</v>
      </c>
      <c r="P20" s="9">
        <f t="shared" si="4"/>
        <v>8.5113765150951239E-3</v>
      </c>
      <c r="Q20" s="9">
        <f t="shared" si="5"/>
        <v>0</v>
      </c>
      <c r="R20" s="9">
        <f t="shared" si="6"/>
        <v>-8.5113765150951239E-3</v>
      </c>
      <c r="S20" s="9">
        <f t="shared" si="7"/>
        <v>0</v>
      </c>
      <c r="T20" s="10">
        <f t="shared" si="12"/>
        <v>1.5380946304114905E-2</v>
      </c>
      <c r="U20" s="10">
        <f t="shared" si="12"/>
        <v>0.13469718938304048</v>
      </c>
      <c r="V20" s="10">
        <f t="shared" si="12"/>
        <v>-7.024362210648627E-2</v>
      </c>
      <c r="W20" s="10">
        <f t="shared" si="12"/>
        <v>4.2107471857398132E-2</v>
      </c>
      <c r="X20" s="10">
        <f t="shared" si="12"/>
        <v>8.8202377794913384E-2</v>
      </c>
      <c r="Y20" s="10">
        <f t="shared" si="12"/>
        <v>-5.2856259028692877E-2</v>
      </c>
      <c r="Z20" s="10">
        <f t="shared" si="12"/>
        <v>-8.8202377794913384E-2</v>
      </c>
      <c r="AA20" s="10">
        <f t="shared" si="12"/>
        <v>5.2856259028692877E-2</v>
      </c>
      <c r="AB20" s="7">
        <f t="shared" si="11"/>
        <v>0.12194198543806731</v>
      </c>
      <c r="AC20" s="7">
        <v>0.29037563156884533</v>
      </c>
      <c r="AF20" s="7">
        <v>9.1049323641697599E-2</v>
      </c>
    </row>
    <row r="21" spans="1:32" x14ac:dyDescent="0.25">
      <c r="A21" s="6">
        <v>38047</v>
      </c>
      <c r="B21" s="7">
        <v>-1.3334294966489475E-2</v>
      </c>
      <c r="C21" s="7">
        <v>-5.5326873150173414E-2</v>
      </c>
      <c r="D21" s="7">
        <v>1.8201990800118098E-2</v>
      </c>
      <c r="E21" s="7">
        <v>-9.7793502857180283E-3</v>
      </c>
      <c r="F21" s="7">
        <v>1.1754441496936219E-2</v>
      </c>
      <c r="G21" s="7">
        <v>1.5015637139404094E-2</v>
      </c>
      <c r="H21" s="12">
        <v>1</v>
      </c>
      <c r="I21" s="12">
        <v>-1</v>
      </c>
      <c r="J21" s="23">
        <v>1</v>
      </c>
      <c r="K21" s="23">
        <v>-1</v>
      </c>
      <c r="L21" s="9">
        <f t="shared" si="9"/>
        <v>1.8201990800118098E-2</v>
      </c>
      <c r="M21" s="9">
        <f t="shared" si="1"/>
        <v>0</v>
      </c>
      <c r="N21" s="9">
        <f t="shared" si="2"/>
        <v>9.7793502857180283E-3</v>
      </c>
      <c r="O21" s="9">
        <f t="shared" si="3"/>
        <v>0</v>
      </c>
      <c r="P21" s="9">
        <f t="shared" si="4"/>
        <v>0</v>
      </c>
      <c r="Q21" s="9">
        <f t="shared" si="5"/>
        <v>-1.1754441496936219E-2</v>
      </c>
      <c r="R21" s="9">
        <f t="shared" si="6"/>
        <v>0</v>
      </c>
      <c r="S21" s="9">
        <f t="shared" si="7"/>
        <v>1.1754441496936219E-2</v>
      </c>
      <c r="T21" s="10">
        <f t="shared" si="12"/>
        <v>3.3582937104233004E-2</v>
      </c>
      <c r="U21" s="10">
        <f t="shared" si="12"/>
        <v>0.13469718938304048</v>
      </c>
      <c r="V21" s="10">
        <f t="shared" si="12"/>
        <v>-6.0464271820768245E-2</v>
      </c>
      <c r="W21" s="10">
        <f t="shared" si="12"/>
        <v>4.2107471857398132E-2</v>
      </c>
      <c r="X21" s="10">
        <f t="shared" si="12"/>
        <v>8.8202377794913384E-2</v>
      </c>
      <c r="Y21" s="10">
        <f t="shared" si="12"/>
        <v>-6.4610700525629089E-2</v>
      </c>
      <c r="Z21" s="10">
        <f t="shared" si="12"/>
        <v>-8.8202377794913384E-2</v>
      </c>
      <c r="AA21" s="10">
        <f t="shared" si="12"/>
        <v>6.4610700525629089E-2</v>
      </c>
      <c r="AB21" s="7">
        <f t="shared" si="11"/>
        <v>0.14992332652390344</v>
      </c>
      <c r="AC21" s="7">
        <v>0.27804399364064247</v>
      </c>
      <c r="AF21" s="7">
        <v>0.1222918603700016</v>
      </c>
    </row>
    <row r="22" spans="1:32" x14ac:dyDescent="0.25">
      <c r="A22" s="6">
        <v>38078</v>
      </c>
      <c r="B22" s="7">
        <v>-1.9102805722503481E-2</v>
      </c>
      <c r="C22" s="7">
        <v>6.4031392450913854E-2</v>
      </c>
      <c r="D22" s="7">
        <v>-2.9219346069354106E-2</v>
      </c>
      <c r="E22" s="7">
        <v>-1.0466084980112988E-2</v>
      </c>
      <c r="F22" s="7">
        <v>1.3437141486775382E-2</v>
      </c>
      <c r="G22" s="7">
        <v>-3.3073193219356839E-2</v>
      </c>
      <c r="H22" s="12">
        <v>-1</v>
      </c>
      <c r="I22" s="12">
        <v>-1</v>
      </c>
      <c r="J22" s="23">
        <v>-1</v>
      </c>
      <c r="K22" s="23">
        <v>-1</v>
      </c>
      <c r="L22" s="9">
        <f t="shared" si="9"/>
        <v>0</v>
      </c>
      <c r="M22" s="9">
        <f t="shared" si="1"/>
        <v>2.9219346069354106E-2</v>
      </c>
      <c r="N22" s="9">
        <f t="shared" si="2"/>
        <v>0</v>
      </c>
      <c r="O22" s="9">
        <f t="shared" si="3"/>
        <v>-1.0466084980112988E-2</v>
      </c>
      <c r="P22" s="9">
        <f t="shared" si="4"/>
        <v>0</v>
      </c>
      <c r="Q22" s="9">
        <f t="shared" si="5"/>
        <v>-1.3437141486775382E-2</v>
      </c>
      <c r="R22" s="9">
        <f t="shared" si="6"/>
        <v>0</v>
      </c>
      <c r="S22" s="9">
        <f t="shared" si="7"/>
        <v>1.3437141486775382E-2</v>
      </c>
      <c r="T22" s="10">
        <f t="shared" ref="T22:AA85" si="13">L22+T21</f>
        <v>3.3582937104233004E-2</v>
      </c>
      <c r="U22" s="10">
        <f t="shared" si="13"/>
        <v>0.1639165354523946</v>
      </c>
      <c r="V22" s="10">
        <f t="shared" si="13"/>
        <v>-6.0464271820768245E-2</v>
      </c>
      <c r="W22" s="10">
        <f t="shared" si="13"/>
        <v>3.1641386877285141E-2</v>
      </c>
      <c r="X22" s="10">
        <f t="shared" si="13"/>
        <v>8.8202377794913384E-2</v>
      </c>
      <c r="Y22" s="10">
        <f t="shared" si="13"/>
        <v>-7.8047842012404473E-2</v>
      </c>
      <c r="Z22" s="10">
        <f t="shared" si="13"/>
        <v>-8.8202377794913384E-2</v>
      </c>
      <c r="AA22" s="10">
        <f t="shared" si="13"/>
        <v>7.8047842012404473E-2</v>
      </c>
      <c r="AB22" s="7">
        <f t="shared" si="11"/>
        <v>0.16867658761314455</v>
      </c>
      <c r="AC22" s="7">
        <v>0.25957608323656001</v>
      </c>
      <c r="AF22" s="7">
        <v>9.45347867531105E-2</v>
      </c>
    </row>
    <row r="23" spans="1:32" x14ac:dyDescent="0.25">
      <c r="A23" s="6">
        <v>38108</v>
      </c>
      <c r="B23" s="7">
        <v>1.6979050250249192E-2</v>
      </c>
      <c r="C23" s="7">
        <v>8.6682691255538097E-3</v>
      </c>
      <c r="D23" s="7">
        <v>2.7396704422756032E-2</v>
      </c>
      <c r="E23" s="7">
        <v>1.6501478291470945E-2</v>
      </c>
      <c r="F23" s="7">
        <v>-9.0526502395397168E-3</v>
      </c>
      <c r="G23" s="7">
        <v>-2.4236662573878066E-2</v>
      </c>
      <c r="H23" s="12">
        <v>-1</v>
      </c>
      <c r="I23" s="12">
        <v>1</v>
      </c>
      <c r="J23" s="23">
        <v>-1</v>
      </c>
      <c r="K23" s="23">
        <v>1</v>
      </c>
      <c r="L23" s="9">
        <f t="shared" si="9"/>
        <v>0</v>
      </c>
      <c r="M23" s="9">
        <f t="shared" si="1"/>
        <v>-2.7396704422756032E-2</v>
      </c>
      <c r="N23" s="9">
        <f t="shared" si="2"/>
        <v>0</v>
      </c>
      <c r="O23" s="9">
        <f t="shared" si="3"/>
        <v>1.6501478291470945E-2</v>
      </c>
      <c r="P23" s="9">
        <f t="shared" si="4"/>
        <v>-9.0526502395397168E-3</v>
      </c>
      <c r="Q23" s="9">
        <f t="shared" si="5"/>
        <v>0</v>
      </c>
      <c r="R23" s="9">
        <f t="shared" si="6"/>
        <v>9.0526502395397168E-3</v>
      </c>
      <c r="S23" s="9">
        <f t="shared" si="7"/>
        <v>0</v>
      </c>
      <c r="T23" s="10">
        <f t="shared" si="13"/>
        <v>3.3582937104233004E-2</v>
      </c>
      <c r="U23" s="10">
        <f t="shared" si="13"/>
        <v>0.13651983102963855</v>
      </c>
      <c r="V23" s="10">
        <f t="shared" si="13"/>
        <v>-6.0464271820768245E-2</v>
      </c>
      <c r="W23" s="10">
        <f t="shared" si="13"/>
        <v>4.8142865168756085E-2</v>
      </c>
      <c r="X23" s="10">
        <f t="shared" si="13"/>
        <v>7.9149727555373667E-2</v>
      </c>
      <c r="Y23" s="10">
        <f t="shared" si="13"/>
        <v>-7.8047842012404473E-2</v>
      </c>
      <c r="Z23" s="10">
        <f t="shared" si="13"/>
        <v>-7.9149727555373667E-2</v>
      </c>
      <c r="AA23" s="10">
        <f t="shared" si="13"/>
        <v>7.8047842012404473E-2</v>
      </c>
      <c r="AB23" s="7">
        <f t="shared" si="11"/>
        <v>0.15778136148185945</v>
      </c>
      <c r="AC23" s="7">
        <v>0.27711949054938978</v>
      </c>
      <c r="AF23" s="7">
        <v>9.8823572956163758E-2</v>
      </c>
    </row>
    <row r="24" spans="1:32" x14ac:dyDescent="0.25">
      <c r="A24" s="6">
        <v>38139</v>
      </c>
      <c r="B24" s="7">
        <v>1.8331885030361789E-2</v>
      </c>
      <c r="C24" s="7">
        <v>1.6372054357472281E-2</v>
      </c>
      <c r="D24" s="7">
        <v>6.6580648753345774E-3</v>
      </c>
      <c r="E24" s="7">
        <v>1.5177840048565337E-2</v>
      </c>
      <c r="F24" s="7">
        <v>1.617131804322568E-2</v>
      </c>
      <c r="G24" s="7">
        <v>-1.5313748195601428E-2</v>
      </c>
      <c r="H24" s="12">
        <v>-1</v>
      </c>
      <c r="I24" s="12">
        <v>1</v>
      </c>
      <c r="J24" s="23">
        <v>-1</v>
      </c>
      <c r="K24" s="23">
        <v>1</v>
      </c>
      <c r="L24" s="9">
        <f t="shared" si="9"/>
        <v>0</v>
      </c>
      <c r="M24" s="9">
        <f t="shared" si="1"/>
        <v>-6.6580648753345774E-3</v>
      </c>
      <c r="N24" s="9">
        <f t="shared" si="2"/>
        <v>0</v>
      </c>
      <c r="O24" s="9">
        <f t="shared" si="3"/>
        <v>1.5177840048565337E-2</v>
      </c>
      <c r="P24" s="9">
        <f t="shared" si="4"/>
        <v>1.617131804322568E-2</v>
      </c>
      <c r="Q24" s="9">
        <f t="shared" si="5"/>
        <v>0</v>
      </c>
      <c r="R24" s="9">
        <f t="shared" si="6"/>
        <v>-1.617131804322568E-2</v>
      </c>
      <c r="S24" s="9">
        <f t="shared" si="7"/>
        <v>0</v>
      </c>
      <c r="T24" s="10">
        <f t="shared" si="13"/>
        <v>3.3582937104233004E-2</v>
      </c>
      <c r="U24" s="10">
        <f t="shared" si="13"/>
        <v>0.12986176615430398</v>
      </c>
      <c r="V24" s="10">
        <f t="shared" si="13"/>
        <v>-6.0464271820768245E-2</v>
      </c>
      <c r="W24" s="10">
        <f t="shared" si="13"/>
        <v>6.3320705217321416E-2</v>
      </c>
      <c r="X24" s="10">
        <f t="shared" si="13"/>
        <v>9.5321045598599344E-2</v>
      </c>
      <c r="Y24" s="10">
        <f t="shared" si="13"/>
        <v>-7.8047842012404473E-2</v>
      </c>
      <c r="Z24" s="10">
        <f t="shared" si="13"/>
        <v>-9.5321045598599344E-2</v>
      </c>
      <c r="AA24" s="10">
        <f t="shared" si="13"/>
        <v>7.8047842012404473E-2</v>
      </c>
      <c r="AB24" s="7">
        <f t="shared" si="11"/>
        <v>0.16630113665509022</v>
      </c>
      <c r="AC24" s="7">
        <v>0.29588387761050339</v>
      </c>
      <c r="AF24" s="7">
        <v>0.13882841436822163</v>
      </c>
    </row>
    <row r="25" spans="1:32" x14ac:dyDescent="0.25">
      <c r="A25" s="6">
        <v>38169</v>
      </c>
      <c r="B25" s="7">
        <v>-3.2749449777161849E-2</v>
      </c>
      <c r="C25" s="7">
        <v>-5.7592268858129694E-2</v>
      </c>
      <c r="D25" s="7">
        <v>8.6987554498197672E-3</v>
      </c>
      <c r="E25" s="7">
        <v>-9.4552811160753848E-4</v>
      </c>
      <c r="F25" s="7">
        <v>-2.7350142406960161E-2</v>
      </c>
      <c r="G25" s="7">
        <v>1.1646994998757954E-2</v>
      </c>
      <c r="H25" s="12">
        <v>1</v>
      </c>
      <c r="I25" s="12">
        <v>1</v>
      </c>
      <c r="J25" s="23">
        <v>1</v>
      </c>
      <c r="K25" s="23">
        <v>1</v>
      </c>
      <c r="L25" s="9">
        <f t="shared" si="9"/>
        <v>8.6987554498197672E-3</v>
      </c>
      <c r="M25" s="9">
        <f t="shared" si="1"/>
        <v>0</v>
      </c>
      <c r="N25" s="9">
        <f t="shared" si="2"/>
        <v>9.4552811160753848E-4</v>
      </c>
      <c r="O25" s="9">
        <f t="shared" si="3"/>
        <v>0</v>
      </c>
      <c r="P25" s="9">
        <f t="shared" si="4"/>
        <v>-2.7350142406960161E-2</v>
      </c>
      <c r="Q25" s="9">
        <f t="shared" si="5"/>
        <v>0</v>
      </c>
      <c r="R25" s="9">
        <f t="shared" si="6"/>
        <v>2.7350142406960161E-2</v>
      </c>
      <c r="S25" s="9">
        <f t="shared" si="7"/>
        <v>0</v>
      </c>
      <c r="T25" s="10">
        <f t="shared" si="13"/>
        <v>4.2281692554052772E-2</v>
      </c>
      <c r="U25" s="10">
        <f t="shared" si="13"/>
        <v>0.12986176615430398</v>
      </c>
      <c r="V25" s="10">
        <f t="shared" si="13"/>
        <v>-5.9518743709160708E-2</v>
      </c>
      <c r="W25" s="10">
        <f t="shared" si="13"/>
        <v>6.3320705217321416E-2</v>
      </c>
      <c r="X25" s="10">
        <f t="shared" si="13"/>
        <v>6.7970903191639176E-2</v>
      </c>
      <c r="Y25" s="10">
        <f t="shared" si="13"/>
        <v>-7.8047842012404473E-2</v>
      </c>
      <c r="Z25" s="10">
        <f t="shared" si="13"/>
        <v>-6.7970903191639176E-2</v>
      </c>
      <c r="AA25" s="10">
        <f t="shared" si="13"/>
        <v>7.8047842012404473E-2</v>
      </c>
      <c r="AB25" s="7">
        <f t="shared" si="11"/>
        <v>0.17594542021651752</v>
      </c>
      <c r="AC25" s="7">
        <v>0.26369152433821641</v>
      </c>
      <c r="AF25" s="7">
        <v>0.10947556052393081</v>
      </c>
    </row>
    <row r="26" spans="1:32" x14ac:dyDescent="0.25">
      <c r="A26" s="6">
        <v>38200</v>
      </c>
      <c r="B26" s="7">
        <v>2.4332456643171877E-3</v>
      </c>
      <c r="C26" s="7">
        <v>-2.9952560431180792E-2</v>
      </c>
      <c r="D26" s="7">
        <v>5.6859571158404927E-3</v>
      </c>
      <c r="E26" s="7">
        <v>1.4113410125157998E-2</v>
      </c>
      <c r="F26" s="7">
        <v>-3.6661442255212291E-2</v>
      </c>
      <c r="G26" s="7">
        <v>2.5311785646998028E-2</v>
      </c>
      <c r="H26" s="12">
        <v>1</v>
      </c>
      <c r="I26" s="12">
        <v>-1</v>
      </c>
      <c r="J26" s="23">
        <v>1</v>
      </c>
      <c r="K26" s="23">
        <v>-1</v>
      </c>
      <c r="L26" s="9">
        <f t="shared" si="9"/>
        <v>5.6859571158404927E-3</v>
      </c>
      <c r="M26" s="9">
        <f t="shared" si="1"/>
        <v>0</v>
      </c>
      <c r="N26" s="9">
        <f t="shared" si="2"/>
        <v>-1.4113410125157998E-2</v>
      </c>
      <c r="O26" s="9">
        <f t="shared" si="3"/>
        <v>0</v>
      </c>
      <c r="P26" s="9">
        <f t="shared" si="4"/>
        <v>0</v>
      </c>
      <c r="Q26" s="9">
        <f t="shared" si="5"/>
        <v>3.6661442255212291E-2</v>
      </c>
      <c r="R26" s="9">
        <f t="shared" si="6"/>
        <v>0</v>
      </c>
      <c r="S26" s="9">
        <f t="shared" si="7"/>
        <v>-3.6661442255212291E-2</v>
      </c>
      <c r="T26" s="10">
        <f t="shared" si="13"/>
        <v>4.7967649669893267E-2</v>
      </c>
      <c r="U26" s="10">
        <f t="shared" si="13"/>
        <v>0.12986176615430398</v>
      </c>
      <c r="V26" s="10">
        <f t="shared" si="13"/>
        <v>-7.3632153834318703E-2</v>
      </c>
      <c r="W26" s="10">
        <f t="shared" si="13"/>
        <v>6.3320705217321416E-2</v>
      </c>
      <c r="X26" s="10">
        <f t="shared" si="13"/>
        <v>6.7970903191639176E-2</v>
      </c>
      <c r="Y26" s="10">
        <f t="shared" si="13"/>
        <v>-4.1386399757192181E-2</v>
      </c>
      <c r="Z26" s="10">
        <f t="shared" si="13"/>
        <v>-6.7970903191639176E-2</v>
      </c>
      <c r="AA26" s="10">
        <f t="shared" si="13"/>
        <v>4.1386399757192181E-2</v>
      </c>
      <c r="AB26" s="7">
        <f t="shared" si="11"/>
        <v>0.16751796720720002</v>
      </c>
      <c r="AC26" s="7">
        <v>0.26677280476778958</v>
      </c>
      <c r="AF26" s="7">
        <v>0.16302133541682362</v>
      </c>
    </row>
    <row r="27" spans="1:32" x14ac:dyDescent="0.25">
      <c r="A27" s="6">
        <v>38231</v>
      </c>
      <c r="B27" s="7">
        <v>9.9866287756100423E-3</v>
      </c>
      <c r="C27" s="7">
        <v>-1.7417315802490854E-2</v>
      </c>
      <c r="D27" s="7">
        <v>1.8801533055461802E-3</v>
      </c>
      <c r="E27" s="7">
        <v>-1.6073671783751298E-2</v>
      </c>
      <c r="F27" s="7">
        <v>1.314340904362583E-2</v>
      </c>
      <c r="G27" s="7">
        <v>-1.3740926279097662E-3</v>
      </c>
      <c r="H27" s="12">
        <v>1</v>
      </c>
      <c r="I27" s="12">
        <v>-1</v>
      </c>
      <c r="J27" s="23">
        <v>1</v>
      </c>
      <c r="K27" s="23">
        <v>-1</v>
      </c>
      <c r="L27" s="9">
        <f t="shared" si="9"/>
        <v>1.8801533055461802E-3</v>
      </c>
      <c r="M27" s="9">
        <f t="shared" si="1"/>
        <v>0</v>
      </c>
      <c r="N27" s="9">
        <f t="shared" si="2"/>
        <v>1.6073671783751298E-2</v>
      </c>
      <c r="O27" s="9">
        <f t="shared" si="3"/>
        <v>0</v>
      </c>
      <c r="P27" s="9">
        <f t="shared" si="4"/>
        <v>0</v>
      </c>
      <c r="Q27" s="9">
        <f t="shared" si="5"/>
        <v>-1.314340904362583E-2</v>
      </c>
      <c r="R27" s="9">
        <f t="shared" si="6"/>
        <v>0</v>
      </c>
      <c r="S27" s="9">
        <f t="shared" si="7"/>
        <v>1.314340904362583E-2</v>
      </c>
      <c r="T27" s="10">
        <f t="shared" si="13"/>
        <v>4.9847802975439448E-2</v>
      </c>
      <c r="U27" s="10">
        <f t="shared" si="13"/>
        <v>0.12986176615430398</v>
      </c>
      <c r="V27" s="10">
        <f t="shared" si="13"/>
        <v>-5.7558482050567406E-2</v>
      </c>
      <c r="W27" s="10">
        <f t="shared" si="13"/>
        <v>6.3320705217321416E-2</v>
      </c>
      <c r="X27" s="10">
        <f t="shared" si="13"/>
        <v>6.7970903191639176E-2</v>
      </c>
      <c r="Y27" s="10">
        <f t="shared" si="13"/>
        <v>-5.4529808800818008E-2</v>
      </c>
      <c r="Z27" s="10">
        <f t="shared" si="13"/>
        <v>-6.7970903191639176E-2</v>
      </c>
      <c r="AA27" s="10">
        <f t="shared" si="13"/>
        <v>5.4529808800818008E-2</v>
      </c>
      <c r="AB27" s="7">
        <f t="shared" si="11"/>
        <v>0.18547179229649752</v>
      </c>
      <c r="AC27" s="7">
        <v>0.27709750302482949</v>
      </c>
      <c r="AF27" s="7">
        <v>0.16645765883458549</v>
      </c>
    </row>
    <row r="28" spans="1:32" x14ac:dyDescent="0.25">
      <c r="A28" s="6">
        <v>38261</v>
      </c>
      <c r="B28" s="7">
        <v>1.2802230986665466E-2</v>
      </c>
      <c r="C28" s="7">
        <v>-2.4055554186821974E-2</v>
      </c>
      <c r="D28" s="7">
        <v>1.7465748553655909E-2</v>
      </c>
      <c r="E28" s="7">
        <v>-1.8990809668799555E-3</v>
      </c>
      <c r="F28" s="7">
        <v>1.5008879658332905E-2</v>
      </c>
      <c r="G28" s="7">
        <v>-1.2468756187064008E-2</v>
      </c>
      <c r="H28" s="12">
        <v>1</v>
      </c>
      <c r="I28" s="12">
        <v>-1</v>
      </c>
      <c r="J28" s="23">
        <v>1</v>
      </c>
      <c r="K28" s="23">
        <v>-1</v>
      </c>
      <c r="L28" s="9">
        <f t="shared" si="9"/>
        <v>1.7465748553655909E-2</v>
      </c>
      <c r="M28" s="9">
        <f t="shared" si="1"/>
        <v>0</v>
      </c>
      <c r="N28" s="9">
        <f t="shared" si="2"/>
        <v>1.8990809668799555E-3</v>
      </c>
      <c r="O28" s="9">
        <f t="shared" si="3"/>
        <v>0</v>
      </c>
      <c r="P28" s="9">
        <f t="shared" si="4"/>
        <v>0</v>
      </c>
      <c r="Q28" s="9">
        <f t="shared" si="5"/>
        <v>-1.5008879658332905E-2</v>
      </c>
      <c r="R28" s="9">
        <f t="shared" si="6"/>
        <v>0</v>
      </c>
      <c r="S28" s="9">
        <f t="shared" si="7"/>
        <v>1.5008879658332905E-2</v>
      </c>
      <c r="T28" s="10">
        <f t="shared" si="13"/>
        <v>6.731355152909535E-2</v>
      </c>
      <c r="U28" s="10">
        <f t="shared" si="13"/>
        <v>0.12986176615430398</v>
      </c>
      <c r="V28" s="10">
        <f t="shared" si="13"/>
        <v>-5.565940108368745E-2</v>
      </c>
      <c r="W28" s="10">
        <f t="shared" si="13"/>
        <v>6.3320705217321416E-2</v>
      </c>
      <c r="X28" s="10">
        <f t="shared" si="13"/>
        <v>6.7970903191639176E-2</v>
      </c>
      <c r="Y28" s="10">
        <f t="shared" si="13"/>
        <v>-6.9538688459150913E-2</v>
      </c>
      <c r="Z28" s="10">
        <f t="shared" si="13"/>
        <v>-6.7970903191639176E-2</v>
      </c>
      <c r="AA28" s="10">
        <f t="shared" si="13"/>
        <v>6.9538688459150913E-2</v>
      </c>
      <c r="AB28" s="7">
        <f t="shared" si="11"/>
        <v>0.20483662181703338</v>
      </c>
      <c r="AC28" s="7">
        <v>0.29058385211662419</v>
      </c>
      <c r="AF28" s="7">
        <v>0.15834485250972444</v>
      </c>
    </row>
    <row r="29" spans="1:32" x14ac:dyDescent="0.25">
      <c r="A29" s="6">
        <v>38292</v>
      </c>
      <c r="B29" s="7">
        <v>4.355541838229525E-2</v>
      </c>
      <c r="C29" s="7">
        <v>4.874141950004432E-2</v>
      </c>
      <c r="D29" s="7">
        <v>3.9945171430488188E-3</v>
      </c>
      <c r="E29" s="7">
        <v>-1.5068680556364556E-2</v>
      </c>
      <c r="F29" s="7">
        <v>3.5408743949253405E-2</v>
      </c>
      <c r="G29" s="7">
        <v>-1.429184381447136E-2</v>
      </c>
      <c r="H29" s="12">
        <v>-1</v>
      </c>
      <c r="I29" s="12">
        <v>-1</v>
      </c>
      <c r="J29" s="23">
        <v>-1</v>
      </c>
      <c r="K29" s="23">
        <v>-1</v>
      </c>
      <c r="L29" s="9">
        <f t="shared" si="9"/>
        <v>0</v>
      </c>
      <c r="M29" s="9">
        <f t="shared" si="1"/>
        <v>-3.9945171430488188E-3</v>
      </c>
      <c r="N29" s="9">
        <f t="shared" si="2"/>
        <v>0</v>
      </c>
      <c r="O29" s="9">
        <f t="shared" si="3"/>
        <v>-1.5068680556364556E-2</v>
      </c>
      <c r="P29" s="9">
        <f t="shared" si="4"/>
        <v>0</v>
      </c>
      <c r="Q29" s="9">
        <f t="shared" si="5"/>
        <v>-3.5408743949253405E-2</v>
      </c>
      <c r="R29" s="9">
        <f t="shared" si="6"/>
        <v>0</v>
      </c>
      <c r="S29" s="9">
        <f t="shared" si="7"/>
        <v>3.5408743949253405E-2</v>
      </c>
      <c r="T29" s="10">
        <f t="shared" si="13"/>
        <v>6.731355152909535E-2</v>
      </c>
      <c r="U29" s="10">
        <f t="shared" si="13"/>
        <v>0.12586724901125515</v>
      </c>
      <c r="V29" s="10">
        <f t="shared" si="13"/>
        <v>-5.565940108368745E-2</v>
      </c>
      <c r="W29" s="10">
        <f t="shared" si="13"/>
        <v>4.8252024660956863E-2</v>
      </c>
      <c r="X29" s="10">
        <f t="shared" si="13"/>
        <v>6.7970903191639176E-2</v>
      </c>
      <c r="Y29" s="10">
        <f t="shared" si="13"/>
        <v>-0.10494743240840432</v>
      </c>
      <c r="Z29" s="10">
        <f t="shared" si="13"/>
        <v>-6.7970903191639176E-2</v>
      </c>
      <c r="AA29" s="10">
        <f t="shared" si="13"/>
        <v>0.10494743240840432</v>
      </c>
      <c r="AB29" s="7">
        <f t="shared" si="11"/>
        <v>0.18577342411761999</v>
      </c>
      <c r="AC29" s="7">
        <v>0.33453187638071752</v>
      </c>
      <c r="AF29" s="7">
        <v>8.9581067046586291E-2</v>
      </c>
    </row>
    <row r="30" spans="1:32" x14ac:dyDescent="0.25">
      <c r="A30" s="6">
        <v>38322</v>
      </c>
      <c r="B30" s="7">
        <v>2.9676404633139329E-2</v>
      </c>
      <c r="C30" s="7">
        <v>-3.8337068155050351E-3</v>
      </c>
      <c r="D30" s="7">
        <v>3.9793821301403586E-3</v>
      </c>
      <c r="E30" s="7">
        <v>-3.2904806428732851E-3</v>
      </c>
      <c r="F30" s="7">
        <v>1.7799677396180876E-3</v>
      </c>
      <c r="G30" s="7">
        <v>1.4504216616743846E-2</v>
      </c>
      <c r="H30" s="12">
        <v>1</v>
      </c>
      <c r="I30" s="12">
        <v>1</v>
      </c>
      <c r="J30" s="23">
        <v>1</v>
      </c>
      <c r="K30" s="23">
        <v>1</v>
      </c>
      <c r="L30" s="9">
        <f t="shared" si="9"/>
        <v>3.9793821301403586E-3</v>
      </c>
      <c r="M30" s="9">
        <f t="shared" si="1"/>
        <v>0</v>
      </c>
      <c r="N30" s="9">
        <f t="shared" si="2"/>
        <v>3.2904806428732851E-3</v>
      </c>
      <c r="O30" s="9">
        <f t="shared" si="3"/>
        <v>0</v>
      </c>
      <c r="P30" s="9">
        <f t="shared" si="4"/>
        <v>1.7799677396180876E-3</v>
      </c>
      <c r="Q30" s="9">
        <f t="shared" si="5"/>
        <v>0</v>
      </c>
      <c r="R30" s="9">
        <f t="shared" si="6"/>
        <v>-1.7799677396180876E-3</v>
      </c>
      <c r="S30" s="9">
        <f t="shared" si="7"/>
        <v>0</v>
      </c>
      <c r="T30" s="10">
        <f t="shared" si="13"/>
        <v>7.129293365923571E-2</v>
      </c>
      <c r="U30" s="10">
        <f t="shared" si="13"/>
        <v>0.12586724901125515</v>
      </c>
      <c r="V30" s="10">
        <f t="shared" si="13"/>
        <v>-5.2368920440814162E-2</v>
      </c>
      <c r="W30" s="10">
        <f t="shared" si="13"/>
        <v>4.8252024660956863E-2</v>
      </c>
      <c r="X30" s="10">
        <f t="shared" si="13"/>
        <v>6.9750870931257258E-2</v>
      </c>
      <c r="Y30" s="10">
        <f t="shared" si="13"/>
        <v>-0.10494743240840432</v>
      </c>
      <c r="Z30" s="10">
        <f t="shared" si="13"/>
        <v>-6.9750870931257258E-2</v>
      </c>
      <c r="AA30" s="10">
        <f t="shared" si="13"/>
        <v>0.10494743240840432</v>
      </c>
      <c r="AB30" s="7">
        <f t="shared" si="11"/>
        <v>0.19304328689063363</v>
      </c>
      <c r="AC30" s="7">
        <v>0.36446218232457062</v>
      </c>
      <c r="AF30" s="7">
        <v>8.4126680942474177E-2</v>
      </c>
    </row>
    <row r="31" spans="1:32" x14ac:dyDescent="0.25">
      <c r="A31" s="6">
        <v>38353</v>
      </c>
      <c r="B31" s="7">
        <v>-2.2676157800578019E-2</v>
      </c>
      <c r="C31" s="7">
        <v>-6.807434997875153E-2</v>
      </c>
      <c r="D31" s="7">
        <v>1.371934186058742E-2</v>
      </c>
      <c r="E31" s="7">
        <v>3.3852755500740927E-3</v>
      </c>
      <c r="F31" s="7">
        <v>-2.0308677511837452E-2</v>
      </c>
      <c r="G31" s="7">
        <v>-1.1279635504883459E-4</v>
      </c>
      <c r="H31" s="12">
        <v>1</v>
      </c>
      <c r="I31" s="12">
        <v>-1</v>
      </c>
      <c r="J31" s="23">
        <v>1</v>
      </c>
      <c r="K31" s="23">
        <v>-1</v>
      </c>
      <c r="L31" s="9">
        <f t="shared" si="9"/>
        <v>1.371934186058742E-2</v>
      </c>
      <c r="M31" s="9">
        <f t="shared" si="1"/>
        <v>0</v>
      </c>
      <c r="N31" s="9">
        <f t="shared" si="2"/>
        <v>-3.3852755500740927E-3</v>
      </c>
      <c r="O31" s="9">
        <f t="shared" si="3"/>
        <v>0</v>
      </c>
      <c r="P31" s="9">
        <f t="shared" si="4"/>
        <v>0</v>
      </c>
      <c r="Q31" s="9">
        <f t="shared" si="5"/>
        <v>2.0308677511837452E-2</v>
      </c>
      <c r="R31" s="9">
        <f t="shared" si="6"/>
        <v>0</v>
      </c>
      <c r="S31" s="9">
        <f t="shared" si="7"/>
        <v>-2.0308677511837452E-2</v>
      </c>
      <c r="T31" s="10">
        <f t="shared" si="13"/>
        <v>8.5012275519823127E-2</v>
      </c>
      <c r="U31" s="10">
        <f t="shared" si="13"/>
        <v>0.12586724901125515</v>
      </c>
      <c r="V31" s="10">
        <f t="shared" si="13"/>
        <v>-5.5754195990888253E-2</v>
      </c>
      <c r="W31" s="10">
        <f t="shared" si="13"/>
        <v>4.8252024660956863E-2</v>
      </c>
      <c r="X31" s="10">
        <f t="shared" si="13"/>
        <v>6.9750870931257258E-2</v>
      </c>
      <c r="Y31" s="10">
        <f t="shared" si="13"/>
        <v>-8.4638754896566859E-2</v>
      </c>
      <c r="Z31" s="10">
        <f t="shared" si="13"/>
        <v>-6.9750870931257258E-2</v>
      </c>
      <c r="AA31" s="10">
        <f t="shared" si="13"/>
        <v>8.4638754896566859E-2</v>
      </c>
      <c r="AB31" s="7">
        <f t="shared" si="11"/>
        <v>0.20337735320114697</v>
      </c>
      <c r="AC31" s="7">
        <v>0.34217435058566648</v>
      </c>
      <c r="AF31" s="7">
        <v>0.11465662840977611</v>
      </c>
    </row>
    <row r="32" spans="1:32" x14ac:dyDescent="0.25">
      <c r="A32" s="6">
        <v>38384</v>
      </c>
      <c r="B32" s="7">
        <v>2.0688724278982062E-2</v>
      </c>
      <c r="C32" s="7">
        <v>1.3671822992324192E-2</v>
      </c>
      <c r="D32" s="7">
        <v>1.6971610815911909E-2</v>
      </c>
      <c r="E32" s="7">
        <v>-4.8764277817778066E-3</v>
      </c>
      <c r="F32" s="7">
        <v>1.6035526165009389E-2</v>
      </c>
      <c r="G32" s="7">
        <v>2.1386087064852059E-2</v>
      </c>
      <c r="H32" s="12">
        <v>-1</v>
      </c>
      <c r="I32" s="12">
        <v>-1</v>
      </c>
      <c r="J32" s="23">
        <v>-1</v>
      </c>
      <c r="K32" s="23">
        <v>-1</v>
      </c>
      <c r="L32" s="9">
        <f t="shared" si="9"/>
        <v>0</v>
      </c>
      <c r="M32" s="9">
        <f t="shared" si="1"/>
        <v>-1.6971610815911909E-2</v>
      </c>
      <c r="N32" s="9">
        <f t="shared" si="2"/>
        <v>0</v>
      </c>
      <c r="O32" s="9">
        <f t="shared" si="3"/>
        <v>-4.8764277817778066E-3</v>
      </c>
      <c r="P32" s="9">
        <f t="shared" si="4"/>
        <v>0</v>
      </c>
      <c r="Q32" s="9">
        <f t="shared" si="5"/>
        <v>-1.6035526165009389E-2</v>
      </c>
      <c r="R32" s="9">
        <f t="shared" si="6"/>
        <v>0</v>
      </c>
      <c r="S32" s="9">
        <f t="shared" si="7"/>
        <v>1.6035526165009389E-2</v>
      </c>
      <c r="T32" s="10">
        <f t="shared" si="13"/>
        <v>8.5012275519823127E-2</v>
      </c>
      <c r="U32" s="10">
        <f t="shared" si="13"/>
        <v>0.10889563819534324</v>
      </c>
      <c r="V32" s="10">
        <f t="shared" si="13"/>
        <v>-5.5754195990888253E-2</v>
      </c>
      <c r="W32" s="10">
        <f t="shared" si="13"/>
        <v>4.3375596879179058E-2</v>
      </c>
      <c r="X32" s="10">
        <f t="shared" si="13"/>
        <v>6.9750870931257258E-2</v>
      </c>
      <c r="Y32" s="10">
        <f t="shared" si="13"/>
        <v>-0.10067428106157625</v>
      </c>
      <c r="Z32" s="10">
        <f t="shared" si="13"/>
        <v>-6.9750870931257258E-2</v>
      </c>
      <c r="AA32" s="10">
        <f t="shared" si="13"/>
        <v>0.10067428106157625</v>
      </c>
      <c r="AB32" s="7">
        <f t="shared" si="11"/>
        <v>0.18152931460345725</v>
      </c>
      <c r="AC32" s="7">
        <v>0.36329086728774268</v>
      </c>
      <c r="AF32" s="7">
        <v>9.8159150711929072E-2</v>
      </c>
    </row>
    <row r="33" spans="1:32" x14ac:dyDescent="0.25">
      <c r="A33" s="6">
        <v>38412</v>
      </c>
      <c r="B33" s="7">
        <v>-1.8462502172189858E-2</v>
      </c>
      <c r="C33" s="7">
        <v>-2.4812336581095905E-3</v>
      </c>
      <c r="D33" s="7">
        <v>-1.1862885700992623E-3</v>
      </c>
      <c r="E33" s="7">
        <v>1.0237580699193637E-2</v>
      </c>
      <c r="F33" s="7">
        <v>1.7747835247511494E-2</v>
      </c>
      <c r="G33" s="7">
        <v>1.2535334232020304E-2</v>
      </c>
      <c r="H33" s="12">
        <v>1</v>
      </c>
      <c r="I33" s="12">
        <v>1</v>
      </c>
      <c r="J33" s="23">
        <v>1</v>
      </c>
      <c r="K33" s="23">
        <v>1</v>
      </c>
      <c r="L33" s="9">
        <f t="shared" si="9"/>
        <v>-1.1862885700992623E-3</v>
      </c>
      <c r="M33" s="9">
        <f t="shared" si="1"/>
        <v>0</v>
      </c>
      <c r="N33" s="9">
        <f t="shared" si="2"/>
        <v>-1.0237580699193637E-2</v>
      </c>
      <c r="O33" s="9">
        <f t="shared" si="3"/>
        <v>0</v>
      </c>
      <c r="P33" s="9">
        <f t="shared" si="4"/>
        <v>1.7747835247511494E-2</v>
      </c>
      <c r="Q33" s="9">
        <f t="shared" si="5"/>
        <v>0</v>
      </c>
      <c r="R33" s="9">
        <f t="shared" si="6"/>
        <v>-1.7747835247511494E-2</v>
      </c>
      <c r="S33" s="9">
        <f t="shared" si="7"/>
        <v>0</v>
      </c>
      <c r="T33" s="10">
        <f t="shared" si="13"/>
        <v>8.382598694972386E-2</v>
      </c>
      <c r="U33" s="10">
        <f t="shared" si="13"/>
        <v>0.10889563819534324</v>
      </c>
      <c r="V33" s="10">
        <f t="shared" si="13"/>
        <v>-6.5991776690081883E-2</v>
      </c>
      <c r="W33" s="10">
        <f t="shared" si="13"/>
        <v>4.3375596879179058E-2</v>
      </c>
      <c r="X33" s="10">
        <f t="shared" si="13"/>
        <v>8.7498706178768759E-2</v>
      </c>
      <c r="Y33" s="10">
        <f t="shared" si="13"/>
        <v>-0.10067428106157625</v>
      </c>
      <c r="Z33" s="10">
        <f t="shared" si="13"/>
        <v>-8.7498706178768759E-2</v>
      </c>
      <c r="AA33" s="10">
        <f t="shared" si="13"/>
        <v>0.10067428106157625</v>
      </c>
      <c r="AB33" s="7">
        <f t="shared" si="11"/>
        <v>0.17010544533416436</v>
      </c>
      <c r="AC33" s="7">
        <v>0.34529520539511283</v>
      </c>
      <c r="AF33" s="7">
        <v>9.1947782458127361E-2</v>
      </c>
    </row>
    <row r="34" spans="1:32" x14ac:dyDescent="0.25">
      <c r="A34" s="6">
        <v>38443</v>
      </c>
      <c r="B34" s="7">
        <v>-1.8912752545091678E-2</v>
      </c>
      <c r="C34" s="7">
        <v>-3.5700334724594038E-2</v>
      </c>
      <c r="D34" s="7">
        <v>-2.2443399410768516E-3</v>
      </c>
      <c r="E34" s="7">
        <v>1.8892977603744671E-2</v>
      </c>
      <c r="F34" s="7">
        <v>1.0792942654148012E-2</v>
      </c>
      <c r="G34" s="7">
        <v>-4.05231105981758E-3</v>
      </c>
      <c r="H34" s="12">
        <v>1</v>
      </c>
      <c r="I34" s="12">
        <v>-1</v>
      </c>
      <c r="J34" s="23">
        <v>1</v>
      </c>
      <c r="K34" s="23">
        <v>-1</v>
      </c>
      <c r="L34" s="9">
        <f t="shared" si="9"/>
        <v>-2.2443399410768516E-3</v>
      </c>
      <c r="M34" s="9">
        <f t="shared" si="1"/>
        <v>0</v>
      </c>
      <c r="N34" s="9">
        <f t="shared" si="2"/>
        <v>-1.8892977603744671E-2</v>
      </c>
      <c r="O34" s="9">
        <f t="shared" si="3"/>
        <v>0</v>
      </c>
      <c r="P34" s="9">
        <f t="shared" si="4"/>
        <v>0</v>
      </c>
      <c r="Q34" s="9">
        <f t="shared" si="5"/>
        <v>-1.0792942654148012E-2</v>
      </c>
      <c r="R34" s="9">
        <f t="shared" si="6"/>
        <v>0</v>
      </c>
      <c r="S34" s="9">
        <f t="shared" si="7"/>
        <v>1.0792942654148012E-2</v>
      </c>
      <c r="T34" s="10">
        <f t="shared" si="13"/>
        <v>8.1581647008647007E-2</v>
      </c>
      <c r="U34" s="10">
        <f t="shared" si="13"/>
        <v>0.10889563819534324</v>
      </c>
      <c r="V34" s="10">
        <f t="shared" si="13"/>
        <v>-8.4884754293826553E-2</v>
      </c>
      <c r="W34" s="10">
        <f t="shared" si="13"/>
        <v>4.3375596879179058E-2</v>
      </c>
      <c r="X34" s="10">
        <f t="shared" si="13"/>
        <v>8.7498706178768759E-2</v>
      </c>
      <c r="Y34" s="10">
        <f t="shared" si="13"/>
        <v>-0.11146722371572426</v>
      </c>
      <c r="Z34" s="10">
        <f t="shared" si="13"/>
        <v>-8.7498706178768759E-2</v>
      </c>
      <c r="AA34" s="10">
        <f t="shared" si="13"/>
        <v>0.11146722371572426</v>
      </c>
      <c r="AB34" s="7">
        <f t="shared" si="11"/>
        <v>0.14896812778934282</v>
      </c>
      <c r="AC34" s="7">
        <v>0.32732344108896139</v>
      </c>
      <c r="AF34" s="7">
        <v>5.5965211199340247E-2</v>
      </c>
    </row>
    <row r="35" spans="1:32" x14ac:dyDescent="0.25">
      <c r="A35" s="6">
        <v>38473</v>
      </c>
      <c r="B35" s="7">
        <v>3.1716339268027298E-2</v>
      </c>
      <c r="C35" s="7">
        <v>1.4363283865139239E-2</v>
      </c>
      <c r="D35" s="7">
        <v>3.0175309021802576E-3</v>
      </c>
      <c r="E35" s="7">
        <v>1.6557043536769383E-2</v>
      </c>
      <c r="F35" s="7">
        <v>1.1510013127153601E-2</v>
      </c>
      <c r="G35" s="7">
        <v>-1.1465711361094623E-2</v>
      </c>
      <c r="H35" s="12">
        <v>-1</v>
      </c>
      <c r="I35" s="12">
        <v>-1</v>
      </c>
      <c r="J35" s="23">
        <v>-1</v>
      </c>
      <c r="K35" s="23">
        <v>-1</v>
      </c>
      <c r="L35" s="9">
        <f t="shared" si="9"/>
        <v>0</v>
      </c>
      <c r="M35" s="9">
        <f t="shared" si="1"/>
        <v>-3.0175309021802576E-3</v>
      </c>
      <c r="N35" s="9">
        <f t="shared" si="2"/>
        <v>0</v>
      </c>
      <c r="O35" s="9">
        <f t="shared" si="3"/>
        <v>1.6557043536769383E-2</v>
      </c>
      <c r="P35" s="9">
        <f t="shared" si="4"/>
        <v>0</v>
      </c>
      <c r="Q35" s="9">
        <f t="shared" si="5"/>
        <v>-1.1510013127153601E-2</v>
      </c>
      <c r="R35" s="9">
        <f t="shared" si="6"/>
        <v>0</v>
      </c>
      <c r="S35" s="9">
        <f t="shared" si="7"/>
        <v>1.1510013127153601E-2</v>
      </c>
      <c r="T35" s="10">
        <f t="shared" si="13"/>
        <v>8.1581647008647007E-2</v>
      </c>
      <c r="U35" s="10">
        <f t="shared" si="13"/>
        <v>0.10587810729316299</v>
      </c>
      <c r="V35" s="10">
        <f t="shared" si="13"/>
        <v>-8.4884754293826553E-2</v>
      </c>
      <c r="W35" s="10">
        <f t="shared" si="13"/>
        <v>5.9932640415948438E-2</v>
      </c>
      <c r="X35" s="10">
        <f t="shared" si="13"/>
        <v>8.7498706178768759E-2</v>
      </c>
      <c r="Y35" s="10">
        <f t="shared" si="13"/>
        <v>-0.12297723684287787</v>
      </c>
      <c r="Z35" s="10">
        <f t="shared" si="13"/>
        <v>-8.7498706178768759E-2</v>
      </c>
      <c r="AA35" s="10">
        <f t="shared" si="13"/>
        <v>0.12297723684287787</v>
      </c>
      <c r="AB35" s="7">
        <f t="shared" si="11"/>
        <v>0.16250764042393195</v>
      </c>
      <c r="AC35" s="7">
        <v>0.35942543779483799</v>
      </c>
      <c r="AF35" s="7">
        <v>4.6528999345681145E-2</v>
      </c>
    </row>
    <row r="36" spans="1:32" x14ac:dyDescent="0.25">
      <c r="A36" s="6">
        <v>38504</v>
      </c>
      <c r="B36" s="7">
        <v>1.5138288098725198E-3</v>
      </c>
      <c r="C36" s="7">
        <v>1.8341199277175608E-2</v>
      </c>
      <c r="D36" s="7">
        <v>-1.903262277125322E-2</v>
      </c>
      <c r="E36" s="7">
        <v>1.9212293525328328E-2</v>
      </c>
      <c r="F36" s="7">
        <v>5.4255543732965568E-3</v>
      </c>
      <c r="G36" s="7">
        <v>1.9450649407346574E-2</v>
      </c>
      <c r="H36" s="12">
        <v>-1</v>
      </c>
      <c r="I36" s="12">
        <v>1</v>
      </c>
      <c r="J36" s="23">
        <v>-1</v>
      </c>
      <c r="K36" s="23">
        <v>1</v>
      </c>
      <c r="L36" s="9">
        <f t="shared" si="9"/>
        <v>0</v>
      </c>
      <c r="M36" s="9">
        <f t="shared" si="1"/>
        <v>1.903262277125322E-2</v>
      </c>
      <c r="N36" s="9">
        <f t="shared" si="2"/>
        <v>0</v>
      </c>
      <c r="O36" s="9">
        <f t="shared" si="3"/>
        <v>1.9212293525328328E-2</v>
      </c>
      <c r="P36" s="9">
        <f t="shared" si="4"/>
        <v>5.4255543732965568E-3</v>
      </c>
      <c r="Q36" s="9">
        <f t="shared" si="5"/>
        <v>0</v>
      </c>
      <c r="R36" s="9">
        <f t="shared" si="6"/>
        <v>-5.4255543732965568E-3</v>
      </c>
      <c r="S36" s="9">
        <f t="shared" si="7"/>
        <v>0</v>
      </c>
      <c r="T36" s="10">
        <f t="shared" si="13"/>
        <v>8.1581647008647007E-2</v>
      </c>
      <c r="U36" s="10">
        <f t="shared" si="13"/>
        <v>0.12491073006441622</v>
      </c>
      <c r="V36" s="10">
        <f t="shared" si="13"/>
        <v>-8.4884754293826553E-2</v>
      </c>
      <c r="W36" s="10">
        <f t="shared" si="13"/>
        <v>7.9144933941276766E-2</v>
      </c>
      <c r="X36" s="10">
        <f t="shared" si="13"/>
        <v>9.2924260552065319E-2</v>
      </c>
      <c r="Y36" s="10">
        <f t="shared" si="13"/>
        <v>-0.12297723684287787</v>
      </c>
      <c r="Z36" s="10">
        <f t="shared" si="13"/>
        <v>-9.2924260552065319E-2</v>
      </c>
      <c r="AA36" s="10">
        <f t="shared" si="13"/>
        <v>0.12297723684287787</v>
      </c>
      <c r="AB36" s="7">
        <f t="shared" si="11"/>
        <v>0.20075255672051351</v>
      </c>
      <c r="AC36" s="7">
        <v>0.36120853539742348</v>
      </c>
      <c r="AF36" s="7">
        <v>7.0748820608212679E-2</v>
      </c>
    </row>
    <row r="37" spans="1:32" x14ac:dyDescent="0.25">
      <c r="A37" s="6">
        <v>38534</v>
      </c>
      <c r="B37" s="7">
        <v>3.7547313345992178E-2</v>
      </c>
      <c r="C37" s="7">
        <v>6.5608487152724493E-2</v>
      </c>
      <c r="D37" s="7">
        <v>1.6172994952600986E-3</v>
      </c>
      <c r="E37" s="7">
        <v>-4.7140262993998422E-3</v>
      </c>
      <c r="F37" s="7">
        <v>1.7796759743278781E-2</v>
      </c>
      <c r="G37" s="7">
        <v>-1.8200037770397685E-2</v>
      </c>
      <c r="H37" s="12">
        <v>-1</v>
      </c>
      <c r="I37" s="12">
        <v>1</v>
      </c>
      <c r="J37" s="23">
        <v>-1</v>
      </c>
      <c r="K37" s="23">
        <v>1</v>
      </c>
      <c r="L37" s="9">
        <f t="shared" si="9"/>
        <v>0</v>
      </c>
      <c r="M37" s="9">
        <f t="shared" si="1"/>
        <v>-1.6172994952600986E-3</v>
      </c>
      <c r="N37" s="9">
        <f t="shared" si="2"/>
        <v>0</v>
      </c>
      <c r="O37" s="9">
        <f t="shared" si="3"/>
        <v>-4.7140262993998422E-3</v>
      </c>
      <c r="P37" s="9">
        <f t="shared" si="4"/>
        <v>1.7796759743278781E-2</v>
      </c>
      <c r="Q37" s="9">
        <f t="shared" si="5"/>
        <v>0</v>
      </c>
      <c r="R37" s="9">
        <f t="shared" si="6"/>
        <v>-1.7796759743278781E-2</v>
      </c>
      <c r="S37" s="9">
        <f t="shared" si="7"/>
        <v>0</v>
      </c>
      <c r="T37" s="10">
        <f t="shared" si="13"/>
        <v>8.1581647008647007E-2</v>
      </c>
      <c r="U37" s="10">
        <f t="shared" si="13"/>
        <v>0.12329343056915612</v>
      </c>
      <c r="V37" s="10">
        <f t="shared" si="13"/>
        <v>-8.4884754293826553E-2</v>
      </c>
      <c r="W37" s="10">
        <f t="shared" si="13"/>
        <v>7.4430907641876917E-2</v>
      </c>
      <c r="X37" s="10">
        <f t="shared" si="13"/>
        <v>0.1107210202953441</v>
      </c>
      <c r="Y37" s="10">
        <f t="shared" si="13"/>
        <v>-0.12297723684287787</v>
      </c>
      <c r="Z37" s="10">
        <f t="shared" si="13"/>
        <v>-0.1107210202953441</v>
      </c>
      <c r="AA37" s="10">
        <f t="shared" si="13"/>
        <v>0.12297723684287787</v>
      </c>
      <c r="AB37" s="7">
        <f t="shared" si="11"/>
        <v>0.19442123092585356</v>
      </c>
      <c r="AC37" s="7">
        <v>0.39904651411953063</v>
      </c>
      <c r="AF37" s="7">
        <v>0.1004142923272292</v>
      </c>
    </row>
    <row r="38" spans="1:32" x14ac:dyDescent="0.25">
      <c r="A38" s="6">
        <v>38565</v>
      </c>
      <c r="B38" s="7">
        <v>-9.418476936731526E-3</v>
      </c>
      <c r="C38" s="7">
        <v>-2.1198097897498016E-2</v>
      </c>
      <c r="D38" s="7">
        <v>8.9795341574789266E-4</v>
      </c>
      <c r="E38" s="7">
        <v>2.3292312410693683E-2</v>
      </c>
      <c r="F38" s="7">
        <v>-6.9743585278697583E-3</v>
      </c>
      <c r="G38" s="7">
        <v>-1.1983082904433289E-2</v>
      </c>
      <c r="H38" s="12">
        <v>1</v>
      </c>
      <c r="I38" s="12">
        <v>1</v>
      </c>
      <c r="J38" s="23">
        <v>1</v>
      </c>
      <c r="K38" s="23">
        <v>1</v>
      </c>
      <c r="L38" s="9">
        <f t="shared" si="9"/>
        <v>8.9795341574789266E-4</v>
      </c>
      <c r="M38" s="9">
        <f t="shared" si="1"/>
        <v>0</v>
      </c>
      <c r="N38" s="9">
        <f t="shared" si="2"/>
        <v>-2.3292312410693683E-2</v>
      </c>
      <c r="O38" s="9">
        <f t="shared" si="3"/>
        <v>0</v>
      </c>
      <c r="P38" s="9">
        <f t="shared" si="4"/>
        <v>-6.9743585278697583E-3</v>
      </c>
      <c r="Q38" s="9">
        <f t="shared" si="5"/>
        <v>0</v>
      </c>
      <c r="R38" s="9">
        <f t="shared" si="6"/>
        <v>6.9743585278697583E-3</v>
      </c>
      <c r="S38" s="9">
        <f t="shared" si="7"/>
        <v>0</v>
      </c>
      <c r="T38" s="10">
        <f t="shared" si="13"/>
        <v>8.2479600424394894E-2</v>
      </c>
      <c r="U38" s="10">
        <f t="shared" si="13"/>
        <v>0.12329343056915612</v>
      </c>
      <c r="V38" s="10">
        <f t="shared" si="13"/>
        <v>-0.10817706670452024</v>
      </c>
      <c r="W38" s="10">
        <f t="shared" si="13"/>
        <v>7.4430907641876917E-2</v>
      </c>
      <c r="X38" s="10">
        <f t="shared" si="13"/>
        <v>0.10374666176747434</v>
      </c>
      <c r="Y38" s="10">
        <f t="shared" si="13"/>
        <v>-0.12297723684287787</v>
      </c>
      <c r="Z38" s="10">
        <f t="shared" si="13"/>
        <v>-0.10374666176747434</v>
      </c>
      <c r="AA38" s="10">
        <f t="shared" si="13"/>
        <v>0.12297723684287787</v>
      </c>
      <c r="AB38" s="7">
        <f t="shared" si="11"/>
        <v>0.17202687193090777</v>
      </c>
      <c r="AC38" s="7">
        <v>0.39005356487816362</v>
      </c>
      <c r="AF38" s="7">
        <v>8.3028657708846945E-2</v>
      </c>
    </row>
    <row r="39" spans="1:32" x14ac:dyDescent="0.25">
      <c r="A39" s="6">
        <v>38596</v>
      </c>
      <c r="B39" s="7">
        <v>7.9934270357336478E-3</v>
      </c>
      <c r="C39" s="7">
        <v>1.8911431047654345E-2</v>
      </c>
      <c r="D39" s="7">
        <v>1.3912732976948568E-2</v>
      </c>
      <c r="E39" s="7">
        <v>-1.1967080644273737E-2</v>
      </c>
      <c r="F39" s="7">
        <v>7.4776549560379903E-3</v>
      </c>
      <c r="G39" s="7">
        <v>-2.0659862099850244E-2</v>
      </c>
      <c r="H39" s="12">
        <v>-1</v>
      </c>
      <c r="I39" s="12">
        <v>-1</v>
      </c>
      <c r="J39" s="23">
        <v>-1</v>
      </c>
      <c r="K39" s="23">
        <v>-1</v>
      </c>
      <c r="L39" s="9">
        <f t="shared" si="9"/>
        <v>0</v>
      </c>
      <c r="M39" s="9">
        <f t="shared" si="1"/>
        <v>-1.3912732976948568E-2</v>
      </c>
      <c r="N39" s="9">
        <f t="shared" si="2"/>
        <v>0</v>
      </c>
      <c r="O39" s="9">
        <f t="shared" si="3"/>
        <v>-1.1967080644273737E-2</v>
      </c>
      <c r="P39" s="9">
        <f t="shared" si="4"/>
        <v>0</v>
      </c>
      <c r="Q39" s="9">
        <f t="shared" si="5"/>
        <v>-7.4776549560379903E-3</v>
      </c>
      <c r="R39" s="9">
        <f t="shared" si="6"/>
        <v>0</v>
      </c>
      <c r="S39" s="9">
        <f t="shared" si="7"/>
        <v>7.4776549560379903E-3</v>
      </c>
      <c r="T39" s="10">
        <f t="shared" si="13"/>
        <v>8.2479600424394894E-2</v>
      </c>
      <c r="U39" s="10">
        <f t="shared" si="13"/>
        <v>0.10938069759220756</v>
      </c>
      <c r="V39" s="10">
        <f t="shared" si="13"/>
        <v>-0.10817706670452024</v>
      </c>
      <c r="W39" s="10">
        <f t="shared" si="13"/>
        <v>6.2463826997603181E-2</v>
      </c>
      <c r="X39" s="10">
        <f t="shared" si="13"/>
        <v>0.10374666176747434</v>
      </c>
      <c r="Y39" s="10">
        <f t="shared" si="13"/>
        <v>-0.13045489179891587</v>
      </c>
      <c r="Z39" s="10">
        <f t="shared" si="13"/>
        <v>-0.10374666176747434</v>
      </c>
      <c r="AA39" s="10">
        <f t="shared" si="13"/>
        <v>0.13045489179891587</v>
      </c>
      <c r="AB39" s="7">
        <f t="shared" si="11"/>
        <v>0.14614705830968547</v>
      </c>
      <c r="AC39" s="7">
        <v>0.39834344415354239</v>
      </c>
      <c r="AF39" s="7">
        <v>2.9011327031736409E-2</v>
      </c>
    </row>
    <row r="40" spans="1:32" x14ac:dyDescent="0.25">
      <c r="A40" s="6">
        <v>38626</v>
      </c>
      <c r="B40" s="7">
        <v>-2.3934787789252124E-2</v>
      </c>
      <c r="C40" s="7">
        <v>-3.6271312273709486E-2</v>
      </c>
      <c r="D40" s="7">
        <v>1.6789064588612849E-2</v>
      </c>
      <c r="E40" s="7">
        <v>-1.821199276076765E-2</v>
      </c>
      <c r="F40" s="7">
        <v>-2.827313780995298E-2</v>
      </c>
      <c r="G40" s="7">
        <v>2.16158148162943E-5</v>
      </c>
      <c r="H40" s="12">
        <v>1</v>
      </c>
      <c r="I40" s="12">
        <v>1</v>
      </c>
      <c r="J40" s="23">
        <v>1</v>
      </c>
      <c r="K40" s="23">
        <v>1</v>
      </c>
      <c r="L40" s="9">
        <f t="shared" si="9"/>
        <v>1.6789064588612849E-2</v>
      </c>
      <c r="M40" s="9">
        <f t="shared" si="1"/>
        <v>0</v>
      </c>
      <c r="N40" s="9">
        <f t="shared" si="2"/>
        <v>1.821199276076765E-2</v>
      </c>
      <c r="O40" s="9">
        <f t="shared" si="3"/>
        <v>0</v>
      </c>
      <c r="P40" s="9">
        <f t="shared" si="4"/>
        <v>-2.827313780995298E-2</v>
      </c>
      <c r="Q40" s="9">
        <f t="shared" si="5"/>
        <v>0</v>
      </c>
      <c r="R40" s="9">
        <f t="shared" si="6"/>
        <v>2.827313780995298E-2</v>
      </c>
      <c r="S40" s="9">
        <f t="shared" si="7"/>
        <v>0</v>
      </c>
      <c r="T40" s="10">
        <f t="shared" si="13"/>
        <v>9.926866501300774E-2</v>
      </c>
      <c r="U40" s="10">
        <f t="shared" si="13"/>
        <v>0.10938069759220756</v>
      </c>
      <c r="V40" s="10">
        <f t="shared" si="13"/>
        <v>-8.9965073943752583E-2</v>
      </c>
      <c r="W40" s="10">
        <f t="shared" si="13"/>
        <v>6.2463826997603181E-2</v>
      </c>
      <c r="X40" s="10">
        <f t="shared" si="13"/>
        <v>7.5473523957521355E-2</v>
      </c>
      <c r="Y40" s="10">
        <f t="shared" si="13"/>
        <v>-0.13045489179891587</v>
      </c>
      <c r="Z40" s="10">
        <f t="shared" si="13"/>
        <v>-7.5473523957521355E-2</v>
      </c>
      <c r="AA40" s="10">
        <f t="shared" si="13"/>
        <v>0.13045489179891587</v>
      </c>
      <c r="AB40" s="7">
        <f t="shared" si="11"/>
        <v>0.18114811565906597</v>
      </c>
      <c r="AC40" s="7">
        <v>0.37535667502527797</v>
      </c>
      <c r="AF40" s="7">
        <v>3.5717630756347631E-2</v>
      </c>
    </row>
    <row r="41" spans="1:32" x14ac:dyDescent="0.25">
      <c r="A41" s="6">
        <v>38657</v>
      </c>
      <c r="B41" s="7">
        <v>4.3013436578415935E-2</v>
      </c>
      <c r="C41" s="7">
        <v>3.4375949860764178E-2</v>
      </c>
      <c r="D41" s="7">
        <v>-2.7872972755486726E-3</v>
      </c>
      <c r="E41" s="7">
        <v>-4.5449255439016867E-3</v>
      </c>
      <c r="F41" s="7">
        <v>1.7329848146017911E-2</v>
      </c>
      <c r="G41" s="7">
        <v>-1.0831471697630192E-2</v>
      </c>
      <c r="H41" s="12">
        <v>-1</v>
      </c>
      <c r="I41" s="12">
        <v>-1</v>
      </c>
      <c r="J41" s="23">
        <v>-1</v>
      </c>
      <c r="K41" s="23">
        <v>-1</v>
      </c>
      <c r="L41" s="9">
        <f t="shared" si="9"/>
        <v>0</v>
      </c>
      <c r="M41" s="9">
        <f t="shared" si="1"/>
        <v>2.7872972755486726E-3</v>
      </c>
      <c r="N41" s="9">
        <f t="shared" si="2"/>
        <v>0</v>
      </c>
      <c r="O41" s="9">
        <f t="shared" si="3"/>
        <v>-4.5449255439016867E-3</v>
      </c>
      <c r="P41" s="9">
        <f t="shared" si="4"/>
        <v>0</v>
      </c>
      <c r="Q41" s="9">
        <f t="shared" si="5"/>
        <v>-1.7329848146017911E-2</v>
      </c>
      <c r="R41" s="9">
        <f t="shared" si="6"/>
        <v>0</v>
      </c>
      <c r="S41" s="9">
        <f t="shared" si="7"/>
        <v>1.7329848146017911E-2</v>
      </c>
      <c r="T41" s="10">
        <f t="shared" si="13"/>
        <v>9.926866501300774E-2</v>
      </c>
      <c r="U41" s="10">
        <f t="shared" si="13"/>
        <v>0.11216799486775623</v>
      </c>
      <c r="V41" s="10">
        <f t="shared" si="13"/>
        <v>-8.9965073943752583E-2</v>
      </c>
      <c r="W41" s="10">
        <f t="shared" si="13"/>
        <v>5.7918901453701495E-2</v>
      </c>
      <c r="X41" s="10">
        <f t="shared" si="13"/>
        <v>7.5473523957521355E-2</v>
      </c>
      <c r="Y41" s="10">
        <f t="shared" si="13"/>
        <v>-0.14778473994493377</v>
      </c>
      <c r="Z41" s="10">
        <f t="shared" si="13"/>
        <v>-7.5473523957521355E-2</v>
      </c>
      <c r="AA41" s="10">
        <f t="shared" si="13"/>
        <v>0.14778473994493377</v>
      </c>
      <c r="AB41" s="7">
        <f t="shared" si="11"/>
        <v>0.17939048739071295</v>
      </c>
      <c r="AC41" s="7">
        <v>0.41861505997257831</v>
      </c>
      <c r="AF41" s="7">
        <v>5.7986826443465131E-3</v>
      </c>
    </row>
    <row r="42" spans="1:32" x14ac:dyDescent="0.25">
      <c r="A42" s="6">
        <v>38687</v>
      </c>
      <c r="B42" s="7">
        <v>-1.9150356828486481E-3</v>
      </c>
      <c r="C42" s="7">
        <v>1.154915431735965E-4</v>
      </c>
      <c r="D42" s="7">
        <v>-1.2133900500669722E-2</v>
      </c>
      <c r="E42" s="7">
        <v>1.9277092901276577E-2</v>
      </c>
      <c r="F42" s="7">
        <v>5.328284129773749E-3</v>
      </c>
      <c r="G42" s="7">
        <v>6.700281508490169E-4</v>
      </c>
      <c r="H42" s="12">
        <v>-1</v>
      </c>
      <c r="I42" s="12">
        <v>1</v>
      </c>
      <c r="J42" s="23">
        <v>-1</v>
      </c>
      <c r="K42" s="23">
        <v>1</v>
      </c>
      <c r="L42" s="9">
        <f t="shared" si="9"/>
        <v>0</v>
      </c>
      <c r="M42" s="9">
        <f t="shared" si="1"/>
        <v>1.2133900500669722E-2</v>
      </c>
      <c r="N42" s="9">
        <f t="shared" si="2"/>
        <v>0</v>
      </c>
      <c r="O42" s="9">
        <f t="shared" si="3"/>
        <v>1.9277092901276577E-2</v>
      </c>
      <c r="P42" s="9">
        <f t="shared" si="4"/>
        <v>5.328284129773749E-3</v>
      </c>
      <c r="Q42" s="9">
        <f t="shared" si="5"/>
        <v>0</v>
      </c>
      <c r="R42" s="9">
        <f t="shared" si="6"/>
        <v>-5.328284129773749E-3</v>
      </c>
      <c r="S42" s="9">
        <f t="shared" si="7"/>
        <v>0</v>
      </c>
      <c r="T42" s="10">
        <f t="shared" si="13"/>
        <v>9.926866501300774E-2</v>
      </c>
      <c r="U42" s="10">
        <f t="shared" si="13"/>
        <v>0.12430189536842595</v>
      </c>
      <c r="V42" s="10">
        <f t="shared" si="13"/>
        <v>-8.9965073943752583E-2</v>
      </c>
      <c r="W42" s="10">
        <f t="shared" si="13"/>
        <v>7.7195994354978065E-2</v>
      </c>
      <c r="X42" s="10">
        <f t="shared" si="13"/>
        <v>8.0801808087295104E-2</v>
      </c>
      <c r="Y42" s="10">
        <f t="shared" si="13"/>
        <v>-0.14778473994493377</v>
      </c>
      <c r="Z42" s="10">
        <f t="shared" si="13"/>
        <v>-8.0801808087295104E-2</v>
      </c>
      <c r="AA42" s="10">
        <f t="shared" si="13"/>
        <v>0.14778473994493377</v>
      </c>
      <c r="AB42" s="7">
        <f t="shared" si="11"/>
        <v>0.21080148079265926</v>
      </c>
      <c r="AC42" s="7">
        <v>0.4169259891506677</v>
      </c>
      <c r="AF42" s="7">
        <v>4.1867932025217547E-2</v>
      </c>
    </row>
    <row r="43" spans="1:32" x14ac:dyDescent="0.25">
      <c r="A43" s="6">
        <v>38718</v>
      </c>
      <c r="B43" s="7">
        <v>2.3730081677992197E-2</v>
      </c>
      <c r="C43" s="7">
        <v>1.6251487221031174E-2</v>
      </c>
      <c r="D43" s="7">
        <v>7.4785944569611563E-3</v>
      </c>
      <c r="E43" s="7">
        <v>-1.3473956204481519E-2</v>
      </c>
      <c r="F43" s="7">
        <v>3.3642066642074649E-2</v>
      </c>
      <c r="G43" s="7">
        <v>-1.3060746137903189E-3</v>
      </c>
      <c r="H43" s="12">
        <v>-1</v>
      </c>
      <c r="I43" s="12">
        <v>1</v>
      </c>
      <c r="J43" s="23">
        <v>-1</v>
      </c>
      <c r="K43" s="23">
        <v>1</v>
      </c>
      <c r="L43" s="9">
        <f t="shared" si="9"/>
        <v>0</v>
      </c>
      <c r="M43" s="9">
        <f t="shared" si="1"/>
        <v>-7.4785944569611563E-3</v>
      </c>
      <c r="N43" s="9">
        <f t="shared" si="2"/>
        <v>0</v>
      </c>
      <c r="O43" s="9">
        <f t="shared" si="3"/>
        <v>-1.3473956204481519E-2</v>
      </c>
      <c r="P43" s="9">
        <f t="shared" si="4"/>
        <v>3.3642066642074649E-2</v>
      </c>
      <c r="Q43" s="9">
        <f t="shared" si="5"/>
        <v>0</v>
      </c>
      <c r="R43" s="9">
        <f t="shared" si="6"/>
        <v>-3.3642066642074649E-2</v>
      </c>
      <c r="S43" s="9">
        <f t="shared" si="7"/>
        <v>0</v>
      </c>
      <c r="T43" s="10">
        <f t="shared" si="13"/>
        <v>9.926866501300774E-2</v>
      </c>
      <c r="U43" s="10">
        <f t="shared" si="13"/>
        <v>0.1168233009114648</v>
      </c>
      <c r="V43" s="10">
        <f t="shared" si="13"/>
        <v>-8.9965073943752583E-2</v>
      </c>
      <c r="W43" s="10">
        <f t="shared" si="13"/>
        <v>6.3722038150496541E-2</v>
      </c>
      <c r="X43" s="10">
        <f t="shared" si="13"/>
        <v>0.11444387472936976</v>
      </c>
      <c r="Y43" s="10">
        <f t="shared" si="13"/>
        <v>-0.14778473994493377</v>
      </c>
      <c r="Z43" s="10">
        <f t="shared" si="13"/>
        <v>-0.11444387472936976</v>
      </c>
      <c r="AA43" s="10">
        <f t="shared" si="13"/>
        <v>0.14778473994493377</v>
      </c>
      <c r="AB43" s="7">
        <f t="shared" si="11"/>
        <v>0.18984893013121659</v>
      </c>
      <c r="AC43" s="7">
        <v>0.44115153475905572</v>
      </c>
      <c r="AF43" s="7">
        <v>5.5863522619639838E-2</v>
      </c>
    </row>
    <row r="44" spans="1:32" x14ac:dyDescent="0.25">
      <c r="A44" s="6">
        <v>38749</v>
      </c>
      <c r="B44" s="7">
        <v>5.7093160942483807E-3</v>
      </c>
      <c r="C44" s="7">
        <v>2.0033188771710177E-3</v>
      </c>
      <c r="D44" s="7">
        <v>-8.0778583310231692E-3</v>
      </c>
      <c r="E44" s="7">
        <v>-7.6611107314804392E-4</v>
      </c>
      <c r="F44" s="7">
        <v>-1.5969757563471531E-2</v>
      </c>
      <c r="G44" s="7">
        <v>2.7739393737873496E-3</v>
      </c>
      <c r="H44" s="12">
        <v>-1</v>
      </c>
      <c r="I44" s="12">
        <v>1</v>
      </c>
      <c r="J44" s="23">
        <v>-1</v>
      </c>
      <c r="K44" s="23">
        <v>1</v>
      </c>
      <c r="L44" s="9">
        <f t="shared" si="9"/>
        <v>0</v>
      </c>
      <c r="M44" s="9">
        <f t="shared" si="1"/>
        <v>8.0778583310231692E-3</v>
      </c>
      <c r="N44" s="9">
        <f t="shared" si="2"/>
        <v>0</v>
      </c>
      <c r="O44" s="9">
        <f t="shared" si="3"/>
        <v>-7.6611107314804392E-4</v>
      </c>
      <c r="P44" s="9">
        <f t="shared" si="4"/>
        <v>-1.5969757563471531E-2</v>
      </c>
      <c r="Q44" s="9">
        <f t="shared" si="5"/>
        <v>0</v>
      </c>
      <c r="R44" s="9">
        <f t="shared" si="6"/>
        <v>1.5969757563471531E-2</v>
      </c>
      <c r="S44" s="9">
        <f t="shared" si="7"/>
        <v>0</v>
      </c>
      <c r="T44" s="10">
        <f t="shared" si="13"/>
        <v>9.926866501300774E-2</v>
      </c>
      <c r="U44" s="10">
        <f t="shared" si="13"/>
        <v>0.12490115924248797</v>
      </c>
      <c r="V44" s="10">
        <f t="shared" si="13"/>
        <v>-8.9965073943752583E-2</v>
      </c>
      <c r="W44" s="10">
        <f t="shared" si="13"/>
        <v>6.2955927077348497E-2</v>
      </c>
      <c r="X44" s="10">
        <f t="shared" si="13"/>
        <v>9.8474117165898226E-2</v>
      </c>
      <c r="Y44" s="10">
        <f t="shared" si="13"/>
        <v>-0.14778473994493377</v>
      </c>
      <c r="Z44" s="10">
        <f t="shared" si="13"/>
        <v>-9.8474117165898226E-2</v>
      </c>
      <c r="AA44" s="10">
        <f t="shared" si="13"/>
        <v>0.14778473994493377</v>
      </c>
      <c r="AB44" s="7">
        <f t="shared" si="11"/>
        <v>0.19716067738909171</v>
      </c>
      <c r="AC44" s="7">
        <v>0.44721878413807908</v>
      </c>
      <c r="AF44" s="7">
        <v>4.4431572940256084E-2</v>
      </c>
    </row>
    <row r="45" spans="1:32" x14ac:dyDescent="0.25">
      <c r="A45" s="6">
        <v>38777</v>
      </c>
      <c r="B45" s="7">
        <v>1.6369067309703361E-2</v>
      </c>
      <c r="C45" s="7">
        <v>4.2366414650334187E-2</v>
      </c>
      <c r="D45" s="7">
        <v>1.8502043911465646E-3</v>
      </c>
      <c r="E45" s="7">
        <v>-1.8928268737331545E-2</v>
      </c>
      <c r="F45" s="7">
        <v>-2.0299161938544833E-3</v>
      </c>
      <c r="G45" s="7">
        <v>-2.6944239787582629E-2</v>
      </c>
      <c r="H45" s="12">
        <v>-1</v>
      </c>
      <c r="I45" s="12">
        <v>1</v>
      </c>
      <c r="J45" s="23">
        <v>-1</v>
      </c>
      <c r="K45" s="23">
        <v>1</v>
      </c>
      <c r="L45" s="9">
        <f t="shared" si="9"/>
        <v>0</v>
      </c>
      <c r="M45" s="9">
        <f t="shared" si="1"/>
        <v>-1.8502043911465646E-3</v>
      </c>
      <c r="N45" s="9">
        <f t="shared" si="2"/>
        <v>0</v>
      </c>
      <c r="O45" s="9">
        <f t="shared" si="3"/>
        <v>-1.8928268737331545E-2</v>
      </c>
      <c r="P45" s="9">
        <f t="shared" si="4"/>
        <v>-2.0299161938544833E-3</v>
      </c>
      <c r="Q45" s="9">
        <f t="shared" si="5"/>
        <v>0</v>
      </c>
      <c r="R45" s="9">
        <f t="shared" si="6"/>
        <v>2.0299161938544833E-3</v>
      </c>
      <c r="S45" s="9">
        <f t="shared" si="7"/>
        <v>0</v>
      </c>
      <c r="T45" s="10">
        <f t="shared" si="13"/>
        <v>9.926866501300774E-2</v>
      </c>
      <c r="U45" s="10">
        <f t="shared" si="13"/>
        <v>0.1230509548513414</v>
      </c>
      <c r="V45" s="10">
        <f t="shared" si="13"/>
        <v>-8.9965073943752583E-2</v>
      </c>
      <c r="W45" s="10">
        <f t="shared" si="13"/>
        <v>4.4027658340016956E-2</v>
      </c>
      <c r="X45" s="10">
        <f t="shared" si="13"/>
        <v>9.6444200972043745E-2</v>
      </c>
      <c r="Y45" s="10">
        <f t="shared" si="13"/>
        <v>-0.14778473994493377</v>
      </c>
      <c r="Z45" s="10">
        <f t="shared" si="13"/>
        <v>-9.6444200972043745E-2</v>
      </c>
      <c r="AA45" s="10">
        <f t="shared" si="13"/>
        <v>0.14778473994493377</v>
      </c>
      <c r="AB45" s="7">
        <f t="shared" si="11"/>
        <v>0.1763822042606136</v>
      </c>
      <c r="AC45" s="7">
        <v>0.46387115570287929</v>
      </c>
      <c r="AF45" s="7">
        <v>4.856742340550612E-2</v>
      </c>
    </row>
    <row r="46" spans="1:32" x14ac:dyDescent="0.25">
      <c r="A46" s="6">
        <v>38808</v>
      </c>
      <c r="B46" s="7">
        <v>1.2552708122264644E-2</v>
      </c>
      <c r="C46" s="7">
        <v>2.4616946540269472E-2</v>
      </c>
      <c r="D46" s="7">
        <v>4.2684736334779446E-3</v>
      </c>
      <c r="E46" s="7">
        <v>-1.1576703193824237E-2</v>
      </c>
      <c r="F46" s="7">
        <v>-2.2362709254265378E-3</v>
      </c>
      <c r="G46" s="7">
        <v>-1.6802783585886997E-2</v>
      </c>
      <c r="H46" s="12">
        <v>-1</v>
      </c>
      <c r="I46" s="12">
        <v>1</v>
      </c>
      <c r="J46" s="23">
        <v>-1</v>
      </c>
      <c r="K46" s="23">
        <v>1</v>
      </c>
      <c r="L46" s="9">
        <f t="shared" si="9"/>
        <v>0</v>
      </c>
      <c r="M46" s="9">
        <f t="shared" si="1"/>
        <v>-4.2684736334779446E-3</v>
      </c>
      <c r="N46" s="9">
        <f t="shared" si="2"/>
        <v>0</v>
      </c>
      <c r="O46" s="9">
        <f t="shared" si="3"/>
        <v>-1.1576703193824237E-2</v>
      </c>
      <c r="P46" s="9">
        <f t="shared" si="4"/>
        <v>-2.2362709254265378E-3</v>
      </c>
      <c r="Q46" s="9">
        <f t="shared" si="5"/>
        <v>0</v>
      </c>
      <c r="R46" s="9">
        <f t="shared" si="6"/>
        <v>2.2362709254265378E-3</v>
      </c>
      <c r="S46" s="9">
        <f t="shared" si="7"/>
        <v>0</v>
      </c>
      <c r="T46" s="10">
        <f t="shared" si="13"/>
        <v>9.926866501300774E-2</v>
      </c>
      <c r="U46" s="10">
        <f t="shared" si="13"/>
        <v>0.11878248121786346</v>
      </c>
      <c r="V46" s="10">
        <f t="shared" si="13"/>
        <v>-8.9965073943752583E-2</v>
      </c>
      <c r="W46" s="10">
        <f t="shared" si="13"/>
        <v>3.2450955146192721E-2</v>
      </c>
      <c r="X46" s="10">
        <f t="shared" si="13"/>
        <v>9.4207930046617205E-2</v>
      </c>
      <c r="Y46" s="10">
        <f t="shared" si="13"/>
        <v>-0.14778473994493377</v>
      </c>
      <c r="Z46" s="10">
        <f t="shared" si="13"/>
        <v>-9.4207930046617205E-2</v>
      </c>
      <c r="AA46" s="10">
        <f t="shared" si="13"/>
        <v>0.14778473994493377</v>
      </c>
      <c r="AB46" s="7">
        <f t="shared" si="11"/>
        <v>0.16053702743331141</v>
      </c>
      <c r="AC46" s="7">
        <v>0.47669799775347038</v>
      </c>
      <c r="AF46" s="7">
        <v>4.7288759238664393E-2</v>
      </c>
    </row>
    <row r="47" spans="1:32" x14ac:dyDescent="0.25">
      <c r="A47" s="6">
        <v>38838</v>
      </c>
      <c r="B47" s="7">
        <v>-3.058337062707895E-2</v>
      </c>
      <c r="C47" s="7">
        <v>-4.0936156477608232E-2</v>
      </c>
      <c r="D47" s="7">
        <v>3.2211743209751634E-3</v>
      </c>
      <c r="E47" s="7">
        <v>-9.0424605799544061E-3</v>
      </c>
      <c r="F47" s="7">
        <v>7.9553629311967123E-3</v>
      </c>
      <c r="G47" s="7">
        <v>-2.7481612293821433E-3</v>
      </c>
      <c r="H47" s="12">
        <v>1</v>
      </c>
      <c r="I47" s="12">
        <v>1</v>
      </c>
      <c r="J47" s="23">
        <v>1</v>
      </c>
      <c r="K47" s="23">
        <v>1</v>
      </c>
      <c r="L47" s="9">
        <f t="shared" si="9"/>
        <v>3.2211743209751634E-3</v>
      </c>
      <c r="M47" s="9">
        <f t="shared" si="1"/>
        <v>0</v>
      </c>
      <c r="N47" s="9">
        <f t="shared" si="2"/>
        <v>9.0424605799544061E-3</v>
      </c>
      <c r="O47" s="9">
        <f t="shared" si="3"/>
        <v>0</v>
      </c>
      <c r="P47" s="9">
        <f t="shared" si="4"/>
        <v>7.9553629311967123E-3</v>
      </c>
      <c r="Q47" s="9">
        <f t="shared" si="5"/>
        <v>0</v>
      </c>
      <c r="R47" s="9">
        <f t="shared" si="6"/>
        <v>-7.9553629311967123E-3</v>
      </c>
      <c r="S47" s="9">
        <f t="shared" si="7"/>
        <v>0</v>
      </c>
      <c r="T47" s="10">
        <f t="shared" si="13"/>
        <v>0.1024898393339829</v>
      </c>
      <c r="U47" s="10">
        <f t="shared" si="13"/>
        <v>0.11878248121786346</v>
      </c>
      <c r="V47" s="10">
        <f t="shared" si="13"/>
        <v>-8.0922613363798176E-2</v>
      </c>
      <c r="W47" s="10">
        <f t="shared" si="13"/>
        <v>3.2450955146192721E-2</v>
      </c>
      <c r="X47" s="10">
        <f t="shared" si="13"/>
        <v>0.10216329297781392</v>
      </c>
      <c r="Y47" s="10">
        <f t="shared" si="13"/>
        <v>-0.14778473994493377</v>
      </c>
      <c r="Z47" s="10">
        <f t="shared" si="13"/>
        <v>-0.10216329297781392</v>
      </c>
      <c r="AA47" s="10">
        <f t="shared" si="13"/>
        <v>0.14778473994493377</v>
      </c>
      <c r="AB47" s="7">
        <f t="shared" si="11"/>
        <v>0.17280066233424099</v>
      </c>
      <c r="AC47" s="7">
        <v>0.44701421732009972</v>
      </c>
      <c r="AF47" s="7">
        <v>7.0255918300172818E-2</v>
      </c>
    </row>
    <row r="48" spans="1:32" x14ac:dyDescent="0.25">
      <c r="A48" s="6">
        <v>38869</v>
      </c>
      <c r="B48" s="7">
        <v>2.6046786010255167E-3</v>
      </c>
      <c r="C48" s="7">
        <v>-2.4136279285289729E-2</v>
      </c>
      <c r="D48" s="7">
        <v>1.7996187837285297E-2</v>
      </c>
      <c r="E48" s="7">
        <v>2.969314792692611E-3</v>
      </c>
      <c r="F48" s="7">
        <v>-1.3024734076348625E-2</v>
      </c>
      <c r="G48" s="7">
        <v>2.0921812409311978E-2</v>
      </c>
      <c r="H48" s="12">
        <v>1</v>
      </c>
      <c r="I48" s="12">
        <v>-1</v>
      </c>
      <c r="J48" s="23">
        <v>1</v>
      </c>
      <c r="K48" s="23">
        <v>-1</v>
      </c>
      <c r="L48" s="9">
        <f t="shared" si="9"/>
        <v>1.7996187837285297E-2</v>
      </c>
      <c r="M48" s="9">
        <f t="shared" si="1"/>
        <v>0</v>
      </c>
      <c r="N48" s="9">
        <f t="shared" si="2"/>
        <v>-2.969314792692611E-3</v>
      </c>
      <c r="O48" s="9">
        <f t="shared" si="3"/>
        <v>0</v>
      </c>
      <c r="P48" s="9">
        <f t="shared" si="4"/>
        <v>0</v>
      </c>
      <c r="Q48" s="9">
        <f t="shared" si="5"/>
        <v>1.3024734076348625E-2</v>
      </c>
      <c r="R48" s="9">
        <f t="shared" si="6"/>
        <v>0</v>
      </c>
      <c r="S48" s="9">
        <f t="shared" si="7"/>
        <v>-1.3024734076348625E-2</v>
      </c>
      <c r="T48" s="10">
        <f t="shared" si="13"/>
        <v>0.12048602717126819</v>
      </c>
      <c r="U48" s="10">
        <f t="shared" si="13"/>
        <v>0.11878248121786346</v>
      </c>
      <c r="V48" s="10">
        <f t="shared" si="13"/>
        <v>-8.3891928156490783E-2</v>
      </c>
      <c r="W48" s="10">
        <f t="shared" si="13"/>
        <v>3.2450955146192721E-2</v>
      </c>
      <c r="X48" s="10">
        <f t="shared" si="13"/>
        <v>0.10216329297781392</v>
      </c>
      <c r="Y48" s="10">
        <f t="shared" si="13"/>
        <v>-0.13476000586858514</v>
      </c>
      <c r="Z48" s="10">
        <f t="shared" si="13"/>
        <v>-0.10216329297781392</v>
      </c>
      <c r="AA48" s="10">
        <f t="shared" si="13"/>
        <v>0.13476000586858514</v>
      </c>
      <c r="AB48" s="7">
        <f t="shared" si="11"/>
        <v>0.18782753537883368</v>
      </c>
      <c r="AC48" s="7">
        <v>0.45056181099299419</v>
      </c>
      <c r="AF48" s="7">
        <v>0.11922933783042611</v>
      </c>
    </row>
    <row r="49" spans="1:32" x14ac:dyDescent="0.25">
      <c r="A49" s="6">
        <v>38899</v>
      </c>
      <c r="B49" s="7">
        <v>4.468008958796967E-3</v>
      </c>
      <c r="C49" s="7">
        <v>-2.3649271526161874E-2</v>
      </c>
      <c r="D49" s="7">
        <v>1.2910411835419359E-2</v>
      </c>
      <c r="E49" s="7">
        <v>6.195492477974341E-3</v>
      </c>
      <c r="F49" s="7">
        <v>-3.3842370024011574E-3</v>
      </c>
      <c r="G49" s="7">
        <v>4.4785110205172026E-3</v>
      </c>
      <c r="H49" s="12">
        <v>1</v>
      </c>
      <c r="I49" s="12">
        <v>-1</v>
      </c>
      <c r="J49" s="23">
        <v>1</v>
      </c>
      <c r="K49" s="23">
        <v>-1</v>
      </c>
      <c r="L49" s="9">
        <f t="shared" si="9"/>
        <v>1.2910411835419359E-2</v>
      </c>
      <c r="M49" s="9">
        <f t="shared" si="1"/>
        <v>0</v>
      </c>
      <c r="N49" s="9">
        <f t="shared" si="2"/>
        <v>-6.195492477974341E-3</v>
      </c>
      <c r="O49" s="9">
        <f t="shared" si="3"/>
        <v>0</v>
      </c>
      <c r="P49" s="9">
        <f t="shared" si="4"/>
        <v>0</v>
      </c>
      <c r="Q49" s="9">
        <f t="shared" si="5"/>
        <v>3.3842370024011574E-3</v>
      </c>
      <c r="R49" s="9">
        <f t="shared" si="6"/>
        <v>0</v>
      </c>
      <c r="S49" s="9">
        <f t="shared" si="7"/>
        <v>-3.3842370024011574E-3</v>
      </c>
      <c r="T49" s="10">
        <f t="shared" si="13"/>
        <v>0.13339643900668754</v>
      </c>
      <c r="U49" s="10">
        <f t="shared" si="13"/>
        <v>0.11878248121786346</v>
      </c>
      <c r="V49" s="10">
        <f t="shared" si="13"/>
        <v>-9.0087420634465121E-2</v>
      </c>
      <c r="W49" s="10">
        <f t="shared" si="13"/>
        <v>3.2450955146192721E-2</v>
      </c>
      <c r="X49" s="10">
        <f t="shared" si="13"/>
        <v>0.10216329297781392</v>
      </c>
      <c r="Y49" s="10">
        <f t="shared" si="13"/>
        <v>-0.13137576886618399</v>
      </c>
      <c r="Z49" s="10">
        <f t="shared" si="13"/>
        <v>-0.10216329297781392</v>
      </c>
      <c r="AA49" s="10">
        <f t="shared" si="13"/>
        <v>0.13137576886618399</v>
      </c>
      <c r="AB49" s="7">
        <f t="shared" si="11"/>
        <v>0.19454245473627868</v>
      </c>
      <c r="AC49" s="7">
        <v>0.45567070346676619</v>
      </c>
      <c r="AF49" s="7">
        <v>0.13380700521078948</v>
      </c>
    </row>
    <row r="50" spans="1:32" x14ac:dyDescent="0.25">
      <c r="A50" s="6">
        <v>38930</v>
      </c>
      <c r="B50" s="7">
        <v>2.1587907719146763E-2</v>
      </c>
      <c r="C50" s="7">
        <v>-1.0089722427011503E-3</v>
      </c>
      <c r="D50" s="7">
        <v>3.9113592680134514E-3</v>
      </c>
      <c r="E50" s="7">
        <v>1.1418121631058528E-2</v>
      </c>
      <c r="F50" s="7">
        <v>3.9115179361156726E-4</v>
      </c>
      <c r="G50" s="7">
        <v>1.0498166980180697E-2</v>
      </c>
      <c r="H50" s="12">
        <v>1</v>
      </c>
      <c r="I50" s="12">
        <v>-1</v>
      </c>
      <c r="J50" s="23">
        <v>1</v>
      </c>
      <c r="K50" s="23">
        <v>-1</v>
      </c>
      <c r="L50" s="9">
        <f t="shared" si="9"/>
        <v>3.9113592680134514E-3</v>
      </c>
      <c r="M50" s="9">
        <f t="shared" si="1"/>
        <v>0</v>
      </c>
      <c r="N50" s="9">
        <f t="shared" si="2"/>
        <v>-1.1418121631058528E-2</v>
      </c>
      <c r="O50" s="9">
        <f t="shared" si="3"/>
        <v>0</v>
      </c>
      <c r="P50" s="9">
        <f t="shared" si="4"/>
        <v>0</v>
      </c>
      <c r="Q50" s="9">
        <f t="shared" si="5"/>
        <v>-3.9115179361156726E-4</v>
      </c>
      <c r="R50" s="9">
        <f t="shared" si="6"/>
        <v>0</v>
      </c>
      <c r="S50" s="9">
        <f t="shared" si="7"/>
        <v>3.9115179361156726E-4</v>
      </c>
      <c r="T50" s="10">
        <f t="shared" si="13"/>
        <v>0.13730779827470099</v>
      </c>
      <c r="U50" s="10">
        <f t="shared" si="13"/>
        <v>0.11878248121786346</v>
      </c>
      <c r="V50" s="10">
        <f t="shared" si="13"/>
        <v>-0.10150554226552365</v>
      </c>
      <c r="W50" s="10">
        <f t="shared" si="13"/>
        <v>3.2450955146192721E-2</v>
      </c>
      <c r="X50" s="10">
        <f t="shared" si="13"/>
        <v>0.10216329297781392</v>
      </c>
      <c r="Y50" s="10">
        <f t="shared" si="13"/>
        <v>-0.13176692065979556</v>
      </c>
      <c r="Z50" s="10">
        <f t="shared" si="13"/>
        <v>-0.10216329297781392</v>
      </c>
      <c r="AA50" s="10">
        <f t="shared" si="13"/>
        <v>0.13176692065979556</v>
      </c>
      <c r="AB50" s="7">
        <f t="shared" si="11"/>
        <v>0.18703569237323361</v>
      </c>
      <c r="AC50" s="7">
        <v>0.47747097607430028</v>
      </c>
      <c r="AF50" s="7">
        <v>0.13640725803431353</v>
      </c>
    </row>
    <row r="51" spans="1:32" x14ac:dyDescent="0.25">
      <c r="A51" s="6">
        <v>38961</v>
      </c>
      <c r="B51" s="7">
        <v>2.6643527518460088E-2</v>
      </c>
      <c r="C51" s="7">
        <v>-1.1261635978117291E-2</v>
      </c>
      <c r="D51" s="7">
        <v>1.592179277364051E-2</v>
      </c>
      <c r="E51" s="7">
        <v>-3.0152215371729183E-3</v>
      </c>
      <c r="F51" s="7">
        <v>-2.7593213246328015E-3</v>
      </c>
      <c r="G51" s="7">
        <v>-4.570561007088669E-3</v>
      </c>
      <c r="H51" s="12">
        <v>1</v>
      </c>
      <c r="I51" s="12">
        <v>-1</v>
      </c>
      <c r="J51" s="23">
        <v>1</v>
      </c>
      <c r="K51" s="23">
        <v>-1</v>
      </c>
      <c r="L51" s="9">
        <f t="shared" si="9"/>
        <v>1.592179277364051E-2</v>
      </c>
      <c r="M51" s="9">
        <f t="shared" si="1"/>
        <v>0</v>
      </c>
      <c r="N51" s="9">
        <f t="shared" si="2"/>
        <v>3.0152215371729183E-3</v>
      </c>
      <c r="O51" s="9">
        <f t="shared" si="3"/>
        <v>0</v>
      </c>
      <c r="P51" s="9">
        <f t="shared" si="4"/>
        <v>0</v>
      </c>
      <c r="Q51" s="9">
        <f t="shared" si="5"/>
        <v>2.7593213246328015E-3</v>
      </c>
      <c r="R51" s="9">
        <f t="shared" si="6"/>
        <v>0</v>
      </c>
      <c r="S51" s="9">
        <f t="shared" si="7"/>
        <v>-2.7593213246328015E-3</v>
      </c>
      <c r="T51" s="10">
        <f t="shared" si="13"/>
        <v>0.1532295910483415</v>
      </c>
      <c r="U51" s="10">
        <f t="shared" si="13"/>
        <v>0.11878248121786346</v>
      </c>
      <c r="V51" s="10">
        <f t="shared" si="13"/>
        <v>-9.8490320728350733E-2</v>
      </c>
      <c r="W51" s="10">
        <f t="shared" si="13"/>
        <v>3.2450955146192721E-2</v>
      </c>
      <c r="X51" s="10">
        <f t="shared" si="13"/>
        <v>0.10216329297781392</v>
      </c>
      <c r="Y51" s="10">
        <f t="shared" si="13"/>
        <v>-0.12900759933516276</v>
      </c>
      <c r="Z51" s="10">
        <f t="shared" si="13"/>
        <v>-0.10216329297781392</v>
      </c>
      <c r="AA51" s="10">
        <f t="shared" si="13"/>
        <v>0.12900759933516276</v>
      </c>
      <c r="AB51" s="7">
        <f t="shared" si="11"/>
        <v>0.20597270668404705</v>
      </c>
      <c r="AC51" s="7">
        <v>0.50434586349975863</v>
      </c>
      <c r="AF51" s="7">
        <v>0.1535330326626711</v>
      </c>
    </row>
    <row r="52" spans="1:32" x14ac:dyDescent="0.25">
      <c r="A52" s="6">
        <v>38991</v>
      </c>
      <c r="B52" s="7">
        <v>3.1030163088766955E-2</v>
      </c>
      <c r="C52" s="7">
        <v>4.1168317493083292E-2</v>
      </c>
      <c r="D52" s="7">
        <v>6.918260549522319E-3</v>
      </c>
      <c r="E52" s="7">
        <v>2.548778546364891E-2</v>
      </c>
      <c r="F52" s="7">
        <v>1.0648340267244209E-2</v>
      </c>
      <c r="G52" s="7">
        <v>-8.8649682893671145E-3</v>
      </c>
      <c r="H52" s="12">
        <v>-1</v>
      </c>
      <c r="I52" s="12">
        <v>-1</v>
      </c>
      <c r="J52" s="23">
        <v>-1</v>
      </c>
      <c r="K52" s="23">
        <v>-1</v>
      </c>
      <c r="L52" s="9">
        <f t="shared" si="9"/>
        <v>0</v>
      </c>
      <c r="M52" s="9">
        <f t="shared" si="1"/>
        <v>-6.918260549522319E-3</v>
      </c>
      <c r="N52" s="9">
        <f t="shared" si="2"/>
        <v>0</v>
      </c>
      <c r="O52" s="9">
        <f t="shared" si="3"/>
        <v>2.548778546364891E-2</v>
      </c>
      <c r="P52" s="9">
        <f t="shared" si="4"/>
        <v>0</v>
      </c>
      <c r="Q52" s="9">
        <f t="shared" si="5"/>
        <v>-1.0648340267244209E-2</v>
      </c>
      <c r="R52" s="9">
        <f t="shared" si="6"/>
        <v>0</v>
      </c>
      <c r="S52" s="9">
        <f t="shared" si="7"/>
        <v>1.0648340267244209E-2</v>
      </c>
      <c r="T52" s="10">
        <f t="shared" si="13"/>
        <v>0.1532295910483415</v>
      </c>
      <c r="U52" s="10">
        <f t="shared" si="13"/>
        <v>0.11186422066834115</v>
      </c>
      <c r="V52" s="10">
        <f t="shared" si="13"/>
        <v>-9.8490320728350733E-2</v>
      </c>
      <c r="W52" s="10">
        <f t="shared" si="13"/>
        <v>5.7938740609841631E-2</v>
      </c>
      <c r="X52" s="10">
        <f t="shared" si="13"/>
        <v>0.10216329297781392</v>
      </c>
      <c r="Y52" s="10">
        <f t="shared" si="13"/>
        <v>-0.13965593960240696</v>
      </c>
      <c r="Z52" s="10">
        <f t="shared" si="13"/>
        <v>-0.10216329297781392</v>
      </c>
      <c r="AA52" s="10">
        <f t="shared" si="13"/>
        <v>0.13965593960240696</v>
      </c>
      <c r="AB52" s="7">
        <f t="shared" si="11"/>
        <v>0.22454223159817363</v>
      </c>
      <c r="AC52" s="7">
        <v>0.53555238207119993</v>
      </c>
      <c r="AF52" s="7">
        <v>0.15258924902018636</v>
      </c>
    </row>
    <row r="53" spans="1:32" x14ac:dyDescent="0.25">
      <c r="A53" s="6">
        <v>39022</v>
      </c>
      <c r="B53" s="7">
        <v>1.9690075438344244E-2</v>
      </c>
      <c r="C53" s="7">
        <v>1.1072758939932151E-2</v>
      </c>
      <c r="D53" s="7">
        <v>-7.8262594549686451E-4</v>
      </c>
      <c r="E53" s="7">
        <v>1.3419337735648712E-2</v>
      </c>
      <c r="F53" s="7">
        <v>5.9328951483249934E-3</v>
      </c>
      <c r="G53" s="7">
        <v>-2.9666651849128926E-3</v>
      </c>
      <c r="H53" s="12">
        <v>-1</v>
      </c>
      <c r="I53" s="12">
        <v>1</v>
      </c>
      <c r="J53" s="23">
        <v>-1</v>
      </c>
      <c r="K53" s="23">
        <v>1</v>
      </c>
      <c r="L53" s="9">
        <f t="shared" si="9"/>
        <v>0</v>
      </c>
      <c r="M53" s="9">
        <f t="shared" si="1"/>
        <v>7.8262594549686451E-4</v>
      </c>
      <c r="N53" s="9">
        <f t="shared" si="2"/>
        <v>0</v>
      </c>
      <c r="O53" s="9">
        <f t="shared" si="3"/>
        <v>1.3419337735648712E-2</v>
      </c>
      <c r="P53" s="9">
        <f t="shared" si="4"/>
        <v>5.9328951483249934E-3</v>
      </c>
      <c r="Q53" s="9">
        <f t="shared" si="5"/>
        <v>0</v>
      </c>
      <c r="R53" s="9">
        <f t="shared" si="6"/>
        <v>-5.9328951483249934E-3</v>
      </c>
      <c r="S53" s="9">
        <f t="shared" si="7"/>
        <v>0</v>
      </c>
      <c r="T53" s="10">
        <f t="shared" si="13"/>
        <v>0.1532295910483415</v>
      </c>
      <c r="U53" s="10">
        <f t="shared" si="13"/>
        <v>0.11264684661383802</v>
      </c>
      <c r="V53" s="10">
        <f t="shared" si="13"/>
        <v>-9.8490320728350733E-2</v>
      </c>
      <c r="W53" s="10">
        <f t="shared" si="13"/>
        <v>7.135807834549035E-2</v>
      </c>
      <c r="X53" s="10">
        <f t="shared" si="13"/>
        <v>0.10809618812613891</v>
      </c>
      <c r="Y53" s="10">
        <f t="shared" si="13"/>
        <v>-0.13965593960240696</v>
      </c>
      <c r="Z53" s="10">
        <f t="shared" si="13"/>
        <v>-0.10809618812613891</v>
      </c>
      <c r="AA53" s="10">
        <f t="shared" ref="AA53:AA116" si="14">S53+AA52</f>
        <v>0.13965593960240696</v>
      </c>
      <c r="AB53" s="7">
        <f t="shared" si="11"/>
        <v>0.2387441952793192</v>
      </c>
      <c r="AC53" s="7">
        <v>0.55556204509355556</v>
      </c>
      <c r="AF53" s="7">
        <v>0.17569077303456981</v>
      </c>
    </row>
    <row r="54" spans="1:32" x14ac:dyDescent="0.25">
      <c r="A54" s="6">
        <v>39052</v>
      </c>
      <c r="B54" s="7">
        <v>1.3282696711612991E-2</v>
      </c>
      <c r="C54" s="7">
        <v>2.5508959424920759E-2</v>
      </c>
      <c r="D54" s="7">
        <v>-1.7694179454963432E-16</v>
      </c>
      <c r="E54" s="7">
        <v>-1.510077938741145E-2</v>
      </c>
      <c r="F54" s="7">
        <v>4.4733305016389814E-3</v>
      </c>
      <c r="G54" s="7">
        <v>-3.1642057175023061E-3</v>
      </c>
      <c r="H54" s="12">
        <v>-1</v>
      </c>
      <c r="I54" s="12">
        <v>1</v>
      </c>
      <c r="J54" s="23">
        <v>-1</v>
      </c>
      <c r="K54" s="23">
        <v>1</v>
      </c>
      <c r="L54" s="9">
        <f t="shared" si="9"/>
        <v>0</v>
      </c>
      <c r="M54" s="9">
        <f t="shared" si="1"/>
        <v>1.7694179454963432E-16</v>
      </c>
      <c r="N54" s="9">
        <f t="shared" si="2"/>
        <v>0</v>
      </c>
      <c r="O54" s="9">
        <f t="shared" si="3"/>
        <v>-1.510077938741145E-2</v>
      </c>
      <c r="P54" s="9">
        <f t="shared" si="4"/>
        <v>4.4733305016389814E-3</v>
      </c>
      <c r="Q54" s="9">
        <f t="shared" si="5"/>
        <v>0</v>
      </c>
      <c r="R54" s="9">
        <f t="shared" si="6"/>
        <v>-4.4733305016389814E-3</v>
      </c>
      <c r="S54" s="9">
        <f t="shared" si="7"/>
        <v>0</v>
      </c>
      <c r="T54" s="10">
        <f t="shared" ref="T54:Z117" si="15">L54+T53</f>
        <v>0.1532295910483415</v>
      </c>
      <c r="U54" s="10">
        <f t="shared" si="15"/>
        <v>0.1126468466138382</v>
      </c>
      <c r="V54" s="10">
        <f t="shared" si="15"/>
        <v>-9.8490320728350733E-2</v>
      </c>
      <c r="W54" s="10">
        <f t="shared" si="15"/>
        <v>5.6257298958078898E-2</v>
      </c>
      <c r="X54" s="10">
        <f t="shared" si="15"/>
        <v>0.11256951862777789</v>
      </c>
      <c r="Y54" s="10">
        <f t="shared" si="15"/>
        <v>-0.13965593960240696</v>
      </c>
      <c r="Z54" s="10">
        <f t="shared" si="15"/>
        <v>-0.11256951862777789</v>
      </c>
      <c r="AA54" s="10">
        <f t="shared" si="14"/>
        <v>0.13965593960240696</v>
      </c>
      <c r="AB54" s="7">
        <f t="shared" si="11"/>
        <v>0.22364341589190792</v>
      </c>
      <c r="AC54" s="7">
        <v>0.569021674729556</v>
      </c>
      <c r="AF54" s="7">
        <v>0.16822752986629982</v>
      </c>
    </row>
    <row r="55" spans="1:32" x14ac:dyDescent="0.25">
      <c r="A55" s="6">
        <v>39083</v>
      </c>
      <c r="B55" s="7">
        <v>1.4928488844230672E-2</v>
      </c>
      <c r="C55" s="7">
        <v>2.5634941222122259E-2</v>
      </c>
      <c r="D55" s="7">
        <v>-1.3903654065319159E-3</v>
      </c>
      <c r="E55" s="7">
        <v>-6.8607160114793689E-4</v>
      </c>
      <c r="F55" s="7">
        <v>-3.8910623244477879E-3</v>
      </c>
      <c r="G55" s="7">
        <v>1.0573022287509958E-2</v>
      </c>
      <c r="H55" s="12">
        <v>-1</v>
      </c>
      <c r="I55" s="12">
        <v>1</v>
      </c>
      <c r="J55" s="23">
        <v>-1</v>
      </c>
      <c r="K55" s="23">
        <v>1</v>
      </c>
      <c r="L55" s="9">
        <f t="shared" si="9"/>
        <v>0</v>
      </c>
      <c r="M55" s="9">
        <f t="shared" si="1"/>
        <v>1.3903654065319159E-3</v>
      </c>
      <c r="N55" s="9">
        <f t="shared" si="2"/>
        <v>0</v>
      </c>
      <c r="O55" s="9">
        <f t="shared" si="3"/>
        <v>-6.8607160114793689E-4</v>
      </c>
      <c r="P55" s="9">
        <f t="shared" si="4"/>
        <v>-3.8910623244477879E-3</v>
      </c>
      <c r="Q55" s="9">
        <f t="shared" si="5"/>
        <v>0</v>
      </c>
      <c r="R55" s="9">
        <f t="shared" si="6"/>
        <v>3.8910623244477879E-3</v>
      </c>
      <c r="S55" s="9">
        <f t="shared" si="7"/>
        <v>0</v>
      </c>
      <c r="T55" s="10">
        <f t="shared" si="15"/>
        <v>0.1532295910483415</v>
      </c>
      <c r="U55" s="10">
        <f t="shared" si="15"/>
        <v>0.11403721202037011</v>
      </c>
      <c r="V55" s="10">
        <f t="shared" si="15"/>
        <v>-9.8490320728350733E-2</v>
      </c>
      <c r="W55" s="10">
        <f t="shared" si="15"/>
        <v>5.5571227356930958E-2</v>
      </c>
      <c r="X55" s="10">
        <f t="shared" si="15"/>
        <v>0.1086784563033301</v>
      </c>
      <c r="Y55" s="10">
        <f t="shared" si="15"/>
        <v>-0.13965593960240696</v>
      </c>
      <c r="Z55" s="10">
        <f t="shared" si="15"/>
        <v>-0.1086784563033301</v>
      </c>
      <c r="AA55" s="10">
        <f t="shared" si="14"/>
        <v>0.13965593960240696</v>
      </c>
      <c r="AB55" s="7">
        <f t="shared" si="11"/>
        <v>0.2243477096972919</v>
      </c>
      <c r="AC55" s="7">
        <v>0.58419714150073609</v>
      </c>
      <c r="AF55" s="7">
        <v>0.15446773905972605</v>
      </c>
    </row>
    <row r="56" spans="1:32" x14ac:dyDescent="0.25">
      <c r="A56" s="6">
        <v>39114</v>
      </c>
      <c r="B56" s="7">
        <v>-1.9812716514843898E-2</v>
      </c>
      <c r="C56" s="7">
        <v>3.0659186013294124E-3</v>
      </c>
      <c r="D56" s="7">
        <v>-3.445253757602991E-2</v>
      </c>
      <c r="E56" s="7">
        <v>2.1754926771803795E-2</v>
      </c>
      <c r="F56" s="7">
        <v>1.0104817526538145E-2</v>
      </c>
      <c r="G56" s="7">
        <v>9.8723633273717394E-3</v>
      </c>
      <c r="H56" s="12">
        <v>-1</v>
      </c>
      <c r="I56" s="12">
        <v>1</v>
      </c>
      <c r="J56" s="23">
        <v>-1</v>
      </c>
      <c r="K56" s="23">
        <v>1</v>
      </c>
      <c r="L56" s="9">
        <f t="shared" si="9"/>
        <v>0</v>
      </c>
      <c r="M56" s="9">
        <f t="shared" si="1"/>
        <v>3.445253757602991E-2</v>
      </c>
      <c r="N56" s="9">
        <f t="shared" si="2"/>
        <v>0</v>
      </c>
      <c r="O56" s="9">
        <f t="shared" si="3"/>
        <v>2.1754926771803795E-2</v>
      </c>
      <c r="P56" s="9">
        <f t="shared" si="4"/>
        <v>1.0104817526538145E-2</v>
      </c>
      <c r="Q56" s="9">
        <f t="shared" si="5"/>
        <v>0</v>
      </c>
      <c r="R56" s="9">
        <f t="shared" si="6"/>
        <v>-1.0104817526538145E-2</v>
      </c>
      <c r="S56" s="9">
        <f t="shared" si="7"/>
        <v>0</v>
      </c>
      <c r="T56" s="10">
        <f t="shared" si="15"/>
        <v>0.1532295910483415</v>
      </c>
      <c r="U56" s="10">
        <f t="shared" si="15"/>
        <v>0.14848974959640002</v>
      </c>
      <c r="V56" s="10">
        <f t="shared" si="15"/>
        <v>-9.8490320728350733E-2</v>
      </c>
      <c r="W56" s="10">
        <f t="shared" si="15"/>
        <v>7.7326154128734753E-2</v>
      </c>
      <c r="X56" s="10">
        <f t="shared" si="15"/>
        <v>0.11878327382986825</v>
      </c>
      <c r="Y56" s="10">
        <f t="shared" si="15"/>
        <v>-0.13965593960240696</v>
      </c>
      <c r="Z56" s="10">
        <f t="shared" si="15"/>
        <v>-0.11878327382986825</v>
      </c>
      <c r="AA56" s="10">
        <f t="shared" si="14"/>
        <v>0.13965593960240696</v>
      </c>
      <c r="AB56" s="7">
        <f t="shared" si="11"/>
        <v>0.28055517404512559</v>
      </c>
      <c r="AC56" s="7">
        <v>0.56534460873587966</v>
      </c>
      <c r="AF56" s="7">
        <v>0.21090765760672617</v>
      </c>
    </row>
    <row r="57" spans="1:32" x14ac:dyDescent="0.25">
      <c r="A57" s="6">
        <v>39142</v>
      </c>
      <c r="B57" s="7">
        <v>1.1522851077644499E-2</v>
      </c>
      <c r="C57" s="7">
        <v>2.1201145163857352E-2</v>
      </c>
      <c r="D57" s="7">
        <v>-9.0430043580398967E-3</v>
      </c>
      <c r="E57" s="7">
        <v>-1.6514017261077919E-2</v>
      </c>
      <c r="F57" s="7">
        <v>-9.7683223735969844E-3</v>
      </c>
      <c r="G57" s="7">
        <v>6.9130557163929254E-3</v>
      </c>
      <c r="H57" s="12">
        <v>-1</v>
      </c>
      <c r="I57" s="12">
        <v>1</v>
      </c>
      <c r="J57" s="23">
        <v>-1</v>
      </c>
      <c r="K57" s="23">
        <v>1</v>
      </c>
      <c r="L57" s="9">
        <f t="shared" si="9"/>
        <v>0</v>
      </c>
      <c r="M57" s="9">
        <f t="shared" si="1"/>
        <v>9.0430043580398967E-3</v>
      </c>
      <c r="N57" s="9">
        <f t="shared" si="2"/>
        <v>0</v>
      </c>
      <c r="O57" s="9">
        <f t="shared" si="3"/>
        <v>-1.6514017261077919E-2</v>
      </c>
      <c r="P57" s="9">
        <f t="shared" si="4"/>
        <v>-9.7683223735969844E-3</v>
      </c>
      <c r="Q57" s="9">
        <f t="shared" si="5"/>
        <v>0</v>
      </c>
      <c r="R57" s="9">
        <f t="shared" si="6"/>
        <v>9.7683223735969844E-3</v>
      </c>
      <c r="S57" s="9">
        <f t="shared" si="7"/>
        <v>0</v>
      </c>
      <c r="T57" s="10">
        <f t="shared" si="15"/>
        <v>0.1532295910483415</v>
      </c>
      <c r="U57" s="10">
        <f t="shared" si="15"/>
        <v>0.15753275395443991</v>
      </c>
      <c r="V57" s="10">
        <f t="shared" si="15"/>
        <v>-9.8490320728350733E-2</v>
      </c>
      <c r="W57" s="10">
        <f t="shared" si="15"/>
        <v>6.0812136867656838E-2</v>
      </c>
      <c r="X57" s="10">
        <f t="shared" si="15"/>
        <v>0.10901495145627127</v>
      </c>
      <c r="Y57" s="10">
        <f t="shared" si="15"/>
        <v>-0.13965593960240696</v>
      </c>
      <c r="Z57" s="10">
        <f t="shared" si="15"/>
        <v>-0.10901495145627127</v>
      </c>
      <c r="AA57" s="10">
        <f t="shared" si="14"/>
        <v>0.13965593960240696</v>
      </c>
      <c r="AB57" s="7">
        <f t="shared" si="11"/>
        <v>0.27308416114208756</v>
      </c>
      <c r="AC57" s="7">
        <v>0.57766265089555746</v>
      </c>
      <c r="AF57" s="7">
        <v>0.18675526661369823</v>
      </c>
    </row>
    <row r="58" spans="1:32" x14ac:dyDescent="0.25">
      <c r="A58" s="6">
        <v>39173</v>
      </c>
      <c r="B58" s="7">
        <v>4.3342227295940484E-2</v>
      </c>
      <c r="C58" s="7">
        <v>3.5941124397633951E-2</v>
      </c>
      <c r="D58" s="7">
        <v>1.551807768923278E-3</v>
      </c>
      <c r="E58" s="7">
        <v>3.1591196779816285E-3</v>
      </c>
      <c r="F58" s="7">
        <v>1.7036627436698187E-2</v>
      </c>
      <c r="G58" s="7">
        <v>-8.9536555089582623E-3</v>
      </c>
      <c r="H58" s="12">
        <v>-1</v>
      </c>
      <c r="I58" s="12">
        <v>1</v>
      </c>
      <c r="J58" s="23">
        <v>-1</v>
      </c>
      <c r="K58" s="23">
        <v>1</v>
      </c>
      <c r="L58" s="9">
        <f t="shared" si="9"/>
        <v>0</v>
      </c>
      <c r="M58" s="9">
        <f t="shared" si="1"/>
        <v>-1.551807768923278E-3</v>
      </c>
      <c r="N58" s="9">
        <f t="shared" si="2"/>
        <v>0</v>
      </c>
      <c r="O58" s="9">
        <f t="shared" si="3"/>
        <v>3.1591196779816285E-3</v>
      </c>
      <c r="P58" s="9">
        <f t="shared" si="4"/>
        <v>1.7036627436698187E-2</v>
      </c>
      <c r="Q58" s="9">
        <f t="shared" si="5"/>
        <v>0</v>
      </c>
      <c r="R58" s="9">
        <f t="shared" si="6"/>
        <v>-1.7036627436698187E-2</v>
      </c>
      <c r="S58" s="9">
        <f t="shared" si="7"/>
        <v>0</v>
      </c>
      <c r="T58" s="10">
        <f t="shared" si="15"/>
        <v>0.1532295910483415</v>
      </c>
      <c r="U58" s="10">
        <f t="shared" si="15"/>
        <v>0.15598094618551664</v>
      </c>
      <c r="V58" s="10">
        <f t="shared" si="15"/>
        <v>-9.8490320728350733E-2</v>
      </c>
      <c r="W58" s="10">
        <f t="shared" si="15"/>
        <v>6.3971256545638469E-2</v>
      </c>
      <c r="X58" s="10">
        <f t="shared" si="15"/>
        <v>0.12605157889296945</v>
      </c>
      <c r="Y58" s="10">
        <f t="shared" si="15"/>
        <v>-0.13965593960240696</v>
      </c>
      <c r="Z58" s="10">
        <f t="shared" si="15"/>
        <v>-0.12605157889296945</v>
      </c>
      <c r="AA58" s="10">
        <f t="shared" si="14"/>
        <v>0.13965593960240696</v>
      </c>
      <c r="AB58" s="7">
        <f t="shared" si="11"/>
        <v>0.27469147305114588</v>
      </c>
      <c r="AC58" s="7">
        <v>0.6212765395112968</v>
      </c>
      <c r="AF58" s="7">
        <v>0.21435286146841304</v>
      </c>
    </row>
    <row r="59" spans="1:32" x14ac:dyDescent="0.25">
      <c r="A59" s="6">
        <v>39203</v>
      </c>
      <c r="B59" s="7">
        <v>3.3357697017391309E-2</v>
      </c>
      <c r="C59" s="7">
        <v>4.2332386488612969E-2</v>
      </c>
      <c r="D59" s="7">
        <v>5.1009769890597006E-3</v>
      </c>
      <c r="E59" s="7">
        <v>-9.3337323194785105E-3</v>
      </c>
      <c r="F59" s="7">
        <v>1.7778846546448492E-2</v>
      </c>
      <c r="G59" s="7">
        <v>4.6719227697911373E-3</v>
      </c>
      <c r="H59" s="12">
        <v>-1</v>
      </c>
      <c r="I59" s="12">
        <v>1</v>
      </c>
      <c r="J59" s="23">
        <v>-1</v>
      </c>
      <c r="K59" s="23">
        <v>1</v>
      </c>
      <c r="L59" s="9">
        <f t="shared" si="9"/>
        <v>0</v>
      </c>
      <c r="M59" s="9">
        <f t="shared" si="1"/>
        <v>-5.1009769890597006E-3</v>
      </c>
      <c r="N59" s="9">
        <f t="shared" si="2"/>
        <v>0</v>
      </c>
      <c r="O59" s="9">
        <f t="shared" si="3"/>
        <v>-9.3337323194785105E-3</v>
      </c>
      <c r="P59" s="9">
        <f t="shared" si="4"/>
        <v>1.7778846546448492E-2</v>
      </c>
      <c r="Q59" s="9">
        <f t="shared" si="5"/>
        <v>0</v>
      </c>
      <c r="R59" s="9">
        <f t="shared" si="6"/>
        <v>-1.7778846546448492E-2</v>
      </c>
      <c r="S59" s="9">
        <f t="shared" si="7"/>
        <v>0</v>
      </c>
      <c r="T59" s="10">
        <f t="shared" si="15"/>
        <v>0.1532295910483415</v>
      </c>
      <c r="U59" s="10">
        <f t="shared" si="15"/>
        <v>0.15087996919645694</v>
      </c>
      <c r="V59" s="10">
        <f t="shared" si="15"/>
        <v>-9.8490320728350733E-2</v>
      </c>
      <c r="W59" s="10">
        <f t="shared" si="15"/>
        <v>5.4637524226159959E-2</v>
      </c>
      <c r="X59" s="10">
        <f t="shared" si="15"/>
        <v>0.14383042543941793</v>
      </c>
      <c r="Y59" s="10">
        <f t="shared" si="15"/>
        <v>-0.13965593960240696</v>
      </c>
      <c r="Z59" s="10">
        <f t="shared" si="15"/>
        <v>-0.14383042543941793</v>
      </c>
      <c r="AA59" s="10">
        <f t="shared" si="14"/>
        <v>0.13965593960240696</v>
      </c>
      <c r="AB59" s="7">
        <f t="shared" si="11"/>
        <v>0.2602567637426077</v>
      </c>
      <c r="AC59" s="7">
        <v>0.65492782138832939</v>
      </c>
      <c r="AF59" s="7">
        <v>0.21302507593653219</v>
      </c>
    </row>
    <row r="60" spans="1:32" x14ac:dyDescent="0.25">
      <c r="A60" s="6">
        <v>39234</v>
      </c>
      <c r="B60" s="7">
        <v>-1.4729290126719493E-2</v>
      </c>
      <c r="C60" s="7">
        <v>2.8869478110362581E-2</v>
      </c>
      <c r="D60" s="7">
        <v>-1.0251694244875603E-2</v>
      </c>
      <c r="E60" s="7">
        <v>2.3161209195956461E-2</v>
      </c>
      <c r="F60" s="7">
        <v>-2.7910441280711164E-2</v>
      </c>
      <c r="G60" s="7">
        <v>-2.5566861285420323E-2</v>
      </c>
      <c r="H60" s="12">
        <v>-1</v>
      </c>
      <c r="I60" s="12">
        <v>1</v>
      </c>
      <c r="J60" s="23">
        <v>-1</v>
      </c>
      <c r="K60" s="23">
        <v>1</v>
      </c>
      <c r="L60" s="9">
        <f t="shared" si="9"/>
        <v>0</v>
      </c>
      <c r="M60" s="9">
        <f t="shared" si="1"/>
        <v>1.0251694244875603E-2</v>
      </c>
      <c r="N60" s="9">
        <f t="shared" si="2"/>
        <v>0</v>
      </c>
      <c r="O60" s="9">
        <f t="shared" si="3"/>
        <v>2.3161209195956461E-2</v>
      </c>
      <c r="P60" s="9">
        <f t="shared" si="4"/>
        <v>-2.7910441280711164E-2</v>
      </c>
      <c r="Q60" s="9">
        <f t="shared" si="5"/>
        <v>0</v>
      </c>
      <c r="R60" s="9">
        <f t="shared" si="6"/>
        <v>2.7910441280711164E-2</v>
      </c>
      <c r="S60" s="9">
        <f t="shared" si="7"/>
        <v>0</v>
      </c>
      <c r="T60" s="10">
        <f t="shared" si="15"/>
        <v>0.1532295910483415</v>
      </c>
      <c r="U60" s="10">
        <f t="shared" si="15"/>
        <v>0.16113166344133253</v>
      </c>
      <c r="V60" s="10">
        <f t="shared" si="15"/>
        <v>-9.8490320728350733E-2</v>
      </c>
      <c r="W60" s="10">
        <f t="shared" si="15"/>
        <v>7.779873342211642E-2</v>
      </c>
      <c r="X60" s="10">
        <f t="shared" si="15"/>
        <v>0.11591998415870677</v>
      </c>
      <c r="Y60" s="10">
        <f t="shared" si="15"/>
        <v>-0.13965593960240696</v>
      </c>
      <c r="Z60" s="10">
        <f t="shared" si="15"/>
        <v>-0.11591998415870677</v>
      </c>
      <c r="AA60" s="10">
        <f t="shared" si="14"/>
        <v>0.13965593960240696</v>
      </c>
      <c r="AB60" s="7">
        <f t="shared" si="11"/>
        <v>0.29366966718343979</v>
      </c>
      <c r="AC60" s="7">
        <v>0.64106106008477548</v>
      </c>
      <c r="AF60" s="7">
        <v>0.24409439938207342</v>
      </c>
    </row>
    <row r="61" spans="1:32" x14ac:dyDescent="0.25">
      <c r="A61" s="6">
        <v>39264</v>
      </c>
      <c r="B61" s="7">
        <v>-3.1810472206891816E-2</v>
      </c>
      <c r="C61" s="7">
        <v>1.1822252926382917E-2</v>
      </c>
      <c r="D61" s="7">
        <v>-5.5070868179035531E-2</v>
      </c>
      <c r="E61" s="7">
        <v>2.1212947571695843E-2</v>
      </c>
      <c r="F61" s="7">
        <v>1.7594133247710406E-2</v>
      </c>
      <c r="G61" s="7">
        <v>-1.2620057206138119E-2</v>
      </c>
      <c r="H61" s="12">
        <v>-1</v>
      </c>
      <c r="I61" s="12">
        <v>1</v>
      </c>
      <c r="J61" s="23">
        <v>-1</v>
      </c>
      <c r="K61" s="23">
        <v>1</v>
      </c>
      <c r="L61" s="9">
        <f t="shared" si="9"/>
        <v>0</v>
      </c>
      <c r="M61" s="9">
        <f t="shared" si="1"/>
        <v>5.5070868179035531E-2</v>
      </c>
      <c r="N61" s="9">
        <f t="shared" si="2"/>
        <v>0</v>
      </c>
      <c r="O61" s="9">
        <f t="shared" si="3"/>
        <v>2.1212947571695843E-2</v>
      </c>
      <c r="P61" s="9">
        <f t="shared" si="4"/>
        <v>1.7594133247710406E-2</v>
      </c>
      <c r="Q61" s="9">
        <f t="shared" si="5"/>
        <v>0</v>
      </c>
      <c r="R61" s="9">
        <f t="shared" si="6"/>
        <v>-1.7594133247710406E-2</v>
      </c>
      <c r="S61" s="9">
        <f t="shared" si="7"/>
        <v>0</v>
      </c>
      <c r="T61" s="10">
        <f t="shared" si="15"/>
        <v>0.1532295910483415</v>
      </c>
      <c r="U61" s="10">
        <f t="shared" si="15"/>
        <v>0.21620253162036807</v>
      </c>
      <c r="V61" s="10">
        <f t="shared" si="15"/>
        <v>-9.8490320728350733E-2</v>
      </c>
      <c r="W61" s="10">
        <f t="shared" si="15"/>
        <v>9.9011680993812259E-2</v>
      </c>
      <c r="X61" s="10">
        <f t="shared" si="15"/>
        <v>0.13351411740641717</v>
      </c>
      <c r="Y61" s="10">
        <f t="shared" si="15"/>
        <v>-0.13965593960240696</v>
      </c>
      <c r="Z61" s="10">
        <f t="shared" si="15"/>
        <v>-0.13351411740641717</v>
      </c>
      <c r="AA61" s="10">
        <f t="shared" si="14"/>
        <v>0.13965593960240696</v>
      </c>
      <c r="AB61" s="7">
        <f t="shared" si="11"/>
        <v>0.36995348293417119</v>
      </c>
      <c r="AC61" s="7">
        <v>0.61045261307473153</v>
      </c>
      <c r="AF61" s="7">
        <v>0.35059240558665333</v>
      </c>
    </row>
    <row r="62" spans="1:32" x14ac:dyDescent="0.25">
      <c r="A62" s="6">
        <v>39295</v>
      </c>
      <c r="B62" s="7">
        <v>1.2751780789011489E-2</v>
      </c>
      <c r="C62" s="7">
        <v>-4.7597881591381836E-3</v>
      </c>
      <c r="D62" s="7">
        <v>1.8187597839126296E-2</v>
      </c>
      <c r="E62" s="7">
        <v>1.8395138144748135E-2</v>
      </c>
      <c r="F62" s="7">
        <v>1.3970246636689356E-2</v>
      </c>
      <c r="G62" s="7">
        <v>-1.134035193226488E-3</v>
      </c>
      <c r="H62" s="12">
        <v>1</v>
      </c>
      <c r="I62" s="12">
        <v>1</v>
      </c>
      <c r="J62" s="23">
        <v>1</v>
      </c>
      <c r="K62" s="23">
        <v>1</v>
      </c>
      <c r="L62" s="9">
        <f t="shared" si="9"/>
        <v>1.8187597839126296E-2</v>
      </c>
      <c r="M62" s="9">
        <f t="shared" si="1"/>
        <v>0</v>
      </c>
      <c r="N62" s="9">
        <f t="shared" si="2"/>
        <v>-1.8395138144748135E-2</v>
      </c>
      <c r="O62" s="9">
        <f t="shared" si="3"/>
        <v>0</v>
      </c>
      <c r="P62" s="9">
        <f t="shared" si="4"/>
        <v>1.3970246636689356E-2</v>
      </c>
      <c r="Q62" s="9">
        <f t="shared" si="5"/>
        <v>0</v>
      </c>
      <c r="R62" s="9">
        <f t="shared" si="6"/>
        <v>-1.3970246636689356E-2</v>
      </c>
      <c r="S62" s="9">
        <f t="shared" si="7"/>
        <v>0</v>
      </c>
      <c r="T62" s="10">
        <f t="shared" si="15"/>
        <v>0.17141718888746779</v>
      </c>
      <c r="U62" s="10">
        <f t="shared" si="15"/>
        <v>0.21620253162036807</v>
      </c>
      <c r="V62" s="10">
        <f t="shared" si="15"/>
        <v>-0.11688545887309887</v>
      </c>
      <c r="W62" s="10">
        <f t="shared" si="15"/>
        <v>9.9011680993812259E-2</v>
      </c>
      <c r="X62" s="10">
        <f t="shared" si="15"/>
        <v>0.14748436404310653</v>
      </c>
      <c r="Y62" s="10">
        <f t="shared" si="15"/>
        <v>-0.13965593960240696</v>
      </c>
      <c r="Z62" s="10">
        <f t="shared" si="15"/>
        <v>-0.14748436404310653</v>
      </c>
      <c r="AA62" s="10">
        <f t="shared" si="14"/>
        <v>0.13965593960240696</v>
      </c>
      <c r="AB62" s="7">
        <f t="shared" si="11"/>
        <v>0.36974594262854932</v>
      </c>
      <c r="AC62" s="7">
        <v>0.62542826298602383</v>
      </c>
      <c r="AF62" s="7">
        <v>0.36548914711094732</v>
      </c>
    </row>
    <row r="63" spans="1:32" x14ac:dyDescent="0.25">
      <c r="A63" s="6">
        <v>39326</v>
      </c>
      <c r="B63" s="7">
        <v>3.7983341542592759E-2</v>
      </c>
      <c r="C63" s="7">
        <v>3.6412706546078213E-2</v>
      </c>
      <c r="D63" s="7">
        <v>5.8500372931473447E-3</v>
      </c>
      <c r="E63" s="7">
        <v>6.5590289954891544E-3</v>
      </c>
      <c r="F63" s="7">
        <v>-1.2271275016065175E-2</v>
      </c>
      <c r="G63" s="7">
        <v>2.7653821555618539E-2</v>
      </c>
      <c r="H63" s="12">
        <v>-1</v>
      </c>
      <c r="I63" s="12">
        <v>-1</v>
      </c>
      <c r="J63" s="23">
        <v>-1</v>
      </c>
      <c r="K63" s="23">
        <v>-1</v>
      </c>
      <c r="L63" s="9">
        <f t="shared" si="9"/>
        <v>0</v>
      </c>
      <c r="M63" s="9">
        <f t="shared" si="1"/>
        <v>-5.8500372931473447E-3</v>
      </c>
      <c r="N63" s="9">
        <f t="shared" si="2"/>
        <v>0</v>
      </c>
      <c r="O63" s="9">
        <f t="shared" si="3"/>
        <v>6.5590289954891544E-3</v>
      </c>
      <c r="P63" s="9">
        <f t="shared" si="4"/>
        <v>0</v>
      </c>
      <c r="Q63" s="9">
        <f t="shared" si="5"/>
        <v>1.2271275016065175E-2</v>
      </c>
      <c r="R63" s="9">
        <f t="shared" si="6"/>
        <v>0</v>
      </c>
      <c r="S63" s="9">
        <f t="shared" si="7"/>
        <v>-1.2271275016065175E-2</v>
      </c>
      <c r="T63" s="10">
        <f t="shared" si="15"/>
        <v>0.17141718888746779</v>
      </c>
      <c r="U63" s="10">
        <f t="shared" si="15"/>
        <v>0.21035249432722072</v>
      </c>
      <c r="V63" s="10">
        <f t="shared" si="15"/>
        <v>-0.11688545887309887</v>
      </c>
      <c r="W63" s="10">
        <f t="shared" si="15"/>
        <v>0.10557070998930142</v>
      </c>
      <c r="X63" s="10">
        <f t="shared" si="15"/>
        <v>0.14748436404310653</v>
      </c>
      <c r="Y63" s="10">
        <f t="shared" si="15"/>
        <v>-0.12738466458634179</v>
      </c>
      <c r="Z63" s="10">
        <f t="shared" si="15"/>
        <v>-0.14748436404310653</v>
      </c>
      <c r="AA63" s="10">
        <f t="shared" si="14"/>
        <v>0.12738466458634179</v>
      </c>
      <c r="AB63" s="7">
        <f t="shared" si="11"/>
        <v>0.37045493433089111</v>
      </c>
      <c r="AC63" s="7">
        <v>0.66422422972306139</v>
      </c>
      <c r="AF63" s="7">
        <v>0.40612323538497286</v>
      </c>
    </row>
    <row r="64" spans="1:32" x14ac:dyDescent="0.25">
      <c r="A64" s="6">
        <v>39356</v>
      </c>
      <c r="B64" s="7">
        <v>1.3475387113586527E-2</v>
      </c>
      <c r="C64" s="7">
        <v>-4.2575200815451401E-2</v>
      </c>
      <c r="D64" s="7">
        <v>3.2731933153520125E-2</v>
      </c>
      <c r="E64" s="7">
        <v>-5.3200496574762907E-3</v>
      </c>
      <c r="F64" s="7">
        <v>2.1204747316324019E-2</v>
      </c>
      <c r="G64" s="7">
        <v>-1.0757589157916643E-3</v>
      </c>
      <c r="H64" s="12">
        <v>1</v>
      </c>
      <c r="I64" s="12">
        <v>1</v>
      </c>
      <c r="J64" s="23">
        <v>1</v>
      </c>
      <c r="K64" s="23">
        <v>1</v>
      </c>
      <c r="L64" s="9">
        <f t="shared" si="9"/>
        <v>3.2731933153520125E-2</v>
      </c>
      <c r="M64" s="9">
        <f t="shared" si="1"/>
        <v>0</v>
      </c>
      <c r="N64" s="9">
        <f t="shared" si="2"/>
        <v>5.3200496574762907E-3</v>
      </c>
      <c r="O64" s="9">
        <f t="shared" si="3"/>
        <v>0</v>
      </c>
      <c r="P64" s="9">
        <f t="shared" si="4"/>
        <v>2.1204747316324019E-2</v>
      </c>
      <c r="Q64" s="9">
        <f t="shared" si="5"/>
        <v>0</v>
      </c>
      <c r="R64" s="9">
        <f t="shared" si="6"/>
        <v>-2.1204747316324019E-2</v>
      </c>
      <c r="S64" s="9">
        <f t="shared" si="7"/>
        <v>0</v>
      </c>
      <c r="T64" s="10">
        <f t="shared" si="15"/>
        <v>0.20414912204098792</v>
      </c>
      <c r="U64" s="10">
        <f t="shared" si="15"/>
        <v>0.21035249432722072</v>
      </c>
      <c r="V64" s="10">
        <f t="shared" si="15"/>
        <v>-0.11156540921562258</v>
      </c>
      <c r="W64" s="10">
        <f t="shared" si="15"/>
        <v>0.10557070998930142</v>
      </c>
      <c r="X64" s="10">
        <f t="shared" si="15"/>
        <v>0.16868911135943054</v>
      </c>
      <c r="Y64" s="10">
        <f t="shared" si="15"/>
        <v>-0.12738466458634179</v>
      </c>
      <c r="Z64" s="10">
        <f t="shared" si="15"/>
        <v>-0.16868911135943054</v>
      </c>
      <c r="AA64" s="10">
        <f t="shared" si="14"/>
        <v>0.12738466458634179</v>
      </c>
      <c r="AB64" s="7">
        <f t="shared" si="11"/>
        <v>0.40850691714188753</v>
      </c>
      <c r="AC64" s="7">
        <v>0.6785560433197646</v>
      </c>
      <c r="AF64" s="7">
        <v>0.46645572442808497</v>
      </c>
    </row>
    <row r="65" spans="1:32" x14ac:dyDescent="0.25">
      <c r="A65" s="6">
        <v>39387</v>
      </c>
      <c r="B65" s="7">
        <v>-3.9503124324463262E-2</v>
      </c>
      <c r="C65" s="7">
        <v>-0.12982080217176881</v>
      </c>
      <c r="D65" s="7">
        <v>4.8090248698228664E-2</v>
      </c>
      <c r="E65" s="7">
        <v>9.9023938313787772E-3</v>
      </c>
      <c r="F65" s="7">
        <v>-4.4560724455551218E-2</v>
      </c>
      <c r="G65" s="7">
        <v>1.2578626784887359E-2</v>
      </c>
      <c r="H65" s="12">
        <v>1</v>
      </c>
      <c r="I65" s="12">
        <v>-1</v>
      </c>
      <c r="J65" s="23">
        <v>1</v>
      </c>
      <c r="K65" s="23">
        <v>-1</v>
      </c>
      <c r="L65" s="9">
        <f t="shared" si="9"/>
        <v>4.8090248698228664E-2</v>
      </c>
      <c r="M65" s="9">
        <f t="shared" si="1"/>
        <v>0</v>
      </c>
      <c r="N65" s="9">
        <f t="shared" si="2"/>
        <v>-9.9023938313787772E-3</v>
      </c>
      <c r="O65" s="9">
        <f t="shared" si="3"/>
        <v>0</v>
      </c>
      <c r="P65" s="9">
        <f t="shared" si="4"/>
        <v>0</v>
      </c>
      <c r="Q65" s="9">
        <f t="shared" si="5"/>
        <v>4.4560724455551218E-2</v>
      </c>
      <c r="R65" s="9">
        <f t="shared" si="6"/>
        <v>0</v>
      </c>
      <c r="S65" s="9">
        <f t="shared" si="7"/>
        <v>-4.4560724455551218E-2</v>
      </c>
      <c r="T65" s="10">
        <f t="shared" si="15"/>
        <v>0.2522393707392166</v>
      </c>
      <c r="U65" s="10">
        <f t="shared" si="15"/>
        <v>0.21035249432722072</v>
      </c>
      <c r="V65" s="10">
        <f t="shared" si="15"/>
        <v>-0.12146780304700136</v>
      </c>
      <c r="W65" s="10">
        <f t="shared" si="15"/>
        <v>0.10557070998930142</v>
      </c>
      <c r="X65" s="10">
        <f t="shared" si="15"/>
        <v>0.16868911135943054</v>
      </c>
      <c r="Y65" s="10">
        <f t="shared" si="15"/>
        <v>-8.2823940130790571E-2</v>
      </c>
      <c r="Z65" s="10">
        <f t="shared" si="15"/>
        <v>-0.16868911135943054</v>
      </c>
      <c r="AA65" s="10">
        <f t="shared" si="14"/>
        <v>8.2823940130790571E-2</v>
      </c>
      <c r="AB65" s="7">
        <f t="shared" si="11"/>
        <v>0.44669477200873742</v>
      </c>
      <c r="AC65" s="7">
        <v>0.64189571467319917</v>
      </c>
      <c r="AF65" s="7">
        <v>0.56178293053537343</v>
      </c>
    </row>
    <row r="66" spans="1:32" x14ac:dyDescent="0.25">
      <c r="A66" s="6">
        <v>39417</v>
      </c>
      <c r="B66" s="7">
        <v>-1.1324158619732719E-2</v>
      </c>
      <c r="C66" s="7">
        <v>2.6863865089404471E-2</v>
      </c>
      <c r="D66" s="7">
        <v>-1.3046219688631715E-2</v>
      </c>
      <c r="E66" s="7">
        <v>1.8845038864491397E-2</v>
      </c>
      <c r="F66" s="7">
        <v>1.5021888411573397E-2</v>
      </c>
      <c r="G66" s="7">
        <v>-2.4270087329901366E-2</v>
      </c>
      <c r="H66" s="12">
        <v>-1</v>
      </c>
      <c r="I66" s="12">
        <v>-1</v>
      </c>
      <c r="J66" s="23">
        <v>-1</v>
      </c>
      <c r="K66" s="23">
        <v>-1</v>
      </c>
      <c r="L66" s="9">
        <f t="shared" si="9"/>
        <v>0</v>
      </c>
      <c r="M66" s="9">
        <f t="shared" si="1"/>
        <v>1.3046219688631715E-2</v>
      </c>
      <c r="N66" s="9">
        <f t="shared" si="2"/>
        <v>0</v>
      </c>
      <c r="O66" s="9">
        <f t="shared" si="3"/>
        <v>1.8845038864491397E-2</v>
      </c>
      <c r="P66" s="9">
        <f t="shared" si="4"/>
        <v>0</v>
      </c>
      <c r="Q66" s="9">
        <f t="shared" si="5"/>
        <v>-1.5021888411573397E-2</v>
      </c>
      <c r="R66" s="9">
        <f t="shared" si="6"/>
        <v>0</v>
      </c>
      <c r="S66" s="9">
        <f t="shared" si="7"/>
        <v>1.5021888411573397E-2</v>
      </c>
      <c r="T66" s="10">
        <f t="shared" si="15"/>
        <v>0.2522393707392166</v>
      </c>
      <c r="U66" s="10">
        <f t="shared" si="15"/>
        <v>0.22339871401585243</v>
      </c>
      <c r="V66" s="10">
        <f t="shared" si="15"/>
        <v>-0.12146780304700136</v>
      </c>
      <c r="W66" s="10">
        <f t="shared" si="15"/>
        <v>0.12441574885379281</v>
      </c>
      <c r="X66" s="10">
        <f t="shared" si="15"/>
        <v>0.16868911135943054</v>
      </c>
      <c r="Y66" s="10">
        <f t="shared" si="15"/>
        <v>-9.7845828542363969E-2</v>
      </c>
      <c r="Z66" s="10">
        <f t="shared" si="15"/>
        <v>-0.16868911135943054</v>
      </c>
      <c r="AA66" s="10">
        <f t="shared" si="14"/>
        <v>9.7845828542363969E-2</v>
      </c>
      <c r="AB66" s="7">
        <f t="shared" si="11"/>
        <v>0.47858603056186055</v>
      </c>
      <c r="AC66" s="7">
        <v>0.63179887386201317</v>
      </c>
      <c r="AF66" s="7">
        <v>0.55438221334702176</v>
      </c>
    </row>
    <row r="67" spans="1:32" x14ac:dyDescent="0.25">
      <c r="A67" s="6">
        <v>39448</v>
      </c>
      <c r="B67" s="7">
        <v>-6.2365995504664359E-2</v>
      </c>
      <c r="C67" s="7">
        <v>-0.12258340301776818</v>
      </c>
      <c r="D67" s="7">
        <v>2.5883299944655578E-2</v>
      </c>
      <c r="E67" s="7">
        <v>-1.3592269705264792E-2</v>
      </c>
      <c r="F67" s="7">
        <v>-5.1217686338903806E-2</v>
      </c>
      <c r="G67" s="7">
        <v>1.6310164955915724E-2</v>
      </c>
      <c r="H67" s="12">
        <v>1</v>
      </c>
      <c r="I67" s="12">
        <v>1</v>
      </c>
      <c r="J67" s="23">
        <v>1</v>
      </c>
      <c r="K67" s="23">
        <v>1</v>
      </c>
      <c r="L67" s="9">
        <f t="shared" si="9"/>
        <v>2.5883299944655578E-2</v>
      </c>
      <c r="M67" s="9">
        <f t="shared" ref="M67:M130" si="16">IF(H67=-1,-D67,0)</f>
        <v>0</v>
      </c>
      <c r="N67" s="9">
        <f t="shared" ref="N67:N130" si="17">IF(H67=1,-E67,0)</f>
        <v>1.3592269705264792E-2</v>
      </c>
      <c r="O67" s="9">
        <f t="shared" ref="O67:O130" si="18">IF(H67=-1,E67,0)</f>
        <v>0</v>
      </c>
      <c r="P67" s="9">
        <f t="shared" ref="P67:P130" si="19">IF(I67=1,F67,0)</f>
        <v>-5.1217686338903806E-2</v>
      </c>
      <c r="Q67" s="9">
        <f t="shared" ref="Q67:Q130" si="20">IF($I67=-1,-$F67,0)</f>
        <v>0</v>
      </c>
      <c r="R67" s="9">
        <f t="shared" ref="R67:R130" si="21">IF($I67=1,-$F67,0)</f>
        <v>5.1217686338903806E-2</v>
      </c>
      <c r="S67" s="9">
        <f t="shared" ref="S67:S130" si="22">IF($I67=-1,$F67,0)</f>
        <v>0</v>
      </c>
      <c r="T67" s="10">
        <f t="shared" si="15"/>
        <v>0.2781226706838722</v>
      </c>
      <c r="U67" s="10">
        <f t="shared" si="15"/>
        <v>0.22339871401585243</v>
      </c>
      <c r="V67" s="10">
        <f t="shared" si="15"/>
        <v>-0.10787553334173657</v>
      </c>
      <c r="W67" s="10">
        <f t="shared" si="15"/>
        <v>0.12441574885379281</v>
      </c>
      <c r="X67" s="10">
        <f t="shared" si="15"/>
        <v>0.11747142502052674</v>
      </c>
      <c r="Y67" s="10">
        <f t="shared" si="15"/>
        <v>-9.7845828542363969E-2</v>
      </c>
      <c r="Z67" s="10">
        <f t="shared" si="15"/>
        <v>-0.11747142502052674</v>
      </c>
      <c r="AA67" s="10">
        <f t="shared" si="14"/>
        <v>9.7845828542363969E-2</v>
      </c>
      <c r="AB67" s="7">
        <f t="shared" si="11"/>
        <v>0.51806160021178094</v>
      </c>
      <c r="AC67" s="7">
        <v>0.57154380599767662</v>
      </c>
      <c r="AF67" s="7">
        <v>0.52632993170212261</v>
      </c>
    </row>
    <row r="68" spans="1:32" x14ac:dyDescent="0.25">
      <c r="A68" s="6">
        <v>39479</v>
      </c>
      <c r="B68" s="7">
        <v>-2.6182343269458896E-2</v>
      </c>
      <c r="C68" s="7">
        <v>1.5475285837679532E-2</v>
      </c>
      <c r="D68" s="7">
        <v>-1.3360992604450964E-2</v>
      </c>
      <c r="E68" s="7">
        <v>2.3732619931614615E-2</v>
      </c>
      <c r="F68" s="7">
        <v>-2.5360782468309414E-2</v>
      </c>
      <c r="G68" s="7">
        <v>-2.1581226637696842E-2</v>
      </c>
      <c r="H68" s="12">
        <v>-1</v>
      </c>
      <c r="I68" s="12">
        <v>-1</v>
      </c>
      <c r="J68" s="23">
        <v>-1</v>
      </c>
      <c r="K68" s="23">
        <v>-1</v>
      </c>
      <c r="L68" s="9">
        <f t="shared" ref="L68:L131" si="23">IF(H68=1,D68,0)</f>
        <v>0</v>
      </c>
      <c r="M68" s="9">
        <f t="shared" si="16"/>
        <v>1.3360992604450964E-2</v>
      </c>
      <c r="N68" s="9">
        <f t="shared" si="17"/>
        <v>0</v>
      </c>
      <c r="O68" s="9">
        <f t="shared" si="18"/>
        <v>2.3732619931614615E-2</v>
      </c>
      <c r="P68" s="9">
        <f t="shared" si="19"/>
        <v>0</v>
      </c>
      <c r="Q68" s="9">
        <f t="shared" si="20"/>
        <v>2.5360782468309414E-2</v>
      </c>
      <c r="R68" s="9">
        <f t="shared" si="21"/>
        <v>0</v>
      </c>
      <c r="S68" s="9">
        <f t="shared" si="22"/>
        <v>-2.5360782468309414E-2</v>
      </c>
      <c r="T68" s="10">
        <f t="shared" si="15"/>
        <v>0.2781226706838722</v>
      </c>
      <c r="U68" s="10">
        <f t="shared" si="15"/>
        <v>0.23675970662030338</v>
      </c>
      <c r="V68" s="10">
        <f t="shared" si="15"/>
        <v>-0.10787553334173657</v>
      </c>
      <c r="W68" s="10">
        <f t="shared" si="15"/>
        <v>0.14814836878540744</v>
      </c>
      <c r="X68" s="10">
        <f t="shared" si="15"/>
        <v>0.11747142502052674</v>
      </c>
      <c r="Y68" s="10">
        <f t="shared" si="15"/>
        <v>-7.2485046074054552E-2</v>
      </c>
      <c r="Z68" s="10">
        <f t="shared" si="15"/>
        <v>-0.11747142502052674</v>
      </c>
      <c r="AA68" s="10">
        <f t="shared" si="14"/>
        <v>7.2485046074054552E-2</v>
      </c>
      <c r="AB68" s="7">
        <f t="shared" ref="AB68:AB131" si="24">AB67+SUM(L68:S68)</f>
        <v>0.55515521274784652</v>
      </c>
      <c r="AC68" s="7">
        <v>0.54662531932467462</v>
      </c>
      <c r="AF68" s="7">
        <v>0.56720310006880081</v>
      </c>
    </row>
    <row r="69" spans="1:32" x14ac:dyDescent="0.25">
      <c r="A69" s="6">
        <v>39508</v>
      </c>
      <c r="B69" s="7">
        <v>-8.982463454304028E-3</v>
      </c>
      <c r="C69" s="7">
        <v>-3.3501588531891918E-3</v>
      </c>
      <c r="D69" s="7">
        <v>-2.0623916972411824E-2</v>
      </c>
      <c r="E69" s="7">
        <v>6.1725656370662622E-3</v>
      </c>
      <c r="F69" s="7">
        <v>-3.1194416202091686E-2</v>
      </c>
      <c r="G69" s="7">
        <v>-1.7752867451748675E-2</v>
      </c>
      <c r="H69" s="12">
        <v>1</v>
      </c>
      <c r="I69" s="12">
        <v>1</v>
      </c>
      <c r="J69" s="23">
        <v>1</v>
      </c>
      <c r="K69" s="23">
        <v>1</v>
      </c>
      <c r="L69" s="9">
        <f t="shared" si="23"/>
        <v>-2.0623916972411824E-2</v>
      </c>
      <c r="M69" s="9">
        <f t="shared" si="16"/>
        <v>0</v>
      </c>
      <c r="N69" s="9">
        <f t="shared" si="17"/>
        <v>-6.1725656370662622E-3</v>
      </c>
      <c r="O69" s="9">
        <f t="shared" si="18"/>
        <v>0</v>
      </c>
      <c r="P69" s="9">
        <f t="shared" si="19"/>
        <v>-3.1194416202091686E-2</v>
      </c>
      <c r="Q69" s="9">
        <f t="shared" si="20"/>
        <v>0</v>
      </c>
      <c r="R69" s="9">
        <f t="shared" si="21"/>
        <v>3.1194416202091686E-2</v>
      </c>
      <c r="S69" s="9">
        <f t="shared" si="22"/>
        <v>0</v>
      </c>
      <c r="T69" s="10">
        <f t="shared" si="15"/>
        <v>0.25749875371146036</v>
      </c>
      <c r="U69" s="10">
        <f t="shared" si="15"/>
        <v>0.23675970662030338</v>
      </c>
      <c r="V69" s="10">
        <f t="shared" si="15"/>
        <v>-0.11404809897880283</v>
      </c>
      <c r="W69" s="10">
        <f t="shared" si="15"/>
        <v>0.14814836878540744</v>
      </c>
      <c r="X69" s="10">
        <f t="shared" si="15"/>
        <v>8.6277008818435058E-2</v>
      </c>
      <c r="Y69" s="10">
        <f t="shared" si="15"/>
        <v>-7.2485046074054552E-2</v>
      </c>
      <c r="Z69" s="10">
        <f t="shared" si="15"/>
        <v>-8.6277008818435058E-2</v>
      </c>
      <c r="AA69" s="10">
        <f t="shared" si="14"/>
        <v>7.2485046074054552E-2</v>
      </c>
      <c r="AB69" s="7">
        <f t="shared" si="24"/>
        <v>0.52835873013836843</v>
      </c>
      <c r="AC69" s="7">
        <v>0.54053253086568753</v>
      </c>
      <c r="AF69" s="7">
        <v>0.52696506870897974</v>
      </c>
    </row>
    <row r="70" spans="1:32" x14ac:dyDescent="0.25">
      <c r="A70" s="6">
        <v>39539</v>
      </c>
      <c r="B70" s="7">
        <v>4.6561022288474016E-2</v>
      </c>
      <c r="C70" s="7">
        <v>7.3511936997365329E-2</v>
      </c>
      <c r="D70" s="7">
        <v>-2.0953301015842283E-3</v>
      </c>
      <c r="E70" s="7">
        <v>-3.2288246608653745E-4</v>
      </c>
      <c r="F70" s="7">
        <v>3.7114346151723543E-2</v>
      </c>
      <c r="G70" s="7">
        <v>-8.2450445561075072E-3</v>
      </c>
      <c r="H70" s="12">
        <v>-1</v>
      </c>
      <c r="I70" s="12">
        <v>-1</v>
      </c>
      <c r="J70" s="23">
        <v>-1</v>
      </c>
      <c r="K70" s="23">
        <v>-1</v>
      </c>
      <c r="L70" s="9">
        <f t="shared" si="23"/>
        <v>0</v>
      </c>
      <c r="M70" s="9">
        <f t="shared" si="16"/>
        <v>2.0953301015842283E-3</v>
      </c>
      <c r="N70" s="9">
        <f t="shared" si="17"/>
        <v>0</v>
      </c>
      <c r="O70" s="9">
        <f t="shared" si="18"/>
        <v>-3.2288246608653745E-4</v>
      </c>
      <c r="P70" s="9">
        <f t="shared" si="19"/>
        <v>0</v>
      </c>
      <c r="Q70" s="9">
        <f t="shared" si="20"/>
        <v>-3.7114346151723543E-2</v>
      </c>
      <c r="R70" s="9">
        <f t="shared" si="21"/>
        <v>0</v>
      </c>
      <c r="S70" s="9">
        <f t="shared" si="22"/>
        <v>3.7114346151723543E-2</v>
      </c>
      <c r="T70" s="10">
        <f t="shared" si="15"/>
        <v>0.25749875371146036</v>
      </c>
      <c r="U70" s="10">
        <f t="shared" si="15"/>
        <v>0.2388550367218876</v>
      </c>
      <c r="V70" s="10">
        <f t="shared" si="15"/>
        <v>-0.11404809897880283</v>
      </c>
      <c r="W70" s="10">
        <f t="shared" si="15"/>
        <v>0.14782548631932091</v>
      </c>
      <c r="X70" s="10">
        <f t="shared" si="15"/>
        <v>8.6277008818435058E-2</v>
      </c>
      <c r="Y70" s="10">
        <f t="shared" si="15"/>
        <v>-0.10959939222577809</v>
      </c>
      <c r="Z70" s="10">
        <f t="shared" si="15"/>
        <v>-8.6277008818435058E-2</v>
      </c>
      <c r="AA70" s="10">
        <f t="shared" si="14"/>
        <v>0.10959939222577809</v>
      </c>
      <c r="AB70" s="7">
        <f t="shared" si="24"/>
        <v>0.53013117777386609</v>
      </c>
      <c r="AC70" s="7">
        <v>0.58843255332646882</v>
      </c>
      <c r="AF70" s="7">
        <v>0.48337812563664639</v>
      </c>
    </row>
    <row r="71" spans="1:32" x14ac:dyDescent="0.25">
      <c r="A71" s="6">
        <v>39569</v>
      </c>
      <c r="B71" s="7">
        <v>1.5003711755008559E-2</v>
      </c>
      <c r="C71" s="7">
        <v>1.2247545635428347E-2</v>
      </c>
      <c r="D71" s="7">
        <v>6.1464440310737348E-3</v>
      </c>
      <c r="E71" s="7">
        <v>-2.3859812651107898E-2</v>
      </c>
      <c r="F71" s="7">
        <v>9.0723271434295545E-3</v>
      </c>
      <c r="G71" s="7">
        <v>-1.5577079066678637E-2</v>
      </c>
      <c r="H71" s="12">
        <v>-1</v>
      </c>
      <c r="I71" s="12">
        <v>1</v>
      </c>
      <c r="J71" s="23">
        <v>-1</v>
      </c>
      <c r="K71" s="23">
        <v>1</v>
      </c>
      <c r="L71" s="9">
        <f t="shared" si="23"/>
        <v>0</v>
      </c>
      <c r="M71" s="9">
        <f t="shared" si="16"/>
        <v>-6.1464440310737348E-3</v>
      </c>
      <c r="N71" s="9">
        <f t="shared" si="17"/>
        <v>0</v>
      </c>
      <c r="O71" s="9">
        <f t="shared" si="18"/>
        <v>-2.3859812651107898E-2</v>
      </c>
      <c r="P71" s="9">
        <f t="shared" si="19"/>
        <v>9.0723271434295545E-3</v>
      </c>
      <c r="Q71" s="9">
        <f t="shared" si="20"/>
        <v>0</v>
      </c>
      <c r="R71" s="9">
        <f t="shared" si="21"/>
        <v>-9.0723271434295545E-3</v>
      </c>
      <c r="S71" s="9">
        <f t="shared" si="22"/>
        <v>0</v>
      </c>
      <c r="T71" s="10">
        <f t="shared" si="15"/>
        <v>0.25749875371146036</v>
      </c>
      <c r="U71" s="10">
        <f t="shared" si="15"/>
        <v>0.23270859269081387</v>
      </c>
      <c r="V71" s="10">
        <f t="shared" si="15"/>
        <v>-0.11404809897880283</v>
      </c>
      <c r="W71" s="10">
        <f t="shared" si="15"/>
        <v>0.12396567366821301</v>
      </c>
      <c r="X71" s="10">
        <f t="shared" si="15"/>
        <v>9.5349335961864609E-2</v>
      </c>
      <c r="Y71" s="10">
        <f t="shared" si="15"/>
        <v>-0.10959939222577809</v>
      </c>
      <c r="Z71" s="10">
        <f t="shared" si="15"/>
        <v>-9.5349335961864609E-2</v>
      </c>
      <c r="AA71" s="10">
        <f t="shared" si="14"/>
        <v>0.10959939222577809</v>
      </c>
      <c r="AB71" s="7">
        <f t="shared" si="24"/>
        <v>0.50012492109168449</v>
      </c>
      <c r="AC71" s="7">
        <v>0.60433384460287154</v>
      </c>
      <c r="AF71" s="7">
        <v>0.47802127516457293</v>
      </c>
    </row>
    <row r="72" spans="1:32" x14ac:dyDescent="0.25">
      <c r="A72" s="6">
        <v>39600</v>
      </c>
      <c r="B72" s="7">
        <v>-8.7275760081046691E-2</v>
      </c>
      <c r="C72" s="7">
        <v>-5.7943533327620284E-2</v>
      </c>
      <c r="D72" s="7">
        <v>-2.774087241653813E-2</v>
      </c>
      <c r="E72" s="7">
        <v>2.778135210967049E-2</v>
      </c>
      <c r="F72" s="7">
        <v>-2.9354430812414938E-2</v>
      </c>
      <c r="G72" s="7">
        <v>8.9322170775613212E-3</v>
      </c>
      <c r="H72" s="12">
        <v>1</v>
      </c>
      <c r="I72" s="12">
        <v>1</v>
      </c>
      <c r="J72" s="23">
        <v>1</v>
      </c>
      <c r="K72" s="23">
        <v>1</v>
      </c>
      <c r="L72" s="9">
        <f t="shared" si="23"/>
        <v>-2.774087241653813E-2</v>
      </c>
      <c r="M72" s="9">
        <f t="shared" si="16"/>
        <v>0</v>
      </c>
      <c r="N72" s="9">
        <f t="shared" si="17"/>
        <v>-2.778135210967049E-2</v>
      </c>
      <c r="O72" s="9">
        <f t="shared" si="18"/>
        <v>0</v>
      </c>
      <c r="P72" s="9">
        <f t="shared" si="19"/>
        <v>-2.9354430812414938E-2</v>
      </c>
      <c r="Q72" s="9">
        <f t="shared" si="20"/>
        <v>0</v>
      </c>
      <c r="R72" s="9">
        <f t="shared" si="21"/>
        <v>2.9354430812414938E-2</v>
      </c>
      <c r="S72" s="9">
        <f t="shared" si="22"/>
        <v>0</v>
      </c>
      <c r="T72" s="10">
        <f t="shared" si="15"/>
        <v>0.22975788129492222</v>
      </c>
      <c r="U72" s="10">
        <f t="shared" si="15"/>
        <v>0.23270859269081387</v>
      </c>
      <c r="V72" s="10">
        <f t="shared" si="15"/>
        <v>-0.14182945108847334</v>
      </c>
      <c r="W72" s="10">
        <f t="shared" si="15"/>
        <v>0.12396567366821301</v>
      </c>
      <c r="X72" s="10">
        <f t="shared" si="15"/>
        <v>6.5994905149449667E-2</v>
      </c>
      <c r="Y72" s="10">
        <f t="shared" si="15"/>
        <v>-0.10959939222577809</v>
      </c>
      <c r="Z72" s="10">
        <f t="shared" si="15"/>
        <v>-6.5994905149449667E-2</v>
      </c>
      <c r="AA72" s="10">
        <f t="shared" si="14"/>
        <v>0.10959939222577809</v>
      </c>
      <c r="AB72" s="7">
        <f t="shared" si="24"/>
        <v>0.44460269656547591</v>
      </c>
      <c r="AC72" s="7">
        <v>0.51866161883654571</v>
      </c>
      <c r="AF72" s="7">
        <v>0.38421240274838808</v>
      </c>
    </row>
    <row r="73" spans="1:32" x14ac:dyDescent="0.25">
      <c r="A73" s="6">
        <v>39630</v>
      </c>
      <c r="B73" s="7">
        <v>-9.0265962793679762E-3</v>
      </c>
      <c r="C73" s="7">
        <v>1.4269385985783891E-2</v>
      </c>
      <c r="D73" s="7">
        <v>-5.1116427214111925E-3</v>
      </c>
      <c r="E73" s="7">
        <v>1.4504345505090999E-2</v>
      </c>
      <c r="F73" s="7">
        <v>-5.7993387194488731E-3</v>
      </c>
      <c r="G73" s="7">
        <v>1.1691531132829544E-2</v>
      </c>
      <c r="H73" s="12">
        <v>-1</v>
      </c>
      <c r="I73" s="12">
        <v>-1</v>
      </c>
      <c r="J73" s="23">
        <v>-1</v>
      </c>
      <c r="K73" s="23">
        <v>-1</v>
      </c>
      <c r="L73" s="9">
        <f t="shared" si="23"/>
        <v>0</v>
      </c>
      <c r="M73" s="9">
        <f t="shared" si="16"/>
        <v>5.1116427214111925E-3</v>
      </c>
      <c r="N73" s="9">
        <f t="shared" si="17"/>
        <v>0</v>
      </c>
      <c r="O73" s="9">
        <f t="shared" si="18"/>
        <v>1.4504345505090999E-2</v>
      </c>
      <c r="P73" s="9">
        <f t="shared" si="19"/>
        <v>0</v>
      </c>
      <c r="Q73" s="9">
        <f t="shared" si="20"/>
        <v>5.7993387194488731E-3</v>
      </c>
      <c r="R73" s="9">
        <f t="shared" si="21"/>
        <v>0</v>
      </c>
      <c r="S73" s="9">
        <f t="shared" si="22"/>
        <v>-5.7993387194488731E-3</v>
      </c>
      <c r="T73" s="10">
        <f t="shared" si="15"/>
        <v>0.22975788129492222</v>
      </c>
      <c r="U73" s="10">
        <f t="shared" si="15"/>
        <v>0.23782023541222505</v>
      </c>
      <c r="V73" s="10">
        <f t="shared" si="15"/>
        <v>-0.14182945108847334</v>
      </c>
      <c r="W73" s="10">
        <f t="shared" si="15"/>
        <v>0.13847001917330401</v>
      </c>
      <c r="X73" s="10">
        <f t="shared" si="15"/>
        <v>6.5994905149449667E-2</v>
      </c>
      <c r="Y73" s="10">
        <f t="shared" si="15"/>
        <v>-0.10380005350632922</v>
      </c>
      <c r="Z73" s="10">
        <f t="shared" si="15"/>
        <v>-6.5994905149449667E-2</v>
      </c>
      <c r="AA73" s="10">
        <f t="shared" si="14"/>
        <v>0.10380005350632922</v>
      </c>
      <c r="AB73" s="7">
        <f t="shared" si="24"/>
        <v>0.46421868479197809</v>
      </c>
      <c r="AC73" s="7">
        <v>0.51164397699438369</v>
      </c>
      <c r="AF73" s="7">
        <v>0.4213192608271687</v>
      </c>
    </row>
    <row r="74" spans="1:32" x14ac:dyDescent="0.25">
      <c r="A74" s="6">
        <v>39661</v>
      </c>
      <c r="B74" s="7">
        <v>1.5335311854992307E-2</v>
      </c>
      <c r="C74" s="7">
        <v>-1.1917921483408683E-2</v>
      </c>
      <c r="D74" s="7">
        <v>7.716392942728769E-3</v>
      </c>
      <c r="E74" s="7">
        <v>7.4875066438296074E-3</v>
      </c>
      <c r="F74" s="7">
        <v>1.4180227433267766E-3</v>
      </c>
      <c r="G74" s="7">
        <v>4.5010293523597318E-3</v>
      </c>
      <c r="H74" s="12">
        <v>1</v>
      </c>
      <c r="I74" s="12">
        <v>1</v>
      </c>
      <c r="J74" s="23">
        <v>1</v>
      </c>
      <c r="K74" s="23">
        <v>1</v>
      </c>
      <c r="L74" s="9">
        <f t="shared" si="23"/>
        <v>7.716392942728769E-3</v>
      </c>
      <c r="M74" s="9">
        <f t="shared" si="16"/>
        <v>0</v>
      </c>
      <c r="N74" s="9">
        <f t="shared" si="17"/>
        <v>-7.4875066438296074E-3</v>
      </c>
      <c r="O74" s="9">
        <f t="shared" si="18"/>
        <v>0</v>
      </c>
      <c r="P74" s="9">
        <f t="shared" si="19"/>
        <v>1.4180227433267766E-3</v>
      </c>
      <c r="Q74" s="9">
        <f t="shared" si="20"/>
        <v>0</v>
      </c>
      <c r="R74" s="9">
        <f t="shared" si="21"/>
        <v>-1.4180227433267766E-3</v>
      </c>
      <c r="S74" s="9">
        <f t="shared" si="22"/>
        <v>0</v>
      </c>
      <c r="T74" s="10">
        <f t="shared" si="15"/>
        <v>0.237474274237651</v>
      </c>
      <c r="U74" s="10">
        <f t="shared" si="15"/>
        <v>0.23782023541222505</v>
      </c>
      <c r="V74" s="10">
        <f t="shared" si="15"/>
        <v>-0.14931695773230294</v>
      </c>
      <c r="W74" s="10">
        <f t="shared" si="15"/>
        <v>0.13847001917330401</v>
      </c>
      <c r="X74" s="10">
        <f t="shared" si="15"/>
        <v>6.7412927892776447E-2</v>
      </c>
      <c r="Y74" s="10">
        <f t="shared" si="15"/>
        <v>-0.10380005350632922</v>
      </c>
      <c r="Z74" s="10">
        <f t="shared" si="15"/>
        <v>-6.7412927892776447E-2</v>
      </c>
      <c r="AA74" s="10">
        <f t="shared" si="14"/>
        <v>0.10380005350632922</v>
      </c>
      <c r="AB74" s="7">
        <f t="shared" si="24"/>
        <v>0.46444757109087725</v>
      </c>
      <c r="AC74" s="7">
        <v>0.528513567727945</v>
      </c>
      <c r="AF74" s="7">
        <v>0.41846514051703493</v>
      </c>
    </row>
    <row r="75" spans="1:32" x14ac:dyDescent="0.25">
      <c r="A75" s="6">
        <v>39692</v>
      </c>
      <c r="B75" s="7">
        <v>-9.890755281492844E-2</v>
      </c>
      <c r="C75" s="7">
        <v>-5.8969739441932872E-2</v>
      </c>
      <c r="D75" s="7">
        <v>-4.4845344924539204E-2</v>
      </c>
      <c r="E75" s="7">
        <v>9.7439888345378749E-3</v>
      </c>
      <c r="F75" s="7">
        <v>-1.4075041619453138E-2</v>
      </c>
      <c r="G75" s="7">
        <v>2.5136179560376823E-2</v>
      </c>
      <c r="H75" s="12">
        <v>1</v>
      </c>
      <c r="I75" s="12">
        <v>-1</v>
      </c>
      <c r="J75" s="23">
        <v>1</v>
      </c>
      <c r="K75" s="23">
        <v>-1</v>
      </c>
      <c r="L75" s="9">
        <f t="shared" si="23"/>
        <v>-4.4845344924539204E-2</v>
      </c>
      <c r="M75" s="9">
        <f t="shared" si="16"/>
        <v>0</v>
      </c>
      <c r="N75" s="9">
        <f t="shared" si="17"/>
        <v>-9.7439888345378749E-3</v>
      </c>
      <c r="O75" s="9">
        <f t="shared" si="18"/>
        <v>0</v>
      </c>
      <c r="P75" s="9">
        <f t="shared" si="19"/>
        <v>0</v>
      </c>
      <c r="Q75" s="9">
        <f t="shared" si="20"/>
        <v>1.4075041619453138E-2</v>
      </c>
      <c r="R75" s="9">
        <f t="shared" si="21"/>
        <v>0</v>
      </c>
      <c r="S75" s="9">
        <f t="shared" si="22"/>
        <v>-1.4075041619453138E-2</v>
      </c>
      <c r="T75" s="10">
        <f t="shared" si="15"/>
        <v>0.19262892931311179</v>
      </c>
      <c r="U75" s="10">
        <f t="shared" si="15"/>
        <v>0.23782023541222505</v>
      </c>
      <c r="V75" s="10">
        <f t="shared" si="15"/>
        <v>-0.15906094656684081</v>
      </c>
      <c r="W75" s="10">
        <f t="shared" si="15"/>
        <v>0.13847001917330401</v>
      </c>
      <c r="X75" s="10">
        <f t="shared" si="15"/>
        <v>6.7412927892776447E-2</v>
      </c>
      <c r="Y75" s="10">
        <f t="shared" si="15"/>
        <v>-8.972501188687608E-2</v>
      </c>
      <c r="Z75" s="10">
        <f t="shared" si="15"/>
        <v>-6.7412927892776447E-2</v>
      </c>
      <c r="AA75" s="10">
        <f t="shared" si="14"/>
        <v>8.972501188687608E-2</v>
      </c>
      <c r="AB75" s="7">
        <f t="shared" si="24"/>
        <v>0.40985823733180016</v>
      </c>
      <c r="AC75" s="7">
        <v>0.4391498026503835</v>
      </c>
      <c r="AF75" s="7">
        <v>0.40308702793778783</v>
      </c>
    </row>
    <row r="76" spans="1:32" x14ac:dyDescent="0.25">
      <c r="A76" s="6">
        <v>39722</v>
      </c>
      <c r="B76" s="7">
        <v>-0.18054711096471043</v>
      </c>
      <c r="C76" s="7">
        <v>-0.19620275757356803</v>
      </c>
      <c r="D76" s="7">
        <v>1.0068129945736335E-2</v>
      </c>
      <c r="E76" s="7">
        <v>-2.4369465220447126E-2</v>
      </c>
      <c r="F76" s="7">
        <v>-0.14803368672747119</v>
      </c>
      <c r="G76" s="7">
        <v>4.4253709808859856E-2</v>
      </c>
      <c r="H76" s="12">
        <v>1</v>
      </c>
      <c r="I76" s="12">
        <v>-1</v>
      </c>
      <c r="J76" s="23">
        <v>1</v>
      </c>
      <c r="K76" s="23">
        <v>-1</v>
      </c>
      <c r="L76" s="9">
        <f t="shared" si="23"/>
        <v>1.0068129945736335E-2</v>
      </c>
      <c r="M76" s="9">
        <f t="shared" si="16"/>
        <v>0</v>
      </c>
      <c r="N76" s="9">
        <f t="shared" si="17"/>
        <v>2.4369465220447126E-2</v>
      </c>
      <c r="O76" s="9">
        <f t="shared" si="18"/>
        <v>0</v>
      </c>
      <c r="P76" s="9">
        <f t="shared" si="19"/>
        <v>0</v>
      </c>
      <c r="Q76" s="9">
        <f t="shared" si="20"/>
        <v>0.14803368672747119</v>
      </c>
      <c r="R76" s="9">
        <f t="shared" si="21"/>
        <v>0</v>
      </c>
      <c r="S76" s="9">
        <f t="shared" si="22"/>
        <v>-0.14803368672747119</v>
      </c>
      <c r="T76" s="10">
        <f t="shared" si="15"/>
        <v>0.20269705925884812</v>
      </c>
      <c r="U76" s="10">
        <f t="shared" si="15"/>
        <v>0.23782023541222505</v>
      </c>
      <c r="V76" s="10">
        <f t="shared" si="15"/>
        <v>-0.13469148134639369</v>
      </c>
      <c r="W76" s="10">
        <f t="shared" si="15"/>
        <v>0.13847001917330401</v>
      </c>
      <c r="X76" s="10">
        <f t="shared" si="15"/>
        <v>6.7412927892776447E-2</v>
      </c>
      <c r="Y76" s="10">
        <f t="shared" si="15"/>
        <v>5.8308674840595112E-2</v>
      </c>
      <c r="Z76" s="10">
        <f t="shared" si="15"/>
        <v>-6.7412927892776447E-2</v>
      </c>
      <c r="AA76" s="10">
        <f t="shared" si="14"/>
        <v>-5.8308674840595112E-2</v>
      </c>
      <c r="AB76" s="7">
        <f t="shared" si="24"/>
        <v>0.4442958324979836</v>
      </c>
      <c r="AC76" s="7">
        <v>0.29344567057534449</v>
      </c>
      <c r="AF76" s="7">
        <v>0.62981201964030231</v>
      </c>
    </row>
    <row r="77" spans="1:32" x14ac:dyDescent="0.25">
      <c r="A77" s="6">
        <v>39753</v>
      </c>
      <c r="B77" s="7">
        <v>-7.2147486555183452E-2</v>
      </c>
      <c r="C77" s="7">
        <v>-0.30412362735782883</v>
      </c>
      <c r="D77" s="7">
        <v>0.12480061733340533</v>
      </c>
      <c r="E77" s="7">
        <v>2.6842809415822497E-2</v>
      </c>
      <c r="F77" s="7">
        <v>-3.11523790794331E-2</v>
      </c>
      <c r="G77" s="7">
        <v>1.9281268616307877E-2</v>
      </c>
      <c r="H77" s="12">
        <v>1</v>
      </c>
      <c r="I77" s="12">
        <v>-1</v>
      </c>
      <c r="J77" s="23">
        <v>1</v>
      </c>
      <c r="K77" s="23">
        <v>-1</v>
      </c>
      <c r="L77" s="9">
        <f t="shared" si="23"/>
        <v>0.12480061733340533</v>
      </c>
      <c r="M77" s="9">
        <f t="shared" si="16"/>
        <v>0</v>
      </c>
      <c r="N77" s="9">
        <f t="shared" si="17"/>
        <v>-2.6842809415822497E-2</v>
      </c>
      <c r="O77" s="9">
        <f t="shared" si="18"/>
        <v>0</v>
      </c>
      <c r="P77" s="9">
        <f t="shared" si="19"/>
        <v>0</v>
      </c>
      <c r="Q77" s="9">
        <f t="shared" si="20"/>
        <v>3.11523790794331E-2</v>
      </c>
      <c r="R77" s="9">
        <f t="shared" si="21"/>
        <v>0</v>
      </c>
      <c r="S77" s="9">
        <f t="shared" si="22"/>
        <v>-3.11523790794331E-2</v>
      </c>
      <c r="T77" s="10">
        <f t="shared" si="15"/>
        <v>0.32749767659225348</v>
      </c>
      <c r="U77" s="10">
        <f t="shared" si="15"/>
        <v>0.23782023541222505</v>
      </c>
      <c r="V77" s="10">
        <f t="shared" si="15"/>
        <v>-0.1615342907622162</v>
      </c>
      <c r="W77" s="10">
        <f t="shared" si="15"/>
        <v>0.13847001917330401</v>
      </c>
      <c r="X77" s="10">
        <f t="shared" si="15"/>
        <v>6.7412927892776447E-2</v>
      </c>
      <c r="Y77" s="10">
        <f t="shared" si="15"/>
        <v>8.9461053920028205E-2</v>
      </c>
      <c r="Z77" s="10">
        <f t="shared" si="15"/>
        <v>-6.7412927892776447E-2</v>
      </c>
      <c r="AA77" s="10">
        <f t="shared" si="14"/>
        <v>-8.9461053920028205E-2</v>
      </c>
      <c r="AB77" s="7">
        <f t="shared" si="24"/>
        <v>0.54225364041556645</v>
      </c>
      <c r="AC77" s="7">
        <v>0.23947101210538729</v>
      </c>
      <c r="AF77" s="7">
        <v>0.7782034752536261</v>
      </c>
    </row>
    <row r="78" spans="1:32" x14ac:dyDescent="0.25">
      <c r="A78" s="6">
        <v>39783</v>
      </c>
      <c r="B78" s="7">
        <v>9.7482817931282707E-3</v>
      </c>
      <c r="C78" s="7">
        <v>-0.1619503820234223</v>
      </c>
      <c r="D78" s="7">
        <v>2.297884092475954E-2</v>
      </c>
      <c r="E78" s="7">
        <v>-2.0746129755802568E-2</v>
      </c>
      <c r="F78" s="7">
        <v>-2.4268353581620418E-2</v>
      </c>
      <c r="G78" s="7">
        <v>4.7403740448031056E-2</v>
      </c>
      <c r="H78" s="12">
        <v>1</v>
      </c>
      <c r="I78" s="12">
        <v>-1</v>
      </c>
      <c r="J78" s="23">
        <v>1</v>
      </c>
      <c r="K78" s="23">
        <v>-1</v>
      </c>
      <c r="L78" s="9">
        <f t="shared" si="23"/>
        <v>2.297884092475954E-2</v>
      </c>
      <c r="M78" s="9">
        <f t="shared" si="16"/>
        <v>0</v>
      </c>
      <c r="N78" s="9">
        <f t="shared" si="17"/>
        <v>2.0746129755802568E-2</v>
      </c>
      <c r="O78" s="9">
        <f t="shared" si="18"/>
        <v>0</v>
      </c>
      <c r="P78" s="9">
        <f t="shared" si="19"/>
        <v>0</v>
      </c>
      <c r="Q78" s="9">
        <f t="shared" si="20"/>
        <v>2.4268353581620418E-2</v>
      </c>
      <c r="R78" s="9">
        <f t="shared" si="21"/>
        <v>0</v>
      </c>
      <c r="S78" s="9">
        <f t="shared" si="22"/>
        <v>-2.4268353581620418E-2</v>
      </c>
      <c r="T78" s="10">
        <f t="shared" si="15"/>
        <v>0.35047651751701303</v>
      </c>
      <c r="U78" s="10">
        <f t="shared" si="15"/>
        <v>0.23782023541222505</v>
      </c>
      <c r="V78" s="10">
        <f t="shared" si="15"/>
        <v>-0.14078816100641364</v>
      </c>
      <c r="W78" s="10">
        <f t="shared" si="15"/>
        <v>0.13847001917330401</v>
      </c>
      <c r="X78" s="10">
        <f t="shared" si="15"/>
        <v>6.7412927892776447E-2</v>
      </c>
      <c r="Y78" s="10">
        <f t="shared" si="15"/>
        <v>0.11372940750164862</v>
      </c>
      <c r="Z78" s="10">
        <f t="shared" si="15"/>
        <v>-6.7412927892776447E-2</v>
      </c>
      <c r="AA78" s="10">
        <f t="shared" si="14"/>
        <v>-0.11372940750164862</v>
      </c>
      <c r="AB78" s="7">
        <f t="shared" si="24"/>
        <v>0.58597861109612859</v>
      </c>
      <c r="AC78" s="7">
        <v>0.25821304401159489</v>
      </c>
      <c r="AF78" s="7">
        <v>0.8936005399638397</v>
      </c>
    </row>
    <row r="79" spans="1:32" x14ac:dyDescent="0.25">
      <c r="A79" s="6">
        <v>39814</v>
      </c>
      <c r="B79" s="7">
        <v>-8.5682300123382751E-2</v>
      </c>
      <c r="C79" s="7">
        <v>2.0495995468137723E-2</v>
      </c>
      <c r="D79" s="7">
        <v>-3.3749252063286078E-3</v>
      </c>
      <c r="E79" s="7">
        <v>-3.7272034079666887E-2</v>
      </c>
      <c r="F79" s="7">
        <v>8.8264838307612926E-3</v>
      </c>
      <c r="G79" s="7">
        <v>-5.8573695954333246E-2</v>
      </c>
      <c r="H79" s="12">
        <v>-1</v>
      </c>
      <c r="I79" s="12">
        <v>-1</v>
      </c>
      <c r="J79" s="23">
        <v>-1</v>
      </c>
      <c r="K79" s="23">
        <v>-1</v>
      </c>
      <c r="L79" s="9">
        <f t="shared" si="23"/>
        <v>0</v>
      </c>
      <c r="M79" s="9">
        <f t="shared" si="16"/>
        <v>3.3749252063286078E-3</v>
      </c>
      <c r="N79" s="9">
        <f t="shared" si="17"/>
        <v>0</v>
      </c>
      <c r="O79" s="9">
        <f t="shared" si="18"/>
        <v>-3.7272034079666887E-2</v>
      </c>
      <c r="P79" s="9">
        <f t="shared" si="19"/>
        <v>0</v>
      </c>
      <c r="Q79" s="9">
        <f t="shared" si="20"/>
        <v>-8.8264838307612926E-3</v>
      </c>
      <c r="R79" s="9">
        <f t="shared" si="21"/>
        <v>0</v>
      </c>
      <c r="S79" s="9">
        <f t="shared" si="22"/>
        <v>8.8264838307612926E-3</v>
      </c>
      <c r="T79" s="10">
        <f t="shared" si="15"/>
        <v>0.35047651751701303</v>
      </c>
      <c r="U79" s="10">
        <f t="shared" si="15"/>
        <v>0.24119516061855367</v>
      </c>
      <c r="V79" s="10">
        <f t="shared" si="15"/>
        <v>-0.14078816100641364</v>
      </c>
      <c r="W79" s="10">
        <f t="shared" si="15"/>
        <v>0.10119798509363712</v>
      </c>
      <c r="X79" s="10">
        <f t="shared" si="15"/>
        <v>6.7412927892776447E-2</v>
      </c>
      <c r="Y79" s="10">
        <f t="shared" si="15"/>
        <v>0.10490292367088733</v>
      </c>
      <c r="Z79" s="10">
        <f t="shared" si="15"/>
        <v>-6.7412927892776447E-2</v>
      </c>
      <c r="AA79" s="10">
        <f t="shared" si="14"/>
        <v>-0.10490292367088733</v>
      </c>
      <c r="AB79" s="7">
        <f t="shared" si="24"/>
        <v>0.55208150222279029</v>
      </c>
      <c r="AC79" s="7">
        <v>0.17839426761156441</v>
      </c>
      <c r="AF79" s="7">
        <v>0.79230325130540691</v>
      </c>
    </row>
    <row r="80" spans="1:32" x14ac:dyDescent="0.25">
      <c r="A80" s="6">
        <v>39845</v>
      </c>
      <c r="B80" s="7">
        <v>-0.1136715402197348</v>
      </c>
      <c r="C80" s="7">
        <v>-0.11756308018695301</v>
      </c>
      <c r="D80" s="7">
        <v>-9.6916675981411626E-3</v>
      </c>
      <c r="E80" s="7">
        <v>-2.9021138768274671E-2</v>
      </c>
      <c r="F80" s="7">
        <v>4.8887995871712525E-2</v>
      </c>
      <c r="G80" s="7">
        <v>-1.1421455800217998E-2</v>
      </c>
      <c r="H80" s="12">
        <v>1</v>
      </c>
      <c r="I80" s="12">
        <v>1</v>
      </c>
      <c r="J80" s="23">
        <v>1</v>
      </c>
      <c r="K80" s="23">
        <v>1</v>
      </c>
      <c r="L80" s="9">
        <f t="shared" si="23"/>
        <v>-9.6916675981411626E-3</v>
      </c>
      <c r="M80" s="9">
        <f t="shared" si="16"/>
        <v>0</v>
      </c>
      <c r="N80" s="9">
        <f t="shared" si="17"/>
        <v>2.9021138768274671E-2</v>
      </c>
      <c r="O80" s="9">
        <f t="shared" si="18"/>
        <v>0</v>
      </c>
      <c r="P80" s="9">
        <f t="shared" si="19"/>
        <v>4.8887995871712525E-2</v>
      </c>
      <c r="Q80" s="9">
        <f t="shared" si="20"/>
        <v>0</v>
      </c>
      <c r="R80" s="9">
        <f t="shared" si="21"/>
        <v>-4.8887995871712525E-2</v>
      </c>
      <c r="S80" s="9">
        <f t="shared" si="22"/>
        <v>0</v>
      </c>
      <c r="T80" s="10">
        <f t="shared" si="15"/>
        <v>0.34078484991887187</v>
      </c>
      <c r="U80" s="10">
        <f t="shared" si="15"/>
        <v>0.24119516061855367</v>
      </c>
      <c r="V80" s="10">
        <f t="shared" si="15"/>
        <v>-0.11176702223813897</v>
      </c>
      <c r="W80" s="10">
        <f t="shared" si="15"/>
        <v>0.10119798509363712</v>
      </c>
      <c r="X80" s="10">
        <f t="shared" si="15"/>
        <v>0.11630092376448897</v>
      </c>
      <c r="Y80" s="10">
        <f t="shared" si="15"/>
        <v>0.10490292367088733</v>
      </c>
      <c r="Z80" s="10">
        <f t="shared" si="15"/>
        <v>-0.11630092376448897</v>
      </c>
      <c r="AA80" s="10">
        <f t="shared" si="14"/>
        <v>-0.10490292367088733</v>
      </c>
      <c r="AB80" s="7">
        <f t="shared" si="24"/>
        <v>0.57141097339292379</v>
      </c>
      <c r="AC80" s="7">
        <v>6.9329975239351027E-2</v>
      </c>
      <c r="AF80" s="7">
        <v>0.87194217414747088</v>
      </c>
    </row>
    <row r="81" spans="1:32" x14ac:dyDescent="0.25">
      <c r="A81" s="6">
        <v>39873</v>
      </c>
      <c r="B81" s="7">
        <v>8.002180958571993E-2</v>
      </c>
      <c r="C81" s="7">
        <v>2.1447876437045502E-2</v>
      </c>
      <c r="D81" s="7">
        <v>3.5976669272090499E-2</v>
      </c>
      <c r="E81" s="7">
        <v>1.7077905766788592E-2</v>
      </c>
      <c r="F81" s="7">
        <v>-7.0172294294610374E-2</v>
      </c>
      <c r="G81" s="7">
        <v>2.5864066943576604E-2</v>
      </c>
      <c r="H81" s="12">
        <v>-1</v>
      </c>
      <c r="I81" s="12">
        <v>-1</v>
      </c>
      <c r="J81" s="23">
        <v>-1</v>
      </c>
      <c r="K81" s="23">
        <v>-1</v>
      </c>
      <c r="L81" s="9">
        <f t="shared" si="23"/>
        <v>0</v>
      </c>
      <c r="M81" s="9">
        <f t="shared" si="16"/>
        <v>-3.5976669272090499E-2</v>
      </c>
      <c r="N81" s="9">
        <f t="shared" si="17"/>
        <v>0</v>
      </c>
      <c r="O81" s="9">
        <f t="shared" si="18"/>
        <v>1.7077905766788592E-2</v>
      </c>
      <c r="P81" s="9">
        <f t="shared" si="19"/>
        <v>0</v>
      </c>
      <c r="Q81" s="9">
        <f t="shared" si="20"/>
        <v>7.0172294294610374E-2</v>
      </c>
      <c r="R81" s="9">
        <f t="shared" si="21"/>
        <v>0</v>
      </c>
      <c r="S81" s="9">
        <f t="shared" si="22"/>
        <v>-7.0172294294610374E-2</v>
      </c>
      <c r="T81" s="10">
        <f t="shared" si="15"/>
        <v>0.34078484991887187</v>
      </c>
      <c r="U81" s="10">
        <f t="shared" si="15"/>
        <v>0.20521849134646317</v>
      </c>
      <c r="V81" s="10">
        <f t="shared" si="15"/>
        <v>-0.11176702223813897</v>
      </c>
      <c r="W81" s="10">
        <f t="shared" si="15"/>
        <v>0.11827589086042571</v>
      </c>
      <c r="X81" s="10">
        <f t="shared" si="15"/>
        <v>0.11630092376448897</v>
      </c>
      <c r="Y81" s="10">
        <f t="shared" si="15"/>
        <v>0.17507521796549769</v>
      </c>
      <c r="Z81" s="10">
        <f t="shared" si="15"/>
        <v>-0.11630092376448897</v>
      </c>
      <c r="AA81" s="10">
        <f t="shared" si="14"/>
        <v>-0.17507521796549769</v>
      </c>
      <c r="AB81" s="7">
        <f t="shared" si="24"/>
        <v>0.55251220988762184</v>
      </c>
      <c r="AC81" s="7">
        <v>0.15890209923143339</v>
      </c>
      <c r="AF81" s="7">
        <v>0.94907977188035597</v>
      </c>
    </row>
    <row r="82" spans="1:32" x14ac:dyDescent="0.25">
      <c r="A82" s="6">
        <v>39904</v>
      </c>
      <c r="B82" s="7">
        <v>9.4715707038457247E-2</v>
      </c>
      <c r="C82" s="7">
        <v>9.801054784327469E-2</v>
      </c>
      <c r="D82" s="7">
        <v>3.3500061768666572E-2</v>
      </c>
      <c r="E82" s="7">
        <v>-3.5259229711041645E-2</v>
      </c>
      <c r="F82" s="7">
        <v>2.6433555277714221E-2</v>
      </c>
      <c r="G82" s="7">
        <v>-2.5636747867464199E-2</v>
      </c>
      <c r="H82" s="12">
        <v>-1</v>
      </c>
      <c r="I82" s="12">
        <v>1</v>
      </c>
      <c r="J82" s="23">
        <v>-1</v>
      </c>
      <c r="K82" s="23">
        <v>1</v>
      </c>
      <c r="L82" s="9">
        <f t="shared" si="23"/>
        <v>0</v>
      </c>
      <c r="M82" s="9">
        <f t="shared" si="16"/>
        <v>-3.3500061768666572E-2</v>
      </c>
      <c r="N82" s="9">
        <f t="shared" si="17"/>
        <v>0</v>
      </c>
      <c r="O82" s="9">
        <f t="shared" si="18"/>
        <v>-3.5259229711041645E-2</v>
      </c>
      <c r="P82" s="9">
        <f t="shared" si="19"/>
        <v>2.6433555277714221E-2</v>
      </c>
      <c r="Q82" s="9">
        <f t="shared" si="20"/>
        <v>0</v>
      </c>
      <c r="R82" s="9">
        <f t="shared" si="21"/>
        <v>-2.6433555277714221E-2</v>
      </c>
      <c r="S82" s="9">
        <f t="shared" si="22"/>
        <v>0</v>
      </c>
      <c r="T82" s="10">
        <f t="shared" si="15"/>
        <v>0.34078484991887187</v>
      </c>
      <c r="U82" s="10">
        <f t="shared" si="15"/>
        <v>0.17171842957779659</v>
      </c>
      <c r="V82" s="10">
        <f t="shared" si="15"/>
        <v>-0.11176702223813897</v>
      </c>
      <c r="W82" s="10">
        <f t="shared" si="15"/>
        <v>8.3016661149384066E-2</v>
      </c>
      <c r="X82" s="10">
        <f t="shared" si="15"/>
        <v>0.14273447904220318</v>
      </c>
      <c r="Y82" s="10">
        <f t="shared" si="15"/>
        <v>0.17507521796549769</v>
      </c>
      <c r="Z82" s="10">
        <f t="shared" si="15"/>
        <v>-0.14273447904220318</v>
      </c>
      <c r="AA82" s="10">
        <f t="shared" si="14"/>
        <v>-0.17507521796549769</v>
      </c>
      <c r="AB82" s="7">
        <f t="shared" si="24"/>
        <v>0.48375291840791362</v>
      </c>
      <c r="AC82" s="7">
        <v>0.25728616310347802</v>
      </c>
      <c r="AF82" s="7">
        <v>0.93239078354582616</v>
      </c>
    </row>
    <row r="83" spans="1:32" x14ac:dyDescent="0.25">
      <c r="A83" s="6">
        <v>39934</v>
      </c>
      <c r="B83" s="7">
        <v>5.6808595314450996E-2</v>
      </c>
      <c r="C83" s="7">
        <v>5.3575320842129799E-2</v>
      </c>
      <c r="D83" s="7">
        <v>3.653985077891922E-2</v>
      </c>
      <c r="E83" s="7">
        <v>-4.3436024232404169E-3</v>
      </c>
      <c r="F83" s="7">
        <v>3.8595962824860552E-2</v>
      </c>
      <c r="G83" s="7">
        <v>-3.1931842833874777E-2</v>
      </c>
      <c r="H83" s="12">
        <v>-1</v>
      </c>
      <c r="I83" s="12">
        <v>1</v>
      </c>
      <c r="J83" s="23">
        <v>-1</v>
      </c>
      <c r="K83" s="23">
        <v>1</v>
      </c>
      <c r="L83" s="9">
        <f t="shared" si="23"/>
        <v>0</v>
      </c>
      <c r="M83" s="9">
        <f t="shared" si="16"/>
        <v>-3.653985077891922E-2</v>
      </c>
      <c r="N83" s="9">
        <f t="shared" si="17"/>
        <v>0</v>
      </c>
      <c r="O83" s="9">
        <f t="shared" si="18"/>
        <v>-4.3436024232404169E-3</v>
      </c>
      <c r="P83" s="9">
        <f t="shared" si="19"/>
        <v>3.8595962824860552E-2</v>
      </c>
      <c r="Q83" s="9">
        <f t="shared" si="20"/>
        <v>0</v>
      </c>
      <c r="R83" s="9">
        <f t="shared" si="21"/>
        <v>-3.8595962824860552E-2</v>
      </c>
      <c r="S83" s="9">
        <f t="shared" si="22"/>
        <v>0</v>
      </c>
      <c r="T83" s="10">
        <f t="shared" si="15"/>
        <v>0.34078484991887187</v>
      </c>
      <c r="U83" s="10">
        <f t="shared" si="15"/>
        <v>0.13517857879887737</v>
      </c>
      <c r="V83" s="10">
        <f t="shared" si="15"/>
        <v>-0.11176702223813897</v>
      </c>
      <c r="W83" s="10">
        <f t="shared" si="15"/>
        <v>7.8673058726143649E-2</v>
      </c>
      <c r="X83" s="10">
        <f t="shared" si="15"/>
        <v>0.18133044186706374</v>
      </c>
      <c r="Y83" s="10">
        <f t="shared" si="15"/>
        <v>0.17507521796549769</v>
      </c>
      <c r="Z83" s="10">
        <f t="shared" si="15"/>
        <v>-0.18133044186706374</v>
      </c>
      <c r="AA83" s="10">
        <f t="shared" si="14"/>
        <v>-0.17507521796549769</v>
      </c>
      <c r="AB83" s="7">
        <f t="shared" si="24"/>
        <v>0.44286946520575399</v>
      </c>
      <c r="AC83" s="7">
        <v>0.31702967772106361</v>
      </c>
      <c r="AF83" s="7">
        <v>0.96203513600240187</v>
      </c>
    </row>
    <row r="84" spans="1:32" x14ac:dyDescent="0.25">
      <c r="A84" s="6">
        <v>39965</v>
      </c>
      <c r="B84" s="7">
        <v>-6.5515346036946337E-4</v>
      </c>
      <c r="C84" s="7">
        <v>2.3766718566967129E-2</v>
      </c>
      <c r="D84" s="7">
        <v>-9.7813048108637973E-4</v>
      </c>
      <c r="E84" s="7">
        <v>3.0926709557410309E-2</v>
      </c>
      <c r="F84" s="7">
        <v>2.1595681978511538E-2</v>
      </c>
      <c r="G84" s="7">
        <v>-4.3826907261720928E-2</v>
      </c>
      <c r="H84" s="12">
        <v>-1</v>
      </c>
      <c r="I84" s="12">
        <v>1</v>
      </c>
      <c r="J84" s="23">
        <v>-1</v>
      </c>
      <c r="K84" s="23">
        <v>1</v>
      </c>
      <c r="L84" s="9">
        <f t="shared" si="23"/>
        <v>0</v>
      </c>
      <c r="M84" s="9">
        <f t="shared" si="16"/>
        <v>9.7813048108637973E-4</v>
      </c>
      <c r="N84" s="9">
        <f t="shared" si="17"/>
        <v>0</v>
      </c>
      <c r="O84" s="9">
        <f t="shared" si="18"/>
        <v>3.0926709557410309E-2</v>
      </c>
      <c r="P84" s="9">
        <f t="shared" si="19"/>
        <v>2.1595681978511538E-2</v>
      </c>
      <c r="Q84" s="9">
        <f t="shared" si="20"/>
        <v>0</v>
      </c>
      <c r="R84" s="9">
        <f t="shared" si="21"/>
        <v>-2.1595681978511538E-2</v>
      </c>
      <c r="S84" s="9">
        <f t="shared" si="22"/>
        <v>0</v>
      </c>
      <c r="T84" s="10">
        <f t="shared" si="15"/>
        <v>0.34078484991887187</v>
      </c>
      <c r="U84" s="10">
        <f t="shared" si="15"/>
        <v>0.13615670927996376</v>
      </c>
      <c r="V84" s="10">
        <f t="shared" si="15"/>
        <v>-0.11176702223813897</v>
      </c>
      <c r="W84" s="10">
        <f t="shared" si="15"/>
        <v>0.10959976828355396</v>
      </c>
      <c r="X84" s="10">
        <f t="shared" si="15"/>
        <v>0.20292612384557526</v>
      </c>
      <c r="Y84" s="10">
        <f t="shared" si="15"/>
        <v>0.17507521796549769</v>
      </c>
      <c r="Z84" s="10">
        <f t="shared" si="15"/>
        <v>-0.20292612384557526</v>
      </c>
      <c r="AA84" s="10">
        <f t="shared" si="14"/>
        <v>-0.17507521796549769</v>
      </c>
      <c r="AB84" s="7">
        <f t="shared" si="24"/>
        <v>0.47477430524425068</v>
      </c>
      <c r="AC84" s="7">
        <v>0.31802884341737281</v>
      </c>
      <c r="AF84" s="7">
        <v>1.0593625652811309</v>
      </c>
    </row>
    <row r="85" spans="1:32" x14ac:dyDescent="0.25">
      <c r="A85" s="6">
        <v>39995</v>
      </c>
      <c r="B85" s="7">
        <v>7.1953975697299832E-2</v>
      </c>
      <c r="C85" s="7">
        <v>5.5059796275394278E-2</v>
      </c>
      <c r="D85" s="7">
        <v>3.3548635272751461E-2</v>
      </c>
      <c r="E85" s="7">
        <v>2.239829747071214E-2</v>
      </c>
      <c r="F85" s="7">
        <v>-4.3908050801202997E-2</v>
      </c>
      <c r="G85" s="7">
        <v>2.3411687946837036E-2</v>
      </c>
      <c r="H85" s="12">
        <v>-1</v>
      </c>
      <c r="I85" s="12">
        <v>1</v>
      </c>
      <c r="J85" s="23">
        <v>-1</v>
      </c>
      <c r="K85" s="23">
        <v>1</v>
      </c>
      <c r="L85" s="9">
        <f t="shared" si="23"/>
        <v>0</v>
      </c>
      <c r="M85" s="9">
        <f t="shared" si="16"/>
        <v>-3.3548635272751461E-2</v>
      </c>
      <c r="N85" s="9">
        <f t="shared" si="17"/>
        <v>0</v>
      </c>
      <c r="O85" s="9">
        <f t="shared" si="18"/>
        <v>2.239829747071214E-2</v>
      </c>
      <c r="P85" s="9">
        <f t="shared" si="19"/>
        <v>-4.3908050801202997E-2</v>
      </c>
      <c r="Q85" s="9">
        <f t="shared" si="20"/>
        <v>0</v>
      </c>
      <c r="R85" s="9">
        <f t="shared" si="21"/>
        <v>4.3908050801202997E-2</v>
      </c>
      <c r="S85" s="9">
        <f t="shared" si="22"/>
        <v>0</v>
      </c>
      <c r="T85" s="10">
        <f t="shared" si="15"/>
        <v>0.34078484991887187</v>
      </c>
      <c r="U85" s="10">
        <f t="shared" si="15"/>
        <v>0.10260807400721231</v>
      </c>
      <c r="V85" s="10">
        <f t="shared" si="15"/>
        <v>-0.11176702223813897</v>
      </c>
      <c r="W85" s="10">
        <f t="shared" si="15"/>
        <v>0.13199806575426609</v>
      </c>
      <c r="X85" s="10">
        <f t="shared" si="15"/>
        <v>0.15901807304437227</v>
      </c>
      <c r="Y85" s="10">
        <f t="shared" si="15"/>
        <v>0.17507521796549769</v>
      </c>
      <c r="Z85" s="10">
        <f t="shared" si="15"/>
        <v>-0.15901807304437227</v>
      </c>
      <c r="AA85" s="10">
        <f t="shared" si="14"/>
        <v>-0.17507521796549769</v>
      </c>
      <c r="AB85" s="7">
        <f t="shared" si="24"/>
        <v>0.46362396744221135</v>
      </c>
      <c r="AC85" s="7">
        <v>0.39174213920396078</v>
      </c>
      <c r="AF85" s="7">
        <v>0.98089248873105161</v>
      </c>
    </row>
    <row r="86" spans="1:32" x14ac:dyDescent="0.25">
      <c r="A86" s="6">
        <v>40026</v>
      </c>
      <c r="B86" s="7">
        <v>3.6273804212503244E-2</v>
      </c>
      <c r="C86" s="7">
        <v>4.8909073110767309E-2</v>
      </c>
      <c r="D86" s="7">
        <v>-4.9651334214506999E-3</v>
      </c>
      <c r="E86" s="7">
        <v>2.9733299099166034E-2</v>
      </c>
      <c r="F86" s="7">
        <v>2.390030444295372E-2</v>
      </c>
      <c r="G86" s="7">
        <v>-4.327580822953906E-2</v>
      </c>
      <c r="H86" s="12">
        <v>-1</v>
      </c>
      <c r="I86" s="12">
        <v>1</v>
      </c>
      <c r="J86" s="23">
        <v>-1</v>
      </c>
      <c r="K86" s="23">
        <v>1</v>
      </c>
      <c r="L86" s="9">
        <f t="shared" si="23"/>
        <v>0</v>
      </c>
      <c r="M86" s="9">
        <f t="shared" si="16"/>
        <v>4.9651334214506999E-3</v>
      </c>
      <c r="N86" s="9">
        <f t="shared" si="17"/>
        <v>0</v>
      </c>
      <c r="O86" s="9">
        <f t="shared" si="18"/>
        <v>2.9733299099166034E-2</v>
      </c>
      <c r="P86" s="9">
        <f t="shared" si="19"/>
        <v>2.390030444295372E-2</v>
      </c>
      <c r="Q86" s="9">
        <f t="shared" si="20"/>
        <v>0</v>
      </c>
      <c r="R86" s="9">
        <f t="shared" si="21"/>
        <v>-2.390030444295372E-2</v>
      </c>
      <c r="S86" s="9">
        <f t="shared" si="22"/>
        <v>0</v>
      </c>
      <c r="T86" s="10">
        <f t="shared" si="15"/>
        <v>0.34078484991887187</v>
      </c>
      <c r="U86" s="10">
        <f t="shared" si="15"/>
        <v>0.10757320742866301</v>
      </c>
      <c r="V86" s="10">
        <f t="shared" si="15"/>
        <v>-0.11176702223813897</v>
      </c>
      <c r="W86" s="10">
        <f t="shared" si="15"/>
        <v>0.16173136485343212</v>
      </c>
      <c r="X86" s="10">
        <f t="shared" si="15"/>
        <v>0.18291837748732598</v>
      </c>
      <c r="Y86" s="10">
        <f t="shared" si="15"/>
        <v>0.17507521796549769</v>
      </c>
      <c r="Z86" s="10">
        <f t="shared" si="15"/>
        <v>-0.18291837748732598</v>
      </c>
      <c r="AA86" s="10">
        <f t="shared" si="14"/>
        <v>-0.17507521796549769</v>
      </c>
      <c r="AB86" s="7">
        <f t="shared" si="24"/>
        <v>0.49832239996282807</v>
      </c>
      <c r="AC86" s="7">
        <v>0.42911737494667129</v>
      </c>
      <c r="AF86" s="7">
        <v>1.0827670339241611</v>
      </c>
    </row>
    <row r="87" spans="1:32" x14ac:dyDescent="0.25">
      <c r="A87" s="6">
        <v>40057</v>
      </c>
      <c r="B87" s="7">
        <v>3.4842797854699271E-2</v>
      </c>
      <c r="C87" s="7">
        <v>4.9936506861409422E-2</v>
      </c>
      <c r="D87" s="7">
        <v>-1.3919254700457517E-2</v>
      </c>
      <c r="E87" s="7">
        <v>2.5459274108480295E-2</v>
      </c>
      <c r="F87" s="7">
        <v>4.6736664666109477E-3</v>
      </c>
      <c r="G87" s="7">
        <v>-1.8372162761097995E-2</v>
      </c>
      <c r="H87" s="12">
        <v>-1</v>
      </c>
      <c r="I87" s="12">
        <v>1</v>
      </c>
      <c r="J87" s="23">
        <v>-1</v>
      </c>
      <c r="K87" s="23">
        <v>1</v>
      </c>
      <c r="L87" s="9">
        <f t="shared" si="23"/>
        <v>0</v>
      </c>
      <c r="M87" s="9">
        <f t="shared" si="16"/>
        <v>1.3919254700457517E-2</v>
      </c>
      <c r="N87" s="9">
        <f t="shared" si="17"/>
        <v>0</v>
      </c>
      <c r="O87" s="9">
        <f t="shared" si="18"/>
        <v>2.5459274108480295E-2</v>
      </c>
      <c r="P87" s="9">
        <f t="shared" si="19"/>
        <v>4.6736664666109477E-3</v>
      </c>
      <c r="Q87" s="9">
        <f t="shared" si="20"/>
        <v>0</v>
      </c>
      <c r="R87" s="9">
        <f t="shared" si="21"/>
        <v>-4.6736664666109477E-3</v>
      </c>
      <c r="S87" s="9">
        <f t="shared" si="22"/>
        <v>0</v>
      </c>
      <c r="T87" s="10">
        <f t="shared" si="15"/>
        <v>0.34078484991887187</v>
      </c>
      <c r="U87" s="10">
        <f t="shared" si="15"/>
        <v>0.12149246212912053</v>
      </c>
      <c r="V87" s="10">
        <f t="shared" si="15"/>
        <v>-0.11176702223813897</v>
      </c>
      <c r="W87" s="10">
        <f t="shared" si="15"/>
        <v>0.1871906389619124</v>
      </c>
      <c r="X87" s="10">
        <f t="shared" si="15"/>
        <v>0.18759204395393692</v>
      </c>
      <c r="Y87" s="10">
        <f t="shared" si="15"/>
        <v>0.17507521796549769</v>
      </c>
      <c r="Z87" s="10">
        <f t="shared" si="15"/>
        <v>-0.18759204395393692</v>
      </c>
      <c r="AA87" s="10">
        <f t="shared" si="14"/>
        <v>-0.17507521796549769</v>
      </c>
      <c r="AB87" s="7">
        <f t="shared" si="24"/>
        <v>0.5377009287717659</v>
      </c>
      <c r="AC87" s="7">
        <v>0.46489984531036982</v>
      </c>
      <c r="AF87" s="7">
        <v>1.1451913919608079</v>
      </c>
    </row>
    <row r="88" spans="1:32" x14ac:dyDescent="0.25">
      <c r="A88" s="6">
        <v>40087</v>
      </c>
      <c r="B88" s="7">
        <v>-1.9411782913633595E-2</v>
      </c>
      <c r="C88" s="7">
        <v>4.7453294846567455E-2</v>
      </c>
      <c r="D88" s="7">
        <v>-4.4106576876944373E-2</v>
      </c>
      <c r="E88" s="7">
        <v>-3.7503702916482813E-3</v>
      </c>
      <c r="F88" s="7">
        <v>1.9868053007839003E-3</v>
      </c>
      <c r="G88" s="7">
        <v>8.4731731355965813E-3</v>
      </c>
      <c r="H88" s="12">
        <v>-1</v>
      </c>
      <c r="I88" s="12">
        <v>1</v>
      </c>
      <c r="J88" s="23">
        <v>-1</v>
      </c>
      <c r="K88" s="23">
        <v>1</v>
      </c>
      <c r="L88" s="9">
        <f t="shared" si="23"/>
        <v>0</v>
      </c>
      <c r="M88" s="9">
        <f t="shared" si="16"/>
        <v>4.4106576876944373E-2</v>
      </c>
      <c r="N88" s="9">
        <f t="shared" si="17"/>
        <v>0</v>
      </c>
      <c r="O88" s="9">
        <f t="shared" si="18"/>
        <v>-3.7503702916482813E-3</v>
      </c>
      <c r="P88" s="9">
        <f t="shared" si="19"/>
        <v>1.9868053007839003E-3</v>
      </c>
      <c r="Q88" s="9">
        <f t="shared" si="20"/>
        <v>0</v>
      </c>
      <c r="R88" s="9">
        <f t="shared" si="21"/>
        <v>-1.9868053007839003E-3</v>
      </c>
      <c r="S88" s="9">
        <f t="shared" si="22"/>
        <v>0</v>
      </c>
      <c r="T88" s="10">
        <f t="shared" si="15"/>
        <v>0.34078484991887187</v>
      </c>
      <c r="U88" s="10">
        <f t="shared" si="15"/>
        <v>0.1655990390060649</v>
      </c>
      <c r="V88" s="10">
        <f t="shared" si="15"/>
        <v>-0.11176702223813897</v>
      </c>
      <c r="W88" s="10">
        <f t="shared" si="15"/>
        <v>0.18344026867026411</v>
      </c>
      <c r="X88" s="10">
        <f t="shared" si="15"/>
        <v>0.18957884925472082</v>
      </c>
      <c r="Y88" s="10">
        <f t="shared" si="15"/>
        <v>0.17507521796549769</v>
      </c>
      <c r="Z88" s="10">
        <f t="shared" si="15"/>
        <v>-0.18957884925472082</v>
      </c>
      <c r="AA88" s="10">
        <f t="shared" si="14"/>
        <v>-0.17507521796549769</v>
      </c>
      <c r="AB88" s="7">
        <f t="shared" si="24"/>
        <v>0.57805713535706205</v>
      </c>
      <c r="AC88" s="7">
        <v>0.44737664518418369</v>
      </c>
      <c r="AF88" s="7">
        <v>1.1790612307112913</v>
      </c>
    </row>
    <row r="89" spans="1:32" x14ac:dyDescent="0.25">
      <c r="A89" s="6">
        <v>40118</v>
      </c>
      <c r="B89" s="7">
        <v>5.9782943383755421E-2</v>
      </c>
      <c r="C89" s="7">
        <v>5.8826983518770241E-2</v>
      </c>
      <c r="D89" s="7">
        <v>4.6498215260903477E-3</v>
      </c>
      <c r="E89" s="7">
        <v>1.5749377171585151E-2</v>
      </c>
      <c r="F89" s="7">
        <v>3.3891316938851543E-2</v>
      </c>
      <c r="G89" s="7">
        <v>-2.2692270289249587E-2</v>
      </c>
      <c r="H89" s="12">
        <v>-1</v>
      </c>
      <c r="I89" s="12">
        <v>1</v>
      </c>
      <c r="J89" s="23">
        <v>-1</v>
      </c>
      <c r="K89" s="23">
        <v>1</v>
      </c>
      <c r="L89" s="9">
        <f t="shared" si="23"/>
        <v>0</v>
      </c>
      <c r="M89" s="9">
        <f t="shared" si="16"/>
        <v>-4.6498215260903477E-3</v>
      </c>
      <c r="N89" s="9">
        <f t="shared" si="17"/>
        <v>0</v>
      </c>
      <c r="O89" s="9">
        <f t="shared" si="18"/>
        <v>1.5749377171585151E-2</v>
      </c>
      <c r="P89" s="9">
        <f t="shared" si="19"/>
        <v>3.3891316938851543E-2</v>
      </c>
      <c r="Q89" s="9">
        <f t="shared" si="20"/>
        <v>0</v>
      </c>
      <c r="R89" s="9">
        <f t="shared" si="21"/>
        <v>-3.3891316938851543E-2</v>
      </c>
      <c r="S89" s="9">
        <f t="shared" si="22"/>
        <v>0</v>
      </c>
      <c r="T89" s="10">
        <f t="shared" si="15"/>
        <v>0.34078484991887187</v>
      </c>
      <c r="U89" s="10">
        <f t="shared" si="15"/>
        <v>0.16094921747997457</v>
      </c>
      <c r="V89" s="10">
        <f t="shared" si="15"/>
        <v>-0.11176702223813897</v>
      </c>
      <c r="W89" s="10">
        <f t="shared" si="15"/>
        <v>0.19918964584184926</v>
      </c>
      <c r="X89" s="10">
        <f t="shared" si="15"/>
        <v>0.22347016619357235</v>
      </c>
      <c r="Y89" s="10">
        <f t="shared" si="15"/>
        <v>0.17507521796549769</v>
      </c>
      <c r="Z89" s="10">
        <f t="shared" si="15"/>
        <v>-0.22347016619357235</v>
      </c>
      <c r="AA89" s="10">
        <f t="shared" si="14"/>
        <v>-0.17507521796549769</v>
      </c>
      <c r="AB89" s="7">
        <f t="shared" si="24"/>
        <v>0.58915669100255685</v>
      </c>
      <c r="AC89" s="7">
        <v>0.50812505477479653</v>
      </c>
      <c r="AF89" s="7">
        <v>1.2467443735848873</v>
      </c>
    </row>
    <row r="90" spans="1:32" x14ac:dyDescent="0.25">
      <c r="A90" s="6">
        <v>40148</v>
      </c>
      <c r="B90" s="7">
        <v>1.8920949771908339E-2</v>
      </c>
      <c r="C90" s="7">
        <v>7.3242798882717841E-2</v>
      </c>
      <c r="D90" s="7">
        <v>9.8771482780942062E-4</v>
      </c>
      <c r="E90" s="7">
        <v>-1.0249812146695618E-2</v>
      </c>
      <c r="F90" s="7">
        <v>8.1530246985003253E-3</v>
      </c>
      <c r="G90" s="7">
        <v>-3.0173918317881927E-2</v>
      </c>
      <c r="H90" s="12">
        <v>-1</v>
      </c>
      <c r="I90" s="12">
        <v>1</v>
      </c>
      <c r="J90" s="23">
        <v>-1</v>
      </c>
      <c r="K90" s="23">
        <v>1</v>
      </c>
      <c r="L90" s="9">
        <f t="shared" si="23"/>
        <v>0</v>
      </c>
      <c r="M90" s="9">
        <f t="shared" si="16"/>
        <v>-9.8771482780942062E-4</v>
      </c>
      <c r="N90" s="9">
        <f t="shared" si="17"/>
        <v>0</v>
      </c>
      <c r="O90" s="9">
        <f t="shared" si="18"/>
        <v>-1.0249812146695618E-2</v>
      </c>
      <c r="P90" s="9">
        <f t="shared" si="19"/>
        <v>8.1530246985003253E-3</v>
      </c>
      <c r="Q90" s="9">
        <f t="shared" si="20"/>
        <v>0</v>
      </c>
      <c r="R90" s="9">
        <f t="shared" si="21"/>
        <v>-8.1530246985003253E-3</v>
      </c>
      <c r="S90" s="9">
        <f t="shared" si="22"/>
        <v>0</v>
      </c>
      <c r="T90" s="10">
        <f t="shared" si="15"/>
        <v>0.34078484991887187</v>
      </c>
      <c r="U90" s="10">
        <f t="shared" si="15"/>
        <v>0.15996150265216513</v>
      </c>
      <c r="V90" s="10">
        <f t="shared" si="15"/>
        <v>-0.11176702223813897</v>
      </c>
      <c r="W90" s="10">
        <f t="shared" ref="W90:AA153" si="25">O90+W89</f>
        <v>0.18893983369515363</v>
      </c>
      <c r="X90" s="10">
        <f t="shared" si="25"/>
        <v>0.23162319089207267</v>
      </c>
      <c r="Y90" s="10">
        <f t="shared" si="25"/>
        <v>0.17507521796549769</v>
      </c>
      <c r="Z90" s="10">
        <f t="shared" si="25"/>
        <v>-0.23162319089207267</v>
      </c>
      <c r="AA90" s="10">
        <f t="shared" si="14"/>
        <v>-0.17507521796549769</v>
      </c>
      <c r="AB90" s="7">
        <f t="shared" si="24"/>
        <v>0.57791916402805177</v>
      </c>
      <c r="AC90" s="7">
        <v>0.52750814274802582</v>
      </c>
      <c r="AF90" s="7">
        <v>1.2738337896267646</v>
      </c>
    </row>
    <row r="91" spans="1:32" x14ac:dyDescent="0.25">
      <c r="A91" s="6">
        <v>40179</v>
      </c>
      <c r="B91" s="7">
        <v>-3.7019149344959271E-2</v>
      </c>
      <c r="C91" s="7">
        <v>-3.3725192630316064E-2</v>
      </c>
      <c r="D91" s="7">
        <v>-2.1920220191200289E-2</v>
      </c>
      <c r="E91" s="7">
        <v>7.9396683716295279E-3</v>
      </c>
      <c r="F91" s="7">
        <v>2.7699643178202574E-2</v>
      </c>
      <c r="G91" s="7">
        <v>-6.6965270499072345E-3</v>
      </c>
      <c r="H91" s="12">
        <v>1</v>
      </c>
      <c r="I91" s="12">
        <v>1</v>
      </c>
      <c r="J91" s="23">
        <v>1</v>
      </c>
      <c r="K91" s="23">
        <v>1</v>
      </c>
      <c r="L91" s="9">
        <f t="shared" si="23"/>
        <v>-2.1920220191200289E-2</v>
      </c>
      <c r="M91" s="9">
        <f t="shared" si="16"/>
        <v>0</v>
      </c>
      <c r="N91" s="9">
        <f t="shared" si="17"/>
        <v>-7.9396683716295279E-3</v>
      </c>
      <c r="O91" s="9">
        <f t="shared" si="18"/>
        <v>0</v>
      </c>
      <c r="P91" s="9">
        <f t="shared" si="19"/>
        <v>2.7699643178202574E-2</v>
      </c>
      <c r="Q91" s="9">
        <f t="shared" si="20"/>
        <v>0</v>
      </c>
      <c r="R91" s="9">
        <f t="shared" si="21"/>
        <v>-2.7699643178202574E-2</v>
      </c>
      <c r="S91" s="9">
        <f t="shared" si="22"/>
        <v>0</v>
      </c>
      <c r="T91" s="10">
        <f t="shared" ref="T91:X154" si="26">L91+T90</f>
        <v>0.3188646297276716</v>
      </c>
      <c r="U91" s="10">
        <f t="shared" si="26"/>
        <v>0.15996150265216513</v>
      </c>
      <c r="V91" s="10">
        <f t="shared" si="26"/>
        <v>-0.1197066906097685</v>
      </c>
      <c r="W91" s="10">
        <f t="shared" si="25"/>
        <v>0.18893983369515363</v>
      </c>
      <c r="X91" s="10">
        <f t="shared" si="25"/>
        <v>0.25932283407027523</v>
      </c>
      <c r="Y91" s="10">
        <f t="shared" si="25"/>
        <v>0.17507521796549769</v>
      </c>
      <c r="Z91" s="10">
        <f t="shared" si="25"/>
        <v>-0.25932283407027523</v>
      </c>
      <c r="AA91" s="10">
        <f t="shared" si="14"/>
        <v>-0.17507521796549769</v>
      </c>
      <c r="AB91" s="7">
        <f t="shared" si="24"/>
        <v>0.54805927546522193</v>
      </c>
      <c r="AC91" s="7">
        <v>0.49152443385029132</v>
      </c>
      <c r="AF91" s="7">
        <v>1.2783700712920447</v>
      </c>
    </row>
    <row r="92" spans="1:32" x14ac:dyDescent="0.25">
      <c r="A92" s="6">
        <v>40210</v>
      </c>
      <c r="B92" s="7">
        <v>3.0718048149783808E-2</v>
      </c>
      <c r="C92" s="7">
        <v>6.6594822994535133E-2</v>
      </c>
      <c r="D92" s="7">
        <v>-3.7855505150790692E-3</v>
      </c>
      <c r="E92" s="7">
        <v>2.8660594151537433E-2</v>
      </c>
      <c r="F92" s="7">
        <v>-6.8211104954099752E-3</v>
      </c>
      <c r="G92" s="7">
        <v>-5.5146272291639598E-5</v>
      </c>
      <c r="H92" s="12">
        <v>-1</v>
      </c>
      <c r="I92" s="12">
        <v>-1</v>
      </c>
      <c r="J92" s="23">
        <v>-1</v>
      </c>
      <c r="K92" s="23">
        <v>-1</v>
      </c>
      <c r="L92" s="9">
        <f t="shared" si="23"/>
        <v>0</v>
      </c>
      <c r="M92" s="9">
        <f t="shared" si="16"/>
        <v>3.7855505150790692E-3</v>
      </c>
      <c r="N92" s="9">
        <f t="shared" si="17"/>
        <v>0</v>
      </c>
      <c r="O92" s="9">
        <f t="shared" si="18"/>
        <v>2.8660594151537433E-2</v>
      </c>
      <c r="P92" s="9">
        <f t="shared" si="19"/>
        <v>0</v>
      </c>
      <c r="Q92" s="9">
        <f t="shared" si="20"/>
        <v>6.8211104954099752E-3</v>
      </c>
      <c r="R92" s="9">
        <f t="shared" si="21"/>
        <v>0</v>
      </c>
      <c r="S92" s="9">
        <f t="shared" si="22"/>
        <v>-6.8211104954099752E-3</v>
      </c>
      <c r="T92" s="10">
        <f t="shared" si="26"/>
        <v>0.3188646297276716</v>
      </c>
      <c r="U92" s="10">
        <f t="shared" si="26"/>
        <v>0.16374705316724419</v>
      </c>
      <c r="V92" s="10">
        <f t="shared" si="26"/>
        <v>-0.1197066906097685</v>
      </c>
      <c r="W92" s="10">
        <f t="shared" si="25"/>
        <v>0.21760042784669106</v>
      </c>
      <c r="X92" s="10">
        <f t="shared" si="25"/>
        <v>0.25932283407027523</v>
      </c>
      <c r="Y92" s="10">
        <f t="shared" si="25"/>
        <v>0.18189632846090767</v>
      </c>
      <c r="Z92" s="10">
        <f t="shared" si="25"/>
        <v>-0.25932283407027523</v>
      </c>
      <c r="AA92" s="10">
        <f t="shared" si="14"/>
        <v>-0.18189632846090767</v>
      </c>
      <c r="AB92" s="7">
        <f t="shared" si="24"/>
        <v>0.58050542013183848</v>
      </c>
      <c r="AC92" s="7">
        <v>0.52336744737123875</v>
      </c>
      <c r="AF92" s="7">
        <v>1.3175821801817795</v>
      </c>
    </row>
    <row r="93" spans="1:32" x14ac:dyDescent="0.25">
      <c r="A93" s="6">
        <v>40238</v>
      </c>
      <c r="B93" s="7">
        <v>5.909822548618765E-2</v>
      </c>
      <c r="C93" s="7">
        <v>5.1570035638853699E-2</v>
      </c>
      <c r="D93" s="7">
        <v>8.842323624737046E-3</v>
      </c>
      <c r="E93" s="7">
        <v>-1.94739712481884E-2</v>
      </c>
      <c r="F93" s="7">
        <v>3.1203610946212136E-2</v>
      </c>
      <c r="G93" s="7">
        <v>-1.2221374596437497E-2</v>
      </c>
      <c r="H93" s="12">
        <v>-1</v>
      </c>
      <c r="I93" s="12">
        <v>1</v>
      </c>
      <c r="J93" s="23">
        <v>-1</v>
      </c>
      <c r="K93" s="23">
        <v>1</v>
      </c>
      <c r="L93" s="9">
        <f t="shared" si="23"/>
        <v>0</v>
      </c>
      <c r="M93" s="9">
        <f t="shared" si="16"/>
        <v>-8.842323624737046E-3</v>
      </c>
      <c r="N93" s="9">
        <f t="shared" si="17"/>
        <v>0</v>
      </c>
      <c r="O93" s="9">
        <f t="shared" si="18"/>
        <v>-1.94739712481884E-2</v>
      </c>
      <c r="P93" s="9">
        <f t="shared" si="19"/>
        <v>3.1203610946212136E-2</v>
      </c>
      <c r="Q93" s="9">
        <f t="shared" si="20"/>
        <v>0</v>
      </c>
      <c r="R93" s="9">
        <f t="shared" si="21"/>
        <v>-3.1203610946212136E-2</v>
      </c>
      <c r="S93" s="9">
        <f t="shared" si="22"/>
        <v>0</v>
      </c>
      <c r="T93" s="10">
        <f t="shared" si="26"/>
        <v>0.3188646297276716</v>
      </c>
      <c r="U93" s="10">
        <f t="shared" si="26"/>
        <v>0.15490472954250714</v>
      </c>
      <c r="V93" s="10">
        <f t="shared" si="26"/>
        <v>-0.1197066906097685</v>
      </c>
      <c r="W93" s="10">
        <f t="shared" si="25"/>
        <v>0.19812645659850267</v>
      </c>
      <c r="X93" s="10">
        <f t="shared" si="25"/>
        <v>0.29052644501648739</v>
      </c>
      <c r="Y93" s="10">
        <f t="shared" si="25"/>
        <v>0.18189632846090767</v>
      </c>
      <c r="Z93" s="10">
        <f t="shared" si="25"/>
        <v>-0.29052644501648739</v>
      </c>
      <c r="AA93" s="10">
        <f t="shared" si="14"/>
        <v>-0.18189632846090767</v>
      </c>
      <c r="AB93" s="7">
        <f t="shared" si="24"/>
        <v>0.55218912525891306</v>
      </c>
      <c r="AC93" s="7">
        <v>0.58278988741933513</v>
      </c>
      <c r="AF93" s="7">
        <v>1.3326908708515037</v>
      </c>
    </row>
    <row r="94" spans="1:32" x14ac:dyDescent="0.25">
      <c r="A94" s="6">
        <v>40269</v>
      </c>
      <c r="B94" s="7">
        <v>1.5351467843928393E-2</v>
      </c>
      <c r="C94" s="7">
        <v>1.9728627815878648E-2</v>
      </c>
      <c r="D94" s="7">
        <v>-1.8430637828679652E-2</v>
      </c>
      <c r="E94" s="7">
        <v>1.8625766436423614E-2</v>
      </c>
      <c r="F94" s="7">
        <v>1.5014859619956678E-2</v>
      </c>
      <c r="G94" s="7">
        <v>-4.4740134800659711E-3</v>
      </c>
      <c r="H94" s="12">
        <v>-1</v>
      </c>
      <c r="I94" s="12">
        <v>1</v>
      </c>
      <c r="J94" s="23">
        <v>-1</v>
      </c>
      <c r="K94" s="23">
        <v>1</v>
      </c>
      <c r="L94" s="9">
        <f t="shared" si="23"/>
        <v>0</v>
      </c>
      <c r="M94" s="9">
        <f t="shared" si="16"/>
        <v>1.8430637828679652E-2</v>
      </c>
      <c r="N94" s="9">
        <f t="shared" si="17"/>
        <v>0</v>
      </c>
      <c r="O94" s="9">
        <f t="shared" si="18"/>
        <v>1.8625766436423614E-2</v>
      </c>
      <c r="P94" s="9">
        <f t="shared" si="19"/>
        <v>1.5014859619956678E-2</v>
      </c>
      <c r="Q94" s="9">
        <f t="shared" si="20"/>
        <v>0</v>
      </c>
      <c r="R94" s="9">
        <f t="shared" si="21"/>
        <v>-1.5014859619956678E-2</v>
      </c>
      <c r="S94" s="9">
        <f t="shared" si="22"/>
        <v>0</v>
      </c>
      <c r="T94" s="10">
        <f t="shared" si="26"/>
        <v>0.3188646297276716</v>
      </c>
      <c r="U94" s="10">
        <f t="shared" si="26"/>
        <v>0.17333536737118679</v>
      </c>
      <c r="V94" s="10">
        <f t="shared" si="26"/>
        <v>-0.1197066906097685</v>
      </c>
      <c r="W94" s="10">
        <f t="shared" si="25"/>
        <v>0.21675222303492628</v>
      </c>
      <c r="X94" s="10">
        <f t="shared" si="25"/>
        <v>0.30554130463644408</v>
      </c>
      <c r="Y94" s="10">
        <f t="shared" si="25"/>
        <v>0.18189632846090767</v>
      </c>
      <c r="Z94" s="10">
        <f t="shared" si="25"/>
        <v>-0.30554130463644408</v>
      </c>
      <c r="AA94" s="10">
        <f t="shared" si="14"/>
        <v>-0.18189632846090767</v>
      </c>
      <c r="AB94" s="7">
        <f t="shared" si="24"/>
        <v>0.58924552952401632</v>
      </c>
      <c r="AC94" s="7">
        <v>0.59905381298461358</v>
      </c>
      <c r="AF94" s="7">
        <v>1.3892361482166296</v>
      </c>
    </row>
    <row r="95" spans="1:32" x14ac:dyDescent="0.25">
      <c r="A95" s="6">
        <v>40299</v>
      </c>
      <c r="B95" s="7">
        <v>-8.2788827756031969E-2</v>
      </c>
      <c r="C95" s="7">
        <v>-0.15479273333131618</v>
      </c>
      <c r="D95" s="7">
        <v>2.3801980914239778E-3</v>
      </c>
      <c r="E95" s="7">
        <v>-1.9803080916954784E-2</v>
      </c>
      <c r="F95" s="7">
        <v>-6.5655644081729692E-2</v>
      </c>
      <c r="G95" s="7">
        <v>4.0241350490839059E-2</v>
      </c>
      <c r="H95" s="12">
        <v>1</v>
      </c>
      <c r="I95" s="12">
        <v>1</v>
      </c>
      <c r="J95" s="23">
        <v>1</v>
      </c>
      <c r="K95" s="23">
        <v>1</v>
      </c>
      <c r="L95" s="9">
        <f t="shared" si="23"/>
        <v>2.3801980914239778E-3</v>
      </c>
      <c r="M95" s="9">
        <f t="shared" si="16"/>
        <v>0</v>
      </c>
      <c r="N95" s="9">
        <f t="shared" si="17"/>
        <v>1.9803080916954784E-2</v>
      </c>
      <c r="O95" s="9">
        <f t="shared" si="18"/>
        <v>0</v>
      </c>
      <c r="P95" s="9">
        <f t="shared" si="19"/>
        <v>-6.5655644081729692E-2</v>
      </c>
      <c r="Q95" s="9">
        <f t="shared" si="20"/>
        <v>0</v>
      </c>
      <c r="R95" s="9">
        <f t="shared" si="21"/>
        <v>6.5655644081729692E-2</v>
      </c>
      <c r="S95" s="9">
        <f t="shared" si="22"/>
        <v>0</v>
      </c>
      <c r="T95" s="10">
        <f t="shared" si="26"/>
        <v>0.32124482781909558</v>
      </c>
      <c r="U95" s="10">
        <f t="shared" si="26"/>
        <v>0.17333536737118679</v>
      </c>
      <c r="V95" s="10">
        <f t="shared" si="26"/>
        <v>-9.9903609692813727E-2</v>
      </c>
      <c r="W95" s="10">
        <f t="shared" si="25"/>
        <v>0.21675222303492628</v>
      </c>
      <c r="X95" s="10">
        <f t="shared" si="25"/>
        <v>0.23988566055471439</v>
      </c>
      <c r="Y95" s="10">
        <f t="shared" si="25"/>
        <v>0.18189632846090767</v>
      </c>
      <c r="Z95" s="10">
        <f t="shared" si="25"/>
        <v>-0.23988566055471439</v>
      </c>
      <c r="AA95" s="10">
        <f t="shared" si="14"/>
        <v>-0.18189632846090767</v>
      </c>
      <c r="AB95" s="7">
        <f t="shared" si="24"/>
        <v>0.61142880853239512</v>
      </c>
      <c r="AC95" s="7">
        <v>0.52028618544984651</v>
      </c>
      <c r="AF95" s="7">
        <v>1.3055224326524395</v>
      </c>
    </row>
    <row r="96" spans="1:32" x14ac:dyDescent="0.25">
      <c r="A96" s="6">
        <v>40330</v>
      </c>
      <c r="B96" s="7">
        <v>-5.3127346754694202E-2</v>
      </c>
      <c r="C96" s="7">
        <v>1.0455843488229056E-2</v>
      </c>
      <c r="D96" s="7">
        <v>-7.6353994440147149E-2</v>
      </c>
      <c r="E96" s="7">
        <v>4.3588862174197593E-2</v>
      </c>
      <c r="F96" s="7">
        <v>-3.6120480229898555E-2</v>
      </c>
      <c r="G96" s="7">
        <v>2.4303732224755216E-2</v>
      </c>
      <c r="H96" s="12">
        <v>-1</v>
      </c>
      <c r="I96" s="12">
        <v>-1</v>
      </c>
      <c r="J96" s="23">
        <v>-1</v>
      </c>
      <c r="K96" s="23">
        <v>-1</v>
      </c>
      <c r="L96" s="9">
        <f t="shared" si="23"/>
        <v>0</v>
      </c>
      <c r="M96" s="9">
        <f t="shared" si="16"/>
        <v>7.6353994440147149E-2</v>
      </c>
      <c r="N96" s="9">
        <f t="shared" si="17"/>
        <v>0</v>
      </c>
      <c r="O96" s="9">
        <f t="shared" si="18"/>
        <v>4.3588862174197593E-2</v>
      </c>
      <c r="P96" s="9">
        <f t="shared" si="19"/>
        <v>0</v>
      </c>
      <c r="Q96" s="9">
        <f t="shared" si="20"/>
        <v>3.6120480229898555E-2</v>
      </c>
      <c r="R96" s="9">
        <f t="shared" si="21"/>
        <v>0</v>
      </c>
      <c r="S96" s="9">
        <f t="shared" si="22"/>
        <v>-3.6120480229898555E-2</v>
      </c>
      <c r="T96" s="10">
        <f t="shared" si="26"/>
        <v>0.32124482781909558</v>
      </c>
      <c r="U96" s="10">
        <f t="shared" si="26"/>
        <v>0.24968936181133394</v>
      </c>
      <c r="V96" s="10">
        <f t="shared" si="26"/>
        <v>-9.9903609692813727E-2</v>
      </c>
      <c r="W96" s="10">
        <f t="shared" si="25"/>
        <v>0.26034108520912386</v>
      </c>
      <c r="X96" s="10">
        <f t="shared" si="25"/>
        <v>0.23988566055471439</v>
      </c>
      <c r="Y96" s="10">
        <f t="shared" si="25"/>
        <v>0.21801680869080622</v>
      </c>
      <c r="Z96" s="10">
        <f t="shared" si="25"/>
        <v>-0.23988566055471439</v>
      </c>
      <c r="AA96" s="10">
        <f t="shared" si="14"/>
        <v>-0.21801680869080622</v>
      </c>
      <c r="AB96" s="7">
        <f t="shared" si="24"/>
        <v>0.7313716651467399</v>
      </c>
      <c r="AC96" s="7">
        <v>0.46994305422448762</v>
      </c>
      <c r="AF96" s="7">
        <v>1.485889501721438</v>
      </c>
    </row>
    <row r="97" spans="1:32" x14ac:dyDescent="0.25">
      <c r="A97" s="6">
        <v>40360</v>
      </c>
      <c r="B97" s="7">
        <v>6.6069227994284135E-2</v>
      </c>
      <c r="C97" s="7">
        <v>6.4528953593492214E-2</v>
      </c>
      <c r="D97" s="7">
        <v>7.3731516911021699E-3</v>
      </c>
      <c r="E97" s="7">
        <v>-3.6757305634966091E-3</v>
      </c>
      <c r="F97" s="7">
        <v>3.7460486685886106E-2</v>
      </c>
      <c r="G97" s="7">
        <v>-1.6398782841599815E-2</v>
      </c>
      <c r="H97" s="12">
        <v>-1</v>
      </c>
      <c r="I97" s="12">
        <v>1</v>
      </c>
      <c r="J97" s="23">
        <v>-1</v>
      </c>
      <c r="K97" s="23">
        <v>1</v>
      </c>
      <c r="L97" s="9">
        <f t="shared" si="23"/>
        <v>0</v>
      </c>
      <c r="M97" s="9">
        <f t="shared" si="16"/>
        <v>-7.3731516911021699E-3</v>
      </c>
      <c r="N97" s="9">
        <f t="shared" si="17"/>
        <v>0</v>
      </c>
      <c r="O97" s="9">
        <f t="shared" si="18"/>
        <v>-3.6757305634966091E-3</v>
      </c>
      <c r="P97" s="9">
        <f t="shared" si="19"/>
        <v>3.7460486685886106E-2</v>
      </c>
      <c r="Q97" s="9">
        <f t="shared" si="20"/>
        <v>0</v>
      </c>
      <c r="R97" s="9">
        <f t="shared" si="21"/>
        <v>-3.7460486685886106E-2</v>
      </c>
      <c r="S97" s="9">
        <f t="shared" si="22"/>
        <v>0</v>
      </c>
      <c r="T97" s="10">
        <f t="shared" si="26"/>
        <v>0.32124482781909558</v>
      </c>
      <c r="U97" s="10">
        <f t="shared" si="26"/>
        <v>0.24231621012023177</v>
      </c>
      <c r="V97" s="10">
        <f t="shared" si="26"/>
        <v>-9.9903609692813727E-2</v>
      </c>
      <c r="W97" s="10">
        <f t="shared" si="25"/>
        <v>0.25666535464562723</v>
      </c>
      <c r="X97" s="10">
        <f t="shared" si="25"/>
        <v>0.27734614724060047</v>
      </c>
      <c r="Y97" s="10">
        <f t="shared" si="25"/>
        <v>0.21801680869080622</v>
      </c>
      <c r="Z97" s="10">
        <f t="shared" si="25"/>
        <v>-0.27734614724060047</v>
      </c>
      <c r="AA97" s="10">
        <f t="shared" si="14"/>
        <v>-0.21801680869080622</v>
      </c>
      <c r="AB97" s="7">
        <f t="shared" si="24"/>
        <v>0.72032278289214113</v>
      </c>
      <c r="AC97" s="7">
        <v>0.53765296972452159</v>
      </c>
      <c r="AF97" s="7">
        <v>1.5286998889943251</v>
      </c>
    </row>
    <row r="98" spans="1:32" x14ac:dyDescent="0.25">
      <c r="A98" s="6">
        <v>40391</v>
      </c>
      <c r="B98" s="7">
        <v>-4.602343801877113E-2</v>
      </c>
      <c r="C98" s="7">
        <v>-8.2249279696153935E-2</v>
      </c>
      <c r="D98" s="7">
        <v>-2.0861276025051084E-2</v>
      </c>
      <c r="E98" s="7">
        <v>2.3487258857520472E-2</v>
      </c>
      <c r="F98" s="7">
        <v>1.9043057457593913E-2</v>
      </c>
      <c r="G98" s="7">
        <v>-5.5898549810119887E-4</v>
      </c>
      <c r="H98" s="12">
        <v>1</v>
      </c>
      <c r="I98" s="12">
        <v>1</v>
      </c>
      <c r="J98" s="23">
        <v>1</v>
      </c>
      <c r="K98" s="23">
        <v>1</v>
      </c>
      <c r="L98" s="9">
        <f t="shared" si="23"/>
        <v>-2.0861276025051084E-2</v>
      </c>
      <c r="M98" s="9">
        <f t="shared" si="16"/>
        <v>0</v>
      </c>
      <c r="N98" s="9">
        <f t="shared" si="17"/>
        <v>-2.3487258857520472E-2</v>
      </c>
      <c r="O98" s="9">
        <f t="shared" si="18"/>
        <v>0</v>
      </c>
      <c r="P98" s="9">
        <f t="shared" si="19"/>
        <v>1.9043057457593913E-2</v>
      </c>
      <c r="Q98" s="9">
        <f t="shared" si="20"/>
        <v>0</v>
      </c>
      <c r="R98" s="9">
        <f t="shared" si="21"/>
        <v>-1.9043057457593913E-2</v>
      </c>
      <c r="S98" s="9">
        <f t="shared" si="22"/>
        <v>0</v>
      </c>
      <c r="T98" s="10">
        <f t="shared" si="26"/>
        <v>0.30038355179404452</v>
      </c>
      <c r="U98" s="10">
        <f t="shared" si="26"/>
        <v>0.24231621012023177</v>
      </c>
      <c r="V98" s="10">
        <f t="shared" si="26"/>
        <v>-0.1233908685503342</v>
      </c>
      <c r="W98" s="10">
        <f t="shared" si="25"/>
        <v>0.25666535464562723</v>
      </c>
      <c r="X98" s="10">
        <f t="shared" si="25"/>
        <v>0.29638920469819441</v>
      </c>
      <c r="Y98" s="10">
        <f t="shared" si="25"/>
        <v>0.21801680869080622</v>
      </c>
      <c r="Z98" s="10">
        <f t="shared" si="25"/>
        <v>-0.29638920469819441</v>
      </c>
      <c r="AA98" s="10">
        <f t="shared" si="14"/>
        <v>-0.21801680869080622</v>
      </c>
      <c r="AB98" s="7">
        <f t="shared" si="24"/>
        <v>0.67597424800956962</v>
      </c>
      <c r="AC98" s="7">
        <v>0.49296642897440651</v>
      </c>
      <c r="AF98" s="7">
        <v>1.5039533970674486</v>
      </c>
    </row>
    <row r="99" spans="1:32" x14ac:dyDescent="0.25">
      <c r="A99" s="6">
        <v>40422</v>
      </c>
      <c r="B99" s="7">
        <v>8.5769125249920253E-2</v>
      </c>
      <c r="C99" s="7">
        <v>0.11362177955830798</v>
      </c>
      <c r="D99" s="7">
        <v>6.240736642519955E-3</v>
      </c>
      <c r="E99" s="7">
        <v>8.5666762399880525E-3</v>
      </c>
      <c r="F99" s="7">
        <v>4.7292186893843326E-2</v>
      </c>
      <c r="G99" s="7">
        <v>-3.1706809809755807E-2</v>
      </c>
      <c r="H99" s="12">
        <v>-1</v>
      </c>
      <c r="I99" s="12">
        <v>-1</v>
      </c>
      <c r="J99" s="23">
        <v>-1</v>
      </c>
      <c r="K99" s="23">
        <v>-1</v>
      </c>
      <c r="L99" s="9">
        <f t="shared" si="23"/>
        <v>0</v>
      </c>
      <c r="M99" s="9">
        <f t="shared" si="16"/>
        <v>-6.240736642519955E-3</v>
      </c>
      <c r="N99" s="9">
        <f t="shared" si="17"/>
        <v>0</v>
      </c>
      <c r="O99" s="9">
        <f t="shared" si="18"/>
        <v>8.5666762399880525E-3</v>
      </c>
      <c r="P99" s="9">
        <f t="shared" si="19"/>
        <v>0</v>
      </c>
      <c r="Q99" s="9">
        <f t="shared" si="20"/>
        <v>-4.7292186893843326E-2</v>
      </c>
      <c r="R99" s="9">
        <f t="shared" si="21"/>
        <v>0</v>
      </c>
      <c r="S99" s="9">
        <f t="shared" si="22"/>
        <v>4.7292186893843326E-2</v>
      </c>
      <c r="T99" s="10">
        <f t="shared" si="26"/>
        <v>0.30038355179404452</v>
      </c>
      <c r="U99" s="10">
        <f t="shared" si="26"/>
        <v>0.23607547347771182</v>
      </c>
      <c r="V99" s="10">
        <f t="shared" si="26"/>
        <v>-0.1233908685503342</v>
      </c>
      <c r="W99" s="10">
        <f t="shared" si="25"/>
        <v>0.26523203088561531</v>
      </c>
      <c r="X99" s="10">
        <f t="shared" si="25"/>
        <v>0.29638920469819441</v>
      </c>
      <c r="Y99" s="10">
        <f t="shared" si="25"/>
        <v>0.17072462179696291</v>
      </c>
      <c r="Z99" s="10">
        <f t="shared" si="25"/>
        <v>-0.29638920469819441</v>
      </c>
      <c r="AA99" s="10">
        <f t="shared" si="14"/>
        <v>-0.17072462179696291</v>
      </c>
      <c r="AB99" s="7">
        <f t="shared" si="24"/>
        <v>0.6783001876070377</v>
      </c>
      <c r="AC99" s="7">
        <v>0.57987773586595648</v>
      </c>
      <c r="AF99" s="7">
        <v>1.4272803399613174</v>
      </c>
    </row>
    <row r="100" spans="1:32" x14ac:dyDescent="0.25">
      <c r="A100" s="6">
        <v>40452</v>
      </c>
      <c r="B100" s="7">
        <v>3.7490064254904455E-2</v>
      </c>
      <c r="C100" s="7">
        <v>7.7385044365241976E-2</v>
      </c>
      <c r="D100" s="7">
        <v>3.0426703911319722E-3</v>
      </c>
      <c r="E100" s="7">
        <v>-2.7849417185137771E-3</v>
      </c>
      <c r="F100" s="7">
        <v>1.5303284473528573E-2</v>
      </c>
      <c r="G100" s="7">
        <v>-4.1756817289685371E-3</v>
      </c>
      <c r="H100" s="12">
        <v>-1</v>
      </c>
      <c r="I100" s="12">
        <v>1</v>
      </c>
      <c r="J100" s="23">
        <v>-1</v>
      </c>
      <c r="K100" s="23">
        <v>1</v>
      </c>
      <c r="L100" s="9">
        <f t="shared" si="23"/>
        <v>0</v>
      </c>
      <c r="M100" s="9">
        <f t="shared" si="16"/>
        <v>-3.0426703911319722E-3</v>
      </c>
      <c r="N100" s="9">
        <f t="shared" si="17"/>
        <v>0</v>
      </c>
      <c r="O100" s="9">
        <f t="shared" si="18"/>
        <v>-2.7849417185137771E-3</v>
      </c>
      <c r="P100" s="9">
        <f t="shared" si="19"/>
        <v>1.5303284473528573E-2</v>
      </c>
      <c r="Q100" s="9">
        <f t="shared" si="20"/>
        <v>0</v>
      </c>
      <c r="R100" s="9">
        <f t="shared" si="21"/>
        <v>-1.5303284473528573E-2</v>
      </c>
      <c r="S100" s="9">
        <f t="shared" si="22"/>
        <v>0</v>
      </c>
      <c r="T100" s="10">
        <f t="shared" si="26"/>
        <v>0.30038355179404452</v>
      </c>
      <c r="U100" s="10">
        <f t="shared" si="26"/>
        <v>0.23303280308657984</v>
      </c>
      <c r="V100" s="10">
        <f t="shared" si="26"/>
        <v>-0.1233908685503342</v>
      </c>
      <c r="W100" s="10">
        <f t="shared" si="25"/>
        <v>0.26244708916710152</v>
      </c>
      <c r="X100" s="10">
        <f t="shared" si="25"/>
        <v>0.31169248917172299</v>
      </c>
      <c r="Y100" s="10">
        <f t="shared" si="25"/>
        <v>0.17072462179696291</v>
      </c>
      <c r="Z100" s="10">
        <f t="shared" si="25"/>
        <v>-0.31169248917172299</v>
      </c>
      <c r="AA100" s="10">
        <f t="shared" si="14"/>
        <v>-0.17072462179696291</v>
      </c>
      <c r="AB100" s="7">
        <f t="shared" si="24"/>
        <v>0.67247257549739192</v>
      </c>
      <c r="AC100" s="7">
        <v>0.61782561805483138</v>
      </c>
      <c r="AF100" s="7">
        <v>1.4409316940541688</v>
      </c>
    </row>
    <row r="101" spans="1:32" x14ac:dyDescent="0.25">
      <c r="A101" s="6">
        <v>40483</v>
      </c>
      <c r="B101" s="7">
        <v>6.5052130349130266E-17</v>
      </c>
      <c r="C101" s="7">
        <v>5.0781011356552067E-2</v>
      </c>
      <c r="D101" s="7">
        <v>-1.5077008879145756E-2</v>
      </c>
      <c r="E101" s="7">
        <v>1.8666783578866121E-2</v>
      </c>
      <c r="F101" s="7">
        <v>3.5076620434392254E-2</v>
      </c>
      <c r="G101" s="7">
        <v>-2.1416579957927919E-2</v>
      </c>
      <c r="H101" s="12">
        <v>-1</v>
      </c>
      <c r="I101" s="12">
        <v>1</v>
      </c>
      <c r="J101" s="23">
        <v>-1</v>
      </c>
      <c r="K101" s="23">
        <v>1</v>
      </c>
      <c r="L101" s="9">
        <f t="shared" si="23"/>
        <v>0</v>
      </c>
      <c r="M101" s="9">
        <f t="shared" si="16"/>
        <v>1.5077008879145756E-2</v>
      </c>
      <c r="N101" s="9">
        <f t="shared" si="17"/>
        <v>0</v>
      </c>
      <c r="O101" s="9">
        <f t="shared" si="18"/>
        <v>1.8666783578866121E-2</v>
      </c>
      <c r="P101" s="9">
        <f t="shared" si="19"/>
        <v>3.5076620434392254E-2</v>
      </c>
      <c r="Q101" s="9">
        <f t="shared" si="20"/>
        <v>0</v>
      </c>
      <c r="R101" s="9">
        <f t="shared" si="21"/>
        <v>-3.5076620434392254E-2</v>
      </c>
      <c r="S101" s="9">
        <f t="shared" si="22"/>
        <v>0</v>
      </c>
      <c r="T101" s="10">
        <f t="shared" si="26"/>
        <v>0.30038355179404452</v>
      </c>
      <c r="U101" s="10">
        <f t="shared" si="26"/>
        <v>0.2481098119657256</v>
      </c>
      <c r="V101" s="10">
        <f t="shared" si="26"/>
        <v>-0.1233908685503342</v>
      </c>
      <c r="W101" s="10">
        <f t="shared" si="25"/>
        <v>0.28111387274596766</v>
      </c>
      <c r="X101" s="10">
        <f t="shared" si="25"/>
        <v>0.34676910960611523</v>
      </c>
      <c r="Y101" s="10">
        <f t="shared" si="25"/>
        <v>0.17072462179696291</v>
      </c>
      <c r="Z101" s="10">
        <f t="shared" si="25"/>
        <v>-0.34676910960611523</v>
      </c>
      <c r="AA101" s="10">
        <f t="shared" si="14"/>
        <v>-0.17072462179696291</v>
      </c>
      <c r="AB101" s="7">
        <f t="shared" si="24"/>
        <v>0.70621636795540377</v>
      </c>
      <c r="AC101" s="7">
        <v>0.61870653554193833</v>
      </c>
      <c r="AF101" s="7">
        <v>1.5311686869045009</v>
      </c>
    </row>
    <row r="102" spans="1:32" x14ac:dyDescent="0.25">
      <c r="A102" s="6">
        <v>40513</v>
      </c>
      <c r="B102" s="7">
        <v>6.4712799042164357E-2</v>
      </c>
      <c r="C102" s="7">
        <v>0.10646943777769211</v>
      </c>
      <c r="D102" s="7">
        <v>2.8669971944770634E-3</v>
      </c>
      <c r="E102" s="7">
        <v>6.9315945518318755E-3</v>
      </c>
      <c r="F102" s="7">
        <v>3.5972658271478268E-2</v>
      </c>
      <c r="G102" s="7">
        <v>-4.0579746542867293E-2</v>
      </c>
      <c r="H102" s="12">
        <v>-1</v>
      </c>
      <c r="I102" s="12">
        <v>1</v>
      </c>
      <c r="J102" s="23">
        <v>-1</v>
      </c>
      <c r="K102" s="23">
        <v>1</v>
      </c>
      <c r="L102" s="9">
        <f t="shared" si="23"/>
        <v>0</v>
      </c>
      <c r="M102" s="9">
        <f t="shared" si="16"/>
        <v>-2.8669971944770634E-3</v>
      </c>
      <c r="N102" s="9">
        <f t="shared" si="17"/>
        <v>0</v>
      </c>
      <c r="O102" s="9">
        <f t="shared" si="18"/>
        <v>6.9315945518318755E-3</v>
      </c>
      <c r="P102" s="9">
        <f t="shared" si="19"/>
        <v>3.5972658271478268E-2</v>
      </c>
      <c r="Q102" s="9">
        <f t="shared" si="20"/>
        <v>0</v>
      </c>
      <c r="R102" s="9">
        <f t="shared" si="21"/>
        <v>-3.5972658271478268E-2</v>
      </c>
      <c r="S102" s="9">
        <f t="shared" si="22"/>
        <v>0</v>
      </c>
      <c r="T102" s="10">
        <f t="shared" si="26"/>
        <v>0.30038355179404452</v>
      </c>
      <c r="U102" s="10">
        <f t="shared" si="26"/>
        <v>0.24524281477124854</v>
      </c>
      <c r="V102" s="10">
        <f t="shared" si="26"/>
        <v>-0.1233908685503342</v>
      </c>
      <c r="W102" s="10">
        <f t="shared" si="25"/>
        <v>0.28804546729779956</v>
      </c>
      <c r="X102" s="10">
        <f t="shared" si="25"/>
        <v>0.38274176787759351</v>
      </c>
      <c r="Y102" s="10">
        <f t="shared" si="25"/>
        <v>0.17072462179696291</v>
      </c>
      <c r="Z102" s="10">
        <f t="shared" si="25"/>
        <v>-0.38274176787759351</v>
      </c>
      <c r="AA102" s="10">
        <f t="shared" si="14"/>
        <v>-0.17072462179696291</v>
      </c>
      <c r="AB102" s="7">
        <f t="shared" si="24"/>
        <v>0.71028096531275853</v>
      </c>
      <c r="AC102" s="7">
        <v>0.68381891049544297</v>
      </c>
      <c r="AF102" s="7">
        <v>1.6117856890762012</v>
      </c>
    </row>
    <row r="103" spans="1:32" x14ac:dyDescent="0.25">
      <c r="A103" s="6">
        <v>40544</v>
      </c>
      <c r="B103" s="7">
        <v>2.3032483431824631E-2</v>
      </c>
      <c r="C103" s="7">
        <v>5.3867286825819503E-2</v>
      </c>
      <c r="D103" s="7">
        <v>-3.2589175746798212E-3</v>
      </c>
      <c r="E103" s="7">
        <v>-3.7201022767263097E-3</v>
      </c>
      <c r="F103" s="7">
        <v>1.0992931250250252E-2</v>
      </c>
      <c r="G103" s="7">
        <v>-1.8984611662390113E-2</v>
      </c>
      <c r="H103" s="12">
        <v>-1</v>
      </c>
      <c r="I103" s="12">
        <v>1</v>
      </c>
      <c r="J103" s="23">
        <v>-1</v>
      </c>
      <c r="K103" s="23">
        <v>1</v>
      </c>
      <c r="L103" s="9">
        <f t="shared" si="23"/>
        <v>0</v>
      </c>
      <c r="M103" s="9">
        <f t="shared" si="16"/>
        <v>3.2589175746798212E-3</v>
      </c>
      <c r="N103" s="9">
        <f t="shared" si="17"/>
        <v>0</v>
      </c>
      <c r="O103" s="9">
        <f t="shared" si="18"/>
        <v>-3.7201022767263097E-3</v>
      </c>
      <c r="P103" s="9">
        <f t="shared" si="19"/>
        <v>1.0992931250250252E-2</v>
      </c>
      <c r="Q103" s="9">
        <f t="shared" si="20"/>
        <v>0</v>
      </c>
      <c r="R103" s="9">
        <f t="shared" si="21"/>
        <v>-1.0992931250250252E-2</v>
      </c>
      <c r="S103" s="9">
        <f t="shared" si="22"/>
        <v>0</v>
      </c>
      <c r="T103" s="10">
        <f t="shared" si="26"/>
        <v>0.30038355179404452</v>
      </c>
      <c r="U103" s="10">
        <f t="shared" si="26"/>
        <v>0.24850173234592837</v>
      </c>
      <c r="V103" s="10">
        <f t="shared" si="26"/>
        <v>-0.1233908685503342</v>
      </c>
      <c r="W103" s="10">
        <f t="shared" si="25"/>
        <v>0.28432536502107325</v>
      </c>
      <c r="X103" s="10">
        <f t="shared" si="25"/>
        <v>0.39373469912784376</v>
      </c>
      <c r="Y103" s="10">
        <f t="shared" si="25"/>
        <v>0.17072462179696291</v>
      </c>
      <c r="Z103" s="10">
        <f t="shared" si="25"/>
        <v>-0.39373469912784376</v>
      </c>
      <c r="AA103" s="10">
        <f t="shared" si="14"/>
        <v>-0.17072462179696291</v>
      </c>
      <c r="AB103" s="7">
        <f t="shared" si="24"/>
        <v>0.70981978061071205</v>
      </c>
      <c r="AC103" s="7">
        <v>0.70725956608540319</v>
      </c>
      <c r="AF103" s="7">
        <v>1.6413020472867952</v>
      </c>
    </row>
    <row r="104" spans="1:32" x14ac:dyDescent="0.25">
      <c r="A104" s="6">
        <v>40575</v>
      </c>
      <c r="B104" s="7">
        <v>3.4147896129455652E-2</v>
      </c>
      <c r="C104" s="7">
        <v>2.4955819672714742E-2</v>
      </c>
      <c r="D104" s="7">
        <v>9.9631628237515472E-3</v>
      </c>
      <c r="E104" s="7">
        <v>1.713858103672319E-2</v>
      </c>
      <c r="F104" s="7">
        <v>2.5246273405220673E-2</v>
      </c>
      <c r="G104" s="7">
        <v>-1.8094982092443285E-2</v>
      </c>
      <c r="H104" s="12">
        <v>-1</v>
      </c>
      <c r="I104" s="12">
        <v>1</v>
      </c>
      <c r="J104" s="23">
        <v>-1</v>
      </c>
      <c r="K104" s="23">
        <v>1</v>
      </c>
      <c r="L104" s="9">
        <f t="shared" si="23"/>
        <v>0</v>
      </c>
      <c r="M104" s="9">
        <f t="shared" si="16"/>
        <v>-9.9631628237515472E-3</v>
      </c>
      <c r="N104" s="9">
        <f t="shared" si="17"/>
        <v>0</v>
      </c>
      <c r="O104" s="9">
        <f t="shared" si="18"/>
        <v>1.713858103672319E-2</v>
      </c>
      <c r="P104" s="9">
        <f t="shared" si="19"/>
        <v>2.5246273405220673E-2</v>
      </c>
      <c r="Q104" s="9">
        <f t="shared" si="20"/>
        <v>0</v>
      </c>
      <c r="R104" s="9">
        <f t="shared" si="21"/>
        <v>-2.5246273405220673E-2</v>
      </c>
      <c r="S104" s="9">
        <f t="shared" si="22"/>
        <v>0</v>
      </c>
      <c r="T104" s="10">
        <f t="shared" si="26"/>
        <v>0.30038355179404452</v>
      </c>
      <c r="U104" s="10">
        <f t="shared" si="26"/>
        <v>0.23853856952217684</v>
      </c>
      <c r="V104" s="10">
        <f t="shared" si="26"/>
        <v>-0.1233908685503342</v>
      </c>
      <c r="W104" s="10">
        <f t="shared" si="25"/>
        <v>0.30146394605779642</v>
      </c>
      <c r="X104" s="10">
        <f t="shared" si="25"/>
        <v>0.41898097253306443</v>
      </c>
      <c r="Y104" s="10">
        <f t="shared" si="25"/>
        <v>0.17072462179696291</v>
      </c>
      <c r="Z104" s="10">
        <f t="shared" si="25"/>
        <v>-0.41898097253306443</v>
      </c>
      <c r="AA104" s="10">
        <f t="shared" si="14"/>
        <v>-0.17072462179696291</v>
      </c>
      <c r="AB104" s="7">
        <f t="shared" si="24"/>
        <v>0.71699519882368368</v>
      </c>
      <c r="AC104" s="7">
        <v>0.74192619173960661</v>
      </c>
      <c r="AF104" s="7">
        <v>1.6918187209974307</v>
      </c>
    </row>
    <row r="105" spans="1:32" x14ac:dyDescent="0.25">
      <c r="A105" s="6">
        <v>40603</v>
      </c>
      <c r="B105" s="7">
        <v>1.2004505130044354E-4</v>
      </c>
      <c r="C105" s="7">
        <v>-3.0332399673355659E-2</v>
      </c>
      <c r="D105" s="7">
        <v>2.1729271074726723E-2</v>
      </c>
      <c r="E105" s="7">
        <v>-8.4305377911230092E-3</v>
      </c>
      <c r="F105" s="7">
        <v>-1.3002218478200513E-2</v>
      </c>
      <c r="G105" s="7">
        <v>-2.0545886200125804E-2</v>
      </c>
      <c r="H105" s="12">
        <v>1</v>
      </c>
      <c r="I105" s="12">
        <v>1</v>
      </c>
      <c r="J105" s="23">
        <v>1</v>
      </c>
      <c r="K105" s="23">
        <v>1</v>
      </c>
      <c r="L105" s="9">
        <f t="shared" si="23"/>
        <v>2.1729271074726723E-2</v>
      </c>
      <c r="M105" s="9">
        <f t="shared" si="16"/>
        <v>0</v>
      </c>
      <c r="N105" s="9">
        <f t="shared" si="17"/>
        <v>8.4305377911230092E-3</v>
      </c>
      <c r="O105" s="9">
        <f t="shared" si="18"/>
        <v>0</v>
      </c>
      <c r="P105" s="9">
        <f t="shared" si="19"/>
        <v>-1.3002218478200513E-2</v>
      </c>
      <c r="Q105" s="9">
        <f t="shared" si="20"/>
        <v>0</v>
      </c>
      <c r="R105" s="9">
        <f t="shared" si="21"/>
        <v>1.3002218478200513E-2</v>
      </c>
      <c r="S105" s="9">
        <f t="shared" si="22"/>
        <v>0</v>
      </c>
      <c r="T105" s="10">
        <f t="shared" si="26"/>
        <v>0.32211282286877124</v>
      </c>
      <c r="U105" s="10">
        <f t="shared" si="26"/>
        <v>0.23853856952217684</v>
      </c>
      <c r="V105" s="10">
        <f t="shared" si="26"/>
        <v>-0.11496033075921119</v>
      </c>
      <c r="W105" s="10">
        <f t="shared" si="25"/>
        <v>0.30146394605779642</v>
      </c>
      <c r="X105" s="10">
        <f t="shared" si="25"/>
        <v>0.40597875405486394</v>
      </c>
      <c r="Y105" s="10">
        <f t="shared" si="25"/>
        <v>0.17072462179696291</v>
      </c>
      <c r="Z105" s="10">
        <f t="shared" si="25"/>
        <v>-0.40597875405486394</v>
      </c>
      <c r="AA105" s="10">
        <f t="shared" si="14"/>
        <v>-0.17072462179696291</v>
      </c>
      <c r="AB105" s="7">
        <f t="shared" si="24"/>
        <v>0.74715500768953336</v>
      </c>
      <c r="AC105" s="7">
        <v>0.74321206219355218</v>
      </c>
      <c r="AF105" s="7">
        <v>1.7295221975852058</v>
      </c>
    </row>
    <row r="106" spans="1:32" x14ac:dyDescent="0.25">
      <c r="A106" s="6">
        <v>40634</v>
      </c>
      <c r="B106" s="7">
        <v>2.8550198825919967E-2</v>
      </c>
      <c r="C106" s="7">
        <v>-3.5155922672446601E-4</v>
      </c>
      <c r="D106" s="7">
        <v>1.9615172371777657E-2</v>
      </c>
      <c r="E106" s="7">
        <v>1.3834555326560119E-2</v>
      </c>
      <c r="F106" s="7">
        <v>5.4909260099414974E-3</v>
      </c>
      <c r="G106" s="7">
        <v>-1.5200546732369025E-2</v>
      </c>
      <c r="H106" s="12">
        <v>1</v>
      </c>
      <c r="I106" s="12">
        <v>-1</v>
      </c>
      <c r="J106" s="23">
        <v>1</v>
      </c>
      <c r="K106" s="23">
        <v>-1</v>
      </c>
      <c r="L106" s="9">
        <f t="shared" si="23"/>
        <v>1.9615172371777657E-2</v>
      </c>
      <c r="M106" s="9">
        <f t="shared" si="16"/>
        <v>0</v>
      </c>
      <c r="N106" s="9">
        <f t="shared" si="17"/>
        <v>-1.3834555326560119E-2</v>
      </c>
      <c r="O106" s="9">
        <f t="shared" si="18"/>
        <v>0</v>
      </c>
      <c r="P106" s="9">
        <f t="shared" si="19"/>
        <v>0</v>
      </c>
      <c r="Q106" s="9">
        <f t="shared" si="20"/>
        <v>-5.4909260099414974E-3</v>
      </c>
      <c r="R106" s="9">
        <f t="shared" si="21"/>
        <v>0</v>
      </c>
      <c r="S106" s="9">
        <f t="shared" si="22"/>
        <v>5.4909260099414974E-3</v>
      </c>
      <c r="T106" s="10">
        <f t="shared" si="26"/>
        <v>0.34172799524054892</v>
      </c>
      <c r="U106" s="10">
        <f t="shared" si="26"/>
        <v>0.23853856952217684</v>
      </c>
      <c r="V106" s="10">
        <f t="shared" si="26"/>
        <v>-0.1287948860857713</v>
      </c>
      <c r="W106" s="10">
        <f t="shared" si="25"/>
        <v>0.30146394605779642</v>
      </c>
      <c r="X106" s="10">
        <f t="shared" si="25"/>
        <v>0.40597875405486394</v>
      </c>
      <c r="Y106" s="10">
        <f t="shared" si="25"/>
        <v>0.16523369578702141</v>
      </c>
      <c r="Z106" s="10">
        <f t="shared" si="25"/>
        <v>-0.40597875405486394</v>
      </c>
      <c r="AA106" s="10">
        <f t="shared" si="14"/>
        <v>-0.16523369578702141</v>
      </c>
      <c r="AB106" s="7">
        <f t="shared" si="24"/>
        <v>0.75293562473475084</v>
      </c>
      <c r="AC106" s="7">
        <v>0.77207627870613438</v>
      </c>
      <c r="AF106" s="7">
        <v>1.7146113418881128</v>
      </c>
    </row>
    <row r="107" spans="1:32" x14ac:dyDescent="0.25">
      <c r="A107" s="6">
        <v>40664</v>
      </c>
      <c r="B107" s="7">
        <v>-1.1277764128790937E-2</v>
      </c>
      <c r="C107" s="7">
        <v>-4.0272204820622513E-2</v>
      </c>
      <c r="D107" s="7">
        <v>9.6088047945949943E-3</v>
      </c>
      <c r="E107" s="7">
        <v>1.4270795268562422E-2</v>
      </c>
      <c r="F107" s="7">
        <v>-1.6480593819797634E-2</v>
      </c>
      <c r="G107" s="7">
        <v>1.6759048487742442E-2</v>
      </c>
      <c r="H107" s="12">
        <v>1</v>
      </c>
      <c r="I107" s="12">
        <v>-1</v>
      </c>
      <c r="J107" s="23">
        <v>1</v>
      </c>
      <c r="K107" s="23">
        <v>-1</v>
      </c>
      <c r="L107" s="9">
        <f t="shared" si="23"/>
        <v>9.6088047945949943E-3</v>
      </c>
      <c r="M107" s="9">
        <f t="shared" si="16"/>
        <v>0</v>
      </c>
      <c r="N107" s="9">
        <f t="shared" si="17"/>
        <v>-1.4270795268562422E-2</v>
      </c>
      <c r="O107" s="9">
        <f t="shared" si="18"/>
        <v>0</v>
      </c>
      <c r="P107" s="9">
        <f t="shared" si="19"/>
        <v>0</v>
      </c>
      <c r="Q107" s="9">
        <f t="shared" si="20"/>
        <v>1.6480593819797634E-2</v>
      </c>
      <c r="R107" s="9">
        <f t="shared" si="21"/>
        <v>0</v>
      </c>
      <c r="S107" s="9">
        <f t="shared" si="22"/>
        <v>-1.6480593819797634E-2</v>
      </c>
      <c r="T107" s="10">
        <f t="shared" si="26"/>
        <v>0.35133680003514389</v>
      </c>
      <c r="U107" s="10">
        <f t="shared" si="26"/>
        <v>0.23853856952217684</v>
      </c>
      <c r="V107" s="10">
        <f t="shared" si="26"/>
        <v>-0.14306568135433373</v>
      </c>
      <c r="W107" s="10">
        <f t="shared" si="25"/>
        <v>0.30146394605779642</v>
      </c>
      <c r="X107" s="10">
        <f t="shared" si="25"/>
        <v>0.40597875405486394</v>
      </c>
      <c r="Y107" s="10">
        <f t="shared" si="25"/>
        <v>0.18171428960681904</v>
      </c>
      <c r="Z107" s="10">
        <f t="shared" si="25"/>
        <v>-0.40597875405486394</v>
      </c>
      <c r="AA107" s="10">
        <f t="shared" si="14"/>
        <v>-0.18171428960681904</v>
      </c>
      <c r="AB107" s="7">
        <f t="shared" si="24"/>
        <v>0.74827363426078342</v>
      </c>
      <c r="AC107" s="7">
        <v>0.76125917277680133</v>
      </c>
      <c r="AF107" s="7">
        <v>1.7431889937216856</v>
      </c>
    </row>
    <row r="108" spans="1:32" x14ac:dyDescent="0.25">
      <c r="A108" s="6">
        <v>40695</v>
      </c>
      <c r="B108" s="7">
        <v>-1.7013925060328533E-2</v>
      </c>
      <c r="C108" s="7">
        <v>-3.890533164843319E-2</v>
      </c>
      <c r="D108" s="7">
        <v>1.927997340252488E-2</v>
      </c>
      <c r="E108" s="7">
        <v>-2.6116251818565899E-2</v>
      </c>
      <c r="F108" s="7">
        <v>-4.5031748679545007E-2</v>
      </c>
      <c r="G108" s="7">
        <v>-3.0986630731380639E-3</v>
      </c>
      <c r="H108" s="12">
        <v>1</v>
      </c>
      <c r="I108" s="12">
        <v>-1</v>
      </c>
      <c r="J108" s="23">
        <v>1</v>
      </c>
      <c r="K108" s="23">
        <v>-1</v>
      </c>
      <c r="L108" s="9">
        <f t="shared" si="23"/>
        <v>1.927997340252488E-2</v>
      </c>
      <c r="M108" s="9">
        <f t="shared" si="16"/>
        <v>0</v>
      </c>
      <c r="N108" s="9">
        <f t="shared" si="17"/>
        <v>2.6116251818565899E-2</v>
      </c>
      <c r="O108" s="9">
        <f t="shared" si="18"/>
        <v>0</v>
      </c>
      <c r="P108" s="9">
        <f t="shared" si="19"/>
        <v>0</v>
      </c>
      <c r="Q108" s="9">
        <f t="shared" si="20"/>
        <v>4.5031748679545007E-2</v>
      </c>
      <c r="R108" s="9">
        <f t="shared" si="21"/>
        <v>0</v>
      </c>
      <c r="S108" s="9">
        <f t="shared" si="22"/>
        <v>-4.5031748679545007E-2</v>
      </c>
      <c r="T108" s="10">
        <f t="shared" si="26"/>
        <v>0.37061677343766875</v>
      </c>
      <c r="U108" s="10">
        <f t="shared" si="26"/>
        <v>0.23853856952217684</v>
      </c>
      <c r="V108" s="10">
        <f t="shared" si="26"/>
        <v>-0.11694942953576783</v>
      </c>
      <c r="W108" s="10">
        <f t="shared" si="25"/>
        <v>0.30146394605779642</v>
      </c>
      <c r="X108" s="10">
        <f t="shared" si="25"/>
        <v>0.40597875405486394</v>
      </c>
      <c r="Y108" s="10">
        <f t="shared" si="25"/>
        <v>0.22674603828636405</v>
      </c>
      <c r="Z108" s="10">
        <f t="shared" si="25"/>
        <v>-0.40597875405486394</v>
      </c>
      <c r="AA108" s="10">
        <f t="shared" si="14"/>
        <v>-0.22674603828636405</v>
      </c>
      <c r="AB108" s="7">
        <f t="shared" si="24"/>
        <v>0.79366985948187418</v>
      </c>
      <c r="AC108" s="7">
        <v>0.74539366444177635</v>
      </c>
      <c r="AF108" s="7">
        <v>1.8305183045491833</v>
      </c>
    </row>
    <row r="109" spans="1:32" x14ac:dyDescent="0.25">
      <c r="A109" s="6">
        <v>40725</v>
      </c>
      <c r="B109" s="7">
        <v>-2.0207538717317289E-2</v>
      </c>
      <c r="C109" s="7">
        <v>-4.3330813625459073E-3</v>
      </c>
      <c r="D109" s="7">
        <v>-3.979188427792512E-2</v>
      </c>
      <c r="E109" s="7">
        <v>1.9281706382704929E-2</v>
      </c>
      <c r="F109" s="7">
        <v>1.8245685977121447E-2</v>
      </c>
      <c r="G109" s="7">
        <v>1.6811771954745092E-2</v>
      </c>
      <c r="H109" s="12">
        <v>1</v>
      </c>
      <c r="I109" s="12">
        <v>-1</v>
      </c>
      <c r="J109" s="23">
        <v>1</v>
      </c>
      <c r="K109" s="23">
        <v>-1</v>
      </c>
      <c r="L109" s="9">
        <f t="shared" si="23"/>
        <v>-3.979188427792512E-2</v>
      </c>
      <c r="M109" s="9">
        <f t="shared" si="16"/>
        <v>0</v>
      </c>
      <c r="N109" s="9">
        <f t="shared" si="17"/>
        <v>-1.9281706382704929E-2</v>
      </c>
      <c r="O109" s="9">
        <f t="shared" si="18"/>
        <v>0</v>
      </c>
      <c r="P109" s="9">
        <f t="shared" si="19"/>
        <v>0</v>
      </c>
      <c r="Q109" s="9">
        <f t="shared" si="20"/>
        <v>-1.8245685977121447E-2</v>
      </c>
      <c r="R109" s="9">
        <f t="shared" si="21"/>
        <v>0</v>
      </c>
      <c r="S109" s="9">
        <f t="shared" si="22"/>
        <v>1.8245685977121447E-2</v>
      </c>
      <c r="T109" s="10">
        <f t="shared" si="26"/>
        <v>0.33082488915974362</v>
      </c>
      <c r="U109" s="10">
        <f t="shared" si="26"/>
        <v>0.23853856952217684</v>
      </c>
      <c r="V109" s="10">
        <f t="shared" si="26"/>
        <v>-0.13623113591847275</v>
      </c>
      <c r="W109" s="10">
        <f t="shared" si="25"/>
        <v>0.30146394605779642</v>
      </c>
      <c r="X109" s="10">
        <f t="shared" si="25"/>
        <v>0.40597875405486394</v>
      </c>
      <c r="Y109" s="10">
        <f t="shared" si="25"/>
        <v>0.2085003523092426</v>
      </c>
      <c r="Z109" s="10">
        <f t="shared" si="25"/>
        <v>-0.40597875405486394</v>
      </c>
      <c r="AA109" s="10">
        <f t="shared" si="14"/>
        <v>-0.2085003523092426</v>
      </c>
      <c r="AB109" s="7">
        <f t="shared" si="24"/>
        <v>0.73459626882124418</v>
      </c>
      <c r="AC109" s="7">
        <v>0.72611803319983881</v>
      </c>
      <c r="AF109" s="7">
        <v>1.7700107998661769</v>
      </c>
    </row>
    <row r="110" spans="1:32" x14ac:dyDescent="0.25">
      <c r="A110" s="6">
        <v>40756</v>
      </c>
      <c r="B110" s="7">
        <v>-5.6544384857879895E-2</v>
      </c>
      <c r="C110" s="7">
        <v>-0.26867430397222858</v>
      </c>
      <c r="D110" s="7">
        <v>8.162601999394177E-2</v>
      </c>
      <c r="E110" s="7">
        <v>-3.8221473300384987E-2</v>
      </c>
      <c r="F110" s="7">
        <v>-7.4208900453684459E-2</v>
      </c>
      <c r="G110" s="7">
        <v>4.7278273792321988E-2</v>
      </c>
      <c r="H110" s="12">
        <v>1</v>
      </c>
      <c r="I110" s="12">
        <v>-1</v>
      </c>
      <c r="J110" s="23">
        <v>1</v>
      </c>
      <c r="K110" s="23">
        <v>-1</v>
      </c>
      <c r="L110" s="9">
        <f t="shared" si="23"/>
        <v>8.162601999394177E-2</v>
      </c>
      <c r="M110" s="9">
        <f t="shared" si="16"/>
        <v>0</v>
      </c>
      <c r="N110" s="9">
        <f t="shared" si="17"/>
        <v>3.8221473300384987E-2</v>
      </c>
      <c r="O110" s="9">
        <f t="shared" si="18"/>
        <v>0</v>
      </c>
      <c r="P110" s="9">
        <f t="shared" si="19"/>
        <v>0</v>
      </c>
      <c r="Q110" s="9">
        <f t="shared" si="20"/>
        <v>7.4208900453684459E-2</v>
      </c>
      <c r="R110" s="9">
        <f t="shared" si="21"/>
        <v>0</v>
      </c>
      <c r="S110" s="9">
        <f t="shared" si="22"/>
        <v>-7.4208900453684459E-2</v>
      </c>
      <c r="T110" s="10">
        <f t="shared" si="26"/>
        <v>0.41245090915368537</v>
      </c>
      <c r="U110" s="10">
        <f t="shared" si="26"/>
        <v>0.23853856952217684</v>
      </c>
      <c r="V110" s="10">
        <f t="shared" si="26"/>
        <v>-9.8009662618087759E-2</v>
      </c>
      <c r="W110" s="10">
        <f t="shared" si="25"/>
        <v>0.30146394605779642</v>
      </c>
      <c r="X110" s="10">
        <f t="shared" si="25"/>
        <v>0.40597875405486394</v>
      </c>
      <c r="Y110" s="10">
        <f t="shared" si="25"/>
        <v>0.28270925276292708</v>
      </c>
      <c r="Z110" s="10">
        <f t="shared" si="25"/>
        <v>-0.40597875405486394</v>
      </c>
      <c r="AA110" s="10">
        <f t="shared" si="14"/>
        <v>-0.28270925276292708</v>
      </c>
      <c r="AB110" s="7">
        <f t="shared" si="24"/>
        <v>0.85444376211557094</v>
      </c>
      <c r="AC110" s="7">
        <v>0.67895343479714498</v>
      </c>
      <c r="AF110" s="7">
        <v>2.0113454674065103</v>
      </c>
    </row>
    <row r="111" spans="1:32" x14ac:dyDescent="0.25">
      <c r="A111" s="6">
        <v>40787</v>
      </c>
      <c r="B111" s="7">
        <v>-7.1948067164102666E-2</v>
      </c>
      <c r="C111" s="7">
        <v>-0.21757850379320046</v>
      </c>
      <c r="D111" s="7">
        <v>2.5666604860091757E-3</v>
      </c>
      <c r="E111" s="7">
        <v>-1.9024245740489446E-2</v>
      </c>
      <c r="F111" s="7">
        <v>-2.6363096536001364E-2</v>
      </c>
      <c r="G111" s="7">
        <v>5.2946010994901239E-2</v>
      </c>
      <c r="H111" s="12">
        <v>1</v>
      </c>
      <c r="I111" s="12">
        <v>-1</v>
      </c>
      <c r="J111" s="23">
        <v>1</v>
      </c>
      <c r="K111" s="23">
        <v>-1</v>
      </c>
      <c r="L111" s="9">
        <f t="shared" si="23"/>
        <v>2.5666604860091757E-3</v>
      </c>
      <c r="M111" s="9">
        <f t="shared" si="16"/>
        <v>0</v>
      </c>
      <c r="N111" s="9">
        <f t="shared" si="17"/>
        <v>1.9024245740489446E-2</v>
      </c>
      <c r="O111" s="9">
        <f t="shared" si="18"/>
        <v>0</v>
      </c>
      <c r="P111" s="9">
        <f t="shared" si="19"/>
        <v>0</v>
      </c>
      <c r="Q111" s="9">
        <f t="shared" si="20"/>
        <v>2.6363096536001364E-2</v>
      </c>
      <c r="R111" s="9">
        <f t="shared" si="21"/>
        <v>0</v>
      </c>
      <c r="S111" s="9">
        <f t="shared" si="22"/>
        <v>-2.6363096536001364E-2</v>
      </c>
      <c r="T111" s="10">
        <f t="shared" si="26"/>
        <v>0.41501756963969455</v>
      </c>
      <c r="U111" s="10">
        <f t="shared" si="26"/>
        <v>0.23853856952217684</v>
      </c>
      <c r="V111" s="10">
        <f t="shared" si="26"/>
        <v>-7.8985416877598316E-2</v>
      </c>
      <c r="W111" s="10">
        <f t="shared" si="25"/>
        <v>0.30146394605779642</v>
      </c>
      <c r="X111" s="10">
        <f t="shared" si="25"/>
        <v>0.40597875405486394</v>
      </c>
      <c r="Y111" s="10">
        <f t="shared" si="25"/>
        <v>0.30907234929892846</v>
      </c>
      <c r="Z111" s="10">
        <f t="shared" si="25"/>
        <v>-0.40597875405486394</v>
      </c>
      <c r="AA111" s="10">
        <f t="shared" si="14"/>
        <v>-0.30907234929892846</v>
      </c>
      <c r="AB111" s="7">
        <f t="shared" si="24"/>
        <v>0.87603466834206956</v>
      </c>
      <c r="AC111" s="7">
        <v>0.61048167656388042</v>
      </c>
      <c r="AF111" s="7">
        <v>2.1122454811639115</v>
      </c>
    </row>
    <row r="112" spans="1:32" x14ac:dyDescent="0.25">
      <c r="A112" s="6">
        <v>40817</v>
      </c>
      <c r="B112" s="7">
        <v>0.10359142321300968</v>
      </c>
      <c r="C112" s="7">
        <v>0.15438671107540722</v>
      </c>
      <c r="D112" s="7">
        <v>1.2266253356363208E-2</v>
      </c>
      <c r="E112" s="7">
        <v>2.4017114349233752E-2</v>
      </c>
      <c r="F112" s="7">
        <v>2.2372794256617923E-2</v>
      </c>
      <c r="G112" s="7">
        <v>-1.8882671401672109E-2</v>
      </c>
      <c r="H112" s="12">
        <v>-1</v>
      </c>
      <c r="I112" s="12">
        <v>-1</v>
      </c>
      <c r="J112" s="23">
        <v>-1</v>
      </c>
      <c r="K112" s="23">
        <v>-1</v>
      </c>
      <c r="L112" s="9">
        <f t="shared" si="23"/>
        <v>0</v>
      </c>
      <c r="M112" s="9">
        <f t="shared" si="16"/>
        <v>-1.2266253356363208E-2</v>
      </c>
      <c r="N112" s="9">
        <f t="shared" si="17"/>
        <v>0</v>
      </c>
      <c r="O112" s="9">
        <f t="shared" si="18"/>
        <v>2.4017114349233752E-2</v>
      </c>
      <c r="P112" s="9">
        <f t="shared" si="19"/>
        <v>0</v>
      </c>
      <c r="Q112" s="9">
        <f t="shared" si="20"/>
        <v>-2.2372794256617923E-2</v>
      </c>
      <c r="R112" s="9">
        <f t="shared" si="21"/>
        <v>0</v>
      </c>
      <c r="S112" s="9">
        <f t="shared" si="22"/>
        <v>2.2372794256617923E-2</v>
      </c>
      <c r="T112" s="10">
        <f t="shared" si="26"/>
        <v>0.41501756963969455</v>
      </c>
      <c r="U112" s="10">
        <f t="shared" si="26"/>
        <v>0.22627231616581361</v>
      </c>
      <c r="V112" s="10">
        <f t="shared" si="26"/>
        <v>-7.8985416877598316E-2</v>
      </c>
      <c r="W112" s="10">
        <f t="shared" si="25"/>
        <v>0.32548106040703018</v>
      </c>
      <c r="X112" s="10">
        <f t="shared" si="25"/>
        <v>0.40597875405486394</v>
      </c>
      <c r="Y112" s="10">
        <f t="shared" si="25"/>
        <v>0.28669955504231054</v>
      </c>
      <c r="Z112" s="10">
        <f t="shared" si="25"/>
        <v>-0.40597875405486394</v>
      </c>
      <c r="AA112" s="10">
        <f t="shared" si="14"/>
        <v>-0.28669955504231054</v>
      </c>
      <c r="AB112" s="7">
        <f t="shared" si="24"/>
        <v>0.88778552933494015</v>
      </c>
      <c r="AC112" s="7">
        <v>0.71764554481044274</v>
      </c>
      <c r="AF112" s="7">
        <v>2.0827408764984918</v>
      </c>
    </row>
    <row r="113" spans="1:32" x14ac:dyDescent="0.25">
      <c r="A113" s="6">
        <v>40848</v>
      </c>
      <c r="B113" s="7">
        <v>-4.072108220249622E-3</v>
      </c>
      <c r="C113" s="7">
        <v>-8.558827985879304E-2</v>
      </c>
      <c r="D113" s="7">
        <v>4.3579189455223197E-2</v>
      </c>
      <c r="E113" s="7">
        <v>-1.8241588904745618E-2</v>
      </c>
      <c r="F113" s="7">
        <v>6.0374496991784897E-3</v>
      </c>
      <c r="G113" s="7">
        <v>1.4081265123699026E-2</v>
      </c>
      <c r="H113" s="12">
        <v>1</v>
      </c>
      <c r="I113" s="12">
        <v>1</v>
      </c>
      <c r="J113" s="23">
        <v>1</v>
      </c>
      <c r="K113" s="23">
        <v>1</v>
      </c>
      <c r="L113" s="9">
        <f t="shared" si="23"/>
        <v>4.3579189455223197E-2</v>
      </c>
      <c r="M113" s="9">
        <f t="shared" si="16"/>
        <v>0</v>
      </c>
      <c r="N113" s="9">
        <f t="shared" si="17"/>
        <v>1.8241588904745618E-2</v>
      </c>
      <c r="O113" s="9">
        <f t="shared" si="18"/>
        <v>0</v>
      </c>
      <c r="P113" s="9">
        <f t="shared" si="19"/>
        <v>6.0374496991784897E-3</v>
      </c>
      <c r="Q113" s="9">
        <f t="shared" si="20"/>
        <v>0</v>
      </c>
      <c r="R113" s="9">
        <f t="shared" si="21"/>
        <v>-6.0374496991784897E-3</v>
      </c>
      <c r="S113" s="9">
        <f t="shared" si="22"/>
        <v>0</v>
      </c>
      <c r="T113" s="10">
        <f t="shared" si="26"/>
        <v>0.45859675909491776</v>
      </c>
      <c r="U113" s="10">
        <f t="shared" si="26"/>
        <v>0.22627231616581361</v>
      </c>
      <c r="V113" s="10">
        <f t="shared" si="26"/>
        <v>-6.0743827972852701E-2</v>
      </c>
      <c r="W113" s="10">
        <f t="shared" si="25"/>
        <v>0.32548106040703018</v>
      </c>
      <c r="X113" s="10">
        <f t="shared" si="25"/>
        <v>0.41201620375404241</v>
      </c>
      <c r="Y113" s="10">
        <f t="shared" si="25"/>
        <v>0.28669955504231054</v>
      </c>
      <c r="Z113" s="10">
        <f t="shared" si="25"/>
        <v>-0.41201620375404241</v>
      </c>
      <c r="AA113" s="10">
        <f t="shared" si="14"/>
        <v>-0.28669955504231054</v>
      </c>
      <c r="AB113" s="7">
        <f t="shared" si="24"/>
        <v>0.94960630769490895</v>
      </c>
      <c r="AC113" s="7">
        <v>0.71729463695148776</v>
      </c>
      <c r="AF113" s="7">
        <v>2.1365178394339401</v>
      </c>
    </row>
    <row r="114" spans="1:32" x14ac:dyDescent="0.25">
      <c r="A114" s="6">
        <v>40878</v>
      </c>
      <c r="B114" s="7">
        <v>1.0394239366066014E-2</v>
      </c>
      <c r="C114" s="7">
        <v>-1.3019924017450286E-2</v>
      </c>
      <c r="D114" s="7">
        <v>1.0654518659416193E-2</v>
      </c>
      <c r="E114" s="7">
        <v>2.1109373590297395E-2</v>
      </c>
      <c r="F114" s="7">
        <v>1.3825319904160062E-2</v>
      </c>
      <c r="G114" s="7">
        <v>8.5004242264216006E-4</v>
      </c>
      <c r="H114" s="12">
        <v>1</v>
      </c>
      <c r="I114" s="12">
        <v>-1</v>
      </c>
      <c r="J114" s="23">
        <v>1</v>
      </c>
      <c r="K114" s="23">
        <v>-1</v>
      </c>
      <c r="L114" s="9">
        <f t="shared" si="23"/>
        <v>1.0654518659416193E-2</v>
      </c>
      <c r="M114" s="9">
        <f t="shared" si="16"/>
        <v>0</v>
      </c>
      <c r="N114" s="9">
        <f t="shared" si="17"/>
        <v>-2.1109373590297395E-2</v>
      </c>
      <c r="O114" s="9">
        <f t="shared" si="18"/>
        <v>0</v>
      </c>
      <c r="P114" s="9">
        <f t="shared" si="19"/>
        <v>0</v>
      </c>
      <c r="Q114" s="9">
        <f t="shared" si="20"/>
        <v>-1.3825319904160062E-2</v>
      </c>
      <c r="R114" s="9">
        <f t="shared" si="21"/>
        <v>0</v>
      </c>
      <c r="S114" s="9">
        <f t="shared" si="22"/>
        <v>1.3825319904160062E-2</v>
      </c>
      <c r="T114" s="10">
        <f t="shared" si="26"/>
        <v>0.46925127775433395</v>
      </c>
      <c r="U114" s="10">
        <f t="shared" si="26"/>
        <v>0.22627231616581361</v>
      </c>
      <c r="V114" s="10">
        <f t="shared" si="26"/>
        <v>-8.1853201563150096E-2</v>
      </c>
      <c r="W114" s="10">
        <f t="shared" si="25"/>
        <v>0.32548106040703018</v>
      </c>
      <c r="X114" s="10">
        <f t="shared" si="25"/>
        <v>0.41201620375404241</v>
      </c>
      <c r="Y114" s="10">
        <f t="shared" si="25"/>
        <v>0.27287423513815046</v>
      </c>
      <c r="Z114" s="10">
        <f t="shared" si="25"/>
        <v>-0.41201620375404241</v>
      </c>
      <c r="AA114" s="10">
        <f t="shared" si="14"/>
        <v>-0.27287423513815046</v>
      </c>
      <c r="AB114" s="7">
        <f t="shared" si="24"/>
        <v>0.93915145276402778</v>
      </c>
      <c r="AC114" s="7">
        <v>0.72909649707832913</v>
      </c>
      <c r="AF114" s="7">
        <v>2.113087707021541</v>
      </c>
    </row>
    <row r="115" spans="1:32" x14ac:dyDescent="0.25">
      <c r="A115" s="6">
        <v>40909</v>
      </c>
      <c r="B115" s="7">
        <v>4.5331251108184228E-2</v>
      </c>
      <c r="C115" s="7">
        <v>8.6789695614172074E-2</v>
      </c>
      <c r="D115" s="7">
        <v>-1.065421663953015E-3</v>
      </c>
      <c r="E115" s="7">
        <v>3.7088764635217292E-2</v>
      </c>
      <c r="F115" s="7">
        <v>1.9880556128924105E-2</v>
      </c>
      <c r="G115" s="7">
        <v>-2.2772392072328458E-2</v>
      </c>
      <c r="H115" s="12">
        <v>-1</v>
      </c>
      <c r="I115" s="12">
        <v>-1</v>
      </c>
      <c r="J115" s="23">
        <v>-1</v>
      </c>
      <c r="K115" s="23">
        <v>-1</v>
      </c>
      <c r="L115" s="9">
        <f t="shared" si="23"/>
        <v>0</v>
      </c>
      <c r="M115" s="9">
        <f t="shared" si="16"/>
        <v>1.065421663953015E-3</v>
      </c>
      <c r="N115" s="9">
        <f t="shared" si="17"/>
        <v>0</v>
      </c>
      <c r="O115" s="9">
        <f t="shared" si="18"/>
        <v>3.7088764635217292E-2</v>
      </c>
      <c r="P115" s="9">
        <f t="shared" si="19"/>
        <v>0</v>
      </c>
      <c r="Q115" s="9">
        <f t="shared" si="20"/>
        <v>-1.9880556128924105E-2</v>
      </c>
      <c r="R115" s="9">
        <f t="shared" si="21"/>
        <v>0</v>
      </c>
      <c r="S115" s="9">
        <f t="shared" si="22"/>
        <v>1.9880556128924105E-2</v>
      </c>
      <c r="T115" s="10">
        <f t="shared" si="26"/>
        <v>0.46925127775433395</v>
      </c>
      <c r="U115" s="10">
        <f t="shared" si="26"/>
        <v>0.22733773782976663</v>
      </c>
      <c r="V115" s="10">
        <f t="shared" si="26"/>
        <v>-8.1853201563150096E-2</v>
      </c>
      <c r="W115" s="10">
        <f t="shared" si="25"/>
        <v>0.36256982504224744</v>
      </c>
      <c r="X115" s="10">
        <f t="shared" si="25"/>
        <v>0.41201620375404241</v>
      </c>
      <c r="Y115" s="10">
        <f t="shared" si="25"/>
        <v>0.25299367900922637</v>
      </c>
      <c r="Z115" s="10">
        <f t="shared" si="25"/>
        <v>-0.41201620375404241</v>
      </c>
      <c r="AA115" s="10">
        <f t="shared" si="14"/>
        <v>-0.25299367900922637</v>
      </c>
      <c r="AB115" s="7">
        <f t="shared" si="24"/>
        <v>0.97730563906319812</v>
      </c>
      <c r="AC115" s="7">
        <v>0.77476546181557937</v>
      </c>
      <c r="AF115" s="7">
        <v>2.1085889451194588</v>
      </c>
    </row>
    <row r="116" spans="1:32" x14ac:dyDescent="0.25">
      <c r="A116" s="6">
        <v>40940</v>
      </c>
      <c r="B116" s="7">
        <v>4.2489821219877516E-2</v>
      </c>
      <c r="C116" s="7">
        <v>6.7445147980817521E-2</v>
      </c>
      <c r="D116" s="7">
        <v>7.2514587926275475E-3</v>
      </c>
      <c r="E116" s="7">
        <v>5.89311887905738E-3</v>
      </c>
      <c r="F116" s="7">
        <v>2.6080853381627578E-2</v>
      </c>
      <c r="G116" s="7">
        <v>-3.6241142283388358E-2</v>
      </c>
      <c r="H116" s="12">
        <v>-1</v>
      </c>
      <c r="I116" s="12">
        <v>1</v>
      </c>
      <c r="J116" s="23">
        <v>-1</v>
      </c>
      <c r="K116" s="23">
        <v>1</v>
      </c>
      <c r="L116" s="9">
        <f t="shared" si="23"/>
        <v>0</v>
      </c>
      <c r="M116" s="9">
        <f t="shared" si="16"/>
        <v>-7.2514587926275475E-3</v>
      </c>
      <c r="N116" s="9">
        <f t="shared" si="17"/>
        <v>0</v>
      </c>
      <c r="O116" s="9">
        <f t="shared" si="18"/>
        <v>5.89311887905738E-3</v>
      </c>
      <c r="P116" s="9">
        <f t="shared" si="19"/>
        <v>2.6080853381627578E-2</v>
      </c>
      <c r="Q116" s="9">
        <f t="shared" si="20"/>
        <v>0</v>
      </c>
      <c r="R116" s="9">
        <f t="shared" si="21"/>
        <v>-2.6080853381627578E-2</v>
      </c>
      <c r="S116" s="9">
        <f t="shared" si="22"/>
        <v>0</v>
      </c>
      <c r="T116" s="10">
        <f t="shared" si="26"/>
        <v>0.46925127775433395</v>
      </c>
      <c r="U116" s="10">
        <f t="shared" si="26"/>
        <v>0.22008627903713909</v>
      </c>
      <c r="V116" s="10">
        <f t="shared" si="26"/>
        <v>-8.1853201563150096E-2</v>
      </c>
      <c r="W116" s="10">
        <f t="shared" si="25"/>
        <v>0.3684629439213048</v>
      </c>
      <c r="X116" s="10">
        <f t="shared" si="25"/>
        <v>0.43809705713566999</v>
      </c>
      <c r="Y116" s="10">
        <f t="shared" si="25"/>
        <v>0.25299367900922637</v>
      </c>
      <c r="Z116" s="10">
        <f t="shared" si="25"/>
        <v>-0.43809705713566999</v>
      </c>
      <c r="AA116" s="10">
        <f t="shared" si="14"/>
        <v>-0.25299367900922637</v>
      </c>
      <c r="AB116" s="7">
        <f t="shared" si="24"/>
        <v>0.97594729914962797</v>
      </c>
      <c r="AC116" s="7">
        <v>0.81756238687363458</v>
      </c>
      <c r="AF116" s="7">
        <v>2.1695526008709045</v>
      </c>
    </row>
    <row r="117" spans="1:32" x14ac:dyDescent="0.25">
      <c r="A117" s="6">
        <v>40969</v>
      </c>
      <c r="B117" s="7">
        <v>3.1657201195968959E-2</v>
      </c>
      <c r="C117" s="7">
        <v>7.4331433200827773E-2</v>
      </c>
      <c r="D117" s="7">
        <v>4.2696125022608136E-3</v>
      </c>
      <c r="E117" s="7">
        <v>3.661080840336825E-3</v>
      </c>
      <c r="F117" s="7">
        <v>-9.7543535179439658E-3</v>
      </c>
      <c r="G117" s="7">
        <v>-2.1616281091293649E-3</v>
      </c>
      <c r="H117" s="12">
        <v>-1</v>
      </c>
      <c r="I117" s="12">
        <v>1</v>
      </c>
      <c r="J117" s="23">
        <v>-1</v>
      </c>
      <c r="K117" s="23">
        <v>1</v>
      </c>
      <c r="L117" s="9">
        <f t="shared" si="23"/>
        <v>0</v>
      </c>
      <c r="M117" s="9">
        <f t="shared" si="16"/>
        <v>-4.2696125022608136E-3</v>
      </c>
      <c r="N117" s="9">
        <f t="shared" si="17"/>
        <v>0</v>
      </c>
      <c r="O117" s="9">
        <f t="shared" si="18"/>
        <v>3.661080840336825E-3</v>
      </c>
      <c r="P117" s="9">
        <f t="shared" si="19"/>
        <v>-9.7543535179439658E-3</v>
      </c>
      <c r="Q117" s="9">
        <f t="shared" si="20"/>
        <v>0</v>
      </c>
      <c r="R117" s="9">
        <f t="shared" si="21"/>
        <v>9.7543535179439658E-3</v>
      </c>
      <c r="S117" s="9">
        <f t="shared" si="22"/>
        <v>0</v>
      </c>
      <c r="T117" s="10">
        <f t="shared" si="26"/>
        <v>0.46925127775433395</v>
      </c>
      <c r="U117" s="10">
        <f t="shared" si="26"/>
        <v>0.21581666653487827</v>
      </c>
      <c r="V117" s="10">
        <f t="shared" si="26"/>
        <v>-8.1853201563150096E-2</v>
      </c>
      <c r="W117" s="10">
        <f t="shared" si="25"/>
        <v>0.37212402476164164</v>
      </c>
      <c r="X117" s="10">
        <f t="shared" si="25"/>
        <v>0.42834270361772603</v>
      </c>
      <c r="Y117" s="10">
        <f t="shared" si="25"/>
        <v>0.25299367900922637</v>
      </c>
      <c r="Z117" s="10">
        <f t="shared" si="25"/>
        <v>-0.42834270361772603</v>
      </c>
      <c r="AA117" s="10">
        <f t="shared" si="25"/>
        <v>-0.25299367900922637</v>
      </c>
      <c r="AB117" s="7">
        <f t="shared" si="24"/>
        <v>0.97533876748770398</v>
      </c>
      <c r="AC117" s="7">
        <v>0.84978303526100751</v>
      </c>
      <c r="AF117" s="7">
        <v>2.1613513438001659</v>
      </c>
    </row>
    <row r="118" spans="1:32" x14ac:dyDescent="0.25">
      <c r="A118" s="6">
        <v>41000</v>
      </c>
      <c r="B118" s="7">
        <v>-6.6975610043536115E-3</v>
      </c>
      <c r="C118" s="7">
        <v>-8.1276005959366626E-2</v>
      </c>
      <c r="D118" s="7">
        <v>2.2266788322080872E-2</v>
      </c>
      <c r="E118" s="7">
        <v>-5.1017262227358012E-3</v>
      </c>
      <c r="F118" s="7">
        <v>-1.856489592984403E-2</v>
      </c>
      <c r="G118" s="7">
        <v>3.2008037126986931E-2</v>
      </c>
      <c r="H118" s="12">
        <v>1</v>
      </c>
      <c r="I118" s="12">
        <v>1</v>
      </c>
      <c r="J118" s="23">
        <v>1</v>
      </c>
      <c r="K118" s="23">
        <v>1</v>
      </c>
      <c r="L118" s="9">
        <f t="shared" si="23"/>
        <v>2.2266788322080872E-2</v>
      </c>
      <c r="M118" s="9">
        <f t="shared" si="16"/>
        <v>0</v>
      </c>
      <c r="N118" s="9">
        <f t="shared" si="17"/>
        <v>5.1017262227358012E-3</v>
      </c>
      <c r="O118" s="9">
        <f t="shared" si="18"/>
        <v>0</v>
      </c>
      <c r="P118" s="9">
        <f t="shared" si="19"/>
        <v>-1.856489592984403E-2</v>
      </c>
      <c r="Q118" s="9">
        <f t="shared" si="20"/>
        <v>0</v>
      </c>
      <c r="R118" s="9">
        <f t="shared" si="21"/>
        <v>1.856489592984403E-2</v>
      </c>
      <c r="S118" s="9">
        <f t="shared" si="22"/>
        <v>0</v>
      </c>
      <c r="T118" s="10">
        <f t="shared" si="26"/>
        <v>0.49151806607641479</v>
      </c>
      <c r="U118" s="10">
        <f t="shared" si="26"/>
        <v>0.21581666653487827</v>
      </c>
      <c r="V118" s="10">
        <f t="shared" si="26"/>
        <v>-7.6751475340414294E-2</v>
      </c>
      <c r="W118" s="10">
        <f t="shared" si="25"/>
        <v>0.37212402476164164</v>
      </c>
      <c r="X118" s="10">
        <f t="shared" si="25"/>
        <v>0.40977780768788202</v>
      </c>
      <c r="Y118" s="10">
        <f t="shared" si="25"/>
        <v>0.25299367900922637</v>
      </c>
      <c r="Z118" s="10">
        <f t="shared" si="25"/>
        <v>-0.40977780768788202</v>
      </c>
      <c r="AA118" s="10">
        <f t="shared" si="25"/>
        <v>-0.25299367900922637</v>
      </c>
      <c r="AB118" s="7">
        <f t="shared" si="24"/>
        <v>1.0027072820325207</v>
      </c>
      <c r="AC118" s="7">
        <v>0.84386836634224693</v>
      </c>
      <c r="AF118" s="7">
        <v>2.1381469252881518</v>
      </c>
    </row>
    <row r="119" spans="1:32" x14ac:dyDescent="0.25">
      <c r="A119" s="6">
        <v>41030</v>
      </c>
      <c r="B119" s="7">
        <v>-6.1934980313862131E-2</v>
      </c>
      <c r="C119" s="7">
        <v>-0.11544675407236324</v>
      </c>
      <c r="D119" s="7">
        <v>-3.7958725346883613E-3</v>
      </c>
      <c r="E119" s="7">
        <v>2.9102305244142909E-2</v>
      </c>
      <c r="F119" s="7">
        <v>-2.0003078795206145E-2</v>
      </c>
      <c r="G119" s="7">
        <v>9.5497825615567713E-3</v>
      </c>
      <c r="H119" s="12">
        <v>1</v>
      </c>
      <c r="I119" s="12">
        <v>-1</v>
      </c>
      <c r="J119" s="23">
        <v>1</v>
      </c>
      <c r="K119" s="23">
        <v>-1</v>
      </c>
      <c r="L119" s="9">
        <f t="shared" si="23"/>
        <v>-3.7958725346883613E-3</v>
      </c>
      <c r="M119" s="9">
        <f t="shared" si="16"/>
        <v>0</v>
      </c>
      <c r="N119" s="9">
        <f t="shared" si="17"/>
        <v>-2.9102305244142909E-2</v>
      </c>
      <c r="O119" s="9">
        <f t="shared" si="18"/>
        <v>0</v>
      </c>
      <c r="P119" s="9">
        <f t="shared" si="19"/>
        <v>0</v>
      </c>
      <c r="Q119" s="9">
        <f t="shared" si="20"/>
        <v>2.0003078795206145E-2</v>
      </c>
      <c r="R119" s="9">
        <f t="shared" si="21"/>
        <v>0</v>
      </c>
      <c r="S119" s="9">
        <f t="shared" si="22"/>
        <v>-2.0003078795206145E-2</v>
      </c>
      <c r="T119" s="10">
        <f t="shared" si="26"/>
        <v>0.48772219354172641</v>
      </c>
      <c r="U119" s="10">
        <f t="shared" si="26"/>
        <v>0.21581666653487827</v>
      </c>
      <c r="V119" s="10">
        <f t="shared" si="26"/>
        <v>-0.1058537805845572</v>
      </c>
      <c r="W119" s="10">
        <f t="shared" si="25"/>
        <v>0.37212402476164164</v>
      </c>
      <c r="X119" s="10">
        <f t="shared" si="25"/>
        <v>0.40977780768788202</v>
      </c>
      <c r="Y119" s="10">
        <f t="shared" si="25"/>
        <v>0.2729967578044325</v>
      </c>
      <c r="Z119" s="10">
        <f t="shared" si="25"/>
        <v>-0.40977780768788202</v>
      </c>
      <c r="AA119" s="10">
        <f t="shared" si="25"/>
        <v>-0.2729967578044325</v>
      </c>
      <c r="AB119" s="7">
        <f t="shared" si="24"/>
        <v>0.96980910425368938</v>
      </c>
      <c r="AC119" s="7">
        <v>0.78272136711892559</v>
      </c>
      <c r="AF119" s="7">
        <v>2.1348016088660833</v>
      </c>
    </row>
    <row r="120" spans="1:32" x14ac:dyDescent="0.25">
      <c r="A120" s="6">
        <v>41061</v>
      </c>
      <c r="B120" s="7">
        <v>3.9779032348415816E-2</v>
      </c>
      <c r="C120" s="7">
        <v>1.7454644709188637E-2</v>
      </c>
      <c r="D120" s="7">
        <v>2.7260132793923905E-2</v>
      </c>
      <c r="E120" s="7">
        <v>-1.1988335207081851E-2</v>
      </c>
      <c r="F120" s="7">
        <v>4.4016722021644897E-3</v>
      </c>
      <c r="G120" s="7">
        <v>-1.6604999560539613E-2</v>
      </c>
      <c r="H120" s="12">
        <v>-1</v>
      </c>
      <c r="I120" s="12">
        <v>-1</v>
      </c>
      <c r="J120" s="23">
        <v>-1</v>
      </c>
      <c r="K120" s="23">
        <v>-1</v>
      </c>
      <c r="L120" s="9">
        <f t="shared" si="23"/>
        <v>0</v>
      </c>
      <c r="M120" s="9">
        <f t="shared" si="16"/>
        <v>-2.7260132793923905E-2</v>
      </c>
      <c r="N120" s="9">
        <f t="shared" si="17"/>
        <v>0</v>
      </c>
      <c r="O120" s="9">
        <f t="shared" si="18"/>
        <v>-1.1988335207081851E-2</v>
      </c>
      <c r="P120" s="9">
        <f t="shared" si="19"/>
        <v>0</v>
      </c>
      <c r="Q120" s="9">
        <f t="shared" si="20"/>
        <v>-4.4016722021644897E-3</v>
      </c>
      <c r="R120" s="9">
        <f t="shared" si="21"/>
        <v>0</v>
      </c>
      <c r="S120" s="9">
        <f t="shared" si="22"/>
        <v>4.4016722021644897E-3</v>
      </c>
      <c r="T120" s="10">
        <f t="shared" si="26"/>
        <v>0.48772219354172641</v>
      </c>
      <c r="U120" s="10">
        <f t="shared" si="26"/>
        <v>0.18855653374095438</v>
      </c>
      <c r="V120" s="10">
        <f t="shared" si="26"/>
        <v>-0.1058537805845572</v>
      </c>
      <c r="W120" s="10">
        <f t="shared" si="25"/>
        <v>0.36013568955455977</v>
      </c>
      <c r="X120" s="10">
        <f t="shared" si="25"/>
        <v>0.40977780768788202</v>
      </c>
      <c r="Y120" s="10">
        <f t="shared" si="25"/>
        <v>0.26859508560226802</v>
      </c>
      <c r="Z120" s="10">
        <f t="shared" si="25"/>
        <v>-0.40977780768788202</v>
      </c>
      <c r="AA120" s="10">
        <f t="shared" si="25"/>
        <v>-0.26859508560226802</v>
      </c>
      <c r="AB120" s="7">
        <f t="shared" si="24"/>
        <v>0.93056063625268359</v>
      </c>
      <c r="AC120" s="7">
        <v>0.82423457221858953</v>
      </c>
      <c r="AF120" s="7">
        <v>2.0745464691023736</v>
      </c>
    </row>
    <row r="121" spans="1:32" x14ac:dyDescent="0.25">
      <c r="A121" s="6">
        <v>41091</v>
      </c>
      <c r="B121" s="7">
        <v>1.1760430159140101E-2</v>
      </c>
      <c r="C121" s="7">
        <v>-5.3279894770597469E-2</v>
      </c>
      <c r="D121" s="7">
        <v>1.9209046741155276E-2</v>
      </c>
      <c r="E121" s="7">
        <v>-8.3687163696615566E-3</v>
      </c>
      <c r="F121" s="7">
        <v>-5.7472773109411967E-3</v>
      </c>
      <c r="G121" s="7">
        <v>2.5673379215753946E-2</v>
      </c>
      <c r="H121" s="12">
        <v>1</v>
      </c>
      <c r="I121" s="12">
        <v>1</v>
      </c>
      <c r="J121" s="23">
        <v>1</v>
      </c>
      <c r="K121" s="23">
        <v>1</v>
      </c>
      <c r="L121" s="9">
        <f t="shared" si="23"/>
        <v>1.9209046741155276E-2</v>
      </c>
      <c r="M121" s="9">
        <f t="shared" si="16"/>
        <v>0</v>
      </c>
      <c r="N121" s="9">
        <f t="shared" si="17"/>
        <v>8.3687163696615566E-3</v>
      </c>
      <c r="O121" s="9">
        <f t="shared" si="18"/>
        <v>0</v>
      </c>
      <c r="P121" s="9">
        <f t="shared" si="19"/>
        <v>-5.7472773109411967E-3</v>
      </c>
      <c r="Q121" s="9">
        <f t="shared" si="20"/>
        <v>0</v>
      </c>
      <c r="R121" s="9">
        <f t="shared" si="21"/>
        <v>5.7472773109411967E-3</v>
      </c>
      <c r="S121" s="9">
        <f t="shared" si="22"/>
        <v>0</v>
      </c>
      <c r="T121" s="10">
        <f t="shared" si="26"/>
        <v>0.50693124028288172</v>
      </c>
      <c r="U121" s="10">
        <f t="shared" si="26"/>
        <v>0.18855653374095438</v>
      </c>
      <c r="V121" s="10">
        <f t="shared" si="26"/>
        <v>-9.7485064214895639E-2</v>
      </c>
      <c r="W121" s="10">
        <f t="shared" si="25"/>
        <v>0.36013568955455977</v>
      </c>
      <c r="X121" s="10">
        <f t="shared" si="25"/>
        <v>0.40403053037694081</v>
      </c>
      <c r="Y121" s="10">
        <f t="shared" si="25"/>
        <v>0.26859508560226802</v>
      </c>
      <c r="Z121" s="10">
        <f t="shared" si="25"/>
        <v>-0.40403053037694081</v>
      </c>
      <c r="AA121" s="10">
        <f t="shared" si="25"/>
        <v>-0.26859508560226802</v>
      </c>
      <c r="AB121" s="7">
        <f t="shared" si="24"/>
        <v>0.95813839936350043</v>
      </c>
      <c r="AC121" s="7">
        <v>0.83678097677323093</v>
      </c>
      <c r="AF121" s="7">
        <v>2.0707035756864953</v>
      </c>
    </row>
    <row r="122" spans="1:32" x14ac:dyDescent="0.25">
      <c r="A122" s="6">
        <v>41122</v>
      </c>
      <c r="B122" s="7">
        <v>2.4743700121654916E-2</v>
      </c>
      <c r="C122" s="7">
        <v>8.4889605268528373E-2</v>
      </c>
      <c r="D122" s="7">
        <v>-4.2413178444685486E-3</v>
      </c>
      <c r="E122" s="7">
        <v>4.2627540726792826E-2</v>
      </c>
      <c r="F122" s="7">
        <v>1.8775498094816039E-2</v>
      </c>
      <c r="G122" s="7">
        <v>-2.81850807339276E-2</v>
      </c>
      <c r="H122" s="12">
        <v>-1</v>
      </c>
      <c r="I122" s="12">
        <v>-1</v>
      </c>
      <c r="J122" s="23">
        <v>-1</v>
      </c>
      <c r="K122" s="23">
        <v>-1</v>
      </c>
      <c r="L122" s="9">
        <f t="shared" si="23"/>
        <v>0</v>
      </c>
      <c r="M122" s="9">
        <f t="shared" si="16"/>
        <v>4.2413178444685486E-3</v>
      </c>
      <c r="N122" s="9">
        <f t="shared" si="17"/>
        <v>0</v>
      </c>
      <c r="O122" s="9">
        <f t="shared" si="18"/>
        <v>4.2627540726792826E-2</v>
      </c>
      <c r="P122" s="9">
        <f t="shared" si="19"/>
        <v>0</v>
      </c>
      <c r="Q122" s="9">
        <f t="shared" si="20"/>
        <v>-1.8775498094816039E-2</v>
      </c>
      <c r="R122" s="9">
        <f t="shared" si="21"/>
        <v>0</v>
      </c>
      <c r="S122" s="9">
        <f t="shared" si="22"/>
        <v>1.8775498094816039E-2</v>
      </c>
      <c r="T122" s="10">
        <f t="shared" si="26"/>
        <v>0.50693124028288172</v>
      </c>
      <c r="U122" s="10">
        <f t="shared" si="26"/>
        <v>0.19279785158542292</v>
      </c>
      <c r="V122" s="10">
        <f t="shared" si="26"/>
        <v>-9.7485064214895639E-2</v>
      </c>
      <c r="W122" s="10">
        <f t="shared" si="25"/>
        <v>0.40276323028135258</v>
      </c>
      <c r="X122" s="10">
        <f t="shared" si="25"/>
        <v>0.40403053037694081</v>
      </c>
      <c r="Y122" s="10">
        <f t="shared" si="25"/>
        <v>0.24981958750745198</v>
      </c>
      <c r="Z122" s="10">
        <f t="shared" si="25"/>
        <v>-0.40403053037694081</v>
      </c>
      <c r="AA122" s="10">
        <f t="shared" si="25"/>
        <v>-0.24981958750745198</v>
      </c>
      <c r="AB122" s="7">
        <f t="shared" si="24"/>
        <v>1.0050072579347618</v>
      </c>
      <c r="AC122" s="7">
        <v>0.86188412478712573</v>
      </c>
      <c r="AF122" s="7">
        <v>2.0706118554290129</v>
      </c>
    </row>
    <row r="123" spans="1:32" x14ac:dyDescent="0.25">
      <c r="A123" s="6">
        <v>41153</v>
      </c>
      <c r="B123" s="7">
        <v>2.5035320071267811E-2</v>
      </c>
      <c r="C123" s="7">
        <v>7.6233389647209854E-2</v>
      </c>
      <c r="D123" s="7">
        <v>-1.1601137605010026E-2</v>
      </c>
      <c r="E123" s="7">
        <v>1.3942539917190222E-2</v>
      </c>
      <c r="F123" s="7">
        <v>1.6510877464287747E-2</v>
      </c>
      <c r="G123" s="7">
        <v>-2.4768830726444532E-2</v>
      </c>
      <c r="H123" s="12">
        <v>-1</v>
      </c>
      <c r="I123" s="12">
        <v>1</v>
      </c>
      <c r="J123" s="23">
        <v>-1</v>
      </c>
      <c r="K123" s="23">
        <v>1</v>
      </c>
      <c r="L123" s="9">
        <f t="shared" si="23"/>
        <v>0</v>
      </c>
      <c r="M123" s="9">
        <f t="shared" si="16"/>
        <v>1.1601137605010026E-2</v>
      </c>
      <c r="N123" s="9">
        <f t="shared" si="17"/>
        <v>0</v>
      </c>
      <c r="O123" s="9">
        <f t="shared" si="18"/>
        <v>1.3942539917190222E-2</v>
      </c>
      <c r="P123" s="9">
        <f t="shared" si="19"/>
        <v>1.6510877464287747E-2</v>
      </c>
      <c r="Q123" s="9">
        <f t="shared" si="20"/>
        <v>0</v>
      </c>
      <c r="R123" s="9">
        <f t="shared" si="21"/>
        <v>-1.6510877464287747E-2</v>
      </c>
      <c r="S123" s="9">
        <f t="shared" si="22"/>
        <v>0</v>
      </c>
      <c r="T123" s="10">
        <f t="shared" si="26"/>
        <v>0.50693124028288172</v>
      </c>
      <c r="U123" s="10">
        <f t="shared" si="26"/>
        <v>0.20439898919043295</v>
      </c>
      <c r="V123" s="10">
        <f t="shared" si="26"/>
        <v>-9.7485064214895639E-2</v>
      </c>
      <c r="W123" s="10">
        <f t="shared" si="25"/>
        <v>0.41670577019854282</v>
      </c>
      <c r="X123" s="10">
        <f t="shared" si="25"/>
        <v>0.42054140784122857</v>
      </c>
      <c r="Y123" s="10">
        <f t="shared" si="25"/>
        <v>0.24981958750745198</v>
      </c>
      <c r="Z123" s="10">
        <f t="shared" si="25"/>
        <v>-0.42054140784122857</v>
      </c>
      <c r="AA123" s="10">
        <f t="shared" si="25"/>
        <v>-0.24981958750745198</v>
      </c>
      <c r="AB123" s="7">
        <f t="shared" si="24"/>
        <v>1.030550935456962</v>
      </c>
      <c r="AC123" s="7">
        <v>0.88741557660100889</v>
      </c>
      <c r="AF123" s="7">
        <v>2.1374352411419455</v>
      </c>
    </row>
    <row r="124" spans="1:32" x14ac:dyDescent="0.25">
      <c r="A124" s="6">
        <v>41183</v>
      </c>
      <c r="B124" s="7">
        <v>-1.8366171419647966E-2</v>
      </c>
      <c r="C124" s="7">
        <v>1.4033698405142916E-2</v>
      </c>
      <c r="D124" s="7">
        <v>-1.4329111832685686E-2</v>
      </c>
      <c r="E124" s="7">
        <v>1.32200099464526E-2</v>
      </c>
      <c r="F124" s="7">
        <v>1.4959708941337522E-2</v>
      </c>
      <c r="G124" s="7">
        <v>-2.2929085591977691E-2</v>
      </c>
      <c r="H124" s="12">
        <v>-1</v>
      </c>
      <c r="I124" s="12">
        <v>1</v>
      </c>
      <c r="J124" s="23">
        <v>-1</v>
      </c>
      <c r="K124" s="23">
        <v>1</v>
      </c>
      <c r="L124" s="9">
        <f t="shared" si="23"/>
        <v>0</v>
      </c>
      <c r="M124" s="9">
        <f t="shared" si="16"/>
        <v>1.4329111832685686E-2</v>
      </c>
      <c r="N124" s="9">
        <f t="shared" si="17"/>
        <v>0</v>
      </c>
      <c r="O124" s="9">
        <f t="shared" si="18"/>
        <v>1.32200099464526E-2</v>
      </c>
      <c r="P124" s="9">
        <f t="shared" si="19"/>
        <v>1.4959708941337522E-2</v>
      </c>
      <c r="Q124" s="9">
        <f t="shared" si="20"/>
        <v>0</v>
      </c>
      <c r="R124" s="9">
        <f t="shared" si="21"/>
        <v>-1.4959708941337522E-2</v>
      </c>
      <c r="S124" s="9">
        <f t="shared" si="22"/>
        <v>0</v>
      </c>
      <c r="T124" s="10">
        <f t="shared" si="26"/>
        <v>0.50693124028288172</v>
      </c>
      <c r="U124" s="10">
        <f t="shared" si="26"/>
        <v>0.21872810102311863</v>
      </c>
      <c r="V124" s="10">
        <f t="shared" si="26"/>
        <v>-9.7485064214895639E-2</v>
      </c>
      <c r="W124" s="10">
        <f t="shared" si="25"/>
        <v>0.42992578014499544</v>
      </c>
      <c r="X124" s="10">
        <f t="shared" si="25"/>
        <v>0.43550111678256609</v>
      </c>
      <c r="Y124" s="10">
        <f t="shared" si="25"/>
        <v>0.24981958750745198</v>
      </c>
      <c r="Z124" s="10">
        <f t="shared" si="25"/>
        <v>-0.43550111678256609</v>
      </c>
      <c r="AA124" s="10">
        <f t="shared" si="25"/>
        <v>-0.24981958750745198</v>
      </c>
      <c r="AB124" s="7">
        <f t="shared" si="24"/>
        <v>1.0581000572361003</v>
      </c>
      <c r="AC124" s="7">
        <v>0.86951425739555355</v>
      </c>
      <c r="AF124" s="7">
        <v>2.2028731574543992</v>
      </c>
    </row>
    <row r="125" spans="1:32" x14ac:dyDescent="0.25">
      <c r="A125" s="6">
        <v>41214</v>
      </c>
      <c r="B125" s="7">
        <v>5.6436240375966973E-3</v>
      </c>
      <c r="C125" s="7">
        <v>-2.1364392975294761E-2</v>
      </c>
      <c r="D125" s="7">
        <v>1.9176554052706411E-2</v>
      </c>
      <c r="E125" s="7">
        <v>3.6933538055764388E-3</v>
      </c>
      <c r="F125" s="7">
        <v>-1.1598737326005268E-2</v>
      </c>
      <c r="G125" s="7">
        <v>5.1734979782019058E-3</v>
      </c>
      <c r="H125" s="12">
        <v>1</v>
      </c>
      <c r="I125" s="12">
        <v>1</v>
      </c>
      <c r="J125" s="23">
        <v>1</v>
      </c>
      <c r="K125" s="23">
        <v>1</v>
      </c>
      <c r="L125" s="9">
        <f t="shared" si="23"/>
        <v>1.9176554052706411E-2</v>
      </c>
      <c r="M125" s="9">
        <f t="shared" si="16"/>
        <v>0</v>
      </c>
      <c r="N125" s="9">
        <f t="shared" si="17"/>
        <v>-3.6933538055764388E-3</v>
      </c>
      <c r="O125" s="9">
        <f t="shared" si="18"/>
        <v>0</v>
      </c>
      <c r="P125" s="9">
        <f t="shared" si="19"/>
        <v>-1.1598737326005268E-2</v>
      </c>
      <c r="Q125" s="9">
        <f t="shared" si="20"/>
        <v>0</v>
      </c>
      <c r="R125" s="9">
        <f t="shared" si="21"/>
        <v>1.1598737326005268E-2</v>
      </c>
      <c r="S125" s="9">
        <f t="shared" si="22"/>
        <v>0</v>
      </c>
      <c r="T125" s="10">
        <f t="shared" si="26"/>
        <v>0.52610779433558819</v>
      </c>
      <c r="U125" s="10">
        <f t="shared" si="26"/>
        <v>0.21872810102311863</v>
      </c>
      <c r="V125" s="10">
        <f t="shared" si="26"/>
        <v>-0.10117841802047207</v>
      </c>
      <c r="W125" s="10">
        <f t="shared" si="25"/>
        <v>0.42992578014499544</v>
      </c>
      <c r="X125" s="10">
        <f t="shared" si="25"/>
        <v>0.42390237945656084</v>
      </c>
      <c r="Y125" s="10">
        <f t="shared" si="25"/>
        <v>0.24981958750745198</v>
      </c>
      <c r="Z125" s="10">
        <f t="shared" si="25"/>
        <v>-0.42390237945656084</v>
      </c>
      <c r="AA125" s="10">
        <f t="shared" si="25"/>
        <v>-0.24981958750745198</v>
      </c>
      <c r="AB125" s="7">
        <f t="shared" si="24"/>
        <v>1.0735832574832302</v>
      </c>
      <c r="AC125" s="7">
        <v>0.87608462368905504</v>
      </c>
      <c r="AF125" s="7">
        <v>2.201584122397322</v>
      </c>
    </row>
    <row r="126" spans="1:32" x14ac:dyDescent="0.25">
      <c r="A126" s="6">
        <v>41244</v>
      </c>
      <c r="B126" s="7">
        <v>8.8949475774528775E-3</v>
      </c>
      <c r="C126" s="7">
        <v>3.0158788094618787E-2</v>
      </c>
      <c r="D126" s="7">
        <v>-2.6645609742020418E-3</v>
      </c>
      <c r="E126" s="7">
        <v>-6.5922084497466657E-3</v>
      </c>
      <c r="F126" s="7">
        <v>1.827475613518047E-3</v>
      </c>
      <c r="G126" s="7">
        <v>-9.2406043706672741E-4</v>
      </c>
      <c r="H126" s="12">
        <v>-1</v>
      </c>
      <c r="I126" s="12">
        <v>-1</v>
      </c>
      <c r="J126" s="23">
        <v>-1</v>
      </c>
      <c r="K126" s="23">
        <v>-1</v>
      </c>
      <c r="L126" s="9">
        <f t="shared" si="23"/>
        <v>0</v>
      </c>
      <c r="M126" s="9">
        <f t="shared" si="16"/>
        <v>2.6645609742020418E-3</v>
      </c>
      <c r="N126" s="9">
        <f t="shared" si="17"/>
        <v>0</v>
      </c>
      <c r="O126" s="9">
        <f t="shared" si="18"/>
        <v>-6.5922084497466657E-3</v>
      </c>
      <c r="P126" s="9">
        <f t="shared" si="19"/>
        <v>0</v>
      </c>
      <c r="Q126" s="9">
        <f t="shared" si="20"/>
        <v>-1.827475613518047E-3</v>
      </c>
      <c r="R126" s="9">
        <f t="shared" si="21"/>
        <v>0</v>
      </c>
      <c r="S126" s="9">
        <f t="shared" si="22"/>
        <v>1.827475613518047E-3</v>
      </c>
      <c r="T126" s="10">
        <f t="shared" si="26"/>
        <v>0.52610779433558819</v>
      </c>
      <c r="U126" s="10">
        <f t="shared" si="26"/>
        <v>0.22139266199732066</v>
      </c>
      <c r="V126" s="10">
        <f t="shared" si="26"/>
        <v>-0.10117841802047207</v>
      </c>
      <c r="W126" s="10">
        <f t="shared" si="25"/>
        <v>0.42333357169524877</v>
      </c>
      <c r="X126" s="10">
        <f t="shared" si="25"/>
        <v>0.42390237945656084</v>
      </c>
      <c r="Y126" s="10">
        <f t="shared" si="25"/>
        <v>0.24799211189393394</v>
      </c>
      <c r="Z126" s="10">
        <f t="shared" si="25"/>
        <v>-0.42390237945656084</v>
      </c>
      <c r="AA126" s="10">
        <f t="shared" si="25"/>
        <v>-0.24799211189393394</v>
      </c>
      <c r="AB126" s="7">
        <f t="shared" si="24"/>
        <v>1.0696556100076857</v>
      </c>
      <c r="AC126" s="7">
        <v>0.88548569751078399</v>
      </c>
      <c r="AF126" s="7">
        <v>2.1949049388711925</v>
      </c>
    </row>
    <row r="127" spans="1:32" x14ac:dyDescent="0.25">
      <c r="A127" s="6">
        <v>41275</v>
      </c>
      <c r="B127" s="7">
        <v>4.9922956647863635E-2</v>
      </c>
      <c r="C127" s="7">
        <v>5.6752336255235368E-2</v>
      </c>
      <c r="D127" s="7">
        <v>2.2065633821715322E-3</v>
      </c>
      <c r="E127" s="7">
        <v>-2.3336161633466711E-2</v>
      </c>
      <c r="F127" s="7">
        <v>2.1809195648912344E-2</v>
      </c>
      <c r="G127" s="7">
        <v>-1.6223186609208844E-2</v>
      </c>
      <c r="H127" s="12">
        <v>-1</v>
      </c>
      <c r="I127" s="12">
        <v>1</v>
      </c>
      <c r="J127" s="23">
        <v>-1</v>
      </c>
      <c r="K127" s="23">
        <v>1</v>
      </c>
      <c r="L127" s="9">
        <f t="shared" si="23"/>
        <v>0</v>
      </c>
      <c r="M127" s="9">
        <f t="shared" si="16"/>
        <v>-2.2065633821715322E-3</v>
      </c>
      <c r="N127" s="9">
        <f t="shared" si="17"/>
        <v>0</v>
      </c>
      <c r="O127" s="9">
        <f t="shared" si="18"/>
        <v>-2.3336161633466711E-2</v>
      </c>
      <c r="P127" s="9">
        <f t="shared" si="19"/>
        <v>2.1809195648912344E-2</v>
      </c>
      <c r="Q127" s="9">
        <f t="shared" si="20"/>
        <v>0</v>
      </c>
      <c r="R127" s="9">
        <f t="shared" si="21"/>
        <v>-2.1809195648912344E-2</v>
      </c>
      <c r="S127" s="9">
        <f t="shared" si="22"/>
        <v>0</v>
      </c>
      <c r="T127" s="10">
        <f t="shared" si="26"/>
        <v>0.52610779433558819</v>
      </c>
      <c r="U127" s="10">
        <f t="shared" si="26"/>
        <v>0.21918609861514912</v>
      </c>
      <c r="V127" s="10">
        <f t="shared" si="26"/>
        <v>-0.10117841802047207</v>
      </c>
      <c r="W127" s="10">
        <f t="shared" si="25"/>
        <v>0.39999741006178208</v>
      </c>
      <c r="X127" s="10">
        <f t="shared" si="25"/>
        <v>0.44571157510547321</v>
      </c>
      <c r="Y127" s="10">
        <f t="shared" si="25"/>
        <v>0.24799211189393394</v>
      </c>
      <c r="Z127" s="10">
        <f t="shared" si="25"/>
        <v>-0.44571157510547321</v>
      </c>
      <c r="AA127" s="10">
        <f t="shared" si="25"/>
        <v>-0.24799211189393394</v>
      </c>
      <c r="AB127" s="7">
        <f t="shared" si="24"/>
        <v>1.0441128849920476</v>
      </c>
      <c r="AC127" s="7">
        <v>0.93586081319784464</v>
      </c>
      <c r="AF127" s="7">
        <v>2.2073945961136756</v>
      </c>
    </row>
    <row r="128" spans="1:32" x14ac:dyDescent="0.25">
      <c r="A128" s="6">
        <v>41306</v>
      </c>
      <c r="B128" s="7">
        <v>1.2678190377662671E-2</v>
      </c>
      <c r="C128" s="7">
        <v>1.4779559686182501E-2</v>
      </c>
      <c r="D128" s="7">
        <v>-1.8452529120968008E-3</v>
      </c>
      <c r="E128" s="7">
        <v>1.2567078769891262E-2</v>
      </c>
      <c r="F128" s="7">
        <v>8.3821187481050424E-3</v>
      </c>
      <c r="G128" s="7">
        <v>-3.3375634364996307E-3</v>
      </c>
      <c r="H128" s="12">
        <v>-1</v>
      </c>
      <c r="I128" s="12">
        <v>1</v>
      </c>
      <c r="J128" s="23">
        <v>-1</v>
      </c>
      <c r="K128" s="23">
        <v>1</v>
      </c>
      <c r="L128" s="9">
        <f t="shared" si="23"/>
        <v>0</v>
      </c>
      <c r="M128" s="9">
        <f t="shared" si="16"/>
        <v>1.8452529120968008E-3</v>
      </c>
      <c r="N128" s="9">
        <f t="shared" si="17"/>
        <v>0</v>
      </c>
      <c r="O128" s="9">
        <f t="shared" si="18"/>
        <v>1.2567078769891262E-2</v>
      </c>
      <c r="P128" s="9">
        <f t="shared" si="19"/>
        <v>8.3821187481050424E-3</v>
      </c>
      <c r="Q128" s="9">
        <f t="shared" si="20"/>
        <v>0</v>
      </c>
      <c r="R128" s="9">
        <f t="shared" si="21"/>
        <v>-8.3821187481050424E-3</v>
      </c>
      <c r="S128" s="9">
        <f t="shared" si="22"/>
        <v>0</v>
      </c>
      <c r="T128" s="10">
        <f t="shared" si="26"/>
        <v>0.52610779433558819</v>
      </c>
      <c r="U128" s="10">
        <f t="shared" si="26"/>
        <v>0.22103135152724593</v>
      </c>
      <c r="V128" s="10">
        <f t="shared" si="26"/>
        <v>-0.10117841802047207</v>
      </c>
      <c r="W128" s="10">
        <f t="shared" si="25"/>
        <v>0.41256448883167335</v>
      </c>
      <c r="X128" s="10">
        <f t="shared" si="25"/>
        <v>0.45409369385357823</v>
      </c>
      <c r="Y128" s="10">
        <f t="shared" si="25"/>
        <v>0.24799211189393394</v>
      </c>
      <c r="Z128" s="10">
        <f t="shared" si="25"/>
        <v>-0.45409369385357823</v>
      </c>
      <c r="AA128" s="10">
        <f t="shared" si="25"/>
        <v>-0.24799211189393394</v>
      </c>
      <c r="AB128" s="7">
        <f t="shared" si="24"/>
        <v>1.0585252166740355</v>
      </c>
      <c r="AC128" s="7">
        <v>0.94918508406489688</v>
      </c>
      <c r="AF128" s="7">
        <v>2.2335266099802684</v>
      </c>
    </row>
    <row r="129" spans="1:32" x14ac:dyDescent="0.25">
      <c r="A129" s="6">
        <v>41334</v>
      </c>
      <c r="B129" s="7">
        <v>3.7267814819473839E-2</v>
      </c>
      <c r="C129" s="7">
        <v>3.1043190208220332E-2</v>
      </c>
      <c r="D129" s="7">
        <v>1.4853967495249289E-2</v>
      </c>
      <c r="E129" s="7">
        <v>4.4263857643941909E-3</v>
      </c>
      <c r="F129" s="7">
        <v>2.0693186775401946E-2</v>
      </c>
      <c r="G129" s="7">
        <v>-1.9606992574929406E-2</v>
      </c>
      <c r="H129" s="12">
        <v>-1</v>
      </c>
      <c r="I129" s="12">
        <v>1</v>
      </c>
      <c r="J129" s="23">
        <v>-1</v>
      </c>
      <c r="K129" s="23">
        <v>1</v>
      </c>
      <c r="L129" s="9">
        <f t="shared" si="23"/>
        <v>0</v>
      </c>
      <c r="M129" s="9">
        <f t="shared" si="16"/>
        <v>-1.4853967495249289E-2</v>
      </c>
      <c r="N129" s="9">
        <f t="shared" si="17"/>
        <v>0</v>
      </c>
      <c r="O129" s="9">
        <f t="shared" si="18"/>
        <v>4.4263857643941909E-3</v>
      </c>
      <c r="P129" s="9">
        <f t="shared" si="19"/>
        <v>2.0693186775401946E-2</v>
      </c>
      <c r="Q129" s="9">
        <f t="shared" si="20"/>
        <v>0</v>
      </c>
      <c r="R129" s="9">
        <f t="shared" si="21"/>
        <v>-2.0693186775401946E-2</v>
      </c>
      <c r="S129" s="9">
        <f t="shared" si="22"/>
        <v>0</v>
      </c>
      <c r="T129" s="10">
        <f t="shared" si="26"/>
        <v>0.52610779433558819</v>
      </c>
      <c r="U129" s="10">
        <f t="shared" si="26"/>
        <v>0.20617738403199665</v>
      </c>
      <c r="V129" s="10">
        <f t="shared" si="26"/>
        <v>-0.10117841802047207</v>
      </c>
      <c r="W129" s="10">
        <f t="shared" si="25"/>
        <v>0.41699087459606754</v>
      </c>
      <c r="X129" s="10">
        <f t="shared" si="25"/>
        <v>0.47478688062898017</v>
      </c>
      <c r="Y129" s="10">
        <f t="shared" si="25"/>
        <v>0.24799211189393394</v>
      </c>
      <c r="Z129" s="10">
        <f t="shared" si="25"/>
        <v>-0.47478688062898017</v>
      </c>
      <c r="AA129" s="10">
        <f t="shared" si="25"/>
        <v>-0.24799211189393394</v>
      </c>
      <c r="AB129" s="7">
        <f t="shared" si="24"/>
        <v>1.0480976349431805</v>
      </c>
      <c r="AC129" s="7">
        <v>0.98670623069497021</v>
      </c>
      <c r="AF129" s="7">
        <v>2.2633992075997447</v>
      </c>
    </row>
    <row r="130" spans="1:32" x14ac:dyDescent="0.25">
      <c r="A130" s="6">
        <v>41365</v>
      </c>
      <c r="B130" s="7">
        <v>1.9030244935242618E-2</v>
      </c>
      <c r="C130" s="7">
        <v>-5.194430551878669E-2</v>
      </c>
      <c r="D130" s="7">
        <v>2.6654525547146174E-2</v>
      </c>
      <c r="E130" s="7">
        <v>1.4646363612147695E-3</v>
      </c>
      <c r="F130" s="7">
        <v>-9.6847429248380166E-3</v>
      </c>
      <c r="G130" s="7">
        <v>4.4238386904684776E-2</v>
      </c>
      <c r="H130" s="12">
        <v>1</v>
      </c>
      <c r="I130" s="12">
        <v>1</v>
      </c>
      <c r="J130" s="23">
        <v>1</v>
      </c>
      <c r="K130" s="23">
        <v>1</v>
      </c>
      <c r="L130" s="9">
        <f t="shared" si="23"/>
        <v>2.6654525547146174E-2</v>
      </c>
      <c r="M130" s="9">
        <f t="shared" si="16"/>
        <v>0</v>
      </c>
      <c r="N130" s="9">
        <f t="shared" si="17"/>
        <v>-1.4646363612147695E-3</v>
      </c>
      <c r="O130" s="9">
        <f t="shared" si="18"/>
        <v>0</v>
      </c>
      <c r="P130" s="9">
        <f t="shared" si="19"/>
        <v>-9.6847429248380166E-3</v>
      </c>
      <c r="Q130" s="9">
        <f t="shared" si="20"/>
        <v>0</v>
      </c>
      <c r="R130" s="9">
        <f t="shared" si="21"/>
        <v>9.6847429248380166E-3</v>
      </c>
      <c r="S130" s="9">
        <f t="shared" si="22"/>
        <v>0</v>
      </c>
      <c r="T130" s="10">
        <f t="shared" si="26"/>
        <v>0.55276231988273439</v>
      </c>
      <c r="U130" s="10">
        <f t="shared" si="26"/>
        <v>0.20617738403199665</v>
      </c>
      <c r="V130" s="10">
        <f t="shared" si="26"/>
        <v>-0.10264305438168685</v>
      </c>
      <c r="W130" s="10">
        <f t="shared" si="25"/>
        <v>0.41699087459606754</v>
      </c>
      <c r="X130" s="10">
        <f t="shared" si="25"/>
        <v>0.46510213770414216</v>
      </c>
      <c r="Y130" s="10">
        <f t="shared" si="25"/>
        <v>0.24799211189393394</v>
      </c>
      <c r="Z130" s="10">
        <f t="shared" si="25"/>
        <v>-0.46510213770414216</v>
      </c>
      <c r="AA130" s="10">
        <f t="shared" si="25"/>
        <v>-0.24799211189393394</v>
      </c>
      <c r="AB130" s="7">
        <f t="shared" si="24"/>
        <v>1.073287524129112</v>
      </c>
      <c r="AC130" s="7">
        <v>1.0065809434769011</v>
      </c>
      <c r="AF130" s="7">
        <v>2.2346659669561535</v>
      </c>
    </row>
    <row r="131" spans="1:32" x14ac:dyDescent="0.25">
      <c r="A131" s="6">
        <v>41395</v>
      </c>
      <c r="B131" s="7">
        <v>2.3335496472425946E-2</v>
      </c>
      <c r="C131" s="7">
        <v>8.6654437978827673E-2</v>
      </c>
      <c r="D131" s="7">
        <v>-2.2504156813585439E-2</v>
      </c>
      <c r="E131" s="7">
        <v>-2.9188843619167491E-2</v>
      </c>
      <c r="F131" s="7">
        <v>1.8121498020384631E-2</v>
      </c>
      <c r="G131" s="7">
        <v>-2.1317605440437412E-2</v>
      </c>
      <c r="H131" s="12">
        <v>-1</v>
      </c>
      <c r="I131" s="12">
        <v>-1</v>
      </c>
      <c r="J131" s="23">
        <v>-1</v>
      </c>
      <c r="K131" s="23">
        <v>-1</v>
      </c>
      <c r="L131" s="9">
        <f t="shared" si="23"/>
        <v>0</v>
      </c>
      <c r="M131" s="9">
        <f t="shared" ref="M131:M194" si="27">IF(H131=-1,-D131,0)</f>
        <v>2.2504156813585439E-2</v>
      </c>
      <c r="N131" s="9">
        <f t="shared" ref="N131:N194" si="28">IF(H131=1,-E131,0)</f>
        <v>0</v>
      </c>
      <c r="O131" s="9">
        <f t="shared" ref="O131:O194" si="29">IF(H131=-1,E131,0)</f>
        <v>-2.9188843619167491E-2</v>
      </c>
      <c r="P131" s="9">
        <f t="shared" ref="P131:P194" si="30">IF(I131=1,F131,0)</f>
        <v>0</v>
      </c>
      <c r="Q131" s="9">
        <f t="shared" ref="Q131:Q194" si="31">IF($I131=-1,-$F131,0)</f>
        <v>-1.8121498020384631E-2</v>
      </c>
      <c r="R131" s="9">
        <f t="shared" ref="R131:R194" si="32">IF($I131=1,-$F131,0)</f>
        <v>0</v>
      </c>
      <c r="S131" s="9">
        <f t="shared" ref="S131:S194" si="33">IF($I131=-1,$F131,0)</f>
        <v>1.8121498020384631E-2</v>
      </c>
      <c r="T131" s="10">
        <f t="shared" si="26"/>
        <v>0.55276231988273439</v>
      </c>
      <c r="U131" s="10">
        <f t="shared" si="26"/>
        <v>0.22868154084558209</v>
      </c>
      <c r="V131" s="10">
        <f t="shared" si="26"/>
        <v>-0.10264305438168685</v>
      </c>
      <c r="W131" s="10">
        <f t="shared" si="25"/>
        <v>0.38780203097690003</v>
      </c>
      <c r="X131" s="10">
        <f t="shared" si="25"/>
        <v>0.46510213770414216</v>
      </c>
      <c r="Y131" s="10">
        <f t="shared" si="25"/>
        <v>0.22987061387354932</v>
      </c>
      <c r="Z131" s="10">
        <f t="shared" si="25"/>
        <v>-0.46510213770414216</v>
      </c>
      <c r="AA131" s="10">
        <f t="shared" si="25"/>
        <v>-0.22987061387354932</v>
      </c>
      <c r="AB131" s="7">
        <f t="shared" si="24"/>
        <v>1.0666028373235299</v>
      </c>
      <c r="AC131" s="7">
        <v>1.030392622981529</v>
      </c>
      <c r="AF131" s="7">
        <v>2.1885421766897495</v>
      </c>
    </row>
    <row r="132" spans="1:32" x14ac:dyDescent="0.25">
      <c r="A132" s="6">
        <v>41426</v>
      </c>
      <c r="B132" s="7">
        <v>-1.3434459342048375E-2</v>
      </c>
      <c r="C132" s="7">
        <v>3.0018815692336921E-2</v>
      </c>
      <c r="D132" s="7">
        <v>8.4509075095197637E-3</v>
      </c>
      <c r="E132" s="7">
        <v>1.864379831240106E-2</v>
      </c>
      <c r="F132" s="7">
        <v>8.2257846729030561E-3</v>
      </c>
      <c r="G132" s="7">
        <v>-8.9288896184721283E-3</v>
      </c>
      <c r="H132" s="12">
        <v>-1</v>
      </c>
      <c r="I132" s="12">
        <v>1</v>
      </c>
      <c r="J132" s="23">
        <v>-1</v>
      </c>
      <c r="K132" s="23">
        <v>1</v>
      </c>
      <c r="L132" s="9">
        <f t="shared" ref="L132:L195" si="34">IF(H132=1,D132,0)</f>
        <v>0</v>
      </c>
      <c r="M132" s="9">
        <f t="shared" si="27"/>
        <v>-8.4509075095197637E-3</v>
      </c>
      <c r="N132" s="9">
        <f t="shared" si="28"/>
        <v>0</v>
      </c>
      <c r="O132" s="9">
        <f t="shared" si="29"/>
        <v>1.864379831240106E-2</v>
      </c>
      <c r="P132" s="9">
        <f t="shared" si="30"/>
        <v>8.2257846729030561E-3</v>
      </c>
      <c r="Q132" s="9">
        <f t="shared" si="31"/>
        <v>0</v>
      </c>
      <c r="R132" s="9">
        <f t="shared" si="32"/>
        <v>-8.2257846729030561E-3</v>
      </c>
      <c r="S132" s="9">
        <f t="shared" si="33"/>
        <v>0</v>
      </c>
      <c r="T132" s="10">
        <f t="shared" si="26"/>
        <v>0.55276231988273439</v>
      </c>
      <c r="U132" s="10">
        <f t="shared" si="26"/>
        <v>0.22023063333606233</v>
      </c>
      <c r="V132" s="10">
        <f t="shared" si="26"/>
        <v>-0.10264305438168685</v>
      </c>
      <c r="W132" s="10">
        <f t="shared" si="25"/>
        <v>0.40644582928930106</v>
      </c>
      <c r="X132" s="10">
        <f t="shared" si="25"/>
        <v>0.47332792237704524</v>
      </c>
      <c r="Y132" s="10">
        <f t="shared" si="25"/>
        <v>0.22987061387354932</v>
      </c>
      <c r="Z132" s="10">
        <f t="shared" si="25"/>
        <v>-0.47332792237704524</v>
      </c>
      <c r="AA132" s="10">
        <f t="shared" si="25"/>
        <v>-0.22987061387354932</v>
      </c>
      <c r="AB132" s="7">
        <f t="shared" ref="AB132:AB195" si="35">AB131+SUM(L132:S132)</f>
        <v>1.0767957281264111</v>
      </c>
      <c r="AC132" s="7">
        <v>1.01810273735165</v>
      </c>
      <c r="AF132" s="7">
        <v>2.215889741784006</v>
      </c>
    </row>
    <row r="133" spans="1:32" x14ac:dyDescent="0.25">
      <c r="A133" s="6">
        <v>41456</v>
      </c>
      <c r="B133" s="7">
        <v>5.0386066825862129E-2</v>
      </c>
      <c r="C133" s="7">
        <v>6.2600037934992706E-2</v>
      </c>
      <c r="D133" s="7">
        <v>-4.6718772956767327E-3</v>
      </c>
      <c r="E133" s="7">
        <v>-1.5295859344960876E-2</v>
      </c>
      <c r="F133" s="7">
        <v>2.1766430283560859E-2</v>
      </c>
      <c r="G133" s="7">
        <v>-2.6652367865186946E-2</v>
      </c>
      <c r="H133" s="12">
        <v>-1</v>
      </c>
      <c r="I133" s="12">
        <v>1</v>
      </c>
      <c r="J133" s="23">
        <v>-1</v>
      </c>
      <c r="K133" s="23">
        <v>1</v>
      </c>
      <c r="L133" s="9">
        <f t="shared" si="34"/>
        <v>0</v>
      </c>
      <c r="M133" s="9">
        <f t="shared" si="27"/>
        <v>4.6718772956767327E-3</v>
      </c>
      <c r="N133" s="9">
        <f t="shared" si="28"/>
        <v>0</v>
      </c>
      <c r="O133" s="9">
        <f t="shared" si="29"/>
        <v>-1.5295859344960876E-2</v>
      </c>
      <c r="P133" s="9">
        <f t="shared" si="30"/>
        <v>2.1766430283560859E-2</v>
      </c>
      <c r="Q133" s="9">
        <f t="shared" si="31"/>
        <v>0</v>
      </c>
      <c r="R133" s="9">
        <f t="shared" si="32"/>
        <v>-2.1766430283560859E-2</v>
      </c>
      <c r="S133" s="9">
        <f t="shared" si="33"/>
        <v>0</v>
      </c>
      <c r="T133" s="10">
        <f t="shared" si="26"/>
        <v>0.55276231988273439</v>
      </c>
      <c r="U133" s="10">
        <f t="shared" si="26"/>
        <v>0.22490251063173905</v>
      </c>
      <c r="V133" s="10">
        <f t="shared" si="26"/>
        <v>-0.10264305438168685</v>
      </c>
      <c r="W133" s="10">
        <f t="shared" si="25"/>
        <v>0.3911499699443402</v>
      </c>
      <c r="X133" s="10">
        <f t="shared" si="25"/>
        <v>0.49509435266060609</v>
      </c>
      <c r="Y133" s="10">
        <f t="shared" si="25"/>
        <v>0.22987061387354932</v>
      </c>
      <c r="Z133" s="10">
        <f t="shared" si="25"/>
        <v>-0.49509435266060609</v>
      </c>
      <c r="AA133" s="10">
        <f t="shared" si="25"/>
        <v>-0.22987061387354932</v>
      </c>
      <c r="AB133" s="7">
        <f t="shared" si="35"/>
        <v>1.0661717460771269</v>
      </c>
      <c r="AC133" s="7">
        <v>1.068751808181662</v>
      </c>
      <c r="AF133" s="7">
        <v>2.2536845578834694</v>
      </c>
    </row>
    <row r="134" spans="1:32" x14ac:dyDescent="0.25">
      <c r="A134" s="6">
        <v>41487</v>
      </c>
      <c r="B134" s="7">
        <v>-3.0451293131387565E-2</v>
      </c>
      <c r="C134" s="7">
        <v>2.5687274559438564E-2</v>
      </c>
      <c r="D134" s="7">
        <v>-5.5454360670213719E-3</v>
      </c>
      <c r="E134" s="7">
        <v>3.7098944833011585E-2</v>
      </c>
      <c r="F134" s="7">
        <v>2.7818948816240403E-3</v>
      </c>
      <c r="G134" s="7">
        <v>-5.8814672931020691E-3</v>
      </c>
      <c r="H134" s="12">
        <v>-1</v>
      </c>
      <c r="I134" s="12">
        <v>1</v>
      </c>
      <c r="J134" s="23">
        <v>-1</v>
      </c>
      <c r="K134" s="23">
        <v>1</v>
      </c>
      <c r="L134" s="9">
        <f t="shared" si="34"/>
        <v>0</v>
      </c>
      <c r="M134" s="9">
        <f t="shared" si="27"/>
        <v>5.5454360670213719E-3</v>
      </c>
      <c r="N134" s="9">
        <f t="shared" si="28"/>
        <v>0</v>
      </c>
      <c r="O134" s="9">
        <f t="shared" si="29"/>
        <v>3.7098944833011585E-2</v>
      </c>
      <c r="P134" s="9">
        <f t="shared" si="30"/>
        <v>2.7818948816240403E-3</v>
      </c>
      <c r="Q134" s="9">
        <f t="shared" si="31"/>
        <v>0</v>
      </c>
      <c r="R134" s="9">
        <f t="shared" si="32"/>
        <v>-2.7818948816240403E-3</v>
      </c>
      <c r="S134" s="9">
        <f t="shared" si="33"/>
        <v>0</v>
      </c>
      <c r="T134" s="10">
        <f t="shared" si="26"/>
        <v>0.55276231988273439</v>
      </c>
      <c r="U134" s="10">
        <f t="shared" si="26"/>
        <v>0.23044794669876043</v>
      </c>
      <c r="V134" s="10">
        <f t="shared" si="26"/>
        <v>-0.10264305438168685</v>
      </c>
      <c r="W134" s="10">
        <f t="shared" si="25"/>
        <v>0.42824891477735177</v>
      </c>
      <c r="X134" s="10">
        <f t="shared" si="25"/>
        <v>0.49787624754223014</v>
      </c>
      <c r="Y134" s="10">
        <f t="shared" si="25"/>
        <v>0.22987061387354932</v>
      </c>
      <c r="Z134" s="10">
        <f t="shared" si="25"/>
        <v>-0.49787624754223014</v>
      </c>
      <c r="AA134" s="10">
        <f t="shared" si="25"/>
        <v>-0.22987061387354932</v>
      </c>
      <c r="AB134" s="7">
        <f t="shared" si="35"/>
        <v>1.1088161269771599</v>
      </c>
      <c r="AC134" s="7">
        <v>1.03877292466042</v>
      </c>
      <c r="AF134" s="7">
        <v>2.3049923009582285</v>
      </c>
    </row>
    <row r="135" spans="1:32" x14ac:dyDescent="0.25">
      <c r="A135" s="6">
        <v>41518</v>
      </c>
      <c r="B135" s="7">
        <v>3.1156271217842636E-2</v>
      </c>
      <c r="C135" s="7">
        <v>4.271853352354326E-2</v>
      </c>
      <c r="D135" s="7">
        <v>-1.1362589132228687E-2</v>
      </c>
      <c r="E135" s="7">
        <v>6.695969945125127E-3</v>
      </c>
      <c r="F135" s="7">
        <v>2.4029239055914524E-2</v>
      </c>
      <c r="G135" s="7">
        <v>-2.5010337846288627E-2</v>
      </c>
      <c r="H135" s="12">
        <v>-1</v>
      </c>
      <c r="I135" s="12">
        <v>1</v>
      </c>
      <c r="J135" s="23">
        <v>-1</v>
      </c>
      <c r="K135" s="23">
        <v>1</v>
      </c>
      <c r="L135" s="9">
        <f t="shared" si="34"/>
        <v>0</v>
      </c>
      <c r="M135" s="9">
        <f t="shared" si="27"/>
        <v>1.1362589132228687E-2</v>
      </c>
      <c r="N135" s="9">
        <f t="shared" si="28"/>
        <v>0</v>
      </c>
      <c r="O135" s="9">
        <f t="shared" si="29"/>
        <v>6.695969945125127E-3</v>
      </c>
      <c r="P135" s="9">
        <f t="shared" si="30"/>
        <v>2.4029239055914524E-2</v>
      </c>
      <c r="Q135" s="9">
        <f t="shared" si="31"/>
        <v>0</v>
      </c>
      <c r="R135" s="9">
        <f t="shared" si="32"/>
        <v>-2.4029239055914524E-2</v>
      </c>
      <c r="S135" s="9">
        <f t="shared" si="33"/>
        <v>0</v>
      </c>
      <c r="T135" s="10">
        <f t="shared" si="26"/>
        <v>0.55276231988273439</v>
      </c>
      <c r="U135" s="10">
        <f t="shared" si="26"/>
        <v>0.2418105358309891</v>
      </c>
      <c r="V135" s="10">
        <f t="shared" si="26"/>
        <v>-0.10264305438168685</v>
      </c>
      <c r="W135" s="10">
        <f t="shared" si="25"/>
        <v>0.43494488472247689</v>
      </c>
      <c r="X135" s="10">
        <f t="shared" si="25"/>
        <v>0.52190548659814462</v>
      </c>
      <c r="Y135" s="10">
        <f t="shared" si="25"/>
        <v>0.22987061387354932</v>
      </c>
      <c r="Z135" s="10">
        <f t="shared" si="25"/>
        <v>-0.52190548659814462</v>
      </c>
      <c r="AA135" s="10">
        <f t="shared" si="25"/>
        <v>-0.22987061387354932</v>
      </c>
      <c r="AB135" s="7">
        <f t="shared" si="35"/>
        <v>1.1268746860545138</v>
      </c>
      <c r="AC135" s="7">
        <v>1.0702267039551521</v>
      </c>
      <c r="AF135" s="7">
        <v>2.3720904369377855</v>
      </c>
    </row>
    <row r="136" spans="1:32" x14ac:dyDescent="0.25">
      <c r="A136" s="6">
        <v>41548</v>
      </c>
      <c r="B136" s="7">
        <v>4.5265907890214986E-2</v>
      </c>
      <c r="C136" s="7">
        <v>3.1895853535162097E-2</v>
      </c>
      <c r="D136" s="7">
        <v>7.9384439573847148E-3</v>
      </c>
      <c r="E136" s="7">
        <v>8.7705908782456151E-3</v>
      </c>
      <c r="F136" s="7">
        <v>-3.4585024641157359E-3</v>
      </c>
      <c r="G136" s="7">
        <v>1.6917837140625804E-4</v>
      </c>
      <c r="H136" s="12">
        <v>-1</v>
      </c>
      <c r="I136" s="12">
        <v>1</v>
      </c>
      <c r="J136" s="23">
        <v>-1</v>
      </c>
      <c r="K136" s="23">
        <v>1</v>
      </c>
      <c r="L136" s="9">
        <f t="shared" si="34"/>
        <v>0</v>
      </c>
      <c r="M136" s="9">
        <f t="shared" si="27"/>
        <v>-7.9384439573847148E-3</v>
      </c>
      <c r="N136" s="9">
        <f t="shared" si="28"/>
        <v>0</v>
      </c>
      <c r="O136" s="9">
        <f t="shared" si="29"/>
        <v>8.7705908782456151E-3</v>
      </c>
      <c r="P136" s="9">
        <f t="shared" si="30"/>
        <v>-3.4585024641157359E-3</v>
      </c>
      <c r="Q136" s="9">
        <f t="shared" si="31"/>
        <v>0</v>
      </c>
      <c r="R136" s="9">
        <f t="shared" si="32"/>
        <v>3.4585024641157359E-3</v>
      </c>
      <c r="S136" s="9">
        <f t="shared" si="33"/>
        <v>0</v>
      </c>
      <c r="T136" s="10">
        <f t="shared" si="26"/>
        <v>0.55276231988273439</v>
      </c>
      <c r="U136" s="10">
        <f t="shared" si="26"/>
        <v>0.23387209187360439</v>
      </c>
      <c r="V136" s="10">
        <f t="shared" si="26"/>
        <v>-0.10264305438168685</v>
      </c>
      <c r="W136" s="10">
        <f t="shared" si="25"/>
        <v>0.4437154756007225</v>
      </c>
      <c r="X136" s="10">
        <f t="shared" si="25"/>
        <v>0.5184469841340289</v>
      </c>
      <c r="Y136" s="10">
        <f t="shared" si="25"/>
        <v>0.22987061387354932</v>
      </c>
      <c r="Z136" s="10">
        <f t="shared" si="25"/>
        <v>-0.5184469841340289</v>
      </c>
      <c r="AA136" s="10">
        <f t="shared" si="25"/>
        <v>-0.22987061387354932</v>
      </c>
      <c r="AB136" s="7">
        <f t="shared" si="35"/>
        <v>1.1277068329753748</v>
      </c>
      <c r="AC136" s="7">
        <v>1.116203946677649</v>
      </c>
      <c r="AF136" s="7">
        <v>2.3692949030231243</v>
      </c>
    </row>
    <row r="137" spans="1:32" x14ac:dyDescent="0.25">
      <c r="A137" s="6">
        <v>41579</v>
      </c>
      <c r="B137" s="7">
        <v>2.920710217632325E-2</v>
      </c>
      <c r="C137" s="7">
        <v>6.5036453962394089E-2</v>
      </c>
      <c r="D137" s="7">
        <v>6.0399916583899569E-3</v>
      </c>
      <c r="E137" s="7">
        <v>1.4464837081395749E-2</v>
      </c>
      <c r="F137" s="7">
        <v>-4.9038568950418963E-3</v>
      </c>
      <c r="G137" s="7">
        <v>-1.3050836595594313E-2</v>
      </c>
      <c r="H137" s="12">
        <v>-1</v>
      </c>
      <c r="I137" s="12">
        <v>1</v>
      </c>
      <c r="J137" s="23">
        <v>-1</v>
      </c>
      <c r="K137" s="23">
        <v>1</v>
      </c>
      <c r="L137" s="9">
        <f t="shared" si="34"/>
        <v>0</v>
      </c>
      <c r="M137" s="9">
        <f t="shared" si="27"/>
        <v>-6.0399916583899569E-3</v>
      </c>
      <c r="N137" s="9">
        <f t="shared" si="28"/>
        <v>0</v>
      </c>
      <c r="O137" s="9">
        <f t="shared" si="29"/>
        <v>1.4464837081395749E-2</v>
      </c>
      <c r="P137" s="9">
        <f t="shared" si="30"/>
        <v>-4.9038568950418963E-3</v>
      </c>
      <c r="Q137" s="9">
        <f t="shared" si="31"/>
        <v>0</v>
      </c>
      <c r="R137" s="9">
        <f t="shared" si="32"/>
        <v>4.9038568950418963E-3</v>
      </c>
      <c r="S137" s="9">
        <f t="shared" si="33"/>
        <v>0</v>
      </c>
      <c r="T137" s="10">
        <f t="shared" si="26"/>
        <v>0.55276231988273439</v>
      </c>
      <c r="U137" s="10">
        <f t="shared" si="26"/>
        <v>0.22783210021521444</v>
      </c>
      <c r="V137" s="10">
        <f t="shared" si="26"/>
        <v>-0.10264305438168685</v>
      </c>
      <c r="W137" s="10">
        <f t="shared" si="25"/>
        <v>0.45818031268211823</v>
      </c>
      <c r="X137" s="10">
        <f t="shared" si="25"/>
        <v>0.51354312723898699</v>
      </c>
      <c r="Y137" s="10">
        <f t="shared" si="25"/>
        <v>0.22987061387354932</v>
      </c>
      <c r="Z137" s="10">
        <f t="shared" si="25"/>
        <v>-0.51354312723898699</v>
      </c>
      <c r="AA137" s="10">
        <f t="shared" si="25"/>
        <v>-0.22987061387354932</v>
      </c>
      <c r="AB137" s="7">
        <f t="shared" si="35"/>
        <v>1.1361316783983806</v>
      </c>
      <c r="AC137" s="7">
        <v>1.145727015298041</v>
      </c>
      <c r="AF137" s="7">
        <v>2.3858667281466825</v>
      </c>
    </row>
    <row r="138" spans="1:32" x14ac:dyDescent="0.25">
      <c r="A138" s="6">
        <v>41609</v>
      </c>
      <c r="B138" s="7">
        <v>2.5596487779456702E-2</v>
      </c>
      <c r="C138" s="7">
        <v>7.4478869860950016E-3</v>
      </c>
      <c r="D138" s="7">
        <v>1.7092852679268359E-2</v>
      </c>
      <c r="E138" s="7">
        <v>-1.9929216336758784E-2</v>
      </c>
      <c r="F138" s="7">
        <v>-3.3168428079503876E-4</v>
      </c>
      <c r="G138" s="7">
        <v>-1.1783673687023415E-2</v>
      </c>
      <c r="H138" s="12">
        <v>-1</v>
      </c>
      <c r="I138" s="12">
        <v>1</v>
      </c>
      <c r="J138" s="23">
        <v>-1</v>
      </c>
      <c r="K138" s="23">
        <v>1</v>
      </c>
      <c r="L138" s="9">
        <f t="shared" si="34"/>
        <v>0</v>
      </c>
      <c r="M138" s="9">
        <f t="shared" si="27"/>
        <v>-1.7092852679268359E-2</v>
      </c>
      <c r="N138" s="9">
        <f t="shared" si="28"/>
        <v>0</v>
      </c>
      <c r="O138" s="9">
        <f t="shared" si="29"/>
        <v>-1.9929216336758784E-2</v>
      </c>
      <c r="P138" s="9">
        <f t="shared" si="30"/>
        <v>-3.3168428079503876E-4</v>
      </c>
      <c r="Q138" s="9">
        <f t="shared" si="31"/>
        <v>0</v>
      </c>
      <c r="R138" s="9">
        <f t="shared" si="32"/>
        <v>3.3168428079503876E-4</v>
      </c>
      <c r="S138" s="9">
        <f t="shared" si="33"/>
        <v>0</v>
      </c>
      <c r="T138" s="10">
        <f t="shared" si="26"/>
        <v>0.55276231988273439</v>
      </c>
      <c r="U138" s="10">
        <f t="shared" si="26"/>
        <v>0.21073924753594608</v>
      </c>
      <c r="V138" s="10">
        <f t="shared" si="26"/>
        <v>-0.10264305438168685</v>
      </c>
      <c r="W138" s="10">
        <f t="shared" si="25"/>
        <v>0.43825109634535947</v>
      </c>
      <c r="X138" s="10">
        <f t="shared" si="25"/>
        <v>0.51321144295819199</v>
      </c>
      <c r="Y138" s="10">
        <f t="shared" si="25"/>
        <v>0.22987061387354932</v>
      </c>
      <c r="Z138" s="10">
        <f t="shared" si="25"/>
        <v>-0.51321144295819199</v>
      </c>
      <c r="AA138" s="10">
        <f t="shared" si="25"/>
        <v>-0.22987061387354932</v>
      </c>
      <c r="AB138" s="7">
        <f t="shared" si="35"/>
        <v>1.0991096093823534</v>
      </c>
      <c r="AC138" s="7">
        <v>1.1717126616377569</v>
      </c>
      <c r="AF138" s="7">
        <v>2.3602966485368837</v>
      </c>
    </row>
    <row r="139" spans="1:32" x14ac:dyDescent="0.25">
      <c r="A139" s="6">
        <v>41640</v>
      </c>
      <c r="B139" s="7">
        <v>-3.5884832374277587E-2</v>
      </c>
      <c r="C139" s="7">
        <v>-5.7606663173614812E-2</v>
      </c>
      <c r="D139" s="7">
        <v>-2.5543672746040948E-2</v>
      </c>
      <c r="E139" s="7">
        <v>1.3855692819023779E-2</v>
      </c>
      <c r="F139" s="7">
        <v>-6.3551146934423533E-3</v>
      </c>
      <c r="G139" s="7">
        <v>7.0442276873245637E-3</v>
      </c>
      <c r="H139" s="12">
        <v>1</v>
      </c>
      <c r="I139" s="12">
        <v>1</v>
      </c>
      <c r="J139" s="23">
        <v>1</v>
      </c>
      <c r="K139" s="23">
        <v>1</v>
      </c>
      <c r="L139" s="9">
        <f t="shared" si="34"/>
        <v>-2.5543672746040948E-2</v>
      </c>
      <c r="M139" s="9">
        <f t="shared" si="27"/>
        <v>0</v>
      </c>
      <c r="N139" s="9">
        <f t="shared" si="28"/>
        <v>-1.3855692819023779E-2</v>
      </c>
      <c r="O139" s="9">
        <f t="shared" si="29"/>
        <v>0</v>
      </c>
      <c r="P139" s="9">
        <f t="shared" si="30"/>
        <v>-6.3551146934423533E-3</v>
      </c>
      <c r="Q139" s="9">
        <f t="shared" si="31"/>
        <v>0</v>
      </c>
      <c r="R139" s="9">
        <f t="shared" si="32"/>
        <v>6.3551146934423533E-3</v>
      </c>
      <c r="S139" s="9">
        <f t="shared" si="33"/>
        <v>0</v>
      </c>
      <c r="T139" s="10">
        <f t="shared" si="26"/>
        <v>0.52721864713669342</v>
      </c>
      <c r="U139" s="10">
        <f t="shared" si="26"/>
        <v>0.21073924753594608</v>
      </c>
      <c r="V139" s="10">
        <f t="shared" si="26"/>
        <v>-0.11649874720071063</v>
      </c>
      <c r="W139" s="10">
        <f t="shared" si="25"/>
        <v>0.43825109634535947</v>
      </c>
      <c r="X139" s="10">
        <f t="shared" si="25"/>
        <v>0.50685632826474969</v>
      </c>
      <c r="Y139" s="10">
        <f t="shared" si="25"/>
        <v>0.22987061387354932</v>
      </c>
      <c r="Z139" s="10">
        <f t="shared" si="25"/>
        <v>-0.50685632826474969</v>
      </c>
      <c r="AA139" s="10">
        <f t="shared" si="25"/>
        <v>-0.22987061387354932</v>
      </c>
      <c r="AB139" s="7">
        <f t="shared" si="35"/>
        <v>1.0597102438172887</v>
      </c>
      <c r="AC139" s="7">
        <v>1.136492121761004</v>
      </c>
      <c r="AF139" s="7">
        <v>2.3074979405910518</v>
      </c>
    </row>
    <row r="140" spans="1:32" x14ac:dyDescent="0.25">
      <c r="A140" s="6">
        <v>41671</v>
      </c>
      <c r="B140" s="7">
        <v>4.4510681913880017E-2</v>
      </c>
      <c r="C140" s="7">
        <v>5.2038071955602172E-2</v>
      </c>
      <c r="D140" s="7">
        <v>7.43543068712804E-3</v>
      </c>
      <c r="E140" s="7">
        <v>2.0189452425049874E-2</v>
      </c>
      <c r="F140" s="7">
        <v>8.3832583804043254E-3</v>
      </c>
      <c r="G140" s="7">
        <v>-1.1303611344157445E-2</v>
      </c>
      <c r="H140" s="12">
        <v>-1</v>
      </c>
      <c r="I140" s="12">
        <v>-1</v>
      </c>
      <c r="J140" s="23">
        <v>-1</v>
      </c>
      <c r="K140" s="23">
        <v>-1</v>
      </c>
      <c r="L140" s="9">
        <f t="shared" si="34"/>
        <v>0</v>
      </c>
      <c r="M140" s="9">
        <f t="shared" si="27"/>
        <v>-7.43543068712804E-3</v>
      </c>
      <c r="N140" s="9">
        <f t="shared" si="28"/>
        <v>0</v>
      </c>
      <c r="O140" s="9">
        <f t="shared" si="29"/>
        <v>2.0189452425049874E-2</v>
      </c>
      <c r="P140" s="9">
        <f t="shared" si="30"/>
        <v>0</v>
      </c>
      <c r="Q140" s="9">
        <f t="shared" si="31"/>
        <v>-8.3832583804043254E-3</v>
      </c>
      <c r="R140" s="9">
        <f t="shared" si="32"/>
        <v>0</v>
      </c>
      <c r="S140" s="9">
        <f t="shared" si="33"/>
        <v>8.3832583804043254E-3</v>
      </c>
      <c r="T140" s="10">
        <f t="shared" si="26"/>
        <v>0.52721864713669342</v>
      </c>
      <c r="U140" s="10">
        <f t="shared" si="26"/>
        <v>0.20330381684881804</v>
      </c>
      <c r="V140" s="10">
        <f t="shared" si="26"/>
        <v>-0.11649874720071063</v>
      </c>
      <c r="W140" s="10">
        <f t="shared" si="25"/>
        <v>0.45844054877040935</v>
      </c>
      <c r="X140" s="10">
        <f t="shared" si="25"/>
        <v>0.50685632826474969</v>
      </c>
      <c r="Y140" s="10">
        <f t="shared" si="25"/>
        <v>0.22148735549314499</v>
      </c>
      <c r="Z140" s="10">
        <f t="shared" si="25"/>
        <v>-0.50685632826474969</v>
      </c>
      <c r="AA140" s="10">
        <f t="shared" si="25"/>
        <v>-0.22148735549314499</v>
      </c>
      <c r="AB140" s="7">
        <f t="shared" si="35"/>
        <v>1.0724642655552106</v>
      </c>
      <c r="AC140" s="7">
        <v>1.1816101418950999</v>
      </c>
      <c r="AF140" s="7">
        <v>2.3005650926044119</v>
      </c>
    </row>
    <row r="141" spans="1:32" x14ac:dyDescent="0.25">
      <c r="A141" s="6">
        <v>41699</v>
      </c>
      <c r="B141" s="7">
        <v>8.261260744244877E-3</v>
      </c>
      <c r="C141" s="7">
        <v>4.6308562504127123E-3</v>
      </c>
      <c r="D141" s="7">
        <v>4.3409963714916332E-3</v>
      </c>
      <c r="E141" s="7">
        <v>8.0059352866194301E-3</v>
      </c>
      <c r="F141" s="7">
        <v>1.0519160187812208E-2</v>
      </c>
      <c r="G141" s="7">
        <v>-2.2569149314126617E-2</v>
      </c>
      <c r="H141" s="12">
        <v>-1</v>
      </c>
      <c r="I141" s="12">
        <v>1</v>
      </c>
      <c r="J141" s="23">
        <v>-1</v>
      </c>
      <c r="K141" s="23">
        <v>1</v>
      </c>
      <c r="L141" s="9">
        <f t="shared" si="34"/>
        <v>0</v>
      </c>
      <c r="M141" s="9">
        <f t="shared" si="27"/>
        <v>-4.3409963714916332E-3</v>
      </c>
      <c r="N141" s="9">
        <f t="shared" si="28"/>
        <v>0</v>
      </c>
      <c r="O141" s="9">
        <f t="shared" si="29"/>
        <v>8.0059352866194301E-3</v>
      </c>
      <c r="P141" s="9">
        <f t="shared" si="30"/>
        <v>1.0519160187812208E-2</v>
      </c>
      <c r="Q141" s="9">
        <f t="shared" si="31"/>
        <v>0</v>
      </c>
      <c r="R141" s="9">
        <f t="shared" si="32"/>
        <v>-1.0519160187812208E-2</v>
      </c>
      <c r="S141" s="9">
        <f t="shared" si="33"/>
        <v>0</v>
      </c>
      <c r="T141" s="10">
        <f t="shared" si="26"/>
        <v>0.52721864713669342</v>
      </c>
      <c r="U141" s="10">
        <f t="shared" si="26"/>
        <v>0.19896282047732641</v>
      </c>
      <c r="V141" s="10">
        <f t="shared" si="26"/>
        <v>-0.11649874720071063</v>
      </c>
      <c r="W141" s="10">
        <f t="shared" si="25"/>
        <v>0.46644648405702877</v>
      </c>
      <c r="X141" s="10">
        <f t="shared" si="25"/>
        <v>0.51737548845256187</v>
      </c>
      <c r="Y141" s="10">
        <f t="shared" si="25"/>
        <v>0.22148735549314499</v>
      </c>
      <c r="Z141" s="10">
        <f t="shared" si="25"/>
        <v>-0.51737548845256187</v>
      </c>
      <c r="AA141" s="10">
        <f t="shared" si="25"/>
        <v>-0.22148735549314499</v>
      </c>
      <c r="AB141" s="7">
        <f t="shared" si="35"/>
        <v>1.0761292044703383</v>
      </c>
      <c r="AC141" s="7">
        <v>1.190274887085558</v>
      </c>
      <c r="AF141" s="7">
        <v>2.3373183410214784</v>
      </c>
    </row>
    <row r="142" spans="1:32" x14ac:dyDescent="0.25">
      <c r="A142" s="6">
        <v>41730</v>
      </c>
      <c r="B142" s="7">
        <v>6.9271787675743383E-3</v>
      </c>
      <c r="C142" s="7">
        <v>-9.0872182205124809E-3</v>
      </c>
      <c r="D142" s="7">
        <v>2.2328598019322244E-3</v>
      </c>
      <c r="E142" s="7">
        <v>6.95412991192133E-3</v>
      </c>
      <c r="F142" s="7">
        <v>-1.438041450549481E-2</v>
      </c>
      <c r="G142" s="7">
        <v>2.6613784614609092E-3</v>
      </c>
      <c r="H142" s="12">
        <v>1</v>
      </c>
      <c r="I142" s="12">
        <v>1</v>
      </c>
      <c r="J142" s="23">
        <v>1</v>
      </c>
      <c r="K142" s="23">
        <v>1</v>
      </c>
      <c r="L142" s="9">
        <f t="shared" si="34"/>
        <v>2.2328598019322244E-3</v>
      </c>
      <c r="M142" s="9">
        <f t="shared" si="27"/>
        <v>0</v>
      </c>
      <c r="N142" s="9">
        <f t="shared" si="28"/>
        <v>-6.95412991192133E-3</v>
      </c>
      <c r="O142" s="9">
        <f t="shared" si="29"/>
        <v>0</v>
      </c>
      <c r="P142" s="9">
        <f t="shared" si="30"/>
        <v>-1.438041450549481E-2</v>
      </c>
      <c r="Q142" s="9">
        <f t="shared" si="31"/>
        <v>0</v>
      </c>
      <c r="R142" s="9">
        <f t="shared" si="32"/>
        <v>1.438041450549481E-2</v>
      </c>
      <c r="S142" s="9">
        <f t="shared" si="33"/>
        <v>0</v>
      </c>
      <c r="T142" s="10">
        <f t="shared" si="26"/>
        <v>0.52945150693862564</v>
      </c>
      <c r="U142" s="10">
        <f t="shared" si="26"/>
        <v>0.19896282047732641</v>
      </c>
      <c r="V142" s="10">
        <f t="shared" si="26"/>
        <v>-0.12345287711263196</v>
      </c>
      <c r="W142" s="10">
        <f t="shared" si="25"/>
        <v>0.46644648405702877</v>
      </c>
      <c r="X142" s="10">
        <f t="shared" si="25"/>
        <v>0.50299507394706711</v>
      </c>
      <c r="Y142" s="10">
        <f t="shared" si="25"/>
        <v>0.22148735549314499</v>
      </c>
      <c r="Z142" s="10">
        <f t="shared" si="25"/>
        <v>-0.50299507394706711</v>
      </c>
      <c r="AA142" s="10">
        <f t="shared" si="25"/>
        <v>-0.22148735549314499</v>
      </c>
      <c r="AB142" s="7">
        <f t="shared" si="35"/>
        <v>1.0714079343603493</v>
      </c>
      <c r="AC142" s="7">
        <v>1.1978784623429839</v>
      </c>
      <c r="AF142" s="7">
        <v>2.3155552779445334</v>
      </c>
    </row>
    <row r="143" spans="1:32" x14ac:dyDescent="0.25">
      <c r="A143" s="6">
        <v>41760</v>
      </c>
      <c r="B143" s="7">
        <v>2.2940834571251054E-2</v>
      </c>
      <c r="C143" s="7">
        <v>-8.4663293622192735E-3</v>
      </c>
      <c r="D143" s="7">
        <v>1.8595814523711462E-2</v>
      </c>
      <c r="E143" s="7">
        <v>1.6257243407320737E-2</v>
      </c>
      <c r="F143" s="7">
        <v>-2.2860627922248302E-3</v>
      </c>
      <c r="G143" s="7">
        <v>1.1206014391874592E-2</v>
      </c>
      <c r="H143" s="12">
        <v>1</v>
      </c>
      <c r="I143" s="12">
        <v>-1</v>
      </c>
      <c r="J143" s="23">
        <v>1</v>
      </c>
      <c r="K143" s="23">
        <v>-1</v>
      </c>
      <c r="L143" s="9">
        <f t="shared" si="34"/>
        <v>1.8595814523711462E-2</v>
      </c>
      <c r="M143" s="9">
        <f t="shared" si="27"/>
        <v>0</v>
      </c>
      <c r="N143" s="9">
        <f t="shared" si="28"/>
        <v>-1.6257243407320737E-2</v>
      </c>
      <c r="O143" s="9">
        <f t="shared" si="29"/>
        <v>0</v>
      </c>
      <c r="P143" s="9">
        <f t="shared" si="30"/>
        <v>0</v>
      </c>
      <c r="Q143" s="9">
        <f t="shared" si="31"/>
        <v>2.2860627922248302E-3</v>
      </c>
      <c r="R143" s="9">
        <f t="shared" si="32"/>
        <v>0</v>
      </c>
      <c r="S143" s="9">
        <f t="shared" si="33"/>
        <v>-2.2860627922248302E-3</v>
      </c>
      <c r="T143" s="10">
        <f t="shared" si="26"/>
        <v>0.54804732146233714</v>
      </c>
      <c r="U143" s="10">
        <f t="shared" si="26"/>
        <v>0.19896282047732641</v>
      </c>
      <c r="V143" s="10">
        <f t="shared" si="26"/>
        <v>-0.13971012051995269</v>
      </c>
      <c r="W143" s="10">
        <f t="shared" si="25"/>
        <v>0.46644648405702877</v>
      </c>
      <c r="X143" s="10">
        <f t="shared" si="25"/>
        <v>0.50299507394706711</v>
      </c>
      <c r="Y143" s="10">
        <f t="shared" si="25"/>
        <v>0.22377341828536981</v>
      </c>
      <c r="Z143" s="10">
        <f t="shared" si="25"/>
        <v>-0.50299507394706711</v>
      </c>
      <c r="AA143" s="10">
        <f t="shared" si="25"/>
        <v>-0.22377341828536981</v>
      </c>
      <c r="AB143" s="7">
        <f t="shared" si="35"/>
        <v>1.0737465054767401</v>
      </c>
      <c r="AC143" s="7">
        <v>1.2210899184365991</v>
      </c>
      <c r="AF143" s="7">
        <v>2.3313859262450234</v>
      </c>
    </row>
    <row r="144" spans="1:32" x14ac:dyDescent="0.25">
      <c r="A144" s="6">
        <v>41791</v>
      </c>
      <c r="B144" s="7">
        <v>2.043521183378955E-2</v>
      </c>
      <c r="C144" s="7">
        <v>3.9341876036557089E-2</v>
      </c>
      <c r="D144" s="7">
        <v>-1.1232785605316427E-3</v>
      </c>
      <c r="E144" s="7">
        <v>1.5267166968324891E-2</v>
      </c>
      <c r="F144" s="7">
        <v>1.3916117027030609E-2</v>
      </c>
      <c r="G144" s="7">
        <v>-1.9664099111772634E-2</v>
      </c>
      <c r="H144" s="12">
        <v>-1</v>
      </c>
      <c r="I144" s="12">
        <v>-1</v>
      </c>
      <c r="J144" s="23">
        <v>-1</v>
      </c>
      <c r="K144" s="23">
        <v>-1</v>
      </c>
      <c r="L144" s="9">
        <f t="shared" si="34"/>
        <v>0</v>
      </c>
      <c r="M144" s="9">
        <f t="shared" si="27"/>
        <v>1.1232785605316427E-3</v>
      </c>
      <c r="N144" s="9">
        <f t="shared" si="28"/>
        <v>0</v>
      </c>
      <c r="O144" s="9">
        <f t="shared" si="29"/>
        <v>1.5267166968324891E-2</v>
      </c>
      <c r="P144" s="9">
        <f t="shared" si="30"/>
        <v>0</v>
      </c>
      <c r="Q144" s="9">
        <f t="shared" si="31"/>
        <v>-1.3916117027030609E-2</v>
      </c>
      <c r="R144" s="9">
        <f t="shared" si="32"/>
        <v>0</v>
      </c>
      <c r="S144" s="9">
        <f t="shared" si="33"/>
        <v>1.3916117027030609E-2</v>
      </c>
      <c r="T144" s="10">
        <f t="shared" si="26"/>
        <v>0.54804732146233714</v>
      </c>
      <c r="U144" s="10">
        <f t="shared" si="26"/>
        <v>0.20008609903785807</v>
      </c>
      <c r="V144" s="10">
        <f t="shared" si="26"/>
        <v>-0.13971012051995269</v>
      </c>
      <c r="W144" s="10">
        <f t="shared" si="25"/>
        <v>0.48171365102535368</v>
      </c>
      <c r="X144" s="10">
        <f t="shared" si="25"/>
        <v>0.50299507394706711</v>
      </c>
      <c r="Y144" s="10">
        <f t="shared" si="25"/>
        <v>0.20985730125833921</v>
      </c>
      <c r="Z144" s="10">
        <f t="shared" si="25"/>
        <v>-0.50299507394706711</v>
      </c>
      <c r="AA144" s="10">
        <f t="shared" si="25"/>
        <v>-0.20985730125833921</v>
      </c>
      <c r="AB144" s="7">
        <f t="shared" si="35"/>
        <v>1.0901369510055967</v>
      </c>
      <c r="AC144" s="7">
        <v>1.241661060006694</v>
      </c>
      <c r="AF144" s="7">
        <v>2.3141961556350767</v>
      </c>
    </row>
    <row r="145" spans="1:32" x14ac:dyDescent="0.25">
      <c r="A145" s="6">
        <v>41821</v>
      </c>
      <c r="B145" s="7">
        <v>-1.3528792451361432E-2</v>
      </c>
      <c r="C145" s="7">
        <v>-5.8028469728762938E-3</v>
      </c>
      <c r="D145" s="7">
        <v>-2.6120281980454192E-2</v>
      </c>
      <c r="E145" s="7">
        <v>-1.1774896057303023E-2</v>
      </c>
      <c r="F145" s="7">
        <v>2.6530085799202916E-3</v>
      </c>
      <c r="G145" s="7">
        <v>-4.3185877921053002E-3</v>
      </c>
      <c r="H145" s="12">
        <v>1</v>
      </c>
      <c r="I145" s="12">
        <v>1</v>
      </c>
      <c r="J145" s="23">
        <v>1</v>
      </c>
      <c r="K145" s="23">
        <v>1</v>
      </c>
      <c r="L145" s="9">
        <f t="shared" si="34"/>
        <v>-2.6120281980454192E-2</v>
      </c>
      <c r="M145" s="9">
        <f t="shared" si="27"/>
        <v>0</v>
      </c>
      <c r="N145" s="9">
        <f t="shared" si="28"/>
        <v>1.1774896057303023E-2</v>
      </c>
      <c r="O145" s="9">
        <f t="shared" si="29"/>
        <v>0</v>
      </c>
      <c r="P145" s="9">
        <f t="shared" si="30"/>
        <v>2.6530085799202916E-3</v>
      </c>
      <c r="Q145" s="9">
        <f t="shared" si="31"/>
        <v>0</v>
      </c>
      <c r="R145" s="9">
        <f t="shared" si="32"/>
        <v>-2.6530085799202916E-3</v>
      </c>
      <c r="S145" s="9">
        <f t="shared" si="33"/>
        <v>0</v>
      </c>
      <c r="T145" s="10">
        <f t="shared" si="26"/>
        <v>0.5219270394818829</v>
      </c>
      <c r="U145" s="10">
        <f t="shared" si="26"/>
        <v>0.20008609903785807</v>
      </c>
      <c r="V145" s="10">
        <f t="shared" si="26"/>
        <v>-0.12793522446264965</v>
      </c>
      <c r="W145" s="10">
        <f t="shared" si="25"/>
        <v>0.48171365102535368</v>
      </c>
      <c r="X145" s="10">
        <f t="shared" si="25"/>
        <v>0.50564808252698745</v>
      </c>
      <c r="Y145" s="10">
        <f t="shared" si="25"/>
        <v>0.20985730125833921</v>
      </c>
      <c r="Z145" s="10">
        <f t="shared" si="25"/>
        <v>-0.50564808252698745</v>
      </c>
      <c r="AA145" s="10">
        <f t="shared" si="25"/>
        <v>-0.20985730125833921</v>
      </c>
      <c r="AB145" s="7">
        <f t="shared" si="35"/>
        <v>1.0757915650824454</v>
      </c>
      <c r="AC145" s="7">
        <v>1.228582508041314</v>
      </c>
      <c r="AF145" s="7">
        <v>2.3068223660839511</v>
      </c>
    </row>
    <row r="146" spans="1:32" x14ac:dyDescent="0.25">
      <c r="A146" s="6">
        <v>41852</v>
      </c>
      <c r="B146" s="7">
        <v>3.8704364068411844E-2</v>
      </c>
      <c r="C146" s="7">
        <v>6.9526367160309653E-3</v>
      </c>
      <c r="D146" s="7">
        <v>6.0468037390451366E-3</v>
      </c>
      <c r="E146" s="7">
        <v>2.0451193254643462E-2</v>
      </c>
      <c r="F146" s="7">
        <v>-1.0726187139792566E-2</v>
      </c>
      <c r="G146" s="7">
        <v>1.8217794169746691E-2</v>
      </c>
      <c r="H146" s="12">
        <v>-1</v>
      </c>
      <c r="I146" s="12">
        <v>-1</v>
      </c>
      <c r="J146" s="23">
        <v>-1</v>
      </c>
      <c r="K146" s="23">
        <v>-1</v>
      </c>
      <c r="L146" s="9">
        <f t="shared" si="34"/>
        <v>0</v>
      </c>
      <c r="M146" s="9">
        <f t="shared" si="27"/>
        <v>-6.0468037390451366E-3</v>
      </c>
      <c r="N146" s="9">
        <f t="shared" si="28"/>
        <v>0</v>
      </c>
      <c r="O146" s="9">
        <f t="shared" si="29"/>
        <v>2.0451193254643462E-2</v>
      </c>
      <c r="P146" s="9">
        <f t="shared" si="30"/>
        <v>0</v>
      </c>
      <c r="Q146" s="9">
        <f t="shared" si="31"/>
        <v>1.0726187139792566E-2</v>
      </c>
      <c r="R146" s="9">
        <f t="shared" si="32"/>
        <v>0</v>
      </c>
      <c r="S146" s="9">
        <f t="shared" si="33"/>
        <v>-1.0726187139792566E-2</v>
      </c>
      <c r="T146" s="10">
        <f t="shared" si="26"/>
        <v>0.5219270394818829</v>
      </c>
      <c r="U146" s="10">
        <f t="shared" si="26"/>
        <v>0.19403929529881292</v>
      </c>
      <c r="V146" s="10">
        <f t="shared" si="26"/>
        <v>-0.12793522446264965</v>
      </c>
      <c r="W146" s="10">
        <f t="shared" si="25"/>
        <v>0.50216484427999719</v>
      </c>
      <c r="X146" s="10">
        <f t="shared" si="25"/>
        <v>0.50564808252698745</v>
      </c>
      <c r="Y146" s="10">
        <f t="shared" ref="Y146:AA209" si="36">Q146+Y145</f>
        <v>0.22058348839813177</v>
      </c>
      <c r="Z146" s="10">
        <f t="shared" si="36"/>
        <v>-0.50564808252698745</v>
      </c>
      <c r="AA146" s="10">
        <f t="shared" si="36"/>
        <v>-0.22058348839813177</v>
      </c>
      <c r="AB146" s="7">
        <f t="shared" si="35"/>
        <v>1.0901959545980437</v>
      </c>
      <c r="AC146" s="7">
        <v>1.267559998337485</v>
      </c>
      <c r="AF146" s="7">
        <v>2.3501707369090887</v>
      </c>
    </row>
    <row r="147" spans="1:32" x14ac:dyDescent="0.25">
      <c r="A147" s="6">
        <v>41883</v>
      </c>
      <c r="B147" s="7">
        <v>-1.3891926239782942E-2</v>
      </c>
      <c r="C147" s="7">
        <v>3.1456303691018588E-2</v>
      </c>
      <c r="D147" s="7">
        <v>-1.0752948847443551E-2</v>
      </c>
      <c r="E147" s="7">
        <v>1.3245867480256876E-2</v>
      </c>
      <c r="F147" s="7">
        <v>-5.9782044308948935E-4</v>
      </c>
      <c r="G147" s="7">
        <v>-2.5572545522358669E-2</v>
      </c>
      <c r="H147" s="12">
        <v>-1</v>
      </c>
      <c r="I147" s="12">
        <v>1</v>
      </c>
      <c r="J147" s="23">
        <v>-1</v>
      </c>
      <c r="K147" s="23">
        <v>1</v>
      </c>
      <c r="L147" s="9">
        <f t="shared" si="34"/>
        <v>0</v>
      </c>
      <c r="M147" s="9">
        <f t="shared" si="27"/>
        <v>1.0752948847443551E-2</v>
      </c>
      <c r="N147" s="9">
        <f t="shared" si="28"/>
        <v>0</v>
      </c>
      <c r="O147" s="9">
        <f t="shared" si="29"/>
        <v>1.3245867480256876E-2</v>
      </c>
      <c r="P147" s="9">
        <f t="shared" si="30"/>
        <v>-5.9782044308948935E-4</v>
      </c>
      <c r="Q147" s="9">
        <f t="shared" si="31"/>
        <v>0</v>
      </c>
      <c r="R147" s="9">
        <f t="shared" si="32"/>
        <v>5.9782044308948935E-4</v>
      </c>
      <c r="S147" s="9">
        <f t="shared" si="33"/>
        <v>0</v>
      </c>
      <c r="T147" s="10">
        <f t="shared" si="26"/>
        <v>0.5219270394818829</v>
      </c>
      <c r="U147" s="10">
        <f t="shared" si="26"/>
        <v>0.20479224414625646</v>
      </c>
      <c r="V147" s="10">
        <f t="shared" si="26"/>
        <v>-0.12793522446264965</v>
      </c>
      <c r="W147" s="10">
        <f t="shared" si="26"/>
        <v>0.5154107117602541</v>
      </c>
      <c r="X147" s="10">
        <f t="shared" si="26"/>
        <v>0.50505026208389792</v>
      </c>
      <c r="Y147" s="10">
        <f t="shared" si="36"/>
        <v>0.22058348839813177</v>
      </c>
      <c r="Z147" s="10">
        <f t="shared" si="36"/>
        <v>-0.50505026208389792</v>
      </c>
      <c r="AA147" s="10">
        <f t="shared" si="36"/>
        <v>-0.22058348839813177</v>
      </c>
      <c r="AB147" s="7">
        <f t="shared" si="35"/>
        <v>1.1141947709257443</v>
      </c>
      <c r="AC147" s="7">
        <v>1.2540166764367211</v>
      </c>
      <c r="AF147" s="7">
        <v>2.3991442783160584</v>
      </c>
    </row>
    <row r="148" spans="1:32" x14ac:dyDescent="0.25">
      <c r="A148" s="6">
        <v>41913</v>
      </c>
      <c r="B148" s="7">
        <v>2.3277772503548649E-2</v>
      </c>
      <c r="C148" s="7">
        <v>-5.3641503951176707E-2</v>
      </c>
      <c r="D148" s="7">
        <v>3.8364168342994921E-2</v>
      </c>
      <c r="E148" s="7">
        <v>-1.0759754881652915E-2</v>
      </c>
      <c r="F148" s="7">
        <v>-1.9269004824749494E-2</v>
      </c>
      <c r="G148" s="7">
        <v>2.8717355282347038E-2</v>
      </c>
      <c r="H148" s="12">
        <v>1</v>
      </c>
      <c r="I148" s="12">
        <v>1</v>
      </c>
      <c r="J148" s="23">
        <v>1</v>
      </c>
      <c r="K148" s="23">
        <v>1</v>
      </c>
      <c r="L148" s="9">
        <f t="shared" si="34"/>
        <v>3.8364168342994921E-2</v>
      </c>
      <c r="M148" s="9">
        <f t="shared" si="27"/>
        <v>0</v>
      </c>
      <c r="N148" s="9">
        <f t="shared" si="28"/>
        <v>1.0759754881652915E-2</v>
      </c>
      <c r="O148" s="9">
        <f t="shared" si="29"/>
        <v>0</v>
      </c>
      <c r="P148" s="9">
        <f t="shared" si="30"/>
        <v>-1.9269004824749494E-2</v>
      </c>
      <c r="Q148" s="9">
        <f t="shared" si="31"/>
        <v>0</v>
      </c>
      <c r="R148" s="9">
        <f t="shared" si="32"/>
        <v>1.9269004824749494E-2</v>
      </c>
      <c r="S148" s="9">
        <f t="shared" si="33"/>
        <v>0</v>
      </c>
      <c r="T148" s="10">
        <f t="shared" si="26"/>
        <v>0.56029120782487785</v>
      </c>
      <c r="U148" s="10">
        <f t="shared" si="26"/>
        <v>0.20479224414625646</v>
      </c>
      <c r="V148" s="10">
        <f t="shared" si="26"/>
        <v>-0.11717546958099674</v>
      </c>
      <c r="W148" s="10">
        <f t="shared" si="26"/>
        <v>0.5154107117602541</v>
      </c>
      <c r="X148" s="10">
        <f t="shared" si="26"/>
        <v>0.48578125725914845</v>
      </c>
      <c r="Y148" s="10">
        <f t="shared" si="36"/>
        <v>0.22058348839813177</v>
      </c>
      <c r="Z148" s="10">
        <f t="shared" si="36"/>
        <v>-0.48578125725914845</v>
      </c>
      <c r="AA148" s="10">
        <f t="shared" si="36"/>
        <v>-0.22058348839813177</v>
      </c>
      <c r="AB148" s="7">
        <f t="shared" si="35"/>
        <v>1.1633186941503921</v>
      </c>
      <c r="AC148" s="7">
        <v>1.2787301093368211</v>
      </c>
      <c r="AF148" s="7">
        <v>2.4002818414336096</v>
      </c>
    </row>
    <row r="149" spans="1:32" x14ac:dyDescent="0.25">
      <c r="A149" s="6">
        <v>41944</v>
      </c>
      <c r="B149" s="7">
        <v>2.7101695451126152E-2</v>
      </c>
      <c r="C149" s="7">
        <v>1.5051388749237574E-2</v>
      </c>
      <c r="D149" s="7">
        <v>2.5129710988590682E-3</v>
      </c>
      <c r="E149" s="7">
        <v>1.9705352742763683E-2</v>
      </c>
      <c r="F149" s="7">
        <v>8.2962181322684646E-3</v>
      </c>
      <c r="G149" s="7">
        <v>6.6192653478077254E-3</v>
      </c>
      <c r="H149" s="12">
        <v>-1</v>
      </c>
      <c r="I149" s="12">
        <v>-1</v>
      </c>
      <c r="J149" s="23">
        <v>-1</v>
      </c>
      <c r="K149" s="23">
        <v>-1</v>
      </c>
      <c r="L149" s="9">
        <f t="shared" si="34"/>
        <v>0</v>
      </c>
      <c r="M149" s="9">
        <f t="shared" si="27"/>
        <v>-2.5129710988590682E-3</v>
      </c>
      <c r="N149" s="9">
        <f t="shared" si="28"/>
        <v>0</v>
      </c>
      <c r="O149" s="9">
        <f t="shared" si="29"/>
        <v>1.9705352742763683E-2</v>
      </c>
      <c r="P149" s="9">
        <f t="shared" si="30"/>
        <v>0</v>
      </c>
      <c r="Q149" s="9">
        <f t="shared" si="31"/>
        <v>-8.2962181322684646E-3</v>
      </c>
      <c r="R149" s="9">
        <f t="shared" si="32"/>
        <v>0</v>
      </c>
      <c r="S149" s="9">
        <f t="shared" si="33"/>
        <v>8.2962181322684646E-3</v>
      </c>
      <c r="T149" s="10">
        <f t="shared" si="26"/>
        <v>0.56029120782487785</v>
      </c>
      <c r="U149" s="10">
        <f t="shared" si="26"/>
        <v>0.2022792730473974</v>
      </c>
      <c r="V149" s="10">
        <f t="shared" si="26"/>
        <v>-0.11717546958099674</v>
      </c>
      <c r="W149" s="10">
        <f t="shared" si="26"/>
        <v>0.53511606450301774</v>
      </c>
      <c r="X149" s="10">
        <f t="shared" si="26"/>
        <v>0.48578125725914845</v>
      </c>
      <c r="Y149" s="10">
        <f t="shared" si="36"/>
        <v>0.2122872702658633</v>
      </c>
      <c r="Z149" s="10">
        <f t="shared" si="36"/>
        <v>-0.48578125725914845</v>
      </c>
      <c r="AA149" s="10">
        <f t="shared" si="36"/>
        <v>-0.2122872702658633</v>
      </c>
      <c r="AB149" s="7">
        <f t="shared" si="35"/>
        <v>1.1805110757942967</v>
      </c>
      <c r="AC149" s="7">
        <v>1.305915988652709</v>
      </c>
      <c r="AF149" s="7">
        <v>2.4157972702930532</v>
      </c>
    </row>
    <row r="150" spans="1:32" x14ac:dyDescent="0.25">
      <c r="A150" s="6">
        <v>41974</v>
      </c>
      <c r="B150" s="7">
        <v>-2.5400820762295131E-3</v>
      </c>
      <c r="C150" s="7">
        <v>-2.7266995987417945E-2</v>
      </c>
      <c r="D150" s="7">
        <v>-4.7567984747656725E-3</v>
      </c>
      <c r="E150" s="7">
        <v>2.5119777857141711E-3</v>
      </c>
      <c r="F150" s="7">
        <v>3.8531815807434262E-3</v>
      </c>
      <c r="G150" s="7">
        <v>-9.2316654151431577E-3</v>
      </c>
      <c r="H150" s="12">
        <v>1</v>
      </c>
      <c r="I150" s="12">
        <v>1</v>
      </c>
      <c r="J150" s="23">
        <v>1</v>
      </c>
      <c r="K150" s="23">
        <v>1</v>
      </c>
      <c r="L150" s="9">
        <f t="shared" si="34"/>
        <v>-4.7567984747656725E-3</v>
      </c>
      <c r="M150" s="9">
        <f t="shared" si="27"/>
        <v>0</v>
      </c>
      <c r="N150" s="9">
        <f t="shared" si="28"/>
        <v>-2.5119777857141711E-3</v>
      </c>
      <c r="O150" s="9">
        <f t="shared" si="29"/>
        <v>0</v>
      </c>
      <c r="P150" s="9">
        <f t="shared" si="30"/>
        <v>3.8531815807434262E-3</v>
      </c>
      <c r="Q150" s="9">
        <f t="shared" si="31"/>
        <v>0</v>
      </c>
      <c r="R150" s="9">
        <f t="shared" si="32"/>
        <v>-3.8531815807434262E-3</v>
      </c>
      <c r="S150" s="9">
        <f t="shared" si="33"/>
        <v>0</v>
      </c>
      <c r="T150" s="10">
        <f t="shared" si="26"/>
        <v>0.55553440935011222</v>
      </c>
      <c r="U150" s="10">
        <f t="shared" si="26"/>
        <v>0.2022792730473974</v>
      </c>
      <c r="V150" s="10">
        <f t="shared" si="26"/>
        <v>-0.11968744736671091</v>
      </c>
      <c r="W150" s="10">
        <f t="shared" si="26"/>
        <v>0.53511606450301774</v>
      </c>
      <c r="X150" s="10">
        <f t="shared" si="26"/>
        <v>0.48963443883989188</v>
      </c>
      <c r="Y150" s="10">
        <f t="shared" si="36"/>
        <v>0.2122872702658633</v>
      </c>
      <c r="Z150" s="10">
        <f t="shared" si="36"/>
        <v>-0.48963443883989188</v>
      </c>
      <c r="AA150" s="10">
        <f t="shared" si="36"/>
        <v>-0.2122872702658633</v>
      </c>
      <c r="AB150" s="7">
        <f t="shared" si="35"/>
        <v>1.1732422995338168</v>
      </c>
      <c r="AC150" s="7">
        <v>1.304364953963709</v>
      </c>
      <c r="AF150" s="7">
        <v>2.4216133410284599</v>
      </c>
    </row>
    <row r="151" spans="1:32" x14ac:dyDescent="0.25">
      <c r="A151" s="6">
        <v>42005</v>
      </c>
      <c r="B151" s="7">
        <v>-3.0077138355879652E-2</v>
      </c>
      <c r="C151" s="7">
        <v>-7.0699789050467129E-2</v>
      </c>
      <c r="D151" s="7">
        <v>-2.7300373913802391E-2</v>
      </c>
      <c r="E151" s="7">
        <v>2.5711127852013214E-2</v>
      </c>
      <c r="F151" s="7">
        <v>1.7496835100417746E-3</v>
      </c>
      <c r="G151" s="7">
        <v>2.9191989193135804E-2</v>
      </c>
      <c r="H151" s="12">
        <v>1</v>
      </c>
      <c r="I151" s="12">
        <v>-1</v>
      </c>
      <c r="J151" s="23">
        <v>1</v>
      </c>
      <c r="K151" s="23">
        <v>-1</v>
      </c>
      <c r="L151" s="9">
        <f t="shared" si="34"/>
        <v>-2.7300373913802391E-2</v>
      </c>
      <c r="M151" s="9">
        <f t="shared" si="27"/>
        <v>0</v>
      </c>
      <c r="N151" s="9">
        <f t="shared" si="28"/>
        <v>-2.5711127852013214E-2</v>
      </c>
      <c r="O151" s="9">
        <f t="shared" si="29"/>
        <v>0</v>
      </c>
      <c r="P151" s="9">
        <f t="shared" si="30"/>
        <v>0</v>
      </c>
      <c r="Q151" s="9">
        <f t="shared" si="31"/>
        <v>-1.7496835100417746E-3</v>
      </c>
      <c r="R151" s="9">
        <f t="shared" si="32"/>
        <v>0</v>
      </c>
      <c r="S151" s="9">
        <f t="shared" si="33"/>
        <v>1.7496835100417746E-3</v>
      </c>
      <c r="T151" s="10">
        <f t="shared" si="26"/>
        <v>0.52823403543630987</v>
      </c>
      <c r="U151" s="10">
        <f t="shared" si="26"/>
        <v>0.2022792730473974</v>
      </c>
      <c r="V151" s="10">
        <f t="shared" si="26"/>
        <v>-0.14539857521872412</v>
      </c>
      <c r="W151" s="10">
        <f t="shared" si="26"/>
        <v>0.53511606450301774</v>
      </c>
      <c r="X151" s="10">
        <f t="shared" si="26"/>
        <v>0.48963443883989188</v>
      </c>
      <c r="Y151" s="10">
        <f t="shared" si="36"/>
        <v>0.21053758675582152</v>
      </c>
      <c r="Z151" s="10">
        <f t="shared" si="36"/>
        <v>-0.48963443883989188</v>
      </c>
      <c r="AA151" s="10">
        <f t="shared" si="36"/>
        <v>-0.21053758675582152</v>
      </c>
      <c r="AB151" s="7">
        <f t="shared" si="35"/>
        <v>1.1202307977680011</v>
      </c>
      <c r="AC151" s="7">
        <v>1.2753787917021839</v>
      </c>
      <c r="AF151" s="7">
        <v>2.3960441449457384</v>
      </c>
    </row>
    <row r="152" spans="1:32" x14ac:dyDescent="0.25">
      <c r="A152" s="6">
        <v>42036</v>
      </c>
      <c r="B152" s="7">
        <v>5.4682108409737744E-2</v>
      </c>
      <c r="C152" s="7">
        <v>0.13259843447997532</v>
      </c>
      <c r="D152" s="7">
        <v>-2.6072343328967431E-3</v>
      </c>
      <c r="E152" s="7">
        <v>1.1961143697534623E-2</v>
      </c>
      <c r="F152" s="7">
        <v>3.012602647126322E-2</v>
      </c>
      <c r="G152" s="7">
        <v>-5.2368750151624968E-2</v>
      </c>
      <c r="H152" s="12">
        <v>-1</v>
      </c>
      <c r="I152" s="12">
        <v>-1</v>
      </c>
      <c r="J152" s="23">
        <v>-1</v>
      </c>
      <c r="K152" s="23">
        <v>-1</v>
      </c>
      <c r="L152" s="9">
        <f t="shared" si="34"/>
        <v>0</v>
      </c>
      <c r="M152" s="9">
        <f t="shared" si="27"/>
        <v>2.6072343328967431E-3</v>
      </c>
      <c r="N152" s="9">
        <f t="shared" si="28"/>
        <v>0</v>
      </c>
      <c r="O152" s="9">
        <f t="shared" si="29"/>
        <v>1.1961143697534623E-2</v>
      </c>
      <c r="P152" s="9">
        <f t="shared" si="30"/>
        <v>0</v>
      </c>
      <c r="Q152" s="9">
        <f t="shared" si="31"/>
        <v>-3.012602647126322E-2</v>
      </c>
      <c r="R152" s="9">
        <f t="shared" si="32"/>
        <v>0</v>
      </c>
      <c r="S152" s="9">
        <f t="shared" si="33"/>
        <v>3.012602647126322E-2</v>
      </c>
      <c r="T152" s="10">
        <f t="shared" si="26"/>
        <v>0.52823403543630987</v>
      </c>
      <c r="U152" s="10">
        <f t="shared" si="26"/>
        <v>0.20488650738029415</v>
      </c>
      <c r="V152" s="10">
        <f t="shared" si="26"/>
        <v>-0.14539857521872412</v>
      </c>
      <c r="W152" s="10">
        <f t="shared" si="26"/>
        <v>0.54707720820055239</v>
      </c>
      <c r="X152" s="10">
        <f t="shared" si="26"/>
        <v>0.48963443883989188</v>
      </c>
      <c r="Y152" s="10">
        <f t="shared" si="36"/>
        <v>0.18041156028455829</v>
      </c>
      <c r="Z152" s="10">
        <f t="shared" si="36"/>
        <v>-0.48963443883989188</v>
      </c>
      <c r="AA152" s="10">
        <f t="shared" si="36"/>
        <v>-0.18041156028455829</v>
      </c>
      <c r="AB152" s="7">
        <f t="shared" si="35"/>
        <v>1.1347991757984324</v>
      </c>
      <c r="AC152" s="7">
        <v>1.3304529367518789</v>
      </c>
      <c r="AF152" s="7">
        <v>2.3281177463532816</v>
      </c>
    </row>
    <row r="153" spans="1:32" x14ac:dyDescent="0.25">
      <c r="A153" s="6">
        <v>42064</v>
      </c>
      <c r="B153" s="7">
        <v>-1.5830436461085864E-2</v>
      </c>
      <c r="C153" s="7">
        <v>-1.3851110603715921E-2</v>
      </c>
      <c r="D153" s="7">
        <v>-1.9096523008057423E-2</v>
      </c>
      <c r="E153" s="7">
        <v>-6.2547408141788701E-3</v>
      </c>
      <c r="F153" s="7">
        <v>-1.5114157304979031E-2</v>
      </c>
      <c r="G153" s="7">
        <v>-4.5724602445418344E-2</v>
      </c>
      <c r="H153" s="12">
        <v>1</v>
      </c>
      <c r="I153" s="12">
        <v>1</v>
      </c>
      <c r="J153" s="23">
        <v>1</v>
      </c>
      <c r="K153" s="23">
        <v>1</v>
      </c>
      <c r="L153" s="9">
        <f t="shared" si="34"/>
        <v>-1.9096523008057423E-2</v>
      </c>
      <c r="M153" s="9">
        <f t="shared" si="27"/>
        <v>0</v>
      </c>
      <c r="N153" s="9">
        <f t="shared" si="28"/>
        <v>6.2547408141788701E-3</v>
      </c>
      <c r="O153" s="9">
        <f t="shared" si="29"/>
        <v>0</v>
      </c>
      <c r="P153" s="9">
        <f t="shared" si="30"/>
        <v>-1.5114157304979031E-2</v>
      </c>
      <c r="Q153" s="9">
        <f t="shared" si="31"/>
        <v>0</v>
      </c>
      <c r="R153" s="9">
        <f t="shared" si="32"/>
        <v>1.5114157304979031E-2</v>
      </c>
      <c r="S153" s="9">
        <f t="shared" si="33"/>
        <v>0</v>
      </c>
      <c r="T153" s="10">
        <f t="shared" si="26"/>
        <v>0.50913751242825245</v>
      </c>
      <c r="U153" s="10">
        <f t="shared" si="26"/>
        <v>0.20488650738029415</v>
      </c>
      <c r="V153" s="10">
        <f t="shared" si="26"/>
        <v>-0.13914383440454525</v>
      </c>
      <c r="W153" s="10">
        <f t="shared" si="26"/>
        <v>0.54707720820055239</v>
      </c>
      <c r="X153" s="10">
        <f t="shared" si="26"/>
        <v>0.47452028153491288</v>
      </c>
      <c r="Y153" s="10">
        <f t="shared" si="36"/>
        <v>0.18041156028455829</v>
      </c>
      <c r="Z153" s="10">
        <f t="shared" si="36"/>
        <v>-0.47452028153491288</v>
      </c>
      <c r="AA153" s="10">
        <f t="shared" si="36"/>
        <v>-0.18041156028455829</v>
      </c>
      <c r="AB153" s="7">
        <f t="shared" si="35"/>
        <v>1.1219573936045537</v>
      </c>
      <c r="AC153" s="7">
        <v>1.3154614679970931</v>
      </c>
      <c r="AF153" s="7">
        <v>2.3458864092998422</v>
      </c>
    </row>
    <row r="154" spans="1:32" x14ac:dyDescent="0.25">
      <c r="A154" s="6">
        <v>42095</v>
      </c>
      <c r="B154" s="7">
        <v>9.7858249923448888E-3</v>
      </c>
      <c r="C154" s="7">
        <v>4.1038420983999575E-2</v>
      </c>
      <c r="D154" s="7">
        <v>-1.0355893863015015E-2</v>
      </c>
      <c r="E154" s="7">
        <v>-1.3955240408851044E-2</v>
      </c>
      <c r="F154" s="7">
        <v>7.4805965369962634E-3</v>
      </c>
      <c r="G154" s="7">
        <v>5.4520331312920417E-3</v>
      </c>
      <c r="H154" s="12">
        <v>-1</v>
      </c>
      <c r="I154" s="12">
        <v>-1</v>
      </c>
      <c r="J154" s="23">
        <v>-1</v>
      </c>
      <c r="K154" s="23">
        <v>-1</v>
      </c>
      <c r="L154" s="9">
        <f t="shared" si="34"/>
        <v>0</v>
      </c>
      <c r="M154" s="9">
        <f t="shared" si="27"/>
        <v>1.0355893863015015E-2</v>
      </c>
      <c r="N154" s="9">
        <f t="shared" si="28"/>
        <v>0</v>
      </c>
      <c r="O154" s="9">
        <f t="shared" si="29"/>
        <v>-1.3955240408851044E-2</v>
      </c>
      <c r="P154" s="9">
        <f t="shared" si="30"/>
        <v>0</v>
      </c>
      <c r="Q154" s="9">
        <f t="shared" si="31"/>
        <v>-7.4805965369962634E-3</v>
      </c>
      <c r="R154" s="9">
        <f t="shared" si="32"/>
        <v>0</v>
      </c>
      <c r="S154" s="9">
        <f t="shared" si="33"/>
        <v>7.4805965369962634E-3</v>
      </c>
      <c r="T154" s="10">
        <f t="shared" si="26"/>
        <v>0.50913751242825245</v>
      </c>
      <c r="U154" s="10">
        <f t="shared" si="26"/>
        <v>0.21524240124330918</v>
      </c>
      <c r="V154" s="10">
        <f t="shared" si="26"/>
        <v>-0.13914383440454525</v>
      </c>
      <c r="W154" s="10">
        <f t="shared" si="26"/>
        <v>0.5331219677917014</v>
      </c>
      <c r="X154" s="10">
        <f t="shared" si="26"/>
        <v>0.47452028153491288</v>
      </c>
      <c r="Y154" s="10">
        <f t="shared" si="36"/>
        <v>0.17293096374756203</v>
      </c>
      <c r="Z154" s="10">
        <f t="shared" si="36"/>
        <v>-0.47452028153491288</v>
      </c>
      <c r="AA154" s="10">
        <f t="shared" si="36"/>
        <v>-0.17293096374756203</v>
      </c>
      <c r="AB154" s="7">
        <f t="shared" si="35"/>
        <v>1.1183580470587178</v>
      </c>
      <c r="AC154" s="7">
        <v>1.325537907995324</v>
      </c>
      <c r="AF154" s="7">
        <v>2.3402584993483018</v>
      </c>
    </row>
    <row r="155" spans="1:32" x14ac:dyDescent="0.25">
      <c r="A155" s="6">
        <v>42125</v>
      </c>
      <c r="B155" s="7">
        <v>1.2774392163248202E-2</v>
      </c>
      <c r="C155" s="7">
        <v>6.7319854623018691E-2</v>
      </c>
      <c r="D155" s="7">
        <v>-1.111529005607859E-2</v>
      </c>
      <c r="E155" s="7">
        <v>1.9420032067166186E-2</v>
      </c>
      <c r="F155" s="7">
        <v>1.9650585500238949E-3</v>
      </c>
      <c r="G155" s="7">
        <v>-2.8339030536422463E-2</v>
      </c>
      <c r="H155" s="12">
        <v>-1</v>
      </c>
      <c r="I155" s="12">
        <v>1</v>
      </c>
      <c r="J155" s="23">
        <v>-1</v>
      </c>
      <c r="K155" s="23">
        <v>1</v>
      </c>
      <c r="L155" s="9">
        <f t="shared" si="34"/>
        <v>0</v>
      </c>
      <c r="M155" s="9">
        <f t="shared" si="27"/>
        <v>1.111529005607859E-2</v>
      </c>
      <c r="N155" s="9">
        <f t="shared" si="28"/>
        <v>0</v>
      </c>
      <c r="O155" s="9">
        <f t="shared" si="29"/>
        <v>1.9420032067166186E-2</v>
      </c>
      <c r="P155" s="9">
        <f t="shared" si="30"/>
        <v>1.9650585500238949E-3</v>
      </c>
      <c r="Q155" s="9">
        <f t="shared" si="31"/>
        <v>0</v>
      </c>
      <c r="R155" s="9">
        <f t="shared" si="32"/>
        <v>-1.9650585500238949E-3</v>
      </c>
      <c r="S155" s="9">
        <f t="shared" si="33"/>
        <v>0</v>
      </c>
      <c r="T155" s="10">
        <f t="shared" ref="T155:X218" si="37">L155+T154</f>
        <v>0.50913751242825245</v>
      </c>
      <c r="U155" s="10">
        <f t="shared" si="37"/>
        <v>0.22635769129938776</v>
      </c>
      <c r="V155" s="10">
        <f t="shared" si="37"/>
        <v>-0.13914383440454525</v>
      </c>
      <c r="W155" s="10">
        <f t="shared" si="37"/>
        <v>0.55254199985886754</v>
      </c>
      <c r="X155" s="10">
        <f t="shared" si="37"/>
        <v>0.47648534008493676</v>
      </c>
      <c r="Y155" s="10">
        <f t="shared" si="36"/>
        <v>0.17293096374756203</v>
      </c>
      <c r="Z155" s="10">
        <f t="shared" si="36"/>
        <v>-0.47648534008493676</v>
      </c>
      <c r="AA155" s="10">
        <f t="shared" si="36"/>
        <v>-0.17293096374756203</v>
      </c>
      <c r="AB155" s="7">
        <f t="shared" si="35"/>
        <v>1.1488933691819625</v>
      </c>
      <c r="AC155" s="7">
        <v>1.3387488677839821</v>
      </c>
      <c r="AF155" s="7">
        <v>2.401097910557993</v>
      </c>
    </row>
    <row r="156" spans="1:32" x14ac:dyDescent="0.25">
      <c r="A156" s="6">
        <v>42156</v>
      </c>
      <c r="B156" s="7">
        <v>-2.0521157444240472E-2</v>
      </c>
      <c r="C156" s="7">
        <v>3.1163276315692066E-2</v>
      </c>
      <c r="D156" s="7">
        <v>-2.3809079336050955E-2</v>
      </c>
      <c r="E156" s="7">
        <v>-1.3697034469442378E-2</v>
      </c>
      <c r="F156" s="7">
        <v>-6.5098595877133691E-3</v>
      </c>
      <c r="G156" s="7">
        <v>-4.0381752071421091E-2</v>
      </c>
      <c r="H156" s="12">
        <v>-1</v>
      </c>
      <c r="I156" s="12">
        <v>1</v>
      </c>
      <c r="J156" s="23">
        <v>-1</v>
      </c>
      <c r="K156" s="23">
        <v>1</v>
      </c>
      <c r="L156" s="9">
        <f t="shared" si="34"/>
        <v>0</v>
      </c>
      <c r="M156" s="9">
        <f t="shared" si="27"/>
        <v>2.3809079336050955E-2</v>
      </c>
      <c r="N156" s="9">
        <f t="shared" si="28"/>
        <v>0</v>
      </c>
      <c r="O156" s="9">
        <f t="shared" si="29"/>
        <v>-1.3697034469442378E-2</v>
      </c>
      <c r="P156" s="9">
        <f t="shared" si="30"/>
        <v>-6.5098595877133691E-3</v>
      </c>
      <c r="Q156" s="9">
        <f t="shared" si="31"/>
        <v>0</v>
      </c>
      <c r="R156" s="9">
        <f t="shared" si="32"/>
        <v>6.5098595877133691E-3</v>
      </c>
      <c r="S156" s="9">
        <f t="shared" si="33"/>
        <v>0</v>
      </c>
      <c r="T156" s="10">
        <f t="shared" si="37"/>
        <v>0.50913751242825245</v>
      </c>
      <c r="U156" s="10">
        <f t="shared" si="37"/>
        <v>0.25016677063543874</v>
      </c>
      <c r="V156" s="10">
        <f t="shared" si="37"/>
        <v>-0.13914383440454525</v>
      </c>
      <c r="W156" s="10">
        <f t="shared" si="37"/>
        <v>0.53884496538942517</v>
      </c>
      <c r="X156" s="10">
        <f t="shared" si="37"/>
        <v>0.46997548049722337</v>
      </c>
      <c r="Y156" s="10">
        <f t="shared" si="36"/>
        <v>0.17293096374756203</v>
      </c>
      <c r="Z156" s="10">
        <f t="shared" si="36"/>
        <v>-0.46997548049722337</v>
      </c>
      <c r="AA156" s="10">
        <f t="shared" si="36"/>
        <v>-0.17293096374756203</v>
      </c>
      <c r="AB156" s="7">
        <f t="shared" si="35"/>
        <v>1.159005414048571</v>
      </c>
      <c r="AC156" s="7">
        <v>1.3187544363003301</v>
      </c>
      <c r="AF156" s="7">
        <v>2.4450818479083094</v>
      </c>
    </row>
    <row r="157" spans="1:32" x14ac:dyDescent="0.25">
      <c r="A157" s="6">
        <v>42186</v>
      </c>
      <c r="B157" s="7">
        <v>2.2337821735104964E-2</v>
      </c>
      <c r="C157" s="7">
        <v>6.2088838354534184E-3</v>
      </c>
      <c r="D157" s="7">
        <v>-4.1244751796122416E-3</v>
      </c>
      <c r="E157" s="7">
        <v>2.4203098919391156E-2</v>
      </c>
      <c r="F157" s="7">
        <v>-6.4332078092742412E-3</v>
      </c>
      <c r="G157" s="7">
        <v>2.6005983252300129E-2</v>
      </c>
      <c r="H157" s="12">
        <v>-1</v>
      </c>
      <c r="I157" s="12">
        <v>1</v>
      </c>
      <c r="J157" s="23">
        <v>-1</v>
      </c>
      <c r="K157" s="23">
        <v>1</v>
      </c>
      <c r="L157" s="9">
        <f t="shared" si="34"/>
        <v>0</v>
      </c>
      <c r="M157" s="9">
        <f t="shared" si="27"/>
        <v>4.1244751796122416E-3</v>
      </c>
      <c r="N157" s="9">
        <f t="shared" si="28"/>
        <v>0</v>
      </c>
      <c r="O157" s="9">
        <f t="shared" si="29"/>
        <v>2.4203098919391156E-2</v>
      </c>
      <c r="P157" s="9">
        <f t="shared" si="30"/>
        <v>-6.4332078092742412E-3</v>
      </c>
      <c r="Q157" s="9">
        <f t="shared" si="31"/>
        <v>0</v>
      </c>
      <c r="R157" s="9">
        <f t="shared" si="32"/>
        <v>6.4332078092742412E-3</v>
      </c>
      <c r="S157" s="9">
        <f t="shared" si="33"/>
        <v>0</v>
      </c>
      <c r="T157" s="10">
        <f t="shared" si="37"/>
        <v>0.50913751242825245</v>
      </c>
      <c r="U157" s="10">
        <f t="shared" si="37"/>
        <v>0.25429124581505097</v>
      </c>
      <c r="V157" s="10">
        <f t="shared" si="37"/>
        <v>-0.13914383440454525</v>
      </c>
      <c r="W157" s="10">
        <f t="shared" si="37"/>
        <v>0.56304806430881638</v>
      </c>
      <c r="X157" s="10">
        <f t="shared" si="37"/>
        <v>0.46354227268794912</v>
      </c>
      <c r="Y157" s="10">
        <f t="shared" si="36"/>
        <v>0.17293096374756203</v>
      </c>
      <c r="Z157" s="10">
        <f t="shared" si="36"/>
        <v>-0.46354227268794912</v>
      </c>
      <c r="AA157" s="10">
        <f t="shared" si="36"/>
        <v>-0.17293096374756203</v>
      </c>
      <c r="AB157" s="7">
        <f t="shared" si="35"/>
        <v>1.1873329881475745</v>
      </c>
      <c r="AC157" s="7">
        <v>1.3416696328260129</v>
      </c>
      <c r="AF157" s="7">
        <v>2.4409702309457386</v>
      </c>
    </row>
    <row r="158" spans="1:32" x14ac:dyDescent="0.25">
      <c r="A158" s="6">
        <v>42217</v>
      </c>
      <c r="B158" s="7">
        <v>-6.2887021100616863E-2</v>
      </c>
      <c r="C158" s="7">
        <v>-9.5354494814687524E-2</v>
      </c>
      <c r="D158" s="7">
        <v>-8.0953972423731917E-4</v>
      </c>
      <c r="E158" s="7">
        <v>-4.0195584245480739E-2</v>
      </c>
      <c r="F158" s="7">
        <v>-1.218806252468007E-2</v>
      </c>
      <c r="G158" s="7">
        <v>1.6845244317525061E-2</v>
      </c>
      <c r="H158" s="12">
        <v>1</v>
      </c>
      <c r="I158" s="12">
        <v>1</v>
      </c>
      <c r="J158" s="23">
        <v>1</v>
      </c>
      <c r="K158" s="23">
        <v>1</v>
      </c>
      <c r="L158" s="9">
        <f t="shared" si="34"/>
        <v>-8.0953972423731917E-4</v>
      </c>
      <c r="M158" s="9">
        <f t="shared" si="27"/>
        <v>0</v>
      </c>
      <c r="N158" s="9">
        <f t="shared" si="28"/>
        <v>4.0195584245480739E-2</v>
      </c>
      <c r="O158" s="9">
        <f t="shared" si="29"/>
        <v>0</v>
      </c>
      <c r="P158" s="9">
        <f t="shared" si="30"/>
        <v>-1.218806252468007E-2</v>
      </c>
      <c r="Q158" s="9">
        <f t="shared" si="31"/>
        <v>0</v>
      </c>
      <c r="R158" s="9">
        <f t="shared" si="32"/>
        <v>1.218806252468007E-2</v>
      </c>
      <c r="S158" s="9">
        <f t="shared" si="33"/>
        <v>0</v>
      </c>
      <c r="T158" s="10">
        <f t="shared" si="37"/>
        <v>0.50832797270401509</v>
      </c>
      <c r="U158" s="10">
        <f t="shared" si="37"/>
        <v>0.25429124581505097</v>
      </c>
      <c r="V158" s="10">
        <f t="shared" si="37"/>
        <v>-9.8948250159064513E-2</v>
      </c>
      <c r="W158" s="10">
        <f t="shared" si="37"/>
        <v>0.56304806430881638</v>
      </c>
      <c r="X158" s="10">
        <f t="shared" si="37"/>
        <v>0.45135421016326904</v>
      </c>
      <c r="Y158" s="10">
        <f t="shared" si="36"/>
        <v>0.17293096374756203</v>
      </c>
      <c r="Z158" s="10">
        <f t="shared" si="36"/>
        <v>-0.45135421016326904</v>
      </c>
      <c r="AA158" s="10">
        <f t="shared" si="36"/>
        <v>-0.17293096374756203</v>
      </c>
      <c r="AB158" s="7">
        <f t="shared" si="35"/>
        <v>1.226719032668818</v>
      </c>
      <c r="AC158" s="7">
        <v>1.2817285655563391</v>
      </c>
      <c r="AF158" s="7">
        <v>2.4513229686247771</v>
      </c>
    </row>
    <row r="159" spans="1:32" x14ac:dyDescent="0.25">
      <c r="A159" s="6">
        <v>42248</v>
      </c>
      <c r="B159" s="7">
        <v>-2.5846755755736188E-2</v>
      </c>
      <c r="C159" s="7">
        <v>-1.9148062031934934E-2</v>
      </c>
      <c r="D159" s="7">
        <v>-1.1827538096814309E-2</v>
      </c>
      <c r="E159" s="7">
        <v>1.4348772094628426E-2</v>
      </c>
      <c r="F159" s="7">
        <v>-1.2148979169161432E-3</v>
      </c>
      <c r="G159" s="7">
        <v>-2.3722182186536999E-3</v>
      </c>
      <c r="H159" s="12">
        <v>1</v>
      </c>
      <c r="I159" s="12">
        <v>-1</v>
      </c>
      <c r="J159" s="23">
        <v>1</v>
      </c>
      <c r="K159" s="23">
        <v>-1</v>
      </c>
      <c r="L159" s="9">
        <f t="shared" si="34"/>
        <v>-1.1827538096814309E-2</v>
      </c>
      <c r="M159" s="9">
        <f t="shared" si="27"/>
        <v>0</v>
      </c>
      <c r="N159" s="9">
        <f t="shared" si="28"/>
        <v>-1.4348772094628426E-2</v>
      </c>
      <c r="O159" s="9">
        <f t="shared" si="29"/>
        <v>0</v>
      </c>
      <c r="P159" s="9">
        <f t="shared" si="30"/>
        <v>0</v>
      </c>
      <c r="Q159" s="9">
        <f t="shared" si="31"/>
        <v>1.2148979169161432E-3</v>
      </c>
      <c r="R159" s="9">
        <f t="shared" si="32"/>
        <v>0</v>
      </c>
      <c r="S159" s="9">
        <f t="shared" si="33"/>
        <v>-1.2148979169161432E-3</v>
      </c>
      <c r="T159" s="10">
        <f t="shared" si="37"/>
        <v>0.49650043460720078</v>
      </c>
      <c r="U159" s="10">
        <f t="shared" si="37"/>
        <v>0.25429124581505097</v>
      </c>
      <c r="V159" s="10">
        <f t="shared" si="37"/>
        <v>-0.11329702225369294</v>
      </c>
      <c r="W159" s="10">
        <f t="shared" si="37"/>
        <v>0.56304806430881638</v>
      </c>
      <c r="X159" s="10">
        <f t="shared" si="37"/>
        <v>0.45135421016326904</v>
      </c>
      <c r="Y159" s="10">
        <f t="shared" si="36"/>
        <v>0.17414586166447818</v>
      </c>
      <c r="Z159" s="10">
        <f t="shared" si="36"/>
        <v>-0.45135421016326904</v>
      </c>
      <c r="AA159" s="10">
        <f t="shared" si="36"/>
        <v>-0.17414586166447818</v>
      </c>
      <c r="AB159" s="7">
        <f t="shared" si="35"/>
        <v>1.2005427224773753</v>
      </c>
      <c r="AC159" s="7">
        <v>1.257913158857128</v>
      </c>
      <c r="AF159" s="7">
        <v>2.4239893381315967</v>
      </c>
    </row>
    <row r="160" spans="1:32" x14ac:dyDescent="0.25">
      <c r="A160" s="6">
        <v>42278</v>
      </c>
      <c r="B160" s="7">
        <v>8.1634835094434213E-2</v>
      </c>
      <c r="C160" s="7">
        <v>4.5764314759900657E-2</v>
      </c>
      <c r="D160" s="7">
        <v>2.9676485496842271E-2</v>
      </c>
      <c r="E160" s="7">
        <v>-1.0290644709048386E-2</v>
      </c>
      <c r="F160" s="7">
        <v>3.9796415105877808E-2</v>
      </c>
      <c r="G160" s="7">
        <v>-2.3874349834909535E-3</v>
      </c>
      <c r="H160" s="12">
        <v>-1</v>
      </c>
      <c r="I160" s="12">
        <v>-1</v>
      </c>
      <c r="J160" s="23">
        <v>-1</v>
      </c>
      <c r="K160" s="23">
        <v>-1</v>
      </c>
      <c r="L160" s="9">
        <f t="shared" si="34"/>
        <v>0</v>
      </c>
      <c r="M160" s="9">
        <f t="shared" si="27"/>
        <v>-2.9676485496842271E-2</v>
      </c>
      <c r="N160" s="9">
        <f t="shared" si="28"/>
        <v>0</v>
      </c>
      <c r="O160" s="9">
        <f t="shared" si="29"/>
        <v>-1.0290644709048386E-2</v>
      </c>
      <c r="P160" s="9">
        <f t="shared" si="30"/>
        <v>0</v>
      </c>
      <c r="Q160" s="9">
        <f t="shared" si="31"/>
        <v>-3.9796415105877808E-2</v>
      </c>
      <c r="R160" s="9">
        <f t="shared" si="32"/>
        <v>0</v>
      </c>
      <c r="S160" s="9">
        <f t="shared" si="33"/>
        <v>3.9796415105877808E-2</v>
      </c>
      <c r="T160" s="10">
        <f t="shared" si="37"/>
        <v>0.49650043460720078</v>
      </c>
      <c r="U160" s="10">
        <f t="shared" si="37"/>
        <v>0.22461476031820871</v>
      </c>
      <c r="V160" s="10">
        <f t="shared" si="37"/>
        <v>-0.11329702225369294</v>
      </c>
      <c r="W160" s="10">
        <f t="shared" si="37"/>
        <v>0.55275741959976799</v>
      </c>
      <c r="X160" s="10">
        <f t="shared" si="37"/>
        <v>0.45135421016326904</v>
      </c>
      <c r="Y160" s="10">
        <f t="shared" si="36"/>
        <v>0.13434944655860037</v>
      </c>
      <c r="Z160" s="10">
        <f t="shared" si="36"/>
        <v>-0.45135421016326904</v>
      </c>
      <c r="AA160" s="10">
        <f t="shared" si="36"/>
        <v>-0.13434944655860037</v>
      </c>
      <c r="AB160" s="7">
        <f t="shared" si="35"/>
        <v>1.1605755922714847</v>
      </c>
      <c r="AC160" s="7">
        <v>1.340356917822078</v>
      </c>
      <c r="AF160" s="7">
        <v>2.3418383578363371</v>
      </c>
    </row>
    <row r="161" spans="1:32" x14ac:dyDescent="0.25">
      <c r="A161" s="6">
        <v>42309</v>
      </c>
      <c r="B161" s="7">
        <v>3.648361957249417E-3</v>
      </c>
      <c r="C161" s="7">
        <v>2.3597157568039928E-2</v>
      </c>
      <c r="D161" s="7">
        <v>-2.9665905124825896E-3</v>
      </c>
      <c r="E161" s="7">
        <v>8.267848881129353E-3</v>
      </c>
      <c r="F161" s="7">
        <v>1.0096481605360821E-2</v>
      </c>
      <c r="G161" s="7">
        <v>-2.9093910193103013E-2</v>
      </c>
      <c r="H161" s="12">
        <v>-1</v>
      </c>
      <c r="I161" s="12">
        <v>1</v>
      </c>
      <c r="J161" s="23">
        <v>-1</v>
      </c>
      <c r="K161" s="23">
        <v>1</v>
      </c>
      <c r="L161" s="9">
        <f t="shared" si="34"/>
        <v>0</v>
      </c>
      <c r="M161" s="9">
        <f t="shared" si="27"/>
        <v>2.9665905124825896E-3</v>
      </c>
      <c r="N161" s="9">
        <f t="shared" si="28"/>
        <v>0</v>
      </c>
      <c r="O161" s="9">
        <f t="shared" si="29"/>
        <v>8.267848881129353E-3</v>
      </c>
      <c r="P161" s="9">
        <f t="shared" si="30"/>
        <v>1.0096481605360821E-2</v>
      </c>
      <c r="Q161" s="9">
        <f t="shared" si="31"/>
        <v>0</v>
      </c>
      <c r="R161" s="9">
        <f t="shared" si="32"/>
        <v>-1.0096481605360821E-2</v>
      </c>
      <c r="S161" s="9">
        <f t="shared" si="33"/>
        <v>0</v>
      </c>
      <c r="T161" s="10">
        <f t="shared" si="37"/>
        <v>0.49650043460720078</v>
      </c>
      <c r="U161" s="10">
        <f t="shared" si="37"/>
        <v>0.22758135083069131</v>
      </c>
      <c r="V161" s="10">
        <f t="shared" si="37"/>
        <v>-0.11329702225369294</v>
      </c>
      <c r="W161" s="10">
        <f t="shared" si="37"/>
        <v>0.56102526848089729</v>
      </c>
      <c r="X161" s="10">
        <f t="shared" si="37"/>
        <v>0.46145069176862985</v>
      </c>
      <c r="Y161" s="10">
        <f t="shared" si="36"/>
        <v>0.13434944655860037</v>
      </c>
      <c r="Z161" s="10">
        <f t="shared" si="36"/>
        <v>-0.46145069176862985</v>
      </c>
      <c r="AA161" s="10">
        <f t="shared" si="36"/>
        <v>-0.13434944655860037</v>
      </c>
      <c r="AB161" s="7">
        <f t="shared" si="35"/>
        <v>1.1718100316650966</v>
      </c>
      <c r="AC161" s="7">
        <v>1.344557445249996</v>
      </c>
      <c r="AF161" s="7">
        <v>2.3922631890284127</v>
      </c>
    </row>
    <row r="162" spans="1:32" x14ac:dyDescent="0.25">
      <c r="A162" s="6">
        <v>42339</v>
      </c>
      <c r="B162" s="7">
        <v>-1.743370093820662E-2</v>
      </c>
      <c r="C162" s="7">
        <v>-4.4707882553118451E-2</v>
      </c>
      <c r="D162" s="7">
        <v>1.0849372007947153E-2</v>
      </c>
      <c r="E162" s="7">
        <v>-1.9401296744545181E-2</v>
      </c>
      <c r="F162" s="7">
        <v>-1.630539501814232E-3</v>
      </c>
      <c r="G162" s="7">
        <v>4.5852252758560568E-3</v>
      </c>
      <c r="H162" s="12">
        <v>1</v>
      </c>
      <c r="I162" s="12">
        <v>1</v>
      </c>
      <c r="J162" s="23">
        <v>1</v>
      </c>
      <c r="K162" s="23">
        <v>1</v>
      </c>
      <c r="L162" s="9">
        <f t="shared" si="34"/>
        <v>1.0849372007947153E-2</v>
      </c>
      <c r="M162" s="9">
        <f t="shared" si="27"/>
        <v>0</v>
      </c>
      <c r="N162" s="9">
        <f t="shared" si="28"/>
        <v>1.9401296744545181E-2</v>
      </c>
      <c r="O162" s="9">
        <f t="shared" si="29"/>
        <v>0</v>
      </c>
      <c r="P162" s="9">
        <f t="shared" si="30"/>
        <v>-1.630539501814232E-3</v>
      </c>
      <c r="Q162" s="9">
        <f t="shared" si="31"/>
        <v>0</v>
      </c>
      <c r="R162" s="9">
        <f t="shared" si="32"/>
        <v>1.630539501814232E-3</v>
      </c>
      <c r="S162" s="9">
        <f t="shared" si="33"/>
        <v>0</v>
      </c>
      <c r="T162" s="10">
        <f t="shared" si="37"/>
        <v>0.50734980661514795</v>
      </c>
      <c r="U162" s="10">
        <f t="shared" si="37"/>
        <v>0.22758135083069131</v>
      </c>
      <c r="V162" s="10">
        <f t="shared" si="37"/>
        <v>-9.3895725509147765E-2</v>
      </c>
      <c r="W162" s="10">
        <f t="shared" si="37"/>
        <v>0.56102526848089729</v>
      </c>
      <c r="X162" s="10">
        <f t="shared" si="37"/>
        <v>0.45982015226681561</v>
      </c>
      <c r="Y162" s="10">
        <f t="shared" si="36"/>
        <v>0.13434944655860037</v>
      </c>
      <c r="Z162" s="10">
        <f t="shared" si="36"/>
        <v>-0.45982015226681561</v>
      </c>
      <c r="AA162" s="10">
        <f t="shared" si="36"/>
        <v>-0.13434944655860037</v>
      </c>
      <c r="AB162" s="7">
        <f t="shared" si="35"/>
        <v>1.2020607004175889</v>
      </c>
      <c r="AC162" s="7">
        <v>1.328511757294925</v>
      </c>
      <c r="AF162" s="7">
        <v>2.4162980930032347</v>
      </c>
    </row>
    <row r="163" spans="1:32" x14ac:dyDescent="0.25">
      <c r="A163" s="6">
        <v>42370</v>
      </c>
      <c r="B163" s="7">
        <v>-5.1068365604597682E-2</v>
      </c>
      <c r="C163" s="7">
        <v>-0.12708483565857864</v>
      </c>
      <c r="D163" s="7">
        <v>3.188894838207746E-2</v>
      </c>
      <c r="E163" s="7">
        <v>1.0105922903692464E-2</v>
      </c>
      <c r="F163" s="7">
        <v>-6.0403551011066689E-2</v>
      </c>
      <c r="G163" s="7">
        <v>2.2793802983429749E-2</v>
      </c>
      <c r="H163" s="12">
        <v>1</v>
      </c>
      <c r="I163" s="12">
        <v>-1</v>
      </c>
      <c r="J163" s="23">
        <v>1</v>
      </c>
      <c r="K163" s="23">
        <v>-1</v>
      </c>
      <c r="L163" s="9">
        <f t="shared" si="34"/>
        <v>3.188894838207746E-2</v>
      </c>
      <c r="M163" s="9">
        <f t="shared" si="27"/>
        <v>0</v>
      </c>
      <c r="N163" s="9">
        <f t="shared" si="28"/>
        <v>-1.0105922903692464E-2</v>
      </c>
      <c r="O163" s="9">
        <f t="shared" si="29"/>
        <v>0</v>
      </c>
      <c r="P163" s="9">
        <f t="shared" si="30"/>
        <v>0</v>
      </c>
      <c r="Q163" s="9">
        <f t="shared" si="31"/>
        <v>6.0403551011066689E-2</v>
      </c>
      <c r="R163" s="9">
        <f t="shared" si="32"/>
        <v>0</v>
      </c>
      <c r="S163" s="9">
        <f t="shared" si="33"/>
        <v>-6.0403551011066689E-2</v>
      </c>
      <c r="T163" s="10">
        <f t="shared" si="37"/>
        <v>0.5392387549972254</v>
      </c>
      <c r="U163" s="10">
        <f t="shared" si="37"/>
        <v>0.22758135083069131</v>
      </c>
      <c r="V163" s="10">
        <f t="shared" si="37"/>
        <v>-0.10400164841284024</v>
      </c>
      <c r="W163" s="10">
        <f t="shared" si="37"/>
        <v>0.56102526848089729</v>
      </c>
      <c r="X163" s="10">
        <f t="shared" si="37"/>
        <v>0.45982015226681561</v>
      </c>
      <c r="Y163" s="10">
        <f t="shared" si="36"/>
        <v>0.19475299756966707</v>
      </c>
      <c r="Z163" s="10">
        <f t="shared" si="36"/>
        <v>-0.45982015226681561</v>
      </c>
      <c r="AA163" s="10">
        <f t="shared" si="36"/>
        <v>-0.19475299756966707</v>
      </c>
      <c r="AB163" s="7">
        <f t="shared" si="35"/>
        <v>1.223843725895974</v>
      </c>
      <c r="AC163" s="7">
        <v>1.279572789102752</v>
      </c>
      <c r="AF163" s="7">
        <v>2.5212784724761161</v>
      </c>
    </row>
    <row r="164" spans="1:32" x14ac:dyDescent="0.25">
      <c r="A164" s="6">
        <v>42401</v>
      </c>
      <c r="B164" s="7">
        <v>-8.265477497735995E-4</v>
      </c>
      <c r="C164" s="7">
        <v>-2.4630094461810949E-2</v>
      </c>
      <c r="D164" s="7">
        <v>-6.2834807253695224E-3</v>
      </c>
      <c r="E164" s="7">
        <v>3.0568033501985562E-4</v>
      </c>
      <c r="F164" s="7">
        <v>-3.0237971810202546E-2</v>
      </c>
      <c r="G164" s="7">
        <v>1.2987459620864941E-2</v>
      </c>
      <c r="H164" s="12">
        <v>1</v>
      </c>
      <c r="I164" s="12">
        <v>-1</v>
      </c>
      <c r="J164" s="23">
        <v>1</v>
      </c>
      <c r="K164" s="23">
        <v>-1</v>
      </c>
      <c r="L164" s="9">
        <f t="shared" si="34"/>
        <v>-6.2834807253695224E-3</v>
      </c>
      <c r="M164" s="9">
        <f t="shared" si="27"/>
        <v>0</v>
      </c>
      <c r="N164" s="9">
        <f t="shared" si="28"/>
        <v>-3.0568033501985562E-4</v>
      </c>
      <c r="O164" s="9">
        <f t="shared" si="29"/>
        <v>0</v>
      </c>
      <c r="P164" s="9">
        <f t="shared" si="30"/>
        <v>0</v>
      </c>
      <c r="Q164" s="9">
        <f t="shared" si="31"/>
        <v>3.0237971810202546E-2</v>
      </c>
      <c r="R164" s="9">
        <f t="shared" si="32"/>
        <v>0</v>
      </c>
      <c r="S164" s="9">
        <f t="shared" si="33"/>
        <v>-3.0237971810202546E-2</v>
      </c>
      <c r="T164" s="10">
        <f t="shared" si="37"/>
        <v>0.53295527427185585</v>
      </c>
      <c r="U164" s="10">
        <f t="shared" si="37"/>
        <v>0.22758135083069131</v>
      </c>
      <c r="V164" s="10">
        <f t="shared" si="37"/>
        <v>-0.1043073287478601</v>
      </c>
      <c r="W164" s="10">
        <f t="shared" si="37"/>
        <v>0.56102526848089729</v>
      </c>
      <c r="X164" s="10">
        <f t="shared" si="37"/>
        <v>0.45982015226681561</v>
      </c>
      <c r="Y164" s="10">
        <f t="shared" si="36"/>
        <v>0.22499096937986962</v>
      </c>
      <c r="Z164" s="10">
        <f t="shared" si="36"/>
        <v>-0.45982015226681561</v>
      </c>
      <c r="AA164" s="10">
        <f t="shared" si="36"/>
        <v>-0.22499096937986962</v>
      </c>
      <c r="AB164" s="7">
        <f t="shared" si="35"/>
        <v>1.2172545648355846</v>
      </c>
      <c r="AC164" s="7">
        <v>1.280082525647023</v>
      </c>
      <c r="AF164" s="7">
        <v>2.5579147428467941</v>
      </c>
    </row>
    <row r="165" spans="1:32" x14ac:dyDescent="0.25">
      <c r="A165" s="6">
        <v>42430</v>
      </c>
      <c r="B165" s="7">
        <v>6.5100358621374935E-2</v>
      </c>
      <c r="C165" s="7">
        <v>8.1528112627579211E-2</v>
      </c>
      <c r="D165" s="7">
        <v>4.1443983419311662E-3</v>
      </c>
      <c r="E165" s="7">
        <v>1.9638438478543303E-2</v>
      </c>
      <c r="F165" s="7">
        <v>3.5675768355258639E-2</v>
      </c>
      <c r="G165" s="7">
        <v>-1.6753935858302635E-2</v>
      </c>
      <c r="H165" s="12">
        <v>-1</v>
      </c>
      <c r="I165" s="12">
        <v>-1</v>
      </c>
      <c r="J165" s="23">
        <v>-1</v>
      </c>
      <c r="K165" s="23">
        <v>-1</v>
      </c>
      <c r="L165" s="9">
        <f t="shared" si="34"/>
        <v>0</v>
      </c>
      <c r="M165" s="9">
        <f t="shared" si="27"/>
        <v>-4.1443983419311662E-3</v>
      </c>
      <c r="N165" s="9">
        <f t="shared" si="28"/>
        <v>0</v>
      </c>
      <c r="O165" s="9">
        <f t="shared" si="29"/>
        <v>1.9638438478543303E-2</v>
      </c>
      <c r="P165" s="9">
        <f t="shared" si="30"/>
        <v>0</v>
      </c>
      <c r="Q165" s="9">
        <f t="shared" si="31"/>
        <v>-3.5675768355258639E-2</v>
      </c>
      <c r="R165" s="9">
        <f t="shared" si="32"/>
        <v>0</v>
      </c>
      <c r="S165" s="9">
        <f t="shared" si="33"/>
        <v>3.5675768355258639E-2</v>
      </c>
      <c r="T165" s="10">
        <f t="shared" si="37"/>
        <v>0.53295527427185585</v>
      </c>
      <c r="U165" s="10">
        <f t="shared" si="37"/>
        <v>0.22343695248876014</v>
      </c>
      <c r="V165" s="10">
        <f t="shared" si="37"/>
        <v>-0.1043073287478601</v>
      </c>
      <c r="W165" s="10">
        <f t="shared" si="37"/>
        <v>0.58066370695944058</v>
      </c>
      <c r="X165" s="10">
        <f t="shared" si="37"/>
        <v>0.45982015226681561</v>
      </c>
      <c r="Y165" s="10">
        <f t="shared" si="36"/>
        <v>0.18931520102461097</v>
      </c>
      <c r="Z165" s="10">
        <f t="shared" si="36"/>
        <v>-0.45982015226681561</v>
      </c>
      <c r="AA165" s="10">
        <f t="shared" si="36"/>
        <v>-0.18931520102461097</v>
      </c>
      <c r="AB165" s="7">
        <f t="shared" si="35"/>
        <v>1.2327486049721967</v>
      </c>
      <c r="AC165" s="7">
        <v>1.34580516019536</v>
      </c>
      <c r="AF165" s="7">
        <v>2.5209790787698449</v>
      </c>
    </row>
    <row r="166" spans="1:32" x14ac:dyDescent="0.25">
      <c r="A166" s="6">
        <v>42461</v>
      </c>
      <c r="B166" s="7">
        <v>3.9337100574622988E-3</v>
      </c>
      <c r="C166" s="7">
        <v>2.9387086846344723E-2</v>
      </c>
      <c r="D166" s="7">
        <v>-1.2713565067709653E-2</v>
      </c>
      <c r="E166" s="7">
        <v>5.3476681887368515E-3</v>
      </c>
      <c r="F166" s="7">
        <v>-7.6686592498916486E-3</v>
      </c>
      <c r="G166" s="7">
        <v>1.9074627177344435E-2</v>
      </c>
      <c r="H166" s="12">
        <v>-1</v>
      </c>
      <c r="I166" s="12">
        <v>1</v>
      </c>
      <c r="J166" s="23">
        <v>-1</v>
      </c>
      <c r="K166" s="23">
        <v>1</v>
      </c>
      <c r="L166" s="9">
        <f t="shared" si="34"/>
        <v>0</v>
      </c>
      <c r="M166" s="9">
        <f t="shared" si="27"/>
        <v>1.2713565067709653E-2</v>
      </c>
      <c r="N166" s="9">
        <f t="shared" si="28"/>
        <v>0</v>
      </c>
      <c r="O166" s="9">
        <f t="shared" si="29"/>
        <v>5.3476681887368515E-3</v>
      </c>
      <c r="P166" s="9">
        <f t="shared" si="30"/>
        <v>-7.6686592498916486E-3</v>
      </c>
      <c r="Q166" s="9">
        <f t="shared" si="31"/>
        <v>0</v>
      </c>
      <c r="R166" s="9">
        <f t="shared" si="32"/>
        <v>7.6686592498916486E-3</v>
      </c>
      <c r="S166" s="9">
        <f t="shared" si="33"/>
        <v>0</v>
      </c>
      <c r="T166" s="10">
        <f t="shared" si="37"/>
        <v>0.53295527427185585</v>
      </c>
      <c r="U166" s="10">
        <f t="shared" si="37"/>
        <v>0.23615051755646979</v>
      </c>
      <c r="V166" s="10">
        <f t="shared" si="37"/>
        <v>-0.1043073287478601</v>
      </c>
      <c r="W166" s="10">
        <f t="shared" si="37"/>
        <v>0.58601137514817747</v>
      </c>
      <c r="X166" s="10">
        <f t="shared" si="37"/>
        <v>0.45215149301692398</v>
      </c>
      <c r="Y166" s="10">
        <f t="shared" si="36"/>
        <v>0.18931520102461097</v>
      </c>
      <c r="Z166" s="10">
        <f t="shared" si="36"/>
        <v>-0.45215149301692398</v>
      </c>
      <c r="AA166" s="10">
        <f t="shared" si="36"/>
        <v>-0.18931520102461097</v>
      </c>
      <c r="AB166" s="7">
        <f t="shared" si="35"/>
        <v>1.2508098382286432</v>
      </c>
      <c r="AC166" s="7">
        <v>1.3501542181477191</v>
      </c>
      <c r="AF166" s="7">
        <v>2.5122970255990555</v>
      </c>
    </row>
    <row r="167" spans="1:32" x14ac:dyDescent="0.25">
      <c r="A167" s="6">
        <v>42491</v>
      </c>
      <c r="B167" s="7">
        <v>1.6868509998657973E-2</v>
      </c>
      <c r="C167" s="7">
        <v>-1.2024554832864567E-2</v>
      </c>
      <c r="D167" s="7">
        <v>2.0948069375832098E-2</v>
      </c>
      <c r="E167" s="7">
        <v>7.6827314718135899E-5</v>
      </c>
      <c r="F167" s="7">
        <v>-2.9612319408264189E-3</v>
      </c>
      <c r="G167" s="7">
        <v>1.0247475125201449E-2</v>
      </c>
      <c r="H167" s="12">
        <v>1</v>
      </c>
      <c r="I167" s="12">
        <v>1</v>
      </c>
      <c r="J167" s="23">
        <v>1</v>
      </c>
      <c r="K167" s="23">
        <v>1</v>
      </c>
      <c r="L167" s="9">
        <f t="shared" si="34"/>
        <v>2.0948069375832098E-2</v>
      </c>
      <c r="M167" s="9">
        <f t="shared" si="27"/>
        <v>0</v>
      </c>
      <c r="N167" s="9">
        <f t="shared" si="28"/>
        <v>-7.6827314718135899E-5</v>
      </c>
      <c r="O167" s="9">
        <f t="shared" si="29"/>
        <v>0</v>
      </c>
      <c r="P167" s="9">
        <f t="shared" si="30"/>
        <v>-2.9612319408264189E-3</v>
      </c>
      <c r="Q167" s="9">
        <f t="shared" si="31"/>
        <v>0</v>
      </c>
      <c r="R167" s="9">
        <f t="shared" si="32"/>
        <v>2.9612319408264189E-3</v>
      </c>
      <c r="S167" s="9">
        <f t="shared" si="33"/>
        <v>0</v>
      </c>
      <c r="T167" s="10">
        <f t="shared" si="37"/>
        <v>0.5539033436476879</v>
      </c>
      <c r="U167" s="10">
        <f t="shared" si="37"/>
        <v>0.23615051755646979</v>
      </c>
      <c r="V167" s="10">
        <f t="shared" si="37"/>
        <v>-0.10438415606257824</v>
      </c>
      <c r="W167" s="10">
        <f t="shared" si="37"/>
        <v>0.58601137514817747</v>
      </c>
      <c r="X167" s="10">
        <f t="shared" si="37"/>
        <v>0.44919026107609755</v>
      </c>
      <c r="Y167" s="10">
        <f t="shared" si="36"/>
        <v>0.18931520102461097</v>
      </c>
      <c r="Z167" s="10">
        <f t="shared" si="36"/>
        <v>-0.44919026107609755</v>
      </c>
      <c r="AA167" s="10">
        <f t="shared" si="36"/>
        <v>-0.18931520102461097</v>
      </c>
      <c r="AB167" s="7">
        <f t="shared" si="35"/>
        <v>1.2716810802897571</v>
      </c>
      <c r="AC167" s="7">
        <v>1.36751029179655</v>
      </c>
      <c r="AF167" s="7">
        <v>2.5199595605941418</v>
      </c>
    </row>
    <row r="168" spans="1:32" x14ac:dyDescent="0.25">
      <c r="A168" s="6">
        <v>42522</v>
      </c>
      <c r="B168" s="7">
        <v>3.4697405015064482E-3</v>
      </c>
      <c r="C168" s="7">
        <v>-2.9197546727335398E-2</v>
      </c>
      <c r="D168" s="7">
        <v>4.976979285724251E-3</v>
      </c>
      <c r="E168" s="7">
        <v>3.9352526260214987E-2</v>
      </c>
      <c r="F168" s="7">
        <v>8.7301279673830338E-3</v>
      </c>
      <c r="G168" s="7">
        <v>2.0324502796659233E-2</v>
      </c>
      <c r="H168" s="12">
        <v>1</v>
      </c>
      <c r="I168" s="12">
        <v>-1</v>
      </c>
      <c r="J168" s="23">
        <v>1</v>
      </c>
      <c r="K168" s="23">
        <v>-1</v>
      </c>
      <c r="L168" s="9">
        <f t="shared" si="34"/>
        <v>4.976979285724251E-3</v>
      </c>
      <c r="M168" s="9">
        <f t="shared" si="27"/>
        <v>0</v>
      </c>
      <c r="N168" s="9">
        <f t="shared" si="28"/>
        <v>-3.9352526260214987E-2</v>
      </c>
      <c r="O168" s="9">
        <f t="shared" si="29"/>
        <v>0</v>
      </c>
      <c r="P168" s="9">
        <f t="shared" si="30"/>
        <v>0</v>
      </c>
      <c r="Q168" s="9">
        <f t="shared" si="31"/>
        <v>-8.7301279673830338E-3</v>
      </c>
      <c r="R168" s="9">
        <f t="shared" si="32"/>
        <v>0</v>
      </c>
      <c r="S168" s="9">
        <f t="shared" si="33"/>
        <v>8.7301279673830338E-3</v>
      </c>
      <c r="T168" s="10">
        <f t="shared" si="37"/>
        <v>0.55888032293341217</v>
      </c>
      <c r="U168" s="10">
        <f t="shared" si="37"/>
        <v>0.23615051755646979</v>
      </c>
      <c r="V168" s="10">
        <f t="shared" si="37"/>
        <v>-0.14373668232279324</v>
      </c>
      <c r="W168" s="10">
        <f t="shared" si="37"/>
        <v>0.58601137514817747</v>
      </c>
      <c r="X168" s="10">
        <f t="shared" si="37"/>
        <v>0.44919026107609755</v>
      </c>
      <c r="Y168" s="10">
        <f t="shared" si="36"/>
        <v>0.18058507305722793</v>
      </c>
      <c r="Z168" s="10">
        <f t="shared" si="36"/>
        <v>-0.44919026107609755</v>
      </c>
      <c r="AA168" s="10">
        <f t="shared" si="36"/>
        <v>-0.18058507305722793</v>
      </c>
      <c r="AB168" s="7">
        <f t="shared" si="35"/>
        <v>1.2373055333152665</v>
      </c>
      <c r="AC168" s="7">
        <v>1.372430447132581</v>
      </c>
      <c r="AF168" s="7">
        <v>2.4971783884489271</v>
      </c>
    </row>
    <row r="169" spans="1:32" x14ac:dyDescent="0.25">
      <c r="A169" s="6">
        <v>42552</v>
      </c>
      <c r="B169" s="7">
        <v>3.5821892100057956E-2</v>
      </c>
      <c r="C169" s="7">
        <v>3.5256291593103631E-2</v>
      </c>
      <c r="D169" s="7">
        <v>-5.5268728358230418E-4</v>
      </c>
      <c r="E169" s="7">
        <v>1.9689017932577588E-2</v>
      </c>
      <c r="F169" s="7">
        <v>1.5018996527943824E-2</v>
      </c>
      <c r="G169" s="7">
        <v>3.5115431920828666E-2</v>
      </c>
      <c r="H169" s="12">
        <v>-1</v>
      </c>
      <c r="I169" s="12">
        <v>-1</v>
      </c>
      <c r="J169" s="23">
        <v>-1</v>
      </c>
      <c r="K169" s="23">
        <v>-1</v>
      </c>
      <c r="L169" s="9">
        <f t="shared" si="34"/>
        <v>0</v>
      </c>
      <c r="M169" s="9">
        <f t="shared" si="27"/>
        <v>5.5268728358230418E-4</v>
      </c>
      <c r="N169" s="9">
        <f t="shared" si="28"/>
        <v>0</v>
      </c>
      <c r="O169" s="9">
        <f t="shared" si="29"/>
        <v>1.9689017932577588E-2</v>
      </c>
      <c r="P169" s="9">
        <f t="shared" si="30"/>
        <v>0</v>
      </c>
      <c r="Q169" s="9">
        <f t="shared" si="31"/>
        <v>-1.5018996527943824E-2</v>
      </c>
      <c r="R169" s="9">
        <f t="shared" si="32"/>
        <v>0</v>
      </c>
      <c r="S169" s="9">
        <f t="shared" si="33"/>
        <v>1.5018996527943824E-2</v>
      </c>
      <c r="T169" s="10">
        <f t="shared" si="37"/>
        <v>0.55888032293341217</v>
      </c>
      <c r="U169" s="10">
        <f t="shared" si="37"/>
        <v>0.23670320484005208</v>
      </c>
      <c r="V169" s="10">
        <f t="shared" si="37"/>
        <v>-0.14373668232279324</v>
      </c>
      <c r="W169" s="10">
        <f t="shared" si="37"/>
        <v>0.60570039308075507</v>
      </c>
      <c r="X169" s="10">
        <f t="shared" si="37"/>
        <v>0.44919026107609755</v>
      </c>
      <c r="Y169" s="10">
        <f t="shared" si="36"/>
        <v>0.1655660765292841</v>
      </c>
      <c r="Z169" s="10">
        <f t="shared" si="36"/>
        <v>-0.44919026107609755</v>
      </c>
      <c r="AA169" s="10">
        <f t="shared" si="36"/>
        <v>-0.1655660765292841</v>
      </c>
      <c r="AB169" s="7">
        <f t="shared" si="35"/>
        <v>1.2575472385314264</v>
      </c>
      <c r="AC169" s="7">
        <v>1.4084936161394259</v>
      </c>
      <c r="AF169" s="7">
        <v>2.5375165290579718</v>
      </c>
    </row>
    <row r="170" spans="1:32" x14ac:dyDescent="0.25">
      <c r="A170" s="6">
        <v>42583</v>
      </c>
      <c r="B170" s="7">
        <v>1.1966006816287217E-3</v>
      </c>
      <c r="C170" s="7">
        <v>2.5032391343864535E-2</v>
      </c>
      <c r="D170" s="7">
        <v>-5.3220209762647325E-3</v>
      </c>
      <c r="E170" s="7">
        <v>8.3282518549924311E-3</v>
      </c>
      <c r="F170" s="7">
        <v>4.8704118484129422E-3</v>
      </c>
      <c r="G170" s="7">
        <v>-2.3645232989533856E-2</v>
      </c>
      <c r="H170" s="12">
        <v>-1</v>
      </c>
      <c r="I170" s="12">
        <v>1</v>
      </c>
      <c r="J170" s="23">
        <v>-1</v>
      </c>
      <c r="K170" s="23">
        <v>1</v>
      </c>
      <c r="L170" s="9">
        <f t="shared" si="34"/>
        <v>0</v>
      </c>
      <c r="M170" s="9">
        <f t="shared" si="27"/>
        <v>5.3220209762647325E-3</v>
      </c>
      <c r="N170" s="9">
        <f t="shared" si="28"/>
        <v>0</v>
      </c>
      <c r="O170" s="9">
        <f t="shared" si="29"/>
        <v>8.3282518549924311E-3</v>
      </c>
      <c r="P170" s="9">
        <f t="shared" si="30"/>
        <v>4.8704118484129422E-3</v>
      </c>
      <c r="Q170" s="9">
        <f t="shared" si="31"/>
        <v>0</v>
      </c>
      <c r="R170" s="9">
        <f t="shared" si="32"/>
        <v>-4.8704118484129422E-3</v>
      </c>
      <c r="S170" s="9">
        <f t="shared" si="33"/>
        <v>0</v>
      </c>
      <c r="T170" s="10">
        <f t="shared" si="37"/>
        <v>0.55888032293341217</v>
      </c>
      <c r="U170" s="10">
        <f t="shared" si="37"/>
        <v>0.2420252258163168</v>
      </c>
      <c r="V170" s="10">
        <f t="shared" si="37"/>
        <v>-0.14373668232279324</v>
      </c>
      <c r="W170" s="10">
        <f t="shared" si="37"/>
        <v>0.61402864493574749</v>
      </c>
      <c r="X170" s="10">
        <f t="shared" si="37"/>
        <v>0.45406067292451047</v>
      </c>
      <c r="Y170" s="10">
        <f t="shared" si="36"/>
        <v>0.1655660765292841</v>
      </c>
      <c r="Z170" s="10">
        <f t="shared" si="36"/>
        <v>-0.45406067292451047</v>
      </c>
      <c r="AA170" s="10">
        <f t="shared" si="36"/>
        <v>-0.1655660765292841</v>
      </c>
      <c r="AB170" s="7">
        <f t="shared" si="35"/>
        <v>1.2711975113626834</v>
      </c>
      <c r="AC170" s="7">
        <v>1.409821605004087</v>
      </c>
      <c r="AF170" s="7">
        <v>2.5796824467271757</v>
      </c>
    </row>
    <row r="171" spans="1:32" x14ac:dyDescent="0.25">
      <c r="A171" s="6">
        <v>42614</v>
      </c>
      <c r="B171" s="7">
        <v>5.8191036300418372E-5</v>
      </c>
      <c r="C171" s="7">
        <v>2.3398742123623018E-2</v>
      </c>
      <c r="D171" s="7">
        <v>-4.0601919171954588E-3</v>
      </c>
      <c r="E171" s="7">
        <v>4.0808867090001873E-3</v>
      </c>
      <c r="F171" s="7">
        <v>5.1849225185599795E-3</v>
      </c>
      <c r="G171" s="7">
        <v>-1.316546767368266E-2</v>
      </c>
      <c r="H171" s="12">
        <v>-1</v>
      </c>
      <c r="I171" s="12">
        <v>1</v>
      </c>
      <c r="J171" s="23">
        <v>-1</v>
      </c>
      <c r="K171" s="23">
        <v>1</v>
      </c>
      <c r="L171" s="9">
        <f t="shared" si="34"/>
        <v>0</v>
      </c>
      <c r="M171" s="9">
        <f t="shared" si="27"/>
        <v>4.0601919171954588E-3</v>
      </c>
      <c r="N171" s="9">
        <f t="shared" si="28"/>
        <v>0</v>
      </c>
      <c r="O171" s="9">
        <f t="shared" si="29"/>
        <v>4.0808867090001873E-3</v>
      </c>
      <c r="P171" s="9">
        <f t="shared" si="30"/>
        <v>5.1849225185599795E-3</v>
      </c>
      <c r="Q171" s="9">
        <f t="shared" si="31"/>
        <v>0</v>
      </c>
      <c r="R171" s="9">
        <f t="shared" si="32"/>
        <v>-5.1849225185599795E-3</v>
      </c>
      <c r="S171" s="9">
        <f t="shared" si="33"/>
        <v>0</v>
      </c>
      <c r="T171" s="10">
        <f t="shared" si="37"/>
        <v>0.55888032293341217</v>
      </c>
      <c r="U171" s="10">
        <f t="shared" si="37"/>
        <v>0.24608541773351225</v>
      </c>
      <c r="V171" s="10">
        <f t="shared" si="37"/>
        <v>-0.14373668232279324</v>
      </c>
      <c r="W171" s="10">
        <f t="shared" si="37"/>
        <v>0.61810953164474769</v>
      </c>
      <c r="X171" s="10">
        <f t="shared" si="37"/>
        <v>0.45924559544307042</v>
      </c>
      <c r="Y171" s="10">
        <f t="shared" si="36"/>
        <v>0.1655660765292841</v>
      </c>
      <c r="Z171" s="10">
        <f t="shared" si="36"/>
        <v>-0.45924559544307042</v>
      </c>
      <c r="AA171" s="10">
        <f t="shared" si="36"/>
        <v>-0.1655660765292841</v>
      </c>
      <c r="AB171" s="7">
        <f t="shared" si="35"/>
        <v>1.2793385899888792</v>
      </c>
      <c r="AC171" s="7">
        <v>1.4106827889705349</v>
      </c>
      <c r="AF171" s="7">
        <v>2.6061739155456141</v>
      </c>
    </row>
    <row r="172" spans="1:32" x14ac:dyDescent="0.25">
      <c r="A172" s="6">
        <v>42644</v>
      </c>
      <c r="B172" s="7">
        <v>-1.7489130032062299E-2</v>
      </c>
      <c r="C172" s="7">
        <v>1.843763743408789E-2</v>
      </c>
      <c r="D172" s="7">
        <v>-6.7053655742064381E-3</v>
      </c>
      <c r="E172" s="7">
        <v>-1.5573498428369751E-2</v>
      </c>
      <c r="F172" s="7">
        <v>-5.8423243318304618E-3</v>
      </c>
      <c r="G172" s="7">
        <v>-2.4656305720586889E-2</v>
      </c>
      <c r="H172" s="12">
        <v>-1</v>
      </c>
      <c r="I172" s="12">
        <v>1</v>
      </c>
      <c r="J172" s="23">
        <v>-1</v>
      </c>
      <c r="K172" s="23">
        <v>1</v>
      </c>
      <c r="L172" s="9">
        <f t="shared" si="34"/>
        <v>0</v>
      </c>
      <c r="M172" s="9">
        <f t="shared" si="27"/>
        <v>6.7053655742064381E-3</v>
      </c>
      <c r="N172" s="9">
        <f t="shared" si="28"/>
        <v>0</v>
      </c>
      <c r="O172" s="9">
        <f t="shared" si="29"/>
        <v>-1.5573498428369751E-2</v>
      </c>
      <c r="P172" s="9">
        <f t="shared" si="30"/>
        <v>-5.8423243318304618E-3</v>
      </c>
      <c r="Q172" s="9">
        <f t="shared" si="31"/>
        <v>0</v>
      </c>
      <c r="R172" s="9">
        <f t="shared" si="32"/>
        <v>5.8423243318304618E-3</v>
      </c>
      <c r="S172" s="9">
        <f t="shared" si="33"/>
        <v>0</v>
      </c>
      <c r="T172" s="10">
        <f t="shared" si="37"/>
        <v>0.55888032293341217</v>
      </c>
      <c r="U172" s="10">
        <f t="shared" si="37"/>
        <v>0.2527907833077187</v>
      </c>
      <c r="V172" s="10">
        <f t="shared" si="37"/>
        <v>-0.14373668232279324</v>
      </c>
      <c r="W172" s="10">
        <f t="shared" si="37"/>
        <v>0.60253603321637794</v>
      </c>
      <c r="X172" s="10">
        <f t="shared" si="37"/>
        <v>0.45340327111123996</v>
      </c>
      <c r="Y172" s="10">
        <f t="shared" si="36"/>
        <v>0.1655660765292841</v>
      </c>
      <c r="Z172" s="10">
        <f t="shared" si="36"/>
        <v>-0.45340327111123996</v>
      </c>
      <c r="AA172" s="10">
        <f t="shared" si="36"/>
        <v>-0.1655660765292841</v>
      </c>
      <c r="AB172" s="7">
        <f t="shared" si="35"/>
        <v>1.2704704571347158</v>
      </c>
      <c r="AC172" s="7">
        <v>1.393381451405278</v>
      </c>
      <c r="AF172" s="7">
        <v>2.616119764080207</v>
      </c>
    </row>
    <row r="173" spans="1:32" x14ac:dyDescent="0.25">
      <c r="A173" s="6">
        <v>42675</v>
      </c>
      <c r="B173" s="7">
        <v>3.6175994356268053E-2</v>
      </c>
      <c r="C173" s="7">
        <v>0.11329938214783186</v>
      </c>
      <c r="D173" s="7">
        <v>1.0441599245473053E-3</v>
      </c>
      <c r="E173" s="7">
        <v>-7.5402400104568456E-3</v>
      </c>
      <c r="F173" s="7">
        <v>2.8189828397028917E-3</v>
      </c>
      <c r="G173" s="7">
        <v>-2.9048933488651837E-3</v>
      </c>
      <c r="H173" s="12">
        <v>-1</v>
      </c>
      <c r="I173" s="12">
        <v>1</v>
      </c>
      <c r="J173" s="23">
        <v>-1</v>
      </c>
      <c r="K173" s="23">
        <v>1</v>
      </c>
      <c r="L173" s="9">
        <f t="shared" si="34"/>
        <v>0</v>
      </c>
      <c r="M173" s="9">
        <f t="shared" si="27"/>
        <v>-1.0441599245473053E-3</v>
      </c>
      <c r="N173" s="9">
        <f t="shared" si="28"/>
        <v>0</v>
      </c>
      <c r="O173" s="9">
        <f t="shared" si="29"/>
        <v>-7.5402400104568456E-3</v>
      </c>
      <c r="P173" s="9">
        <f t="shared" si="30"/>
        <v>2.8189828397028917E-3</v>
      </c>
      <c r="Q173" s="9">
        <f t="shared" si="31"/>
        <v>0</v>
      </c>
      <c r="R173" s="9">
        <f t="shared" si="32"/>
        <v>-2.8189828397028917E-3</v>
      </c>
      <c r="S173" s="9">
        <f t="shared" si="33"/>
        <v>0</v>
      </c>
      <c r="T173" s="10">
        <f t="shared" si="37"/>
        <v>0.55888032293341217</v>
      </c>
      <c r="U173" s="10">
        <f t="shared" si="37"/>
        <v>0.25174662338317139</v>
      </c>
      <c r="V173" s="10">
        <f t="shared" si="37"/>
        <v>-0.14373668232279324</v>
      </c>
      <c r="W173" s="10">
        <f t="shared" si="37"/>
        <v>0.59499579320592111</v>
      </c>
      <c r="X173" s="10">
        <f t="shared" si="37"/>
        <v>0.45622225395094285</v>
      </c>
      <c r="Y173" s="10">
        <f t="shared" si="36"/>
        <v>0.1655660765292841</v>
      </c>
      <c r="Z173" s="10">
        <f t="shared" si="36"/>
        <v>-0.45622225395094285</v>
      </c>
      <c r="AA173" s="10">
        <f t="shared" si="36"/>
        <v>-0.1655660765292841</v>
      </c>
      <c r="AB173" s="7">
        <f t="shared" si="35"/>
        <v>1.2618860571997117</v>
      </c>
      <c r="AC173" s="7">
        <v>1.430025731455393</v>
      </c>
      <c r="AF173" s="7">
        <v>2.6132592403337709</v>
      </c>
    </row>
    <row r="174" spans="1:32" x14ac:dyDescent="0.25">
      <c r="A174" s="6">
        <v>42705</v>
      </c>
      <c r="B174" s="7">
        <v>2.0069241756526267E-2</v>
      </c>
      <c r="C174" s="7">
        <v>4.4029438272317506E-2</v>
      </c>
      <c r="D174" s="7">
        <v>-9.971155425087027E-3</v>
      </c>
      <c r="E174" s="7">
        <v>9.3525906063315466E-3</v>
      </c>
      <c r="F174" s="7">
        <v>1.8967827059699439E-2</v>
      </c>
      <c r="G174" s="7">
        <v>3.3527236108205506E-3</v>
      </c>
      <c r="H174" s="12">
        <v>-1</v>
      </c>
      <c r="I174" s="12">
        <v>1</v>
      </c>
      <c r="J174" s="23">
        <v>-1</v>
      </c>
      <c r="K174" s="23">
        <v>1</v>
      </c>
      <c r="L174" s="9">
        <f t="shared" si="34"/>
        <v>0</v>
      </c>
      <c r="M174" s="9">
        <f t="shared" si="27"/>
        <v>9.971155425087027E-3</v>
      </c>
      <c r="N174" s="9">
        <f t="shared" si="28"/>
        <v>0</v>
      </c>
      <c r="O174" s="9">
        <f t="shared" si="29"/>
        <v>9.3525906063315466E-3</v>
      </c>
      <c r="P174" s="9">
        <f t="shared" si="30"/>
        <v>1.8967827059699439E-2</v>
      </c>
      <c r="Q174" s="9">
        <f t="shared" si="31"/>
        <v>0</v>
      </c>
      <c r="R174" s="9">
        <f t="shared" si="32"/>
        <v>-1.8967827059699439E-2</v>
      </c>
      <c r="S174" s="9">
        <f t="shared" si="33"/>
        <v>0</v>
      </c>
      <c r="T174" s="10">
        <f t="shared" si="37"/>
        <v>0.55888032293341217</v>
      </c>
      <c r="U174" s="10">
        <f t="shared" si="37"/>
        <v>0.26171777880825842</v>
      </c>
      <c r="V174" s="10">
        <f t="shared" si="37"/>
        <v>-0.14373668232279324</v>
      </c>
      <c r="W174" s="10">
        <f t="shared" si="37"/>
        <v>0.60434838381225264</v>
      </c>
      <c r="X174" s="10">
        <f t="shared" si="37"/>
        <v>0.47519008101064231</v>
      </c>
      <c r="Y174" s="10">
        <f t="shared" si="36"/>
        <v>0.1655660765292841</v>
      </c>
      <c r="Z174" s="10">
        <f t="shared" si="36"/>
        <v>-0.47519008101064231</v>
      </c>
      <c r="AA174" s="10">
        <f t="shared" si="36"/>
        <v>-0.1655660765292841</v>
      </c>
      <c r="AB174" s="7">
        <f t="shared" si="35"/>
        <v>1.2812098032311303</v>
      </c>
      <c r="AC174" s="7">
        <v>1.450358473838179</v>
      </c>
      <c r="AF174" s="7">
        <v>2.6481980898140685</v>
      </c>
    </row>
    <row r="175" spans="1:32" x14ac:dyDescent="0.25">
      <c r="A175" s="6">
        <v>42736</v>
      </c>
      <c r="B175" s="7">
        <v>1.7736630525470413E-2</v>
      </c>
      <c r="C175" s="7">
        <v>8.1874755330735641E-3</v>
      </c>
      <c r="D175" s="7">
        <v>-3.0726771553304309E-4</v>
      </c>
      <c r="E175" s="7">
        <v>-1.7469124949815538E-3</v>
      </c>
      <c r="F175" s="7">
        <v>1.3022385186892627E-2</v>
      </c>
      <c r="G175" s="7">
        <v>2.2411345145951694E-2</v>
      </c>
      <c r="H175" s="12">
        <v>-1</v>
      </c>
      <c r="I175" s="12">
        <v>1</v>
      </c>
      <c r="J175" s="23">
        <v>-1</v>
      </c>
      <c r="K175" s="23">
        <v>1</v>
      </c>
      <c r="L175" s="9">
        <f t="shared" si="34"/>
        <v>0</v>
      </c>
      <c r="M175" s="9">
        <f t="shared" si="27"/>
        <v>3.0726771553304309E-4</v>
      </c>
      <c r="N175" s="9">
        <f t="shared" si="28"/>
        <v>0</v>
      </c>
      <c r="O175" s="9">
        <f t="shared" si="29"/>
        <v>-1.7469124949815538E-3</v>
      </c>
      <c r="P175" s="9">
        <f t="shared" si="30"/>
        <v>1.3022385186892627E-2</v>
      </c>
      <c r="Q175" s="9">
        <f t="shared" si="31"/>
        <v>0</v>
      </c>
      <c r="R175" s="9">
        <f t="shared" si="32"/>
        <v>-1.3022385186892627E-2</v>
      </c>
      <c r="S175" s="9">
        <f t="shared" si="33"/>
        <v>0</v>
      </c>
      <c r="T175" s="10">
        <f t="shared" si="37"/>
        <v>0.55888032293341217</v>
      </c>
      <c r="U175" s="10">
        <f t="shared" si="37"/>
        <v>0.26202504652379144</v>
      </c>
      <c r="V175" s="10">
        <f t="shared" si="37"/>
        <v>-0.14373668232279324</v>
      </c>
      <c r="W175" s="10">
        <f t="shared" si="37"/>
        <v>0.60260147131727104</v>
      </c>
      <c r="X175" s="10">
        <f t="shared" si="37"/>
        <v>0.48821246619753494</v>
      </c>
      <c r="Y175" s="10">
        <f t="shared" si="36"/>
        <v>0.1655660765292841</v>
      </c>
      <c r="Z175" s="10">
        <f t="shared" si="36"/>
        <v>-0.48821246619753494</v>
      </c>
      <c r="AA175" s="10">
        <f t="shared" si="36"/>
        <v>-0.1655660765292841</v>
      </c>
      <c r="AB175" s="7">
        <f t="shared" si="35"/>
        <v>1.2797701584516818</v>
      </c>
      <c r="AC175" s="7">
        <v>1.468268261402808</v>
      </c>
      <c r="AF175" s="7">
        <v>2.6373694850755607</v>
      </c>
    </row>
    <row r="176" spans="1:32" x14ac:dyDescent="0.25">
      <c r="A176" s="6">
        <v>42767</v>
      </c>
      <c r="B176" s="7">
        <v>3.8538919433910968E-2</v>
      </c>
      <c r="C176" s="7">
        <v>3.3829412028939944E-2</v>
      </c>
      <c r="D176" s="7">
        <v>8.0374333251261249E-4</v>
      </c>
      <c r="E176" s="7">
        <v>1.1815673385502639E-2</v>
      </c>
      <c r="F176" s="7">
        <v>6.177626594760793E-3</v>
      </c>
      <c r="G176" s="7">
        <v>6.313412803153901E-3</v>
      </c>
      <c r="H176" s="12">
        <v>-1</v>
      </c>
      <c r="I176" s="12">
        <v>1</v>
      </c>
      <c r="J176" s="23">
        <v>-1</v>
      </c>
      <c r="K176" s="23">
        <v>1</v>
      </c>
      <c r="L176" s="9">
        <f t="shared" si="34"/>
        <v>0</v>
      </c>
      <c r="M176" s="9">
        <f t="shared" si="27"/>
        <v>-8.0374333251261249E-4</v>
      </c>
      <c r="N176" s="9">
        <f t="shared" si="28"/>
        <v>0</v>
      </c>
      <c r="O176" s="9">
        <f t="shared" si="29"/>
        <v>1.1815673385502639E-2</v>
      </c>
      <c r="P176" s="9">
        <f t="shared" si="30"/>
        <v>6.177626594760793E-3</v>
      </c>
      <c r="Q176" s="9">
        <f t="shared" si="31"/>
        <v>0</v>
      </c>
      <c r="R176" s="9">
        <f t="shared" si="32"/>
        <v>-6.177626594760793E-3</v>
      </c>
      <c r="S176" s="9">
        <f t="shared" si="33"/>
        <v>0</v>
      </c>
      <c r="T176" s="10">
        <f t="shared" si="37"/>
        <v>0.55888032293341217</v>
      </c>
      <c r="U176" s="10">
        <f t="shared" si="37"/>
        <v>0.26122130319127884</v>
      </c>
      <c r="V176" s="10">
        <f t="shared" si="37"/>
        <v>-0.14373668232279324</v>
      </c>
      <c r="W176" s="10">
        <f t="shared" si="37"/>
        <v>0.61441714470277364</v>
      </c>
      <c r="X176" s="10">
        <f t="shared" si="37"/>
        <v>0.49439009279229573</v>
      </c>
      <c r="Y176" s="10">
        <f t="shared" si="36"/>
        <v>0.1655660765292841</v>
      </c>
      <c r="Z176" s="10">
        <f t="shared" si="36"/>
        <v>-0.49439009279229573</v>
      </c>
      <c r="AA176" s="10">
        <f t="shared" si="36"/>
        <v>-0.1655660765292841</v>
      </c>
      <c r="AB176" s="7">
        <f t="shared" si="35"/>
        <v>1.2907820885046719</v>
      </c>
      <c r="AC176" s="7">
        <v>1.5069212223870081</v>
      </c>
      <c r="AF176" s="7">
        <v>2.6482456289201575</v>
      </c>
    </row>
    <row r="177" spans="1:32" x14ac:dyDescent="0.25">
      <c r="A177" s="6">
        <v>42795</v>
      </c>
      <c r="B177" s="7">
        <v>1.2491492693997353E-3</v>
      </c>
      <c r="C177" s="7">
        <v>3.9922140618984803E-3</v>
      </c>
      <c r="D177" s="7">
        <v>8.5629368577621219E-3</v>
      </c>
      <c r="E177" s="7">
        <v>4.7337774498800505E-3</v>
      </c>
      <c r="F177" s="7">
        <v>2.2389316731830419E-3</v>
      </c>
      <c r="G177" s="7">
        <v>-2.5725897024647941E-2</v>
      </c>
      <c r="H177" s="12">
        <v>-1</v>
      </c>
      <c r="I177" s="12">
        <v>1</v>
      </c>
      <c r="J177" s="23">
        <v>-1</v>
      </c>
      <c r="K177" s="23">
        <v>1</v>
      </c>
      <c r="L177" s="9">
        <f t="shared" si="34"/>
        <v>0</v>
      </c>
      <c r="M177" s="9">
        <f t="shared" si="27"/>
        <v>-8.5629368577621219E-3</v>
      </c>
      <c r="N177" s="9">
        <f t="shared" si="28"/>
        <v>0</v>
      </c>
      <c r="O177" s="9">
        <f t="shared" si="29"/>
        <v>4.7337774498800505E-3</v>
      </c>
      <c r="P177" s="9">
        <f t="shared" si="30"/>
        <v>2.2389316731830419E-3</v>
      </c>
      <c r="Q177" s="9">
        <f t="shared" si="31"/>
        <v>0</v>
      </c>
      <c r="R177" s="9">
        <f t="shared" si="32"/>
        <v>-2.2389316731830419E-3</v>
      </c>
      <c r="S177" s="9">
        <f t="shared" si="33"/>
        <v>0</v>
      </c>
      <c r="T177" s="10">
        <f t="shared" si="37"/>
        <v>0.55888032293341217</v>
      </c>
      <c r="U177" s="10">
        <f t="shared" si="37"/>
        <v>0.25265836633351674</v>
      </c>
      <c r="V177" s="10">
        <f t="shared" si="37"/>
        <v>-0.14373668232279324</v>
      </c>
      <c r="W177" s="10">
        <f t="shared" si="37"/>
        <v>0.61915092215265366</v>
      </c>
      <c r="X177" s="10">
        <f t="shared" si="37"/>
        <v>0.4966290244654788</v>
      </c>
      <c r="Y177" s="10">
        <f t="shared" si="36"/>
        <v>0.1655660765292841</v>
      </c>
      <c r="Z177" s="10">
        <f t="shared" si="36"/>
        <v>-0.4966290244654788</v>
      </c>
      <c r="AA177" s="10">
        <f t="shared" si="36"/>
        <v>-0.1655660765292841</v>
      </c>
      <c r="AB177" s="7">
        <f t="shared" si="35"/>
        <v>1.2869529290967898</v>
      </c>
      <c r="AC177" s="7">
        <v>1.5084756711374241</v>
      </c>
      <c r="AF177" s="7">
        <v>2.6723812982101065</v>
      </c>
    </row>
    <row r="178" spans="1:32" x14ac:dyDescent="0.25">
      <c r="A178" s="6">
        <v>42826</v>
      </c>
      <c r="B178" s="7">
        <v>9.8773929442588729E-3</v>
      </c>
      <c r="C178" s="7">
        <v>-1.4290845438842705E-2</v>
      </c>
      <c r="D178" s="7">
        <v>3.8296605534574131E-3</v>
      </c>
      <c r="E178" s="7">
        <v>-4.7292438397868088E-3</v>
      </c>
      <c r="F178" s="7">
        <v>-2.2934516881969926E-3</v>
      </c>
      <c r="G178" s="7">
        <v>2.1143068773714904E-3</v>
      </c>
      <c r="H178" s="12">
        <v>1</v>
      </c>
      <c r="I178" s="12">
        <v>1</v>
      </c>
      <c r="J178" s="23">
        <v>1</v>
      </c>
      <c r="K178" s="23">
        <v>1</v>
      </c>
      <c r="L178" s="9">
        <f t="shared" si="34"/>
        <v>3.8296605534574131E-3</v>
      </c>
      <c r="M178" s="9">
        <f t="shared" si="27"/>
        <v>0</v>
      </c>
      <c r="N178" s="9">
        <f t="shared" si="28"/>
        <v>4.7292438397868088E-3</v>
      </c>
      <c r="O178" s="9">
        <f t="shared" si="29"/>
        <v>0</v>
      </c>
      <c r="P178" s="9">
        <f t="shared" si="30"/>
        <v>-2.2934516881969926E-3</v>
      </c>
      <c r="Q178" s="9">
        <f t="shared" si="31"/>
        <v>0</v>
      </c>
      <c r="R178" s="9">
        <f t="shared" si="32"/>
        <v>2.2934516881969926E-3</v>
      </c>
      <c r="S178" s="9">
        <f t="shared" si="33"/>
        <v>0</v>
      </c>
      <c r="T178" s="10">
        <f t="shared" si="37"/>
        <v>0.56270998348686962</v>
      </c>
      <c r="U178" s="10">
        <f t="shared" si="37"/>
        <v>0.25265836633351674</v>
      </c>
      <c r="V178" s="10">
        <f t="shared" si="37"/>
        <v>-0.13900743848300642</v>
      </c>
      <c r="W178" s="10">
        <f t="shared" si="37"/>
        <v>0.61915092215265366</v>
      </c>
      <c r="X178" s="10">
        <f t="shared" si="37"/>
        <v>0.4943355727772818</v>
      </c>
      <c r="Y178" s="10">
        <f t="shared" si="36"/>
        <v>0.1655660765292841</v>
      </c>
      <c r="Z178" s="10">
        <f t="shared" si="36"/>
        <v>-0.4943355727772818</v>
      </c>
      <c r="AA178" s="10">
        <f t="shared" si="36"/>
        <v>-0.1655660765292841</v>
      </c>
      <c r="AB178" s="7">
        <f t="shared" si="35"/>
        <v>1.295511833490034</v>
      </c>
      <c r="AC178" s="7">
        <v>1.5185580865139461</v>
      </c>
      <c r="AF178" s="7">
        <v>2.6765324440377825</v>
      </c>
    </row>
    <row r="179" spans="1:32" x14ac:dyDescent="0.25">
      <c r="A179" s="6">
        <v>42856</v>
      </c>
      <c r="B179" s="7">
        <v>1.4014317538461586E-2</v>
      </c>
      <c r="C179" s="7">
        <v>-1.2174791707059551E-2</v>
      </c>
      <c r="D179" s="7">
        <v>1.3048463036209022E-2</v>
      </c>
      <c r="E179" s="7">
        <v>5.5622347575965247E-3</v>
      </c>
      <c r="F179" s="7">
        <v>6.7812919234909548E-3</v>
      </c>
      <c r="G179" s="7">
        <v>-6.6150014584280652E-3</v>
      </c>
      <c r="H179" s="12">
        <v>1</v>
      </c>
      <c r="I179" s="12">
        <v>-1</v>
      </c>
      <c r="J179" s="23">
        <v>1</v>
      </c>
      <c r="K179" s="23">
        <v>-1</v>
      </c>
      <c r="L179" s="9">
        <f t="shared" si="34"/>
        <v>1.3048463036209022E-2</v>
      </c>
      <c r="M179" s="9">
        <f t="shared" si="27"/>
        <v>0</v>
      </c>
      <c r="N179" s="9">
        <f t="shared" si="28"/>
        <v>-5.5622347575965247E-3</v>
      </c>
      <c r="O179" s="9">
        <f t="shared" si="29"/>
        <v>0</v>
      </c>
      <c r="P179" s="9">
        <f t="shared" si="30"/>
        <v>0</v>
      </c>
      <c r="Q179" s="9">
        <f t="shared" si="31"/>
        <v>-6.7812919234909548E-3</v>
      </c>
      <c r="R179" s="9">
        <f t="shared" si="32"/>
        <v>0</v>
      </c>
      <c r="S179" s="9">
        <f t="shared" si="33"/>
        <v>6.7812919234909548E-3</v>
      </c>
      <c r="T179" s="10">
        <f t="shared" si="37"/>
        <v>0.57575844652307862</v>
      </c>
      <c r="U179" s="10">
        <f t="shared" si="37"/>
        <v>0.25265836633351674</v>
      </c>
      <c r="V179" s="10">
        <f t="shared" si="37"/>
        <v>-0.14456967324060294</v>
      </c>
      <c r="W179" s="10">
        <f t="shared" si="37"/>
        <v>0.61915092215265366</v>
      </c>
      <c r="X179" s="10">
        <f t="shared" si="37"/>
        <v>0.4943355727772818</v>
      </c>
      <c r="Y179" s="10">
        <f t="shared" si="36"/>
        <v>0.15878478460579315</v>
      </c>
      <c r="Z179" s="10">
        <f t="shared" si="36"/>
        <v>-0.4943355727772818</v>
      </c>
      <c r="AA179" s="10">
        <f t="shared" si="36"/>
        <v>-0.15878478460579315</v>
      </c>
      <c r="AB179" s="7">
        <f t="shared" si="35"/>
        <v>1.3029980617686465</v>
      </c>
      <c r="AC179" s="7">
        <v>1.5328241321079361</v>
      </c>
      <c r="AF179" s="7">
        <v>2.6706223789344761</v>
      </c>
    </row>
    <row r="180" spans="1:32" x14ac:dyDescent="0.25">
      <c r="A180" s="6">
        <v>42887</v>
      </c>
      <c r="B180" s="7">
        <v>6.3545861267207517E-3</v>
      </c>
      <c r="C180" s="7">
        <v>-1.6101415999681234E-2</v>
      </c>
      <c r="D180" s="7">
        <v>-4.7446716389456332E-3</v>
      </c>
      <c r="E180" s="7">
        <v>-1.931330464486547E-2</v>
      </c>
      <c r="F180" s="7">
        <v>9.1528318163321392E-3</v>
      </c>
      <c r="G180" s="7">
        <v>6.2874723135301919E-3</v>
      </c>
      <c r="H180" s="12">
        <v>1</v>
      </c>
      <c r="I180" s="12">
        <v>-1</v>
      </c>
      <c r="J180" s="23">
        <v>1</v>
      </c>
      <c r="K180" s="23">
        <v>-1</v>
      </c>
      <c r="L180" s="9">
        <f t="shared" si="34"/>
        <v>-4.7446716389456332E-3</v>
      </c>
      <c r="M180" s="9">
        <f t="shared" si="27"/>
        <v>0</v>
      </c>
      <c r="N180" s="9">
        <f t="shared" si="28"/>
        <v>1.931330464486547E-2</v>
      </c>
      <c r="O180" s="9">
        <f t="shared" si="29"/>
        <v>0</v>
      </c>
      <c r="P180" s="9">
        <f t="shared" si="30"/>
        <v>0</v>
      </c>
      <c r="Q180" s="9">
        <f t="shared" si="31"/>
        <v>-9.1528318163321392E-3</v>
      </c>
      <c r="R180" s="9">
        <f t="shared" si="32"/>
        <v>0</v>
      </c>
      <c r="S180" s="9">
        <f t="shared" si="33"/>
        <v>9.1528318163321392E-3</v>
      </c>
      <c r="T180" s="10">
        <f t="shared" si="37"/>
        <v>0.57101377488413296</v>
      </c>
      <c r="U180" s="10">
        <f t="shared" si="37"/>
        <v>0.25265836633351674</v>
      </c>
      <c r="V180" s="10">
        <f t="shared" si="37"/>
        <v>-0.12525636859573747</v>
      </c>
      <c r="W180" s="10">
        <f t="shared" si="37"/>
        <v>0.61915092215265366</v>
      </c>
      <c r="X180" s="10">
        <f t="shared" si="37"/>
        <v>0.4943355727772818</v>
      </c>
      <c r="Y180" s="10">
        <f t="shared" si="36"/>
        <v>0.14963195278946101</v>
      </c>
      <c r="Z180" s="10">
        <f t="shared" si="36"/>
        <v>-0.4943355727772818</v>
      </c>
      <c r="AA180" s="10">
        <f t="shared" si="36"/>
        <v>-0.14963195278946101</v>
      </c>
      <c r="AB180" s="7">
        <f t="shared" si="35"/>
        <v>1.3175666947745663</v>
      </c>
      <c r="AC180" s="7">
        <v>1.5394102331105159</v>
      </c>
      <c r="AF180" s="7">
        <v>2.6823256524375938</v>
      </c>
    </row>
    <row r="181" spans="1:32" x14ac:dyDescent="0.25">
      <c r="A181" s="6">
        <v>42917</v>
      </c>
      <c r="B181" s="7">
        <v>2.0345845083848145E-2</v>
      </c>
      <c r="C181" s="7">
        <v>1.7845544606009206E-2</v>
      </c>
      <c r="D181" s="7">
        <v>-2.027021590706975E-4</v>
      </c>
      <c r="E181" s="7">
        <v>-9.3082848650070573E-3</v>
      </c>
      <c r="F181" s="7">
        <v>2.3545168863634497E-3</v>
      </c>
      <c r="G181" s="7">
        <v>-1.5838213840254231E-2</v>
      </c>
      <c r="H181" s="12">
        <v>-1</v>
      </c>
      <c r="I181" s="12">
        <v>-1</v>
      </c>
      <c r="J181" s="23">
        <v>-1</v>
      </c>
      <c r="K181" s="23">
        <v>-1</v>
      </c>
      <c r="L181" s="9">
        <f t="shared" si="34"/>
        <v>0</v>
      </c>
      <c r="M181" s="9">
        <f t="shared" si="27"/>
        <v>2.027021590706975E-4</v>
      </c>
      <c r="N181" s="9">
        <f t="shared" si="28"/>
        <v>0</v>
      </c>
      <c r="O181" s="9">
        <f t="shared" si="29"/>
        <v>-9.3082848650070573E-3</v>
      </c>
      <c r="P181" s="9">
        <f t="shared" si="30"/>
        <v>0</v>
      </c>
      <c r="Q181" s="9">
        <f t="shared" si="31"/>
        <v>-2.3545168863634497E-3</v>
      </c>
      <c r="R181" s="9">
        <f t="shared" si="32"/>
        <v>0</v>
      </c>
      <c r="S181" s="9">
        <f t="shared" si="33"/>
        <v>2.3545168863634497E-3</v>
      </c>
      <c r="T181" s="10">
        <f t="shared" si="37"/>
        <v>0.57101377488413296</v>
      </c>
      <c r="U181" s="10">
        <f t="shared" si="37"/>
        <v>0.25286106849258744</v>
      </c>
      <c r="V181" s="10">
        <f t="shared" si="37"/>
        <v>-0.12525636859573747</v>
      </c>
      <c r="W181" s="10">
        <f t="shared" si="37"/>
        <v>0.60984263728764665</v>
      </c>
      <c r="X181" s="10">
        <f t="shared" si="37"/>
        <v>0.4943355727772818</v>
      </c>
      <c r="Y181" s="10">
        <f t="shared" si="36"/>
        <v>0.14727743590309755</v>
      </c>
      <c r="Z181" s="10">
        <f t="shared" si="36"/>
        <v>-0.4943355727772818</v>
      </c>
      <c r="AA181" s="10">
        <f t="shared" si="36"/>
        <v>-0.14727743590309755</v>
      </c>
      <c r="AB181" s="7">
        <f t="shared" si="35"/>
        <v>1.30846111206863</v>
      </c>
      <c r="AC181" s="7">
        <v>1.55988392126522</v>
      </c>
      <c r="AF181" s="7">
        <v>2.6550273390050396</v>
      </c>
    </row>
    <row r="182" spans="1:32" x14ac:dyDescent="0.25">
      <c r="A182" s="6">
        <v>42948</v>
      </c>
      <c r="B182" s="7">
        <v>2.9134528973781262E-3</v>
      </c>
      <c r="C182" s="7">
        <v>-4.1009972453845592E-2</v>
      </c>
      <c r="D182" s="7">
        <v>1.8720414788120646E-2</v>
      </c>
      <c r="E182" s="7">
        <v>8.3160340593675108E-3</v>
      </c>
      <c r="F182" s="7">
        <v>4.4476018160733407E-3</v>
      </c>
      <c r="G182" s="7">
        <v>1.0440815111997317E-2</v>
      </c>
      <c r="H182" s="12">
        <v>1</v>
      </c>
      <c r="I182" s="12">
        <v>1</v>
      </c>
      <c r="J182" s="23">
        <v>1</v>
      </c>
      <c r="K182" s="23">
        <v>1</v>
      </c>
      <c r="L182" s="9">
        <f t="shared" si="34"/>
        <v>1.8720414788120646E-2</v>
      </c>
      <c r="M182" s="9">
        <f t="shared" si="27"/>
        <v>0</v>
      </c>
      <c r="N182" s="9">
        <f t="shared" si="28"/>
        <v>-8.3160340593675108E-3</v>
      </c>
      <c r="O182" s="9">
        <f t="shared" si="29"/>
        <v>0</v>
      </c>
      <c r="P182" s="9">
        <f t="shared" si="30"/>
        <v>4.4476018160733407E-3</v>
      </c>
      <c r="Q182" s="9">
        <f t="shared" si="31"/>
        <v>0</v>
      </c>
      <c r="R182" s="9">
        <f t="shared" si="32"/>
        <v>-4.4476018160733407E-3</v>
      </c>
      <c r="S182" s="9">
        <f t="shared" si="33"/>
        <v>0</v>
      </c>
      <c r="T182" s="10">
        <f t="shared" si="37"/>
        <v>0.58973418967225366</v>
      </c>
      <c r="U182" s="10">
        <f t="shared" si="37"/>
        <v>0.25286106849258744</v>
      </c>
      <c r="V182" s="10">
        <f t="shared" si="37"/>
        <v>-0.13357240265510498</v>
      </c>
      <c r="W182" s="10">
        <f t="shared" si="37"/>
        <v>0.60984263728764665</v>
      </c>
      <c r="X182" s="10">
        <f t="shared" si="37"/>
        <v>0.49878317459335514</v>
      </c>
      <c r="Y182" s="10">
        <f t="shared" si="36"/>
        <v>0.14727743590309755</v>
      </c>
      <c r="Z182" s="10">
        <f t="shared" si="36"/>
        <v>-0.49878317459335514</v>
      </c>
      <c r="AA182" s="10">
        <f t="shared" si="36"/>
        <v>-0.14727743590309755</v>
      </c>
      <c r="AB182" s="7">
        <f t="shared" si="35"/>
        <v>1.3188654927973831</v>
      </c>
      <c r="AC182" s="7">
        <v>1.563180641953438</v>
      </c>
      <c r="AF182" s="7">
        <v>2.6594385064378687</v>
      </c>
    </row>
    <row r="183" spans="1:32" x14ac:dyDescent="0.25">
      <c r="A183" s="6">
        <v>42979</v>
      </c>
      <c r="B183" s="7">
        <v>1.9949065315565978E-2</v>
      </c>
      <c r="C183" s="7">
        <v>2.4825683207458794E-2</v>
      </c>
      <c r="D183" s="7">
        <v>7.1503780901424818E-3</v>
      </c>
      <c r="E183" s="7">
        <v>-1.1476065359011158E-2</v>
      </c>
      <c r="F183" s="7">
        <v>-3.6838284491937236E-3</v>
      </c>
      <c r="G183" s="7">
        <v>9.9175769496123098E-3</v>
      </c>
      <c r="H183" s="12">
        <v>-1</v>
      </c>
      <c r="I183" s="12">
        <v>-1</v>
      </c>
      <c r="J183" s="23">
        <v>-1</v>
      </c>
      <c r="K183" s="23">
        <v>-1</v>
      </c>
      <c r="L183" s="9">
        <f t="shared" si="34"/>
        <v>0</v>
      </c>
      <c r="M183" s="9">
        <f t="shared" si="27"/>
        <v>-7.1503780901424818E-3</v>
      </c>
      <c r="N183" s="9">
        <f t="shared" si="28"/>
        <v>0</v>
      </c>
      <c r="O183" s="9">
        <f t="shared" si="29"/>
        <v>-1.1476065359011158E-2</v>
      </c>
      <c r="P183" s="9">
        <f t="shared" si="30"/>
        <v>0</v>
      </c>
      <c r="Q183" s="9">
        <f t="shared" si="31"/>
        <v>3.6838284491937236E-3</v>
      </c>
      <c r="R183" s="9">
        <f t="shared" si="32"/>
        <v>0</v>
      </c>
      <c r="S183" s="9">
        <f t="shared" si="33"/>
        <v>-3.6838284491937236E-3</v>
      </c>
      <c r="T183" s="10">
        <f t="shared" si="37"/>
        <v>0.58973418967225366</v>
      </c>
      <c r="U183" s="10">
        <f t="shared" si="37"/>
        <v>0.24571069040244495</v>
      </c>
      <c r="V183" s="10">
        <f t="shared" si="37"/>
        <v>-0.13357240265510498</v>
      </c>
      <c r="W183" s="10">
        <f t="shared" si="37"/>
        <v>0.59836657192863552</v>
      </c>
      <c r="X183" s="10">
        <f t="shared" si="37"/>
        <v>0.49878317459335514</v>
      </c>
      <c r="Y183" s="10">
        <f t="shared" si="36"/>
        <v>0.15096126435229126</v>
      </c>
      <c r="Z183" s="10">
        <f t="shared" si="36"/>
        <v>-0.49878317459335514</v>
      </c>
      <c r="AA183" s="10">
        <f t="shared" si="36"/>
        <v>-0.15096126435229126</v>
      </c>
      <c r="AB183" s="7">
        <f t="shared" si="35"/>
        <v>1.3002390493482294</v>
      </c>
      <c r="AC183" s="7">
        <v>1.583249654920539</v>
      </c>
      <c r="AF183" s="7">
        <v>2.6544134683875211</v>
      </c>
    </row>
    <row r="184" spans="1:32" x14ac:dyDescent="0.25">
      <c r="A184" s="6">
        <v>43009</v>
      </c>
      <c r="B184" s="7">
        <v>2.3290794499632155E-2</v>
      </c>
      <c r="C184" s="7">
        <v>2.7384725407794141E-2</v>
      </c>
      <c r="D184" s="7">
        <v>1.5569506471131917E-4</v>
      </c>
      <c r="E184" s="7">
        <v>3.8642134794598494E-3</v>
      </c>
      <c r="F184" s="7">
        <v>1.2421072327983434E-2</v>
      </c>
      <c r="G184" s="7">
        <v>-7.4003364513960937E-3</v>
      </c>
      <c r="H184" s="12">
        <v>-1</v>
      </c>
      <c r="I184" s="12">
        <v>1</v>
      </c>
      <c r="J184" s="23">
        <v>-1</v>
      </c>
      <c r="K184" s="23">
        <v>1</v>
      </c>
      <c r="L184" s="9">
        <f t="shared" si="34"/>
        <v>0</v>
      </c>
      <c r="M184" s="9">
        <f t="shared" si="27"/>
        <v>-1.5569506471131917E-4</v>
      </c>
      <c r="N184" s="9">
        <f t="shared" si="28"/>
        <v>0</v>
      </c>
      <c r="O184" s="9">
        <f t="shared" si="29"/>
        <v>3.8642134794598494E-3</v>
      </c>
      <c r="P184" s="9">
        <f t="shared" si="30"/>
        <v>1.2421072327983434E-2</v>
      </c>
      <c r="Q184" s="9">
        <f t="shared" si="31"/>
        <v>0</v>
      </c>
      <c r="R184" s="9">
        <f t="shared" si="32"/>
        <v>-1.2421072327983434E-2</v>
      </c>
      <c r="S184" s="9">
        <f t="shared" si="33"/>
        <v>0</v>
      </c>
      <c r="T184" s="10">
        <f t="shared" si="37"/>
        <v>0.58973418967225366</v>
      </c>
      <c r="U184" s="10">
        <f t="shared" si="37"/>
        <v>0.24555499533773362</v>
      </c>
      <c r="V184" s="10">
        <f t="shared" si="37"/>
        <v>-0.13357240265510498</v>
      </c>
      <c r="W184" s="10">
        <f t="shared" si="37"/>
        <v>0.60223078540809538</v>
      </c>
      <c r="X184" s="10">
        <f t="shared" si="37"/>
        <v>0.51120424692133859</v>
      </c>
      <c r="Y184" s="10">
        <f t="shared" si="36"/>
        <v>0.15096126435229126</v>
      </c>
      <c r="Z184" s="10">
        <f t="shared" si="36"/>
        <v>-0.51120424692133859</v>
      </c>
      <c r="AA184" s="10">
        <f t="shared" si="36"/>
        <v>-0.15096126435229126</v>
      </c>
      <c r="AB184" s="7">
        <f t="shared" si="35"/>
        <v>1.3039475677629779</v>
      </c>
      <c r="AC184" s="7">
        <v>1.606657415561507</v>
      </c>
      <c r="AF184" s="7">
        <v>2.6779433955816492</v>
      </c>
    </row>
    <row r="185" spans="1:32" x14ac:dyDescent="0.25">
      <c r="A185" s="6">
        <v>43040</v>
      </c>
      <c r="B185" s="7">
        <v>3.0108033419569857E-2</v>
      </c>
      <c r="C185" s="7">
        <v>-9.2851896473847284E-3</v>
      </c>
      <c r="D185" s="7">
        <v>1.9124491699953942E-2</v>
      </c>
      <c r="E185" s="7">
        <v>-1.2864800095172853E-2</v>
      </c>
      <c r="F185" s="7">
        <v>5.8935784243084929E-3</v>
      </c>
      <c r="G185" s="7">
        <v>1.9478850220005867E-2</v>
      </c>
      <c r="H185" s="12">
        <v>1</v>
      </c>
      <c r="I185" s="12">
        <v>1</v>
      </c>
      <c r="J185" s="23">
        <v>1</v>
      </c>
      <c r="K185" s="23">
        <v>1</v>
      </c>
      <c r="L185" s="9">
        <f t="shared" si="34"/>
        <v>1.9124491699953942E-2</v>
      </c>
      <c r="M185" s="9">
        <f t="shared" si="27"/>
        <v>0</v>
      </c>
      <c r="N185" s="9">
        <f t="shared" si="28"/>
        <v>1.2864800095172853E-2</v>
      </c>
      <c r="O185" s="9">
        <f t="shared" si="29"/>
        <v>0</v>
      </c>
      <c r="P185" s="9">
        <f t="shared" si="30"/>
        <v>5.8935784243084929E-3</v>
      </c>
      <c r="Q185" s="9">
        <f t="shared" si="31"/>
        <v>0</v>
      </c>
      <c r="R185" s="9">
        <f t="shared" si="32"/>
        <v>-5.8935784243084929E-3</v>
      </c>
      <c r="S185" s="9">
        <f t="shared" si="33"/>
        <v>0</v>
      </c>
      <c r="T185" s="10">
        <f t="shared" si="37"/>
        <v>0.60885868137220756</v>
      </c>
      <c r="U185" s="10">
        <f t="shared" si="37"/>
        <v>0.24555499533773362</v>
      </c>
      <c r="V185" s="10">
        <f t="shared" si="37"/>
        <v>-0.12070760255993213</v>
      </c>
      <c r="W185" s="10">
        <f t="shared" si="37"/>
        <v>0.60223078540809538</v>
      </c>
      <c r="X185" s="10">
        <f t="shared" si="37"/>
        <v>0.51709782534564708</v>
      </c>
      <c r="Y185" s="10">
        <f t="shared" si="36"/>
        <v>0.15096126435229126</v>
      </c>
      <c r="Z185" s="10">
        <f t="shared" si="36"/>
        <v>-0.51709782534564708</v>
      </c>
      <c r="AA185" s="10">
        <f t="shared" si="36"/>
        <v>-0.15096126435229126</v>
      </c>
      <c r="AB185" s="7">
        <f t="shared" si="35"/>
        <v>1.3359368595581047</v>
      </c>
      <c r="AC185" s="7">
        <v>1.636952568145525</v>
      </c>
      <c r="AF185" s="7">
        <v>2.6963474155810787</v>
      </c>
    </row>
    <row r="186" spans="1:32" x14ac:dyDescent="0.25">
      <c r="A186" s="6">
        <v>43070</v>
      </c>
      <c r="B186" s="7">
        <v>1.2054926300833912E-2</v>
      </c>
      <c r="C186" s="7">
        <v>1.4761218569910816E-2</v>
      </c>
      <c r="D186" s="7">
        <v>-2.6943650722405415E-3</v>
      </c>
      <c r="E186" s="7">
        <v>1.797561517747976E-2</v>
      </c>
      <c r="F186" s="7">
        <v>-3.5535092876116834E-3</v>
      </c>
      <c r="G186" s="7">
        <v>1.4431380571680936E-2</v>
      </c>
      <c r="H186" s="12">
        <v>-1</v>
      </c>
      <c r="I186" s="12">
        <v>-1</v>
      </c>
      <c r="J186" s="23">
        <v>-1</v>
      </c>
      <c r="K186" s="23">
        <v>-1</v>
      </c>
      <c r="L186" s="9">
        <f t="shared" si="34"/>
        <v>0</v>
      </c>
      <c r="M186" s="9">
        <f t="shared" si="27"/>
        <v>2.6943650722405415E-3</v>
      </c>
      <c r="N186" s="9">
        <f t="shared" si="28"/>
        <v>0</v>
      </c>
      <c r="O186" s="9">
        <f t="shared" si="29"/>
        <v>1.797561517747976E-2</v>
      </c>
      <c r="P186" s="9">
        <f t="shared" si="30"/>
        <v>0</v>
      </c>
      <c r="Q186" s="9">
        <f t="shared" si="31"/>
        <v>3.5535092876116834E-3</v>
      </c>
      <c r="R186" s="9">
        <f t="shared" si="32"/>
        <v>0</v>
      </c>
      <c r="S186" s="9">
        <f t="shared" si="33"/>
        <v>-3.5535092876116834E-3</v>
      </c>
      <c r="T186" s="10">
        <f t="shared" si="37"/>
        <v>0.60885868137220756</v>
      </c>
      <c r="U186" s="10">
        <f t="shared" si="37"/>
        <v>0.24824936040997417</v>
      </c>
      <c r="V186" s="10">
        <f t="shared" si="37"/>
        <v>-0.12070760255993213</v>
      </c>
      <c r="W186" s="10">
        <f t="shared" si="37"/>
        <v>0.62020640058557519</v>
      </c>
      <c r="X186" s="10">
        <f t="shared" si="37"/>
        <v>0.51709782534564708</v>
      </c>
      <c r="Y186" s="10">
        <f t="shared" si="36"/>
        <v>0.15451477363990296</v>
      </c>
      <c r="Z186" s="10">
        <f t="shared" si="36"/>
        <v>-0.51709782534564708</v>
      </c>
      <c r="AA186" s="10">
        <f t="shared" si="36"/>
        <v>-0.15451477363990296</v>
      </c>
      <c r="AB186" s="7">
        <f t="shared" si="35"/>
        <v>1.356606839807825</v>
      </c>
      <c r="AC186" s="7">
        <v>1.6491255346172371</v>
      </c>
      <c r="AF186" s="7">
        <v>2.7350022856900917</v>
      </c>
    </row>
    <row r="187" spans="1:32" x14ac:dyDescent="0.25">
      <c r="A187" s="6">
        <v>43101</v>
      </c>
      <c r="B187" s="7">
        <v>5.4828271854461215E-2</v>
      </c>
      <c r="C187" s="7">
        <v>8.489099216019512E-2</v>
      </c>
      <c r="D187" s="7">
        <v>-4.9188412320792449E-3</v>
      </c>
      <c r="E187" s="7">
        <v>-7.953068046105842E-3</v>
      </c>
      <c r="F187" s="7">
        <v>2.611185060363698E-2</v>
      </c>
      <c r="G187" s="7">
        <v>-9.7429498527237257E-3</v>
      </c>
      <c r="H187" s="12">
        <v>-1</v>
      </c>
      <c r="I187" s="12">
        <v>1</v>
      </c>
      <c r="J187" s="23">
        <v>-1</v>
      </c>
      <c r="K187" s="23">
        <v>1</v>
      </c>
      <c r="L187" s="9">
        <f t="shared" si="34"/>
        <v>0</v>
      </c>
      <c r="M187" s="9">
        <f t="shared" si="27"/>
        <v>4.9188412320792449E-3</v>
      </c>
      <c r="N187" s="9">
        <f t="shared" si="28"/>
        <v>0</v>
      </c>
      <c r="O187" s="9">
        <f t="shared" si="29"/>
        <v>-7.953068046105842E-3</v>
      </c>
      <c r="P187" s="9">
        <f t="shared" si="30"/>
        <v>2.611185060363698E-2</v>
      </c>
      <c r="Q187" s="9">
        <f t="shared" si="31"/>
        <v>0</v>
      </c>
      <c r="R187" s="9">
        <f t="shared" si="32"/>
        <v>-2.611185060363698E-2</v>
      </c>
      <c r="S187" s="9">
        <f t="shared" si="33"/>
        <v>0</v>
      </c>
      <c r="T187" s="10">
        <f t="shared" si="37"/>
        <v>0.60885868137220756</v>
      </c>
      <c r="U187" s="10">
        <f t="shared" si="37"/>
        <v>0.25316820164205339</v>
      </c>
      <c r="V187" s="10">
        <f t="shared" si="37"/>
        <v>-0.12070760255993213</v>
      </c>
      <c r="W187" s="10">
        <f t="shared" si="37"/>
        <v>0.61225333253946934</v>
      </c>
      <c r="X187" s="10">
        <f t="shared" si="37"/>
        <v>0.54320967594928404</v>
      </c>
      <c r="Y187" s="10">
        <f t="shared" si="36"/>
        <v>0.15451477363990296</v>
      </c>
      <c r="Z187" s="10">
        <f t="shared" si="36"/>
        <v>-0.54320967594928404</v>
      </c>
      <c r="AA187" s="10">
        <f t="shared" si="36"/>
        <v>-0.15451477363990296</v>
      </c>
      <c r="AB187" s="7">
        <f t="shared" si="35"/>
        <v>1.3535726129937984</v>
      </c>
      <c r="AC187" s="7">
        <v>1.7043224906798771</v>
      </c>
      <c r="AF187" s="7">
        <v>2.7678228593324259</v>
      </c>
    </row>
    <row r="188" spans="1:32" x14ac:dyDescent="0.25">
      <c r="A188" s="6">
        <v>43132</v>
      </c>
      <c r="B188" s="7">
        <v>-3.7037849864770427E-2</v>
      </c>
      <c r="C188" s="7">
        <v>3.3142235625002285E-3</v>
      </c>
      <c r="D188" s="7">
        <v>4.612206093618048E-3</v>
      </c>
      <c r="E188" s="7">
        <v>1.4077719218767796E-2</v>
      </c>
      <c r="F188" s="7">
        <v>-5.1797452432327633E-2</v>
      </c>
      <c r="G188" s="7">
        <v>-3.0297480730135874E-2</v>
      </c>
      <c r="H188" s="12">
        <v>-1</v>
      </c>
      <c r="I188" s="12">
        <v>1</v>
      </c>
      <c r="J188" s="23">
        <v>-1</v>
      </c>
      <c r="K188" s="23">
        <v>1</v>
      </c>
      <c r="L188" s="9">
        <f t="shared" si="34"/>
        <v>0</v>
      </c>
      <c r="M188" s="9">
        <f t="shared" si="27"/>
        <v>-4.612206093618048E-3</v>
      </c>
      <c r="N188" s="9">
        <f t="shared" si="28"/>
        <v>0</v>
      </c>
      <c r="O188" s="9">
        <f t="shared" si="29"/>
        <v>1.4077719218767796E-2</v>
      </c>
      <c r="P188" s="9">
        <f t="shared" si="30"/>
        <v>-5.1797452432327633E-2</v>
      </c>
      <c r="Q188" s="9">
        <f t="shared" si="31"/>
        <v>0</v>
      </c>
      <c r="R188" s="9">
        <f t="shared" si="32"/>
        <v>5.1797452432327633E-2</v>
      </c>
      <c r="S188" s="9">
        <f t="shared" si="33"/>
        <v>0</v>
      </c>
      <c r="T188" s="10">
        <f t="shared" si="37"/>
        <v>0.60885868137220756</v>
      </c>
      <c r="U188" s="10">
        <f t="shared" si="37"/>
        <v>0.24855599554843535</v>
      </c>
      <c r="V188" s="10">
        <f t="shared" si="37"/>
        <v>-0.12070760255993213</v>
      </c>
      <c r="W188" s="10">
        <f t="shared" si="37"/>
        <v>0.62633105175823711</v>
      </c>
      <c r="X188" s="10">
        <f t="shared" si="37"/>
        <v>0.4914122235169564</v>
      </c>
      <c r="Y188" s="10">
        <f t="shared" si="36"/>
        <v>0.15451477363990296</v>
      </c>
      <c r="Z188" s="10">
        <f t="shared" si="36"/>
        <v>-0.4914122235169564</v>
      </c>
      <c r="AA188" s="10">
        <f t="shared" si="36"/>
        <v>-0.15451477363990296</v>
      </c>
      <c r="AB188" s="7">
        <f t="shared" si="35"/>
        <v>1.3630381261189481</v>
      </c>
      <c r="AC188" s="7">
        <v>1.6701021810892289</v>
      </c>
      <c r="AF188" s="7">
        <v>2.7557884007553839</v>
      </c>
    </row>
    <row r="189" spans="1:32" x14ac:dyDescent="0.25">
      <c r="A189" s="6">
        <v>43160</v>
      </c>
      <c r="B189" s="7">
        <v>-2.7793433573292677E-2</v>
      </c>
      <c r="C189" s="7">
        <v>-5.2935112321216594E-3</v>
      </c>
      <c r="D189" s="7">
        <v>-2.7289331721891623E-2</v>
      </c>
      <c r="E189" s="7">
        <v>2.3406021679418101E-2</v>
      </c>
      <c r="F189" s="7">
        <v>4.1509370241881328E-3</v>
      </c>
      <c r="G189" s="7">
        <v>-4.2362346869143676E-3</v>
      </c>
      <c r="H189" s="12">
        <v>1</v>
      </c>
      <c r="I189" s="12">
        <v>1</v>
      </c>
      <c r="J189" s="23">
        <v>1</v>
      </c>
      <c r="K189" s="23">
        <v>1</v>
      </c>
      <c r="L189" s="9">
        <f t="shared" si="34"/>
        <v>-2.7289331721891623E-2</v>
      </c>
      <c r="M189" s="9">
        <f t="shared" si="27"/>
        <v>0</v>
      </c>
      <c r="N189" s="9">
        <f t="shared" si="28"/>
        <v>-2.3406021679418101E-2</v>
      </c>
      <c r="O189" s="9">
        <f t="shared" si="29"/>
        <v>0</v>
      </c>
      <c r="P189" s="9">
        <f t="shared" si="30"/>
        <v>4.1509370241881328E-3</v>
      </c>
      <c r="Q189" s="9">
        <f t="shared" si="31"/>
        <v>0</v>
      </c>
      <c r="R189" s="9">
        <f t="shared" si="32"/>
        <v>-4.1509370241881328E-3</v>
      </c>
      <c r="S189" s="9">
        <f t="shared" si="33"/>
        <v>0</v>
      </c>
      <c r="T189" s="10">
        <f t="shared" si="37"/>
        <v>0.58156934965031593</v>
      </c>
      <c r="U189" s="10">
        <f t="shared" si="37"/>
        <v>0.24855599554843535</v>
      </c>
      <c r="V189" s="10">
        <f t="shared" si="37"/>
        <v>-0.14411362423935023</v>
      </c>
      <c r="W189" s="10">
        <f t="shared" si="37"/>
        <v>0.62633105175823711</v>
      </c>
      <c r="X189" s="10">
        <f t="shared" si="37"/>
        <v>0.49556316054114452</v>
      </c>
      <c r="Y189" s="10">
        <f t="shared" si="36"/>
        <v>0.15451477363990296</v>
      </c>
      <c r="Z189" s="10">
        <f t="shared" si="36"/>
        <v>-0.49556316054114452</v>
      </c>
      <c r="AA189" s="10">
        <f t="shared" si="36"/>
        <v>-0.15451477363990296</v>
      </c>
      <c r="AB189" s="7">
        <f t="shared" si="35"/>
        <v>1.3123427727176384</v>
      </c>
      <c r="AC189" s="7">
        <v>1.643939055562357</v>
      </c>
      <c r="AF189" s="7">
        <v>2.7134802190651768</v>
      </c>
    </row>
    <row r="190" spans="1:32" x14ac:dyDescent="0.25">
      <c r="A190" s="6">
        <v>43191</v>
      </c>
      <c r="B190" s="7">
        <v>5.155135816983761E-3</v>
      </c>
      <c r="C190" s="7">
        <v>3.9553379733160809E-2</v>
      </c>
      <c r="D190" s="7">
        <v>-7.907851804735291E-3</v>
      </c>
      <c r="E190" s="7">
        <v>5.3875995769281076E-3</v>
      </c>
      <c r="F190" s="7">
        <v>-1.3120120457373973E-2</v>
      </c>
      <c r="G190" s="7">
        <v>-4.4493660091164625E-3</v>
      </c>
      <c r="H190" s="12">
        <v>-1</v>
      </c>
      <c r="I190" s="12">
        <v>-1</v>
      </c>
      <c r="J190" s="23">
        <v>-1</v>
      </c>
      <c r="K190" s="23">
        <v>-1</v>
      </c>
      <c r="L190" s="9">
        <f t="shared" si="34"/>
        <v>0</v>
      </c>
      <c r="M190" s="9">
        <f t="shared" si="27"/>
        <v>7.907851804735291E-3</v>
      </c>
      <c r="N190" s="9">
        <f t="shared" si="28"/>
        <v>0</v>
      </c>
      <c r="O190" s="9">
        <f t="shared" si="29"/>
        <v>5.3875995769281076E-3</v>
      </c>
      <c r="P190" s="9">
        <f t="shared" si="30"/>
        <v>0</v>
      </c>
      <c r="Q190" s="9">
        <f t="shared" si="31"/>
        <v>1.3120120457373973E-2</v>
      </c>
      <c r="R190" s="9">
        <f t="shared" si="32"/>
        <v>0</v>
      </c>
      <c r="S190" s="9">
        <f t="shared" si="33"/>
        <v>-1.3120120457373973E-2</v>
      </c>
      <c r="T190" s="10">
        <f t="shared" si="37"/>
        <v>0.58156934965031593</v>
      </c>
      <c r="U190" s="10">
        <f t="shared" si="37"/>
        <v>0.25646384735317063</v>
      </c>
      <c r="V190" s="10">
        <f t="shared" si="37"/>
        <v>-0.14411362423935023</v>
      </c>
      <c r="W190" s="10">
        <f t="shared" si="37"/>
        <v>0.63171865133516525</v>
      </c>
      <c r="X190" s="10">
        <f t="shared" si="37"/>
        <v>0.49556316054114452</v>
      </c>
      <c r="Y190" s="10">
        <f t="shared" si="36"/>
        <v>0.16763489409727694</v>
      </c>
      <c r="Z190" s="10">
        <f t="shared" si="36"/>
        <v>-0.49556316054114452</v>
      </c>
      <c r="AA190" s="10">
        <f t="shared" si="36"/>
        <v>-0.16763489409727694</v>
      </c>
      <c r="AB190" s="7">
        <f t="shared" si="35"/>
        <v>1.3256382240993019</v>
      </c>
      <c r="AC190" s="7">
        <v>1.650258701604213</v>
      </c>
      <c r="AF190" s="7">
        <v>2.7354464248950978</v>
      </c>
    </row>
    <row r="191" spans="1:32" x14ac:dyDescent="0.25">
      <c r="A191" s="6">
        <v>43221</v>
      </c>
      <c r="B191" s="7">
        <v>2.4018339830640102E-2</v>
      </c>
      <c r="C191" s="7">
        <v>4.622878211369133E-2</v>
      </c>
      <c r="D191" s="7">
        <v>-8.9288138674606353E-3</v>
      </c>
      <c r="E191" s="7">
        <v>3.3127622359462053E-2</v>
      </c>
      <c r="F191" s="7">
        <v>9.0696994359868478E-3</v>
      </c>
      <c r="G191" s="7">
        <v>-3.1973625113052581E-4</v>
      </c>
      <c r="H191" s="12">
        <v>-1</v>
      </c>
      <c r="I191" s="12">
        <v>1</v>
      </c>
      <c r="J191" s="23">
        <v>-1</v>
      </c>
      <c r="K191" s="23">
        <v>1</v>
      </c>
      <c r="L191" s="9">
        <f t="shared" si="34"/>
        <v>0</v>
      </c>
      <c r="M191" s="9">
        <f t="shared" si="27"/>
        <v>8.9288138674606353E-3</v>
      </c>
      <c r="N191" s="9">
        <f t="shared" si="28"/>
        <v>0</v>
      </c>
      <c r="O191" s="9">
        <f t="shared" si="29"/>
        <v>3.3127622359462053E-2</v>
      </c>
      <c r="P191" s="9">
        <f t="shared" si="30"/>
        <v>9.0696994359868478E-3</v>
      </c>
      <c r="Q191" s="9">
        <f t="shared" si="31"/>
        <v>0</v>
      </c>
      <c r="R191" s="9">
        <f t="shared" si="32"/>
        <v>-9.0696994359868478E-3</v>
      </c>
      <c r="S191" s="9">
        <f t="shared" si="33"/>
        <v>0</v>
      </c>
      <c r="T191" s="10">
        <f t="shared" si="37"/>
        <v>0.58156934965031593</v>
      </c>
      <c r="U191" s="10">
        <f t="shared" si="37"/>
        <v>0.26539266122063127</v>
      </c>
      <c r="V191" s="10">
        <f t="shared" si="37"/>
        <v>-0.14411362423935023</v>
      </c>
      <c r="W191" s="10">
        <f t="shared" si="37"/>
        <v>0.66484627369462734</v>
      </c>
      <c r="X191" s="10">
        <f t="shared" si="37"/>
        <v>0.50463285997713136</v>
      </c>
      <c r="Y191" s="10">
        <f t="shared" si="36"/>
        <v>0.16763489409727694</v>
      </c>
      <c r="Z191" s="10">
        <f t="shared" si="36"/>
        <v>-0.50463285997713136</v>
      </c>
      <c r="AA191" s="10">
        <f t="shared" si="36"/>
        <v>-0.16763489409727694</v>
      </c>
      <c r="AB191" s="7">
        <f t="shared" si="35"/>
        <v>1.3676946603262246</v>
      </c>
      <c r="AC191" s="7">
        <v>1.6747376882157949</v>
      </c>
      <c r="AF191" s="7">
        <v>2.7868922968091381</v>
      </c>
    </row>
    <row r="192" spans="1:32" x14ac:dyDescent="0.25">
      <c r="A192" s="6">
        <v>43252</v>
      </c>
      <c r="B192" s="7">
        <v>5.7342135862078081E-3</v>
      </c>
      <c r="C192" s="7">
        <v>1.9890913306014949E-2</v>
      </c>
      <c r="D192" s="7">
        <v>-1.0852293153218664E-2</v>
      </c>
      <c r="E192" s="7">
        <v>9.7416301856381483E-3</v>
      </c>
      <c r="F192" s="7">
        <v>2.3455087543905965E-2</v>
      </c>
      <c r="G192" s="7">
        <v>-8.7115890843291292E-3</v>
      </c>
      <c r="H192" s="12">
        <v>-1</v>
      </c>
      <c r="I192" s="12">
        <v>1</v>
      </c>
      <c r="J192" s="23">
        <v>-1</v>
      </c>
      <c r="K192" s="23">
        <v>1</v>
      </c>
      <c r="L192" s="9">
        <f t="shared" si="34"/>
        <v>0</v>
      </c>
      <c r="M192" s="9">
        <f t="shared" si="27"/>
        <v>1.0852293153218664E-2</v>
      </c>
      <c r="N192" s="9">
        <f t="shared" si="28"/>
        <v>0</v>
      </c>
      <c r="O192" s="9">
        <f t="shared" si="29"/>
        <v>9.7416301856381483E-3</v>
      </c>
      <c r="P192" s="9">
        <f t="shared" si="30"/>
        <v>2.3455087543905965E-2</v>
      </c>
      <c r="Q192" s="9">
        <f t="shared" si="31"/>
        <v>0</v>
      </c>
      <c r="R192" s="9">
        <f t="shared" si="32"/>
        <v>-2.3455087543905965E-2</v>
      </c>
      <c r="S192" s="9">
        <f t="shared" si="33"/>
        <v>0</v>
      </c>
      <c r="T192" s="10">
        <f t="shared" si="37"/>
        <v>0.58156934965031593</v>
      </c>
      <c r="U192" s="10">
        <f t="shared" si="37"/>
        <v>0.27624495437384994</v>
      </c>
      <c r="V192" s="10">
        <f t="shared" si="37"/>
        <v>-0.14411362423935023</v>
      </c>
      <c r="W192" s="10">
        <f t="shared" si="37"/>
        <v>0.67458790388026546</v>
      </c>
      <c r="X192" s="10">
        <f t="shared" si="37"/>
        <v>0.52808794752103738</v>
      </c>
      <c r="Y192" s="10">
        <f t="shared" si="36"/>
        <v>0.16763489409727694</v>
      </c>
      <c r="Z192" s="10">
        <f t="shared" si="36"/>
        <v>-0.52808794752103738</v>
      </c>
      <c r="AA192" s="10">
        <f t="shared" si="36"/>
        <v>-0.16763489409727694</v>
      </c>
      <c r="AB192" s="7">
        <f t="shared" si="35"/>
        <v>1.3882885836650813</v>
      </c>
      <c r="AC192" s="7">
        <v>1.6807619383345951</v>
      </c>
      <c r="AF192" s="7">
        <v>2.8396528967762298</v>
      </c>
    </row>
    <row r="193" spans="1:32" x14ac:dyDescent="0.25">
      <c r="A193" s="6">
        <v>43282</v>
      </c>
      <c r="B193" s="7">
        <v>3.6376741452448347E-2</v>
      </c>
      <c r="C193" s="7">
        <v>5.0424260444974993E-2</v>
      </c>
      <c r="D193" s="7">
        <v>4.0243726201898361E-3</v>
      </c>
      <c r="E193" s="7">
        <v>3.5988725289574108E-3</v>
      </c>
      <c r="F193" s="7">
        <v>2.4109842838069995E-2</v>
      </c>
      <c r="G193" s="7">
        <v>4.2316357374993256E-3</v>
      </c>
      <c r="H193" s="12">
        <v>-1</v>
      </c>
      <c r="I193" s="12">
        <v>1</v>
      </c>
      <c r="J193" s="23">
        <v>-1</v>
      </c>
      <c r="K193" s="23">
        <v>1</v>
      </c>
      <c r="L193" s="9">
        <f t="shared" si="34"/>
        <v>0</v>
      </c>
      <c r="M193" s="9">
        <f t="shared" si="27"/>
        <v>-4.0243726201898361E-3</v>
      </c>
      <c r="N193" s="9">
        <f t="shared" si="28"/>
        <v>0</v>
      </c>
      <c r="O193" s="9">
        <f t="shared" si="29"/>
        <v>3.5988725289574108E-3</v>
      </c>
      <c r="P193" s="9">
        <f t="shared" si="30"/>
        <v>2.4109842838069995E-2</v>
      </c>
      <c r="Q193" s="9">
        <f t="shared" si="31"/>
        <v>0</v>
      </c>
      <c r="R193" s="9">
        <f t="shared" si="32"/>
        <v>-2.4109842838069995E-2</v>
      </c>
      <c r="S193" s="9">
        <f t="shared" si="33"/>
        <v>0</v>
      </c>
      <c r="T193" s="10">
        <f t="shared" si="37"/>
        <v>0.58156934965031593</v>
      </c>
      <c r="U193" s="10">
        <f t="shared" si="37"/>
        <v>0.2722205817536601</v>
      </c>
      <c r="V193" s="10">
        <f t="shared" si="37"/>
        <v>-0.14411362423935023</v>
      </c>
      <c r="W193" s="10">
        <f t="shared" si="37"/>
        <v>0.67818677640922287</v>
      </c>
      <c r="X193" s="10">
        <f t="shared" si="37"/>
        <v>0.55219779035910732</v>
      </c>
      <c r="Y193" s="10">
        <f t="shared" si="36"/>
        <v>0.16763489409727694</v>
      </c>
      <c r="Z193" s="10">
        <f t="shared" si="36"/>
        <v>-0.55219779035910732</v>
      </c>
      <c r="AA193" s="10">
        <f t="shared" si="36"/>
        <v>-0.16763489409727694</v>
      </c>
      <c r="AB193" s="7">
        <f t="shared" si="35"/>
        <v>1.387863083573849</v>
      </c>
      <c r="AC193" s="7">
        <v>1.717451453865074</v>
      </c>
      <c r="AF193" s="7">
        <v>2.8591056037855682</v>
      </c>
    </row>
    <row r="194" spans="1:32" x14ac:dyDescent="0.25">
      <c r="A194" s="6">
        <v>43313</v>
      </c>
      <c r="B194" s="7">
        <v>3.1421186958409397E-2</v>
      </c>
      <c r="C194" s="7">
        <v>1.4811586670283932E-3</v>
      </c>
      <c r="D194" s="7">
        <v>1.3769505626484929E-2</v>
      </c>
      <c r="E194" s="7">
        <v>-3.1356211291794739E-3</v>
      </c>
      <c r="F194" s="7">
        <v>1.499390366819545E-2</v>
      </c>
      <c r="G194" s="7">
        <v>-6.4092701862888662E-3</v>
      </c>
      <c r="H194" s="12">
        <v>-1</v>
      </c>
      <c r="I194" s="12">
        <v>1</v>
      </c>
      <c r="J194" s="23">
        <v>-1</v>
      </c>
      <c r="K194" s="23">
        <v>1</v>
      </c>
      <c r="L194" s="9">
        <f t="shared" si="34"/>
        <v>0</v>
      </c>
      <c r="M194" s="9">
        <f t="shared" si="27"/>
        <v>-1.3769505626484929E-2</v>
      </c>
      <c r="N194" s="9">
        <f t="shared" si="28"/>
        <v>0</v>
      </c>
      <c r="O194" s="9">
        <f t="shared" si="29"/>
        <v>-3.1356211291794739E-3</v>
      </c>
      <c r="P194" s="9">
        <f t="shared" si="30"/>
        <v>1.499390366819545E-2</v>
      </c>
      <c r="Q194" s="9">
        <f t="shared" si="31"/>
        <v>0</v>
      </c>
      <c r="R194" s="9">
        <f t="shared" si="32"/>
        <v>-1.499390366819545E-2</v>
      </c>
      <c r="S194" s="9">
        <f t="shared" si="33"/>
        <v>0</v>
      </c>
      <c r="T194" s="10">
        <f t="shared" si="37"/>
        <v>0.58156934965031593</v>
      </c>
      <c r="U194" s="10">
        <f t="shared" si="37"/>
        <v>0.25845107612717516</v>
      </c>
      <c r="V194" s="10">
        <f t="shared" si="37"/>
        <v>-0.14411362423935023</v>
      </c>
      <c r="W194" s="10">
        <f t="shared" si="37"/>
        <v>0.67505115528004345</v>
      </c>
      <c r="X194" s="10">
        <f t="shared" si="37"/>
        <v>0.56719169402730274</v>
      </c>
      <c r="Y194" s="10">
        <f t="shared" si="36"/>
        <v>0.16763489409727694</v>
      </c>
      <c r="Z194" s="10">
        <f t="shared" si="36"/>
        <v>-0.56719169402730274</v>
      </c>
      <c r="AA194" s="10">
        <f t="shared" si="36"/>
        <v>-0.16763489409727694</v>
      </c>
      <c r="AB194" s="7">
        <f t="shared" si="35"/>
        <v>1.3709579568181847</v>
      </c>
      <c r="AC194" s="7">
        <v>1.7491051419325521</v>
      </c>
      <c r="AF194" s="7">
        <v>2.8636036508843881</v>
      </c>
    </row>
    <row r="195" spans="1:32" x14ac:dyDescent="0.25">
      <c r="A195" s="6">
        <v>43344</v>
      </c>
      <c r="B195" s="7">
        <v>5.927802348534324E-3</v>
      </c>
      <c r="C195" s="7">
        <v>4.003650712396669E-2</v>
      </c>
      <c r="D195" s="7">
        <v>-1.0316341066677899E-3</v>
      </c>
      <c r="E195" s="7">
        <v>4.0162620680217831E-3</v>
      </c>
      <c r="F195" s="7">
        <v>-7.6417809972011853E-3</v>
      </c>
      <c r="G195" s="7">
        <v>-9.638032562270242E-3</v>
      </c>
      <c r="H195" s="12">
        <v>-1</v>
      </c>
      <c r="I195" s="12">
        <v>1</v>
      </c>
      <c r="J195" s="23">
        <v>-1</v>
      </c>
      <c r="K195" s="23">
        <v>1</v>
      </c>
      <c r="L195" s="9">
        <f t="shared" si="34"/>
        <v>0</v>
      </c>
      <c r="M195" s="9">
        <f t="shared" ref="M195:M258" si="38">IF(H195=-1,-D195,0)</f>
        <v>1.0316341066677899E-3</v>
      </c>
      <c r="N195" s="9">
        <f t="shared" ref="N195:N258" si="39">IF(H195=1,-E195,0)</f>
        <v>0</v>
      </c>
      <c r="O195" s="9">
        <f t="shared" ref="O195:O258" si="40">IF(H195=-1,E195,0)</f>
        <v>4.0162620680217831E-3</v>
      </c>
      <c r="P195" s="9">
        <f t="shared" ref="P195:P258" si="41">IF(I195=1,F195,0)</f>
        <v>-7.6417809972011853E-3</v>
      </c>
      <c r="Q195" s="9">
        <f t="shared" ref="Q195:Q258" si="42">IF($I195=-1,-$F195,0)</f>
        <v>0</v>
      </c>
      <c r="R195" s="9">
        <f t="shared" ref="R195:R258" si="43">IF($I195=1,-$F195,0)</f>
        <v>7.6417809972011853E-3</v>
      </c>
      <c r="S195" s="9">
        <f t="shared" ref="S195:S258" si="44">IF($I195=-1,$F195,0)</f>
        <v>0</v>
      </c>
      <c r="T195" s="10">
        <f t="shared" si="37"/>
        <v>0.58156934965031593</v>
      </c>
      <c r="U195" s="10">
        <f t="shared" si="37"/>
        <v>0.25948271023384295</v>
      </c>
      <c r="V195" s="10">
        <f t="shared" si="37"/>
        <v>-0.14411362423935023</v>
      </c>
      <c r="W195" s="10">
        <f t="shared" si="37"/>
        <v>0.67906741734806519</v>
      </c>
      <c r="X195" s="10">
        <f t="shared" si="37"/>
        <v>0.5595499130301016</v>
      </c>
      <c r="Y195" s="10">
        <f t="shared" si="36"/>
        <v>0.16763489409727694</v>
      </c>
      <c r="Z195" s="10">
        <f t="shared" si="36"/>
        <v>-0.5595499130301016</v>
      </c>
      <c r="AA195" s="10">
        <f t="shared" si="36"/>
        <v>-0.16763489409727694</v>
      </c>
      <c r="AB195" s="7">
        <f t="shared" si="35"/>
        <v>1.3760058529928743</v>
      </c>
      <c r="AC195" s="7">
        <v>1.7551460809381929</v>
      </c>
      <c r="AF195" s="7">
        <v>2.8706477986241468</v>
      </c>
    </row>
    <row r="196" spans="1:32" x14ac:dyDescent="0.25">
      <c r="A196" s="6">
        <v>43374</v>
      </c>
      <c r="B196" s="7">
        <v>-7.1608176933506767E-2</v>
      </c>
      <c r="C196" s="7">
        <v>-2.2454685946034773E-2</v>
      </c>
      <c r="D196" s="7">
        <v>-2.0553717379581858E-2</v>
      </c>
      <c r="E196" s="7">
        <v>-1.143701118667192E-3</v>
      </c>
      <c r="F196" s="7">
        <v>-1.0025517699890484E-2</v>
      </c>
      <c r="G196" s="7">
        <v>-3.4509257523105241E-2</v>
      </c>
      <c r="H196" s="12">
        <v>1</v>
      </c>
      <c r="I196" s="12">
        <v>1</v>
      </c>
      <c r="J196" s="23">
        <v>1</v>
      </c>
      <c r="K196" s="23">
        <v>1</v>
      </c>
      <c r="L196" s="9">
        <f t="shared" ref="L196:L259" si="45">IF(H196=1,D196,0)</f>
        <v>-2.0553717379581858E-2</v>
      </c>
      <c r="M196" s="9">
        <f t="shared" si="38"/>
        <v>0</v>
      </c>
      <c r="N196" s="9">
        <f t="shared" si="39"/>
        <v>1.143701118667192E-3</v>
      </c>
      <c r="O196" s="9">
        <f t="shared" si="40"/>
        <v>0</v>
      </c>
      <c r="P196" s="9">
        <f t="shared" si="41"/>
        <v>-1.0025517699890484E-2</v>
      </c>
      <c r="Q196" s="9">
        <f t="shared" si="42"/>
        <v>0</v>
      </c>
      <c r="R196" s="9">
        <f t="shared" si="43"/>
        <v>1.0025517699890484E-2</v>
      </c>
      <c r="S196" s="9">
        <f t="shared" si="44"/>
        <v>0</v>
      </c>
      <c r="T196" s="10">
        <f t="shared" si="37"/>
        <v>0.56101563227073403</v>
      </c>
      <c r="U196" s="10">
        <f t="shared" si="37"/>
        <v>0.25948271023384295</v>
      </c>
      <c r="V196" s="10">
        <f t="shared" si="37"/>
        <v>-0.14296992312068305</v>
      </c>
      <c r="W196" s="10">
        <f t="shared" si="37"/>
        <v>0.67906741734806519</v>
      </c>
      <c r="X196" s="10">
        <f t="shared" si="37"/>
        <v>0.54952439533021114</v>
      </c>
      <c r="Y196" s="10">
        <f t="shared" si="36"/>
        <v>0.16763489409727694</v>
      </c>
      <c r="Z196" s="10">
        <f t="shared" si="36"/>
        <v>-0.54952439533021114</v>
      </c>
      <c r="AA196" s="10">
        <f t="shared" si="36"/>
        <v>-0.16763489409727694</v>
      </c>
      <c r="AB196" s="7">
        <f t="shared" ref="AB196:AB259" si="46">AB195+SUM(L196:S196)</f>
        <v>1.3565958367319595</v>
      </c>
      <c r="AC196" s="7">
        <v>1.685790543672034</v>
      </c>
      <c r="AF196" s="7">
        <v>2.8757215221864469</v>
      </c>
    </row>
    <row r="197" spans="1:32" x14ac:dyDescent="0.25">
      <c r="A197" s="6">
        <v>43405</v>
      </c>
      <c r="B197" s="7">
        <v>1.8379691391875903E-2</v>
      </c>
      <c r="C197" s="7">
        <v>-3.5969844062635793E-2</v>
      </c>
      <c r="D197" s="7">
        <v>3.9326840232530066E-2</v>
      </c>
      <c r="E197" s="7">
        <v>2.6912111481402364E-3</v>
      </c>
      <c r="F197" s="7">
        <v>3.7637580457190539E-2</v>
      </c>
      <c r="G197" s="7">
        <v>-6.9525341384052705E-3</v>
      </c>
      <c r="H197" s="12">
        <v>1</v>
      </c>
      <c r="I197" s="12">
        <v>-1</v>
      </c>
      <c r="J197" s="23">
        <v>1</v>
      </c>
      <c r="K197" s="23">
        <v>-1</v>
      </c>
      <c r="L197" s="9">
        <f t="shared" si="45"/>
        <v>3.9326840232530066E-2</v>
      </c>
      <c r="M197" s="9">
        <f t="shared" si="38"/>
        <v>0</v>
      </c>
      <c r="N197" s="9">
        <f t="shared" si="39"/>
        <v>-2.6912111481402364E-3</v>
      </c>
      <c r="O197" s="9">
        <f t="shared" si="40"/>
        <v>0</v>
      </c>
      <c r="P197" s="9">
        <f t="shared" si="41"/>
        <v>0</v>
      </c>
      <c r="Q197" s="9">
        <f t="shared" si="42"/>
        <v>-3.7637580457190539E-2</v>
      </c>
      <c r="R197" s="9">
        <f t="shared" si="43"/>
        <v>0</v>
      </c>
      <c r="S197" s="9">
        <f t="shared" si="44"/>
        <v>3.7637580457190539E-2</v>
      </c>
      <c r="T197" s="10">
        <f t="shared" si="37"/>
        <v>0.60034247250326411</v>
      </c>
      <c r="U197" s="10">
        <f t="shared" si="37"/>
        <v>0.25948271023384295</v>
      </c>
      <c r="V197" s="10">
        <f t="shared" si="37"/>
        <v>-0.14566113426882329</v>
      </c>
      <c r="W197" s="10">
        <f t="shared" si="37"/>
        <v>0.67906741734806519</v>
      </c>
      <c r="X197" s="10">
        <f t="shared" si="37"/>
        <v>0.54952439533021114</v>
      </c>
      <c r="Y197" s="10">
        <f t="shared" si="36"/>
        <v>0.1299973136400864</v>
      </c>
      <c r="Z197" s="10">
        <f t="shared" si="36"/>
        <v>-0.54952439533021114</v>
      </c>
      <c r="AA197" s="10">
        <f t="shared" si="36"/>
        <v>-0.1299973136400864</v>
      </c>
      <c r="AB197" s="7">
        <f t="shared" si="46"/>
        <v>1.3932314658163494</v>
      </c>
      <c r="AC197" s="7">
        <v>1.7055763730136171</v>
      </c>
      <c r="AF197" s="7">
        <v>2.8677670366752408</v>
      </c>
    </row>
    <row r="198" spans="1:32" x14ac:dyDescent="0.25">
      <c r="A198" s="6">
        <v>43435</v>
      </c>
      <c r="B198" s="7">
        <v>-9.2168749331661873E-2</v>
      </c>
      <c r="C198" s="7">
        <v>-0.21185768769194702</v>
      </c>
      <c r="D198" s="7">
        <v>6.4367590049125331E-2</v>
      </c>
      <c r="E198" s="7">
        <v>1.5648958771348532E-3</v>
      </c>
      <c r="F198" s="7">
        <v>-4.2918108101582725E-2</v>
      </c>
      <c r="G198" s="7">
        <v>3.2803510581793024E-2</v>
      </c>
      <c r="H198" s="12">
        <v>1</v>
      </c>
      <c r="I198" s="12">
        <v>-1</v>
      </c>
      <c r="J198" s="23">
        <v>1</v>
      </c>
      <c r="K198" s="23">
        <v>-1</v>
      </c>
      <c r="L198" s="9">
        <f t="shared" si="45"/>
        <v>6.4367590049125331E-2</v>
      </c>
      <c r="M198" s="9">
        <f t="shared" si="38"/>
        <v>0</v>
      </c>
      <c r="N198" s="9">
        <f t="shared" si="39"/>
        <v>-1.5648958771348532E-3</v>
      </c>
      <c r="O198" s="9">
        <f t="shared" si="40"/>
        <v>0</v>
      </c>
      <c r="P198" s="9">
        <f t="shared" si="41"/>
        <v>0</v>
      </c>
      <c r="Q198" s="9">
        <f t="shared" si="42"/>
        <v>4.2918108101582725E-2</v>
      </c>
      <c r="R198" s="9">
        <f t="shared" si="43"/>
        <v>0</v>
      </c>
      <c r="S198" s="9">
        <f t="shared" si="44"/>
        <v>-4.2918108101582725E-2</v>
      </c>
      <c r="T198" s="10">
        <f t="shared" si="37"/>
        <v>0.6647100625523894</v>
      </c>
      <c r="U198" s="10">
        <f t="shared" si="37"/>
        <v>0.25948271023384295</v>
      </c>
      <c r="V198" s="10">
        <f t="shared" si="37"/>
        <v>-0.14722603014595814</v>
      </c>
      <c r="W198" s="10">
        <f t="shared" si="37"/>
        <v>0.67906741734806519</v>
      </c>
      <c r="X198" s="10">
        <f t="shared" si="37"/>
        <v>0.54952439533021114</v>
      </c>
      <c r="Y198" s="10">
        <f t="shared" si="36"/>
        <v>0.17291542174166913</v>
      </c>
      <c r="Z198" s="10">
        <f t="shared" si="36"/>
        <v>-0.54952439533021114</v>
      </c>
      <c r="AA198" s="10">
        <f t="shared" si="36"/>
        <v>-0.17291542174166913</v>
      </c>
      <c r="AB198" s="7">
        <f t="shared" si="46"/>
        <v>1.45603415998834</v>
      </c>
      <c r="AC198" s="7">
        <v>1.6168082161034929</v>
      </c>
      <c r="AF198" s="7">
        <v>3.0062913495306072</v>
      </c>
    </row>
    <row r="199" spans="1:32" x14ac:dyDescent="0.25">
      <c r="A199" s="6">
        <v>43466</v>
      </c>
      <c r="B199" s="7">
        <v>7.7021910778385203E-2</v>
      </c>
      <c r="C199" s="7">
        <v>6.2412897833737845E-2</v>
      </c>
      <c r="D199" s="7">
        <v>2.4450809983496139E-2</v>
      </c>
      <c r="E199" s="7">
        <v>1.3620232353698167E-2</v>
      </c>
      <c r="F199" s="7">
        <v>2.7040014402131642E-2</v>
      </c>
      <c r="G199" s="7">
        <v>-6.588298738461275E-4</v>
      </c>
      <c r="H199" s="12">
        <v>-1</v>
      </c>
      <c r="I199" s="12">
        <v>-1</v>
      </c>
      <c r="J199" s="23">
        <v>-1</v>
      </c>
      <c r="K199" s="23">
        <v>-1</v>
      </c>
      <c r="L199" s="9">
        <f t="shared" si="45"/>
        <v>0</v>
      </c>
      <c r="M199" s="9">
        <f t="shared" si="38"/>
        <v>-2.4450809983496139E-2</v>
      </c>
      <c r="N199" s="9">
        <f t="shared" si="39"/>
        <v>0</v>
      </c>
      <c r="O199" s="9">
        <f t="shared" si="40"/>
        <v>1.3620232353698167E-2</v>
      </c>
      <c r="P199" s="9">
        <f t="shared" si="41"/>
        <v>0</v>
      </c>
      <c r="Q199" s="9">
        <f t="shared" si="42"/>
        <v>-2.7040014402131642E-2</v>
      </c>
      <c r="R199" s="9">
        <f t="shared" si="43"/>
        <v>0</v>
      </c>
      <c r="S199" s="9">
        <f t="shared" si="44"/>
        <v>2.7040014402131642E-2</v>
      </c>
      <c r="T199" s="10">
        <f t="shared" si="37"/>
        <v>0.6647100625523894</v>
      </c>
      <c r="U199" s="10">
        <f t="shared" si="37"/>
        <v>0.23503190025034681</v>
      </c>
      <c r="V199" s="10">
        <f t="shared" si="37"/>
        <v>-0.14722603014595814</v>
      </c>
      <c r="W199" s="10">
        <f t="shared" si="37"/>
        <v>0.69268764970176333</v>
      </c>
      <c r="X199" s="10">
        <f t="shared" si="37"/>
        <v>0.54952439533021114</v>
      </c>
      <c r="Y199" s="10">
        <f t="shared" si="36"/>
        <v>0.14587540733953749</v>
      </c>
      <c r="Z199" s="10">
        <f t="shared" si="36"/>
        <v>-0.54952439533021114</v>
      </c>
      <c r="AA199" s="10">
        <f t="shared" si="36"/>
        <v>-0.14587540733953749</v>
      </c>
      <c r="AB199" s="7">
        <f t="shared" si="46"/>
        <v>1.4452035823585421</v>
      </c>
      <c r="AC199" s="7">
        <v>1.6952860253908739</v>
      </c>
      <c r="AF199" s="7">
        <v>2.9677619276248315</v>
      </c>
    </row>
    <row r="200" spans="1:32" x14ac:dyDescent="0.25">
      <c r="A200" s="6">
        <v>43497</v>
      </c>
      <c r="B200" s="7">
        <v>3.1901454536871036E-2</v>
      </c>
      <c r="C200" s="7">
        <v>3.4578791536887671E-2</v>
      </c>
      <c r="D200" s="7">
        <v>-1.6496818060871888E-3</v>
      </c>
      <c r="E200" s="7">
        <v>-1.2831582499350359E-2</v>
      </c>
      <c r="F200" s="7">
        <v>7.7779418502615071E-4</v>
      </c>
      <c r="G200" s="7">
        <v>1.1087989592116305E-3</v>
      </c>
      <c r="H200" s="12">
        <v>-1</v>
      </c>
      <c r="I200" s="12">
        <v>1</v>
      </c>
      <c r="J200" s="23">
        <v>-1</v>
      </c>
      <c r="K200" s="23">
        <v>1</v>
      </c>
      <c r="L200" s="9">
        <f t="shared" si="45"/>
        <v>0</v>
      </c>
      <c r="M200" s="9">
        <f t="shared" si="38"/>
        <v>1.6496818060871888E-3</v>
      </c>
      <c r="N200" s="9">
        <f t="shared" si="39"/>
        <v>0</v>
      </c>
      <c r="O200" s="9">
        <f t="shared" si="40"/>
        <v>-1.2831582499350359E-2</v>
      </c>
      <c r="P200" s="9">
        <f t="shared" si="41"/>
        <v>7.7779418502615071E-4</v>
      </c>
      <c r="Q200" s="9">
        <f t="shared" si="42"/>
        <v>0</v>
      </c>
      <c r="R200" s="9">
        <f t="shared" si="43"/>
        <v>-7.7779418502615071E-4</v>
      </c>
      <c r="S200" s="9">
        <f t="shared" si="44"/>
        <v>0</v>
      </c>
      <c r="T200" s="10">
        <f t="shared" si="37"/>
        <v>0.6647100625523894</v>
      </c>
      <c r="U200" s="10">
        <f t="shared" si="37"/>
        <v>0.236681582056434</v>
      </c>
      <c r="V200" s="10">
        <f t="shared" si="37"/>
        <v>-0.14722603014595814</v>
      </c>
      <c r="W200" s="10">
        <f t="shared" si="37"/>
        <v>0.67985606720241298</v>
      </c>
      <c r="X200" s="10">
        <f t="shared" si="37"/>
        <v>0.55030218951523724</v>
      </c>
      <c r="Y200" s="10">
        <f t="shared" si="36"/>
        <v>0.14587540733953749</v>
      </c>
      <c r="Z200" s="10">
        <f t="shared" si="36"/>
        <v>-0.55030218951523724</v>
      </c>
      <c r="AA200" s="10">
        <f t="shared" si="36"/>
        <v>-0.14587540733953749</v>
      </c>
      <c r="AB200" s="7">
        <f t="shared" si="46"/>
        <v>1.4340216816652789</v>
      </c>
      <c r="AC200" s="7">
        <v>1.727449271643505</v>
      </c>
      <c r="AF200" s="7">
        <v>2.9562490221573827</v>
      </c>
    </row>
    <row r="201" spans="1:32" x14ac:dyDescent="0.25">
      <c r="A201" s="6">
        <v>43525</v>
      </c>
      <c r="B201" s="7">
        <v>1.793895013713236E-2</v>
      </c>
      <c r="C201" s="7">
        <v>-3.5669839480469839E-4</v>
      </c>
      <c r="D201" s="7">
        <v>-7.9335959042815991E-3</v>
      </c>
      <c r="E201" s="7">
        <v>2.7990327444829342E-2</v>
      </c>
      <c r="F201" s="7">
        <v>-1.32564783316515E-2</v>
      </c>
      <c r="G201" s="7">
        <v>1.0738075946087874E-2</v>
      </c>
      <c r="H201" s="12">
        <v>1</v>
      </c>
      <c r="I201" s="12">
        <v>1</v>
      </c>
      <c r="J201" s="23">
        <v>1</v>
      </c>
      <c r="K201" s="23">
        <v>1</v>
      </c>
      <c r="L201" s="9">
        <f t="shared" si="45"/>
        <v>-7.9335959042815991E-3</v>
      </c>
      <c r="M201" s="9">
        <f t="shared" si="38"/>
        <v>0</v>
      </c>
      <c r="N201" s="9">
        <f t="shared" si="39"/>
        <v>-2.7990327444829342E-2</v>
      </c>
      <c r="O201" s="9">
        <f t="shared" si="40"/>
        <v>0</v>
      </c>
      <c r="P201" s="9">
        <f t="shared" si="41"/>
        <v>-1.32564783316515E-2</v>
      </c>
      <c r="Q201" s="9">
        <f t="shared" si="42"/>
        <v>0</v>
      </c>
      <c r="R201" s="9">
        <f t="shared" si="43"/>
        <v>1.32564783316515E-2</v>
      </c>
      <c r="S201" s="9">
        <f t="shared" si="44"/>
        <v>0</v>
      </c>
      <c r="T201" s="10">
        <f t="shared" si="37"/>
        <v>0.65677646664810785</v>
      </c>
      <c r="U201" s="10">
        <f t="shared" si="37"/>
        <v>0.236681582056434</v>
      </c>
      <c r="V201" s="10">
        <f t="shared" si="37"/>
        <v>-0.17521635759078749</v>
      </c>
      <c r="W201" s="10">
        <f t="shared" si="37"/>
        <v>0.67985606720241298</v>
      </c>
      <c r="X201" s="10">
        <f t="shared" si="37"/>
        <v>0.53704571118358579</v>
      </c>
      <c r="Y201" s="10">
        <f t="shared" si="36"/>
        <v>0.14587540733953749</v>
      </c>
      <c r="Z201" s="10">
        <f t="shared" si="36"/>
        <v>-0.53704571118358579</v>
      </c>
      <c r="AA201" s="10">
        <f t="shared" si="36"/>
        <v>-0.14587540733953749</v>
      </c>
      <c r="AB201" s="7">
        <f t="shared" si="46"/>
        <v>1.398097758316168</v>
      </c>
      <c r="AC201" s="7">
        <v>1.745946795327026</v>
      </c>
      <c r="AF201" s="7">
        <v>2.8963305445305325</v>
      </c>
    </row>
    <row r="202" spans="1:32" x14ac:dyDescent="0.25">
      <c r="A202" s="6">
        <v>43556</v>
      </c>
      <c r="B202" s="7">
        <v>4.0039738729214951E-2</v>
      </c>
      <c r="C202" s="7">
        <v>5.8211696101089103E-2</v>
      </c>
      <c r="D202" s="7">
        <v>1.2836208250145786E-2</v>
      </c>
      <c r="E202" s="7">
        <v>1.0896548044421583E-2</v>
      </c>
      <c r="F202" s="7">
        <v>2.1329952712746219E-2</v>
      </c>
      <c r="G202" s="7">
        <v>-1.7043418807385507E-2</v>
      </c>
      <c r="H202" s="12">
        <v>-1</v>
      </c>
      <c r="I202" s="12">
        <v>-1</v>
      </c>
      <c r="J202" s="23">
        <v>-1</v>
      </c>
      <c r="K202" s="23">
        <v>-1</v>
      </c>
      <c r="L202" s="9">
        <f t="shared" si="45"/>
        <v>0</v>
      </c>
      <c r="M202" s="9">
        <f t="shared" si="38"/>
        <v>-1.2836208250145786E-2</v>
      </c>
      <c r="N202" s="9">
        <f t="shared" si="39"/>
        <v>0</v>
      </c>
      <c r="O202" s="9">
        <f t="shared" si="40"/>
        <v>1.0896548044421583E-2</v>
      </c>
      <c r="P202" s="9">
        <f t="shared" si="41"/>
        <v>0</v>
      </c>
      <c r="Q202" s="9">
        <f t="shared" si="42"/>
        <v>-2.1329952712746219E-2</v>
      </c>
      <c r="R202" s="9">
        <f t="shared" si="43"/>
        <v>0</v>
      </c>
      <c r="S202" s="9">
        <f t="shared" si="44"/>
        <v>2.1329952712746219E-2</v>
      </c>
      <c r="T202" s="10">
        <f t="shared" si="37"/>
        <v>0.65677646664810785</v>
      </c>
      <c r="U202" s="10">
        <f t="shared" si="37"/>
        <v>0.22384537380628822</v>
      </c>
      <c r="V202" s="10">
        <f t="shared" si="37"/>
        <v>-0.17521635759078749</v>
      </c>
      <c r="W202" s="10">
        <f t="shared" si="37"/>
        <v>0.69075261524683462</v>
      </c>
      <c r="X202" s="10">
        <f t="shared" si="37"/>
        <v>0.53704571118358579</v>
      </c>
      <c r="Y202" s="10">
        <f t="shared" si="36"/>
        <v>0.12454545462679127</v>
      </c>
      <c r="Z202" s="10">
        <f t="shared" si="36"/>
        <v>-0.53704571118358579</v>
      </c>
      <c r="AA202" s="10">
        <f t="shared" si="36"/>
        <v>-0.12454545462679127</v>
      </c>
      <c r="AB202" s="7">
        <f t="shared" si="46"/>
        <v>1.3961580981104438</v>
      </c>
      <c r="AC202" s="7">
        <v>1.78617583793178</v>
      </c>
      <c r="AF202" s="7">
        <v>2.8560175128046765</v>
      </c>
    </row>
    <row r="203" spans="1:32" x14ac:dyDescent="0.25">
      <c r="A203" s="6">
        <v>43586</v>
      </c>
      <c r="B203" s="7">
        <v>-6.5895104484750014E-2</v>
      </c>
      <c r="C203" s="7">
        <v>-4.3060739153136685E-2</v>
      </c>
      <c r="D203" s="7">
        <v>-4.0020836287496545E-2</v>
      </c>
      <c r="E203" s="7">
        <v>4.8968361084669731E-2</v>
      </c>
      <c r="F203" s="7">
        <v>-2.0930417113664015E-2</v>
      </c>
      <c r="G203" s="7">
        <v>1.2555292621467427E-2</v>
      </c>
      <c r="H203" s="12">
        <v>1</v>
      </c>
      <c r="I203" s="12">
        <v>1</v>
      </c>
      <c r="J203" s="23">
        <v>1</v>
      </c>
      <c r="K203" s="23">
        <v>1</v>
      </c>
      <c r="L203" s="9">
        <f t="shared" si="45"/>
        <v>-4.0020836287496545E-2</v>
      </c>
      <c r="M203" s="9">
        <f t="shared" si="38"/>
        <v>0</v>
      </c>
      <c r="N203" s="9">
        <f t="shared" si="39"/>
        <v>-4.8968361084669731E-2</v>
      </c>
      <c r="O203" s="9">
        <f t="shared" si="40"/>
        <v>0</v>
      </c>
      <c r="P203" s="9">
        <f t="shared" si="41"/>
        <v>-2.0930417113664015E-2</v>
      </c>
      <c r="Q203" s="9">
        <f t="shared" si="42"/>
        <v>0</v>
      </c>
      <c r="R203" s="9">
        <f t="shared" si="43"/>
        <v>2.0930417113664015E-2</v>
      </c>
      <c r="S203" s="9">
        <f t="shared" si="44"/>
        <v>0</v>
      </c>
      <c r="T203" s="10">
        <f t="shared" si="37"/>
        <v>0.61675563036061132</v>
      </c>
      <c r="U203" s="10">
        <f t="shared" si="37"/>
        <v>0.22384537380628822</v>
      </c>
      <c r="V203" s="10">
        <f t="shared" si="37"/>
        <v>-0.22418471867545722</v>
      </c>
      <c r="W203" s="10">
        <f t="shared" si="37"/>
        <v>0.69075261524683462</v>
      </c>
      <c r="X203" s="10">
        <f t="shared" si="37"/>
        <v>0.51611529406992174</v>
      </c>
      <c r="Y203" s="10">
        <f t="shared" si="36"/>
        <v>0.12454545462679127</v>
      </c>
      <c r="Z203" s="10">
        <f t="shared" si="36"/>
        <v>-0.51611529406992174</v>
      </c>
      <c r="AA203" s="10">
        <f t="shared" si="36"/>
        <v>-0.12454545462679127</v>
      </c>
      <c r="AB203" s="7">
        <f t="shared" si="46"/>
        <v>1.3071689007382774</v>
      </c>
      <c r="AC203" s="7">
        <v>1.7212753840628769</v>
      </c>
      <c r="AF203" s="7">
        <v>2.7335426056973788</v>
      </c>
    </row>
    <row r="204" spans="1:32" x14ac:dyDescent="0.25">
      <c r="A204" s="6">
        <v>43617</v>
      </c>
      <c r="B204" s="7">
        <v>6.7272022468448489E-2</v>
      </c>
      <c r="C204" s="7">
        <v>7.1667902578850279E-2</v>
      </c>
      <c r="D204" s="7">
        <v>-3.4073026851065384E-3</v>
      </c>
      <c r="E204" s="7">
        <v>1.0444911862299582E-2</v>
      </c>
      <c r="F204" s="7">
        <v>4.399190773026062E-2</v>
      </c>
      <c r="G204" s="7">
        <v>1.3671303040833308E-3</v>
      </c>
      <c r="H204" s="12">
        <v>-1</v>
      </c>
      <c r="I204" s="12">
        <v>-1</v>
      </c>
      <c r="J204" s="23">
        <v>-1</v>
      </c>
      <c r="K204" s="23">
        <v>-1</v>
      </c>
      <c r="L204" s="9">
        <f t="shared" si="45"/>
        <v>0</v>
      </c>
      <c r="M204" s="9">
        <f t="shared" si="38"/>
        <v>3.4073026851065384E-3</v>
      </c>
      <c r="N204" s="9">
        <f t="shared" si="39"/>
        <v>0</v>
      </c>
      <c r="O204" s="9">
        <f t="shared" si="40"/>
        <v>1.0444911862299582E-2</v>
      </c>
      <c r="P204" s="9">
        <f t="shared" si="41"/>
        <v>0</v>
      </c>
      <c r="Q204" s="9">
        <f t="shared" si="42"/>
        <v>-4.399190773026062E-2</v>
      </c>
      <c r="R204" s="9">
        <f t="shared" si="43"/>
        <v>0</v>
      </c>
      <c r="S204" s="9">
        <f t="shared" si="44"/>
        <v>4.399190773026062E-2</v>
      </c>
      <c r="T204" s="10">
        <f t="shared" si="37"/>
        <v>0.61675563036061132</v>
      </c>
      <c r="U204" s="10">
        <f t="shared" si="37"/>
        <v>0.22725267649139475</v>
      </c>
      <c r="V204" s="10">
        <f t="shared" si="37"/>
        <v>-0.22418471867545722</v>
      </c>
      <c r="W204" s="10">
        <f t="shared" si="37"/>
        <v>0.70119752710913419</v>
      </c>
      <c r="X204" s="10">
        <f t="shared" si="37"/>
        <v>0.51611529406992174</v>
      </c>
      <c r="Y204" s="10">
        <f t="shared" si="36"/>
        <v>8.0553546896530659E-2</v>
      </c>
      <c r="Z204" s="10">
        <f t="shared" si="36"/>
        <v>-0.51611529406992174</v>
      </c>
      <c r="AA204" s="10">
        <f t="shared" si="36"/>
        <v>-8.0553546896530659E-2</v>
      </c>
      <c r="AB204" s="7">
        <f t="shared" si="46"/>
        <v>1.3210211152856834</v>
      </c>
      <c r="AC204" s="7">
        <v>1.789084767299141</v>
      </c>
      <c r="AF204" s="7">
        <v>2.7047700428186077</v>
      </c>
    </row>
    <row r="205" spans="1:32" x14ac:dyDescent="0.25">
      <c r="A205" s="6">
        <v>43647</v>
      </c>
      <c r="B205" s="7">
        <v>1.500620137629358E-2</v>
      </c>
      <c r="C205" s="7">
        <v>2.1197709253571204E-2</v>
      </c>
      <c r="D205" s="7">
        <v>-1.5790180353129762E-3</v>
      </c>
      <c r="E205" s="7">
        <v>7.174392460381933E-3</v>
      </c>
      <c r="F205" s="7">
        <v>1.2953234765340405E-2</v>
      </c>
      <c r="G205" s="7">
        <v>4.5282474430382831E-4</v>
      </c>
      <c r="H205" s="12">
        <v>-1</v>
      </c>
      <c r="I205" s="12">
        <v>1</v>
      </c>
      <c r="J205" s="23">
        <v>-1</v>
      </c>
      <c r="K205" s="23">
        <v>1</v>
      </c>
      <c r="L205" s="9">
        <f t="shared" si="45"/>
        <v>0</v>
      </c>
      <c r="M205" s="9">
        <f t="shared" si="38"/>
        <v>1.5790180353129762E-3</v>
      </c>
      <c r="N205" s="9">
        <f t="shared" si="39"/>
        <v>0</v>
      </c>
      <c r="O205" s="9">
        <f t="shared" si="40"/>
        <v>7.174392460381933E-3</v>
      </c>
      <c r="P205" s="9">
        <f t="shared" si="41"/>
        <v>1.2953234765340405E-2</v>
      </c>
      <c r="Q205" s="9">
        <f t="shared" si="42"/>
        <v>0</v>
      </c>
      <c r="R205" s="9">
        <f t="shared" si="43"/>
        <v>-1.2953234765340405E-2</v>
      </c>
      <c r="S205" s="9">
        <f t="shared" si="44"/>
        <v>0</v>
      </c>
      <c r="T205" s="10">
        <f t="shared" si="37"/>
        <v>0.61675563036061132</v>
      </c>
      <c r="U205" s="10">
        <f t="shared" si="37"/>
        <v>0.22883169452670771</v>
      </c>
      <c r="V205" s="10">
        <f t="shared" si="37"/>
        <v>-0.22418471867545722</v>
      </c>
      <c r="W205" s="10">
        <f t="shared" si="37"/>
        <v>0.70837191956951617</v>
      </c>
      <c r="X205" s="10">
        <f t="shared" si="37"/>
        <v>0.52906852883526212</v>
      </c>
      <c r="Y205" s="10">
        <f t="shared" si="36"/>
        <v>8.0553546896530659E-2</v>
      </c>
      <c r="Z205" s="10">
        <f t="shared" si="36"/>
        <v>-0.52906852883526212</v>
      </c>
      <c r="AA205" s="10">
        <f t="shared" si="36"/>
        <v>-8.0553546896530659E-2</v>
      </c>
      <c r="AB205" s="7">
        <f t="shared" si="46"/>
        <v>1.3297745257813784</v>
      </c>
      <c r="AC205" s="7">
        <v>1.804396528437638</v>
      </c>
      <c r="AF205" s="7">
        <v>2.7260238633353393</v>
      </c>
    </row>
    <row r="206" spans="1:32" x14ac:dyDescent="0.25">
      <c r="A206" s="6">
        <v>43678</v>
      </c>
      <c r="B206" s="7">
        <v>-1.6885378364657398E-2</v>
      </c>
      <c r="C206" s="7">
        <v>-0.10304671415057169</v>
      </c>
      <c r="D206" s="7">
        <v>-8.5760391843603401E-17</v>
      </c>
      <c r="E206" s="7">
        <v>1.8640966382109898E-2</v>
      </c>
      <c r="F206" s="7">
        <v>-3.2322727118099921E-2</v>
      </c>
      <c r="G206" s="7">
        <v>5.4323258675608874E-2</v>
      </c>
      <c r="H206" s="12">
        <v>1</v>
      </c>
      <c r="I206" s="12">
        <v>1</v>
      </c>
      <c r="J206" s="23">
        <v>1</v>
      </c>
      <c r="K206" s="23">
        <v>1</v>
      </c>
      <c r="L206" s="9">
        <f t="shared" si="45"/>
        <v>-8.5760391843603401E-17</v>
      </c>
      <c r="M206" s="9">
        <f t="shared" si="38"/>
        <v>0</v>
      </c>
      <c r="N206" s="9">
        <f t="shared" si="39"/>
        <v>-1.8640966382109898E-2</v>
      </c>
      <c r="O206" s="9">
        <f t="shared" si="40"/>
        <v>0</v>
      </c>
      <c r="P206" s="9">
        <f t="shared" si="41"/>
        <v>-3.2322727118099921E-2</v>
      </c>
      <c r="Q206" s="9">
        <f t="shared" si="42"/>
        <v>0</v>
      </c>
      <c r="R206" s="9">
        <f t="shared" si="43"/>
        <v>3.2322727118099921E-2</v>
      </c>
      <c r="S206" s="9">
        <f t="shared" si="44"/>
        <v>0</v>
      </c>
      <c r="T206" s="10">
        <f t="shared" ref="T206:AA269" si="47">L206+T205</f>
        <v>0.61675563036061121</v>
      </c>
      <c r="U206" s="10">
        <f t="shared" si="47"/>
        <v>0.22883169452670771</v>
      </c>
      <c r="V206" s="10">
        <f t="shared" si="47"/>
        <v>-0.24282568505756713</v>
      </c>
      <c r="W206" s="10">
        <f t="shared" si="47"/>
        <v>0.70837191956951617</v>
      </c>
      <c r="X206" s="10">
        <f t="shared" si="47"/>
        <v>0.49674580171716221</v>
      </c>
      <c r="Y206" s="10">
        <f t="shared" si="36"/>
        <v>8.0553546896530659E-2</v>
      </c>
      <c r="Z206" s="10">
        <f t="shared" si="36"/>
        <v>-0.49674580171716221</v>
      </c>
      <c r="AA206" s="10">
        <f t="shared" si="36"/>
        <v>-8.0553546896530659E-2</v>
      </c>
      <c r="AB206" s="7">
        <f t="shared" si="46"/>
        <v>1.3111335593992686</v>
      </c>
      <c r="AC206" s="7">
        <v>1.7897466705676519</v>
      </c>
      <c r="AF206" s="7">
        <v>2.6207369111595207</v>
      </c>
    </row>
    <row r="207" spans="1:32" x14ac:dyDescent="0.25">
      <c r="A207" s="6">
        <v>43709</v>
      </c>
      <c r="B207" s="7">
        <v>1.9271248211454543E-2</v>
      </c>
      <c r="C207" s="7">
        <v>5.9839293231491952E-2</v>
      </c>
      <c r="D207" s="7">
        <v>-4.8403196492609636E-3</v>
      </c>
      <c r="E207" s="7">
        <v>8.5631392488743178E-3</v>
      </c>
      <c r="F207" s="7">
        <v>1.9470701481444874E-2</v>
      </c>
      <c r="G207" s="7">
        <v>-2.6326017837039459E-2</v>
      </c>
      <c r="H207" s="12">
        <v>-1</v>
      </c>
      <c r="I207" s="12">
        <v>-1</v>
      </c>
      <c r="J207" s="23">
        <v>-1</v>
      </c>
      <c r="K207" s="23">
        <v>-1</v>
      </c>
      <c r="L207" s="9">
        <f t="shared" si="45"/>
        <v>0</v>
      </c>
      <c r="M207" s="9">
        <f t="shared" si="38"/>
        <v>4.8403196492609636E-3</v>
      </c>
      <c r="N207" s="9">
        <f t="shared" si="39"/>
        <v>0</v>
      </c>
      <c r="O207" s="9">
        <f t="shared" si="40"/>
        <v>8.5631392488743178E-3</v>
      </c>
      <c r="P207" s="9">
        <f t="shared" si="41"/>
        <v>0</v>
      </c>
      <c r="Q207" s="9">
        <f t="shared" si="42"/>
        <v>-1.9470701481444874E-2</v>
      </c>
      <c r="R207" s="9">
        <f t="shared" si="43"/>
        <v>0</v>
      </c>
      <c r="S207" s="9">
        <f t="shared" si="44"/>
        <v>1.9470701481444874E-2</v>
      </c>
      <c r="T207" s="10">
        <f t="shared" si="47"/>
        <v>0.61675563036061121</v>
      </c>
      <c r="U207" s="10">
        <f t="shared" si="47"/>
        <v>0.23367201417596867</v>
      </c>
      <c r="V207" s="10">
        <f t="shared" si="47"/>
        <v>-0.24282568505756713</v>
      </c>
      <c r="W207" s="10">
        <f t="shared" si="47"/>
        <v>0.71693505881839048</v>
      </c>
      <c r="X207" s="10">
        <f t="shared" si="47"/>
        <v>0.49674580171716221</v>
      </c>
      <c r="Y207" s="10">
        <f t="shared" si="36"/>
        <v>6.1082845415085782E-2</v>
      </c>
      <c r="Z207" s="10">
        <f t="shared" si="36"/>
        <v>-0.49674580171716221</v>
      </c>
      <c r="AA207" s="10">
        <f t="shared" si="36"/>
        <v>-6.1082845415085782E-2</v>
      </c>
      <c r="AB207" s="7">
        <f t="shared" si="46"/>
        <v>1.3245370182974039</v>
      </c>
      <c r="AC207" s="7">
        <v>1.809307259758058</v>
      </c>
      <c r="AF207" s="7">
        <v>2.5883436507391715</v>
      </c>
    </row>
    <row r="208" spans="1:32" x14ac:dyDescent="0.25">
      <c r="A208" s="6">
        <v>43739</v>
      </c>
      <c r="B208" s="7">
        <v>2.1863755855332775E-2</v>
      </c>
      <c r="C208" s="7">
        <v>4.1360021286653836E-2</v>
      </c>
      <c r="D208" s="7">
        <v>1.1071934002620127E-2</v>
      </c>
      <c r="E208" s="7">
        <v>1.9373662194019918E-2</v>
      </c>
      <c r="F208" s="7">
        <v>-1.2512001002066814E-2</v>
      </c>
      <c r="G208" s="7">
        <v>1.3560329364563601E-2</v>
      </c>
      <c r="H208" s="12">
        <v>-1</v>
      </c>
      <c r="I208" s="12">
        <v>1</v>
      </c>
      <c r="J208" s="23">
        <v>-1</v>
      </c>
      <c r="K208" s="23">
        <v>1</v>
      </c>
      <c r="L208" s="9">
        <f t="shared" si="45"/>
        <v>0</v>
      </c>
      <c r="M208" s="9">
        <f t="shared" si="38"/>
        <v>-1.1071934002620127E-2</v>
      </c>
      <c r="N208" s="9">
        <f t="shared" si="39"/>
        <v>0</v>
      </c>
      <c r="O208" s="9">
        <f t="shared" si="40"/>
        <v>1.9373662194019918E-2</v>
      </c>
      <c r="P208" s="9">
        <f t="shared" si="41"/>
        <v>-1.2512001002066814E-2</v>
      </c>
      <c r="Q208" s="9">
        <f t="shared" si="42"/>
        <v>0</v>
      </c>
      <c r="R208" s="9">
        <f t="shared" si="43"/>
        <v>1.2512001002066814E-2</v>
      </c>
      <c r="S208" s="9">
        <f t="shared" si="44"/>
        <v>0</v>
      </c>
      <c r="T208" s="10">
        <f t="shared" si="47"/>
        <v>0.61675563036061121</v>
      </c>
      <c r="U208" s="10">
        <f t="shared" si="47"/>
        <v>0.22260008017334854</v>
      </c>
      <c r="V208" s="10">
        <f t="shared" si="47"/>
        <v>-0.24282568505756713</v>
      </c>
      <c r="W208" s="10">
        <f t="shared" si="47"/>
        <v>0.73630872101241041</v>
      </c>
      <c r="X208" s="10">
        <f t="shared" si="47"/>
        <v>0.48423380071509536</v>
      </c>
      <c r="Y208" s="10">
        <f t="shared" si="36"/>
        <v>6.1082845415085782E-2</v>
      </c>
      <c r="Z208" s="10">
        <f t="shared" si="36"/>
        <v>-0.48423380071509536</v>
      </c>
      <c r="AA208" s="10">
        <f t="shared" si="36"/>
        <v>-6.1082845415085782E-2</v>
      </c>
      <c r="AB208" s="7">
        <f t="shared" si="46"/>
        <v>1.3328387464888036</v>
      </c>
      <c r="AC208" s="7">
        <v>1.8319075275220931</v>
      </c>
      <c r="AF208" s="7">
        <v>2.5705730485639409</v>
      </c>
    </row>
    <row r="209" spans="1:32" x14ac:dyDescent="0.25">
      <c r="A209" s="6">
        <v>43770</v>
      </c>
      <c r="B209" s="7">
        <v>3.5558706102376735E-2</v>
      </c>
      <c r="C209" s="7">
        <v>3.1698852310559578E-2</v>
      </c>
      <c r="D209" s="7">
        <v>1.2936920610405946E-2</v>
      </c>
      <c r="E209" s="7">
        <v>4.9981935904771166E-3</v>
      </c>
      <c r="F209" s="7">
        <v>1.5862863522568556E-2</v>
      </c>
      <c r="G209" s="7">
        <v>-3.9893326980146304E-2</v>
      </c>
      <c r="H209" s="12">
        <v>-1</v>
      </c>
      <c r="I209" s="12">
        <v>1</v>
      </c>
      <c r="J209" s="23">
        <v>-1</v>
      </c>
      <c r="K209" s="23">
        <v>1</v>
      </c>
      <c r="L209" s="9">
        <f t="shared" si="45"/>
        <v>0</v>
      </c>
      <c r="M209" s="9">
        <f t="shared" si="38"/>
        <v>-1.2936920610405946E-2</v>
      </c>
      <c r="N209" s="9">
        <f t="shared" si="39"/>
        <v>0</v>
      </c>
      <c r="O209" s="9">
        <f t="shared" si="40"/>
        <v>4.9981935904771166E-3</v>
      </c>
      <c r="P209" s="9">
        <f t="shared" si="41"/>
        <v>1.5862863522568556E-2</v>
      </c>
      <c r="Q209" s="9">
        <f t="shared" si="42"/>
        <v>0</v>
      </c>
      <c r="R209" s="9">
        <f t="shared" si="43"/>
        <v>-1.5862863522568556E-2</v>
      </c>
      <c r="S209" s="9">
        <f t="shared" si="44"/>
        <v>0</v>
      </c>
      <c r="T209" s="10">
        <f t="shared" si="47"/>
        <v>0.61675563036061121</v>
      </c>
      <c r="U209" s="10">
        <f t="shared" si="47"/>
        <v>0.2096631595629426</v>
      </c>
      <c r="V209" s="10">
        <f t="shared" si="47"/>
        <v>-0.24282568505756713</v>
      </c>
      <c r="W209" s="10">
        <f t="shared" si="47"/>
        <v>0.74130691460288756</v>
      </c>
      <c r="X209" s="10">
        <f t="shared" si="47"/>
        <v>0.50009666423766397</v>
      </c>
      <c r="Y209" s="10">
        <f t="shared" si="36"/>
        <v>6.1082845415085782E-2</v>
      </c>
      <c r="Z209" s="10">
        <f t="shared" si="36"/>
        <v>-0.50009666423766397</v>
      </c>
      <c r="AA209" s="10">
        <f t="shared" si="36"/>
        <v>-6.1082845415085782E-2</v>
      </c>
      <c r="AB209" s="7">
        <f t="shared" si="46"/>
        <v>1.3249000194688747</v>
      </c>
      <c r="AC209" s="7">
        <v>1.8676180512986811</v>
      </c>
      <c r="AF209" s="7">
        <v>2.618390512046727</v>
      </c>
    </row>
    <row r="210" spans="1:32" x14ac:dyDescent="0.25">
      <c r="A210" s="6">
        <v>43800</v>
      </c>
      <c r="B210" s="7">
        <v>2.8641314403768072E-2</v>
      </c>
      <c r="C210" s="7">
        <v>4.9023676097155258E-2</v>
      </c>
      <c r="D210" s="7">
        <v>3.5169616754017132E-3</v>
      </c>
      <c r="E210" s="7">
        <v>-8.598696048661968E-3</v>
      </c>
      <c r="F210" s="7">
        <v>1.7801957500472544E-3</v>
      </c>
      <c r="G210" s="7">
        <v>-1.313465865478125E-2</v>
      </c>
      <c r="H210" s="12">
        <v>-1</v>
      </c>
      <c r="I210" s="12">
        <v>1</v>
      </c>
      <c r="J210" s="23">
        <v>-1</v>
      </c>
      <c r="K210" s="23">
        <v>1</v>
      </c>
      <c r="L210" s="9">
        <f t="shared" si="45"/>
        <v>0</v>
      </c>
      <c r="M210" s="9">
        <f t="shared" si="38"/>
        <v>-3.5169616754017132E-3</v>
      </c>
      <c r="N210" s="9">
        <f t="shared" si="39"/>
        <v>0</v>
      </c>
      <c r="O210" s="9">
        <f t="shared" si="40"/>
        <v>-8.598696048661968E-3</v>
      </c>
      <c r="P210" s="9">
        <f t="shared" si="41"/>
        <v>1.7801957500472544E-3</v>
      </c>
      <c r="Q210" s="9">
        <f t="shared" si="42"/>
        <v>0</v>
      </c>
      <c r="R210" s="9">
        <f t="shared" si="43"/>
        <v>-1.7801957500472544E-3</v>
      </c>
      <c r="S210" s="9">
        <f t="shared" si="44"/>
        <v>0</v>
      </c>
      <c r="T210" s="10">
        <f t="shared" si="47"/>
        <v>0.61675563036061121</v>
      </c>
      <c r="U210" s="10">
        <f t="shared" si="47"/>
        <v>0.20614619788754088</v>
      </c>
      <c r="V210" s="10">
        <f t="shared" si="47"/>
        <v>-0.24282568505756713</v>
      </c>
      <c r="W210" s="10">
        <f t="shared" si="47"/>
        <v>0.73270821855422563</v>
      </c>
      <c r="X210" s="10">
        <f t="shared" si="47"/>
        <v>0.50187685998771125</v>
      </c>
      <c r="Y210" s="10">
        <f t="shared" si="47"/>
        <v>6.1082845415085782E-2</v>
      </c>
      <c r="Z210" s="10">
        <f t="shared" si="47"/>
        <v>-0.50187685998771125</v>
      </c>
      <c r="AA210" s="10">
        <f t="shared" si="47"/>
        <v>-6.1082845415085782E-2</v>
      </c>
      <c r="AB210" s="7">
        <f t="shared" si="46"/>
        <v>1.3127843617448109</v>
      </c>
      <c r="AC210" s="7">
        <v>1.8965020601716569</v>
      </c>
      <c r="AF210" s="7">
        <v>2.621189708727492</v>
      </c>
    </row>
    <row r="211" spans="1:32" x14ac:dyDescent="0.25">
      <c r="A211" s="6">
        <v>43831</v>
      </c>
      <c r="B211" s="7">
        <v>-4.039889798689994E-4</v>
      </c>
      <c r="C211" s="7">
        <v>-9.3355575274019637E-3</v>
      </c>
      <c r="D211" s="7">
        <v>-3.0578533959365453E-2</v>
      </c>
      <c r="E211" s="7">
        <v>3.4587267214807121E-2</v>
      </c>
      <c r="F211" s="7">
        <v>8.0147708123337359E-3</v>
      </c>
      <c r="G211" s="7">
        <v>9.2572618468068392E-3</v>
      </c>
      <c r="H211" s="12">
        <v>1</v>
      </c>
      <c r="I211" s="12">
        <v>1</v>
      </c>
      <c r="J211" s="23">
        <v>1</v>
      </c>
      <c r="K211" s="23">
        <v>1</v>
      </c>
      <c r="L211" s="9">
        <f t="shared" si="45"/>
        <v>-3.0578533959365453E-2</v>
      </c>
      <c r="M211" s="9">
        <f t="shared" si="38"/>
        <v>0</v>
      </c>
      <c r="N211" s="9">
        <f t="shared" si="39"/>
        <v>-3.4587267214807121E-2</v>
      </c>
      <c r="O211" s="9">
        <f t="shared" si="40"/>
        <v>0</v>
      </c>
      <c r="P211" s="9">
        <f t="shared" si="41"/>
        <v>8.0147708123337359E-3</v>
      </c>
      <c r="Q211" s="9">
        <f t="shared" si="42"/>
        <v>0</v>
      </c>
      <c r="R211" s="9">
        <f t="shared" si="43"/>
        <v>-8.0147708123337359E-3</v>
      </c>
      <c r="S211" s="9">
        <f t="shared" si="44"/>
        <v>0</v>
      </c>
      <c r="T211" s="10">
        <f t="shared" si="47"/>
        <v>0.58617709640124571</v>
      </c>
      <c r="U211" s="10">
        <f t="shared" si="47"/>
        <v>0.20614619788754088</v>
      </c>
      <c r="V211" s="10">
        <f t="shared" si="47"/>
        <v>-0.27741295227237428</v>
      </c>
      <c r="W211" s="10">
        <f t="shared" si="47"/>
        <v>0.73270821855422563</v>
      </c>
      <c r="X211" s="10">
        <f t="shared" si="47"/>
        <v>0.50989163080004496</v>
      </c>
      <c r="Y211" s="10">
        <f t="shared" si="47"/>
        <v>6.1082845415085782E-2</v>
      </c>
      <c r="Z211" s="10">
        <f t="shared" si="47"/>
        <v>-0.50989163080004496</v>
      </c>
      <c r="AA211" s="10">
        <f t="shared" si="47"/>
        <v>-6.1082845415085782E-2</v>
      </c>
      <c r="AB211" s="7">
        <f t="shared" si="46"/>
        <v>1.2476185605706385</v>
      </c>
      <c r="AC211" s="7">
        <v>1.8966885767057611</v>
      </c>
      <c r="AF211" s="7">
        <v>2.5547814165188463</v>
      </c>
    </row>
    <row r="212" spans="1:32" x14ac:dyDescent="0.25">
      <c r="A212" s="6">
        <v>43862</v>
      </c>
      <c r="B212" s="7">
        <v>-8.2475534437916068E-2</v>
      </c>
      <c r="C212" s="7">
        <v>-2.8896455353091689E-2</v>
      </c>
      <c r="D212" s="7">
        <v>-8.4617817573889573E-2</v>
      </c>
      <c r="E212" s="7">
        <v>3.3122523406681939E-2</v>
      </c>
      <c r="F212" s="7">
        <v>3.2024609406970363E-2</v>
      </c>
      <c r="G212" s="7">
        <v>-8.4663006108253135E-3</v>
      </c>
      <c r="H212" s="12">
        <v>1</v>
      </c>
      <c r="I212" s="12">
        <v>-1</v>
      </c>
      <c r="J212" s="23">
        <v>1</v>
      </c>
      <c r="K212" s="23">
        <v>-1</v>
      </c>
      <c r="L212" s="9">
        <f t="shared" si="45"/>
        <v>-8.4617817573889573E-2</v>
      </c>
      <c r="M212" s="9">
        <f t="shared" si="38"/>
        <v>0</v>
      </c>
      <c r="N212" s="9">
        <f t="shared" si="39"/>
        <v>-3.3122523406681939E-2</v>
      </c>
      <c r="O212" s="9">
        <f t="shared" si="40"/>
        <v>0</v>
      </c>
      <c r="P212" s="9">
        <f t="shared" si="41"/>
        <v>0</v>
      </c>
      <c r="Q212" s="9">
        <f t="shared" si="42"/>
        <v>-3.2024609406970363E-2</v>
      </c>
      <c r="R212" s="9">
        <f t="shared" si="43"/>
        <v>0</v>
      </c>
      <c r="S212" s="9">
        <f t="shared" si="44"/>
        <v>3.2024609406970363E-2</v>
      </c>
      <c r="T212" s="10">
        <f t="shared" si="47"/>
        <v>0.50155927882735618</v>
      </c>
      <c r="U212" s="10">
        <f t="shared" si="47"/>
        <v>0.20614619788754088</v>
      </c>
      <c r="V212" s="10">
        <f t="shared" si="47"/>
        <v>-0.31053547567905621</v>
      </c>
      <c r="W212" s="10">
        <f t="shared" si="47"/>
        <v>0.73270821855422563</v>
      </c>
      <c r="X212" s="10">
        <f t="shared" si="47"/>
        <v>0.50989163080004496</v>
      </c>
      <c r="Y212" s="10">
        <f t="shared" si="47"/>
        <v>2.9058236008115419E-2</v>
      </c>
      <c r="Z212" s="10">
        <f t="shared" si="47"/>
        <v>-0.50989163080004496</v>
      </c>
      <c r="AA212" s="10">
        <f t="shared" si="47"/>
        <v>-2.9058236008115419E-2</v>
      </c>
      <c r="AB212" s="7">
        <f t="shared" si="46"/>
        <v>1.129878219590067</v>
      </c>
      <c r="AC212" s="7">
        <v>1.8166565954725951</v>
      </c>
      <c r="AF212" s="7">
        <v>2.3965501655204791</v>
      </c>
    </row>
    <row r="213" spans="1:32" x14ac:dyDescent="0.25">
      <c r="A213" s="6">
        <v>43891</v>
      </c>
      <c r="B213" s="7">
        <v>-0.13338385101653819</v>
      </c>
      <c r="C213" s="7">
        <v>-0.28018376553683783</v>
      </c>
      <c r="D213" s="7">
        <v>0.11914184455184304</v>
      </c>
      <c r="E213" s="7">
        <v>3.4158472861818862E-2</v>
      </c>
      <c r="F213" s="7">
        <v>4.0424781829973243E-3</v>
      </c>
      <c r="G213" s="7">
        <v>7.2668897470410485E-2</v>
      </c>
      <c r="H213" s="12">
        <v>1</v>
      </c>
      <c r="I213" s="12">
        <v>-1</v>
      </c>
      <c r="J213" s="23">
        <v>1</v>
      </c>
      <c r="K213" s="23">
        <v>-1</v>
      </c>
      <c r="L213" s="9">
        <f t="shared" si="45"/>
        <v>0.11914184455184304</v>
      </c>
      <c r="M213" s="9">
        <f t="shared" si="38"/>
        <v>0</v>
      </c>
      <c r="N213" s="9">
        <f t="shared" si="39"/>
        <v>-3.4158472861818862E-2</v>
      </c>
      <c r="O213" s="9">
        <f t="shared" si="40"/>
        <v>0</v>
      </c>
      <c r="P213" s="9">
        <f t="shared" si="41"/>
        <v>0</v>
      </c>
      <c r="Q213" s="9">
        <f t="shared" si="42"/>
        <v>-4.0424781829973243E-3</v>
      </c>
      <c r="R213" s="9">
        <f t="shared" si="43"/>
        <v>0</v>
      </c>
      <c r="S213" s="9">
        <f t="shared" si="44"/>
        <v>4.0424781829973243E-3</v>
      </c>
      <c r="T213" s="10">
        <f t="shared" si="47"/>
        <v>0.62070112337919925</v>
      </c>
      <c r="U213" s="10">
        <f t="shared" si="47"/>
        <v>0.20614619788754088</v>
      </c>
      <c r="V213" s="10">
        <f t="shared" si="47"/>
        <v>-0.34469394854087509</v>
      </c>
      <c r="W213" s="10">
        <f t="shared" si="47"/>
        <v>0.73270821855422563</v>
      </c>
      <c r="X213" s="10">
        <f t="shared" si="47"/>
        <v>0.50989163080004496</v>
      </c>
      <c r="Y213" s="10">
        <f t="shared" si="47"/>
        <v>2.5015757825118095E-2</v>
      </c>
      <c r="Z213" s="10">
        <f t="shared" si="47"/>
        <v>-0.50989163080004496</v>
      </c>
      <c r="AA213" s="10">
        <f t="shared" si="47"/>
        <v>-2.5015757825118095E-2</v>
      </c>
      <c r="AB213" s="7">
        <f t="shared" si="46"/>
        <v>1.2148615912800911</v>
      </c>
      <c r="AC213" s="7">
        <v>1.717447693203626</v>
      </c>
      <c r="AF213" s="7">
        <v>2.5501599564979163</v>
      </c>
    </row>
    <row r="214" spans="1:32" x14ac:dyDescent="0.25">
      <c r="A214" s="6">
        <v>43922</v>
      </c>
      <c r="B214" s="7">
        <v>0.11954483405199261</v>
      </c>
      <c r="C214" s="7">
        <v>5.0810756795842009E-2</v>
      </c>
      <c r="D214" s="7">
        <v>3.9964976912821498E-2</v>
      </c>
      <c r="E214" s="7">
        <v>-1.6652988985195807E-2</v>
      </c>
      <c r="F214" s="7">
        <v>2.8230113492507286E-2</v>
      </c>
      <c r="G214" s="7">
        <v>9.4731254942713415E-3</v>
      </c>
      <c r="H214" s="12">
        <v>-1</v>
      </c>
      <c r="I214" s="12">
        <v>-1</v>
      </c>
      <c r="J214" s="23">
        <v>-1</v>
      </c>
      <c r="K214" s="23">
        <v>-1</v>
      </c>
      <c r="L214" s="9">
        <f t="shared" si="45"/>
        <v>0</v>
      </c>
      <c r="M214" s="9">
        <f t="shared" si="38"/>
        <v>-3.9964976912821498E-2</v>
      </c>
      <c r="N214" s="9">
        <f t="shared" si="39"/>
        <v>0</v>
      </c>
      <c r="O214" s="9">
        <f t="shared" si="40"/>
        <v>-1.6652988985195807E-2</v>
      </c>
      <c r="P214" s="9">
        <f t="shared" si="41"/>
        <v>0</v>
      </c>
      <c r="Q214" s="9">
        <f t="shared" si="42"/>
        <v>-2.8230113492507286E-2</v>
      </c>
      <c r="R214" s="9">
        <f t="shared" si="43"/>
        <v>0</v>
      </c>
      <c r="S214" s="9">
        <f t="shared" si="44"/>
        <v>2.8230113492507286E-2</v>
      </c>
      <c r="T214" s="10">
        <f t="shared" si="47"/>
        <v>0.62070112337919925</v>
      </c>
      <c r="U214" s="10">
        <f t="shared" si="47"/>
        <v>0.16618122097471938</v>
      </c>
      <c r="V214" s="10">
        <f t="shared" si="47"/>
        <v>-0.34469394854087509</v>
      </c>
      <c r="W214" s="10">
        <f t="shared" si="47"/>
        <v>0.71605522956902978</v>
      </c>
      <c r="X214" s="10">
        <f t="shared" si="47"/>
        <v>0.50989163080004496</v>
      </c>
      <c r="Y214" s="10">
        <f t="shared" si="47"/>
        <v>-3.2143556673891911E-3</v>
      </c>
      <c r="Z214" s="10">
        <f t="shared" si="47"/>
        <v>-0.50989163080004496</v>
      </c>
      <c r="AA214" s="10">
        <f t="shared" si="47"/>
        <v>3.2143556673891911E-3</v>
      </c>
      <c r="AB214" s="7">
        <f t="shared" si="46"/>
        <v>1.1582436253820738</v>
      </c>
      <c r="AC214" s="7">
        <v>1.8437579022913879</v>
      </c>
      <c r="AF214" s="7">
        <v>2.4747850026016631</v>
      </c>
    </row>
    <row r="215" spans="1:32" x14ac:dyDescent="0.25">
      <c r="A215" s="6">
        <v>43952</v>
      </c>
      <c r="B215" s="7">
        <v>4.6544875288220017E-2</v>
      </c>
      <c r="C215" s="7">
        <v>2.6897857213899284E-2</v>
      </c>
      <c r="D215" s="7">
        <v>3.1511637601687931E-2</v>
      </c>
      <c r="E215" s="7">
        <v>-5.912094715439368E-3</v>
      </c>
      <c r="F215" s="7">
        <v>-9.686525317039155E-3</v>
      </c>
      <c r="G215" s="7">
        <v>-2.3090651334060804E-3</v>
      </c>
      <c r="H215" s="12">
        <v>-1</v>
      </c>
      <c r="I215" s="12">
        <v>1</v>
      </c>
      <c r="J215" s="23">
        <v>-1</v>
      </c>
      <c r="K215" s="23">
        <v>1</v>
      </c>
      <c r="L215" s="9">
        <f t="shared" si="45"/>
        <v>0</v>
      </c>
      <c r="M215" s="9">
        <f t="shared" si="38"/>
        <v>-3.1511637601687931E-2</v>
      </c>
      <c r="N215" s="9">
        <f t="shared" si="39"/>
        <v>0</v>
      </c>
      <c r="O215" s="9">
        <f t="shared" si="40"/>
        <v>-5.912094715439368E-3</v>
      </c>
      <c r="P215" s="9">
        <f t="shared" si="41"/>
        <v>-9.686525317039155E-3</v>
      </c>
      <c r="Q215" s="9">
        <f t="shared" si="42"/>
        <v>0</v>
      </c>
      <c r="R215" s="9">
        <f t="shared" si="43"/>
        <v>9.686525317039155E-3</v>
      </c>
      <c r="S215" s="9">
        <f t="shared" si="44"/>
        <v>0</v>
      </c>
      <c r="T215" s="10">
        <f t="shared" si="47"/>
        <v>0.62070112337919925</v>
      </c>
      <c r="U215" s="10">
        <f t="shared" si="47"/>
        <v>0.13466958337303145</v>
      </c>
      <c r="V215" s="10">
        <f t="shared" si="47"/>
        <v>-0.34469394854087509</v>
      </c>
      <c r="W215" s="10">
        <f t="shared" si="47"/>
        <v>0.71014313485359037</v>
      </c>
      <c r="X215" s="10">
        <f t="shared" si="47"/>
        <v>0.50020510548300579</v>
      </c>
      <c r="Y215" s="10">
        <f t="shared" si="47"/>
        <v>-3.2143556673891911E-3</v>
      </c>
      <c r="Z215" s="10">
        <f t="shared" si="47"/>
        <v>-0.50020510548300579</v>
      </c>
      <c r="AA215" s="10">
        <f t="shared" si="47"/>
        <v>3.2143556673891911E-3</v>
      </c>
      <c r="AB215" s="7">
        <f t="shared" si="46"/>
        <v>1.1208198930649464</v>
      </c>
      <c r="AC215" s="7">
        <v>1.892250775572428</v>
      </c>
      <c r="AF215" s="7">
        <v>2.4299838101009028</v>
      </c>
    </row>
    <row r="216" spans="1:32" x14ac:dyDescent="0.25">
      <c r="A216" s="6">
        <v>43983</v>
      </c>
      <c r="B216" s="7">
        <v>1.7578794828849852E-2</v>
      </c>
      <c r="C216" s="7">
        <v>2.4563997019679484E-2</v>
      </c>
      <c r="D216" s="7">
        <v>-9.077189236067415E-4</v>
      </c>
      <c r="E216" s="7">
        <v>9.4382102108475086E-3</v>
      </c>
      <c r="F216" s="7">
        <v>4.8176311604839213E-2</v>
      </c>
      <c r="G216" s="7">
        <v>-4.5517773957081412E-2</v>
      </c>
      <c r="H216" s="12">
        <v>-1</v>
      </c>
      <c r="I216" s="12">
        <v>1</v>
      </c>
      <c r="J216" s="23">
        <v>-1</v>
      </c>
      <c r="K216" s="23">
        <v>1</v>
      </c>
      <c r="L216" s="9">
        <f t="shared" si="45"/>
        <v>0</v>
      </c>
      <c r="M216" s="9">
        <f t="shared" si="38"/>
        <v>9.077189236067415E-4</v>
      </c>
      <c r="N216" s="9">
        <f t="shared" si="39"/>
        <v>0</v>
      </c>
      <c r="O216" s="9">
        <f t="shared" si="40"/>
        <v>9.4382102108475086E-3</v>
      </c>
      <c r="P216" s="9">
        <f t="shared" si="41"/>
        <v>4.8176311604839213E-2</v>
      </c>
      <c r="Q216" s="9">
        <f t="shared" si="42"/>
        <v>0</v>
      </c>
      <c r="R216" s="9">
        <f t="shared" si="43"/>
        <v>-4.8176311604839213E-2</v>
      </c>
      <c r="S216" s="9">
        <f t="shared" si="44"/>
        <v>0</v>
      </c>
      <c r="T216" s="10">
        <f t="shared" si="47"/>
        <v>0.62070112337919925</v>
      </c>
      <c r="U216" s="10">
        <f t="shared" si="47"/>
        <v>0.1355773022966382</v>
      </c>
      <c r="V216" s="10">
        <f t="shared" si="47"/>
        <v>-0.34469394854087509</v>
      </c>
      <c r="W216" s="10">
        <f t="shared" si="47"/>
        <v>0.71958134506443794</v>
      </c>
      <c r="X216" s="10">
        <f t="shared" si="47"/>
        <v>0.54838141708784505</v>
      </c>
      <c r="Y216" s="10">
        <f t="shared" si="47"/>
        <v>-3.2143556673891911E-3</v>
      </c>
      <c r="Z216" s="10">
        <f t="shared" si="47"/>
        <v>-0.54838141708784505</v>
      </c>
      <c r="AA216" s="10">
        <f t="shared" si="47"/>
        <v>3.2143556673891911E-3</v>
      </c>
      <c r="AB216" s="7">
        <f t="shared" si="46"/>
        <v>1.1311658221994008</v>
      </c>
      <c r="AC216" s="7">
        <v>1.913347088120136</v>
      </c>
      <c r="AF216" s="7">
        <v>2.5340238247972775</v>
      </c>
    </row>
    <row r="217" spans="1:32" x14ac:dyDescent="0.25">
      <c r="A217" s="6">
        <v>44013</v>
      </c>
      <c r="B217" s="7">
        <v>5.7223117971709883E-2</v>
      </c>
      <c r="C217" s="7">
        <v>3.381857113333079E-2</v>
      </c>
      <c r="D217" s="7">
        <v>-1.0409730545889451E-3</v>
      </c>
      <c r="E217" s="7">
        <v>1.8950940809573213E-2</v>
      </c>
      <c r="F217" s="7">
        <v>2.5043734133579919E-2</v>
      </c>
      <c r="G217" s="7">
        <v>4.9474103268462005E-3</v>
      </c>
      <c r="H217" s="12">
        <v>-1</v>
      </c>
      <c r="I217" s="12">
        <v>1</v>
      </c>
      <c r="J217" s="23">
        <v>-1</v>
      </c>
      <c r="K217" s="23">
        <v>1</v>
      </c>
      <c r="L217" s="9">
        <f t="shared" si="45"/>
        <v>0</v>
      </c>
      <c r="M217" s="9">
        <f t="shared" si="38"/>
        <v>1.0409730545889451E-3</v>
      </c>
      <c r="N217" s="9">
        <f t="shared" si="39"/>
        <v>0</v>
      </c>
      <c r="O217" s="9">
        <f t="shared" si="40"/>
        <v>1.8950940809573213E-2</v>
      </c>
      <c r="P217" s="9">
        <f t="shared" si="41"/>
        <v>2.5043734133579919E-2</v>
      </c>
      <c r="Q217" s="9">
        <f t="shared" si="42"/>
        <v>0</v>
      </c>
      <c r="R217" s="9">
        <f t="shared" si="43"/>
        <v>-2.5043734133579919E-2</v>
      </c>
      <c r="S217" s="9">
        <f t="shared" si="44"/>
        <v>0</v>
      </c>
      <c r="T217" s="10">
        <f t="shared" si="47"/>
        <v>0.62070112337919925</v>
      </c>
      <c r="U217" s="10">
        <f t="shared" si="47"/>
        <v>0.13661827535122714</v>
      </c>
      <c r="V217" s="10">
        <f t="shared" si="47"/>
        <v>-0.34469394854087509</v>
      </c>
      <c r="W217" s="10">
        <f t="shared" si="47"/>
        <v>0.7385322858740111</v>
      </c>
      <c r="X217" s="10">
        <f t="shared" si="47"/>
        <v>0.57342515122142501</v>
      </c>
      <c r="Y217" s="10">
        <f t="shared" si="47"/>
        <v>-3.2143556673891911E-3</v>
      </c>
      <c r="Z217" s="10">
        <f t="shared" si="47"/>
        <v>-0.57342515122142501</v>
      </c>
      <c r="AA217" s="10">
        <f t="shared" si="47"/>
        <v>3.2143556673891911E-3</v>
      </c>
      <c r="AB217" s="7">
        <f t="shared" si="46"/>
        <v>1.151157736063563</v>
      </c>
      <c r="AC217" s="7">
        <v>1.9713533680124891</v>
      </c>
      <c r="AF217" s="7">
        <v>2.5741120624681733</v>
      </c>
    </row>
    <row r="218" spans="1:32" x14ac:dyDescent="0.25">
      <c r="A218" s="6">
        <v>44044</v>
      </c>
      <c r="B218" s="7">
        <v>6.7468973641364963E-2</v>
      </c>
      <c r="C218" s="7">
        <v>6.6284061528658747E-2</v>
      </c>
      <c r="D218" s="7">
        <v>2.8544745681194899E-2</v>
      </c>
      <c r="E218" s="7">
        <v>-2.4423499225942866E-2</v>
      </c>
      <c r="F218" s="7">
        <v>2.435536138477289E-2</v>
      </c>
      <c r="G218" s="7">
        <v>-5.4595417744939118E-3</v>
      </c>
      <c r="H218" s="12">
        <v>-1</v>
      </c>
      <c r="I218" s="12">
        <v>1</v>
      </c>
      <c r="J218" s="23">
        <v>-1</v>
      </c>
      <c r="K218" s="23">
        <v>1</v>
      </c>
      <c r="L218" s="9">
        <f t="shared" si="45"/>
        <v>0</v>
      </c>
      <c r="M218" s="9">
        <f t="shared" si="38"/>
        <v>-2.8544745681194899E-2</v>
      </c>
      <c r="N218" s="9">
        <f t="shared" si="39"/>
        <v>0</v>
      </c>
      <c r="O218" s="9">
        <f t="shared" si="40"/>
        <v>-2.4423499225942866E-2</v>
      </c>
      <c r="P218" s="9">
        <f t="shared" si="41"/>
        <v>2.435536138477289E-2</v>
      </c>
      <c r="Q218" s="9">
        <f t="shared" si="42"/>
        <v>0</v>
      </c>
      <c r="R218" s="9">
        <f t="shared" si="43"/>
        <v>-2.435536138477289E-2</v>
      </c>
      <c r="S218" s="9">
        <f t="shared" si="44"/>
        <v>0</v>
      </c>
      <c r="T218" s="10">
        <f t="shared" si="47"/>
        <v>0.62070112337919925</v>
      </c>
      <c r="U218" s="10">
        <f t="shared" si="47"/>
        <v>0.10807352967003224</v>
      </c>
      <c r="V218" s="10">
        <f t="shared" si="47"/>
        <v>-0.34469394854087509</v>
      </c>
      <c r="W218" s="10">
        <f t="shared" si="47"/>
        <v>0.71410878664806821</v>
      </c>
      <c r="X218" s="10">
        <f t="shared" si="47"/>
        <v>0.59778051260619791</v>
      </c>
      <c r="Y218" s="10">
        <f t="shared" si="47"/>
        <v>-3.2143556673891911E-3</v>
      </c>
      <c r="Z218" s="10">
        <f t="shared" si="47"/>
        <v>-0.59778051260619791</v>
      </c>
      <c r="AA218" s="10">
        <f t="shared" si="47"/>
        <v>3.2143556673891911E-3</v>
      </c>
      <c r="AB218" s="7">
        <f t="shared" si="46"/>
        <v>1.0981894911564252</v>
      </c>
      <c r="AC218" s="7">
        <v>2.039195901888454</v>
      </c>
      <c r="AF218" s="7">
        <v>2.5509587207203022</v>
      </c>
    </row>
    <row r="219" spans="1:32" x14ac:dyDescent="0.25">
      <c r="A219" s="6">
        <v>44075</v>
      </c>
      <c r="B219" s="7">
        <v>-3.8162637604299825E-2</v>
      </c>
      <c r="C219" s="7">
        <v>-6.5835196447114802E-2</v>
      </c>
      <c r="D219" s="7">
        <v>1.3801127197242125E-2</v>
      </c>
      <c r="E219" s="7">
        <v>-6.1671171111852439E-3</v>
      </c>
      <c r="F219" s="7">
        <v>-4.7187031607900776E-2</v>
      </c>
      <c r="G219" s="7">
        <v>1.0640009348219716E-2</v>
      </c>
      <c r="H219" s="12">
        <v>1</v>
      </c>
      <c r="I219" s="12">
        <v>1</v>
      </c>
      <c r="J219" s="23">
        <v>1</v>
      </c>
      <c r="K219" s="23">
        <v>1</v>
      </c>
      <c r="L219" s="9">
        <f t="shared" si="45"/>
        <v>1.3801127197242125E-2</v>
      </c>
      <c r="M219" s="9">
        <f t="shared" si="38"/>
        <v>0</v>
      </c>
      <c r="N219" s="9">
        <f t="shared" si="39"/>
        <v>6.1671171111852439E-3</v>
      </c>
      <c r="O219" s="9">
        <f t="shared" si="40"/>
        <v>0</v>
      </c>
      <c r="P219" s="9">
        <f t="shared" si="41"/>
        <v>-4.7187031607900776E-2</v>
      </c>
      <c r="Q219" s="9">
        <f t="shared" si="42"/>
        <v>0</v>
      </c>
      <c r="R219" s="9">
        <f t="shared" si="43"/>
        <v>4.7187031607900776E-2</v>
      </c>
      <c r="S219" s="9">
        <f t="shared" si="44"/>
        <v>0</v>
      </c>
      <c r="T219" s="10">
        <f t="shared" si="47"/>
        <v>0.63450225057644138</v>
      </c>
      <c r="U219" s="10">
        <f t="shared" si="47"/>
        <v>0.10807352967003224</v>
      </c>
      <c r="V219" s="10">
        <f t="shared" si="47"/>
        <v>-0.33852683142968987</v>
      </c>
      <c r="W219" s="10">
        <f t="shared" si="47"/>
        <v>0.71410878664806821</v>
      </c>
      <c r="X219" s="10">
        <f t="shared" si="47"/>
        <v>0.55059348099829708</v>
      </c>
      <c r="Y219" s="10">
        <f t="shared" si="47"/>
        <v>-3.2143556673891911E-3</v>
      </c>
      <c r="Z219" s="10">
        <f t="shared" si="47"/>
        <v>-0.55059348099829708</v>
      </c>
      <c r="AA219" s="10">
        <f t="shared" si="47"/>
        <v>3.2143556673891911E-3</v>
      </c>
      <c r="AB219" s="7">
        <f t="shared" si="46"/>
        <v>1.1181577354648526</v>
      </c>
      <c r="AC219" s="7">
        <v>2.0034582422280822</v>
      </c>
      <c r="AF219" s="7">
        <v>2.5130999240726091</v>
      </c>
    </row>
    <row r="220" spans="1:32" x14ac:dyDescent="0.25">
      <c r="A220" s="6">
        <v>44105</v>
      </c>
      <c r="B220" s="7">
        <v>-2.5249895399426077E-2</v>
      </c>
      <c r="C220" s="7">
        <v>5.0433310915136788E-2</v>
      </c>
      <c r="D220" s="7">
        <v>-4.8390562265195107E-2</v>
      </c>
      <c r="E220" s="7">
        <v>-7.1460642012588504E-3</v>
      </c>
      <c r="F220" s="7">
        <v>1.7376122530387436E-2</v>
      </c>
      <c r="G220" s="7">
        <v>-2.3770397829058831E-2</v>
      </c>
      <c r="H220" s="12">
        <v>-1</v>
      </c>
      <c r="I220" s="12">
        <v>-1</v>
      </c>
      <c r="J220" s="23">
        <v>-1</v>
      </c>
      <c r="K220" s="23">
        <v>-1</v>
      </c>
      <c r="L220" s="9">
        <f t="shared" si="45"/>
        <v>0</v>
      </c>
      <c r="M220" s="9">
        <f t="shared" si="38"/>
        <v>4.8390562265195107E-2</v>
      </c>
      <c r="N220" s="9">
        <f t="shared" si="39"/>
        <v>0</v>
      </c>
      <c r="O220" s="9">
        <f t="shared" si="40"/>
        <v>-7.1460642012588504E-3</v>
      </c>
      <c r="P220" s="9">
        <f t="shared" si="41"/>
        <v>0</v>
      </c>
      <c r="Q220" s="9">
        <f t="shared" si="42"/>
        <v>-1.7376122530387436E-2</v>
      </c>
      <c r="R220" s="9">
        <f t="shared" si="43"/>
        <v>0</v>
      </c>
      <c r="S220" s="9">
        <f t="shared" si="44"/>
        <v>1.7376122530387436E-2</v>
      </c>
      <c r="T220" s="10">
        <f t="shared" si="47"/>
        <v>0.63450225057644138</v>
      </c>
      <c r="U220" s="10">
        <f t="shared" si="47"/>
        <v>0.15646409193522734</v>
      </c>
      <c r="V220" s="10">
        <f t="shared" si="47"/>
        <v>-0.33852683142968987</v>
      </c>
      <c r="W220" s="10">
        <f t="shared" si="47"/>
        <v>0.70696272244680936</v>
      </c>
      <c r="X220" s="10">
        <f t="shared" si="47"/>
        <v>0.55059348099829708</v>
      </c>
      <c r="Y220" s="10">
        <f t="shared" si="47"/>
        <v>-2.0590478197776627E-2</v>
      </c>
      <c r="Z220" s="10">
        <f t="shared" si="47"/>
        <v>-0.55059348099829708</v>
      </c>
      <c r="AA220" s="10">
        <f t="shared" si="47"/>
        <v>2.0590478197776627E-2</v>
      </c>
      <c r="AB220" s="7">
        <f t="shared" si="46"/>
        <v>1.1594022335287888</v>
      </c>
      <c r="AC220" s="7">
        <v>1.979960266834802</v>
      </c>
      <c r="AF220" s="7">
        <v>2.5131979017770991</v>
      </c>
    </row>
    <row r="221" spans="1:32" x14ac:dyDescent="0.25">
      <c r="A221" s="6">
        <v>44136</v>
      </c>
      <c r="B221" s="7">
        <v>0.10325725550094472</v>
      </c>
      <c r="C221" s="7">
        <v>5.8724078336053101E-2</v>
      </c>
      <c r="D221" s="7">
        <v>1.8762721466198451E-2</v>
      </c>
      <c r="E221" s="7">
        <v>-9.2682344533405788E-3</v>
      </c>
      <c r="F221" s="7">
        <v>6.9837669112041478E-2</v>
      </c>
      <c r="G221" s="7">
        <v>1.2683144314982917E-2</v>
      </c>
      <c r="H221" s="12">
        <v>-1</v>
      </c>
      <c r="I221" s="12">
        <v>1</v>
      </c>
      <c r="J221" s="23">
        <v>-1</v>
      </c>
      <c r="K221" s="23">
        <v>1</v>
      </c>
      <c r="L221" s="9">
        <f t="shared" si="45"/>
        <v>0</v>
      </c>
      <c r="M221" s="9">
        <f t="shared" si="38"/>
        <v>-1.8762721466198451E-2</v>
      </c>
      <c r="N221" s="9">
        <f t="shared" si="39"/>
        <v>0</v>
      </c>
      <c r="O221" s="9">
        <f t="shared" si="40"/>
        <v>-9.2682344533405788E-3</v>
      </c>
      <c r="P221" s="9">
        <f t="shared" si="41"/>
        <v>6.9837669112041478E-2</v>
      </c>
      <c r="Q221" s="9">
        <f t="shared" si="42"/>
        <v>0</v>
      </c>
      <c r="R221" s="9">
        <f t="shared" si="43"/>
        <v>-6.9837669112041478E-2</v>
      </c>
      <c r="S221" s="9">
        <f t="shared" si="44"/>
        <v>0</v>
      </c>
      <c r="T221" s="10">
        <f t="shared" si="47"/>
        <v>0.63450225057644138</v>
      </c>
      <c r="U221" s="10">
        <f t="shared" si="47"/>
        <v>0.13770137046902889</v>
      </c>
      <c r="V221" s="10">
        <f t="shared" si="47"/>
        <v>-0.33852683142968987</v>
      </c>
      <c r="W221" s="10">
        <f t="shared" si="47"/>
        <v>0.69769448799346878</v>
      </c>
      <c r="X221" s="10">
        <f t="shared" si="47"/>
        <v>0.62043115011033856</v>
      </c>
      <c r="Y221" s="10">
        <f t="shared" si="47"/>
        <v>-2.0590478197776627E-2</v>
      </c>
      <c r="Z221" s="10">
        <f t="shared" si="47"/>
        <v>-0.62043115011033856</v>
      </c>
      <c r="AA221" s="10">
        <f t="shared" si="47"/>
        <v>2.0590478197776627E-2</v>
      </c>
      <c r="AB221" s="7">
        <f t="shared" si="46"/>
        <v>1.1313712776092497</v>
      </c>
      <c r="AC221" s="7">
        <v>2.0844755370235371</v>
      </c>
      <c r="AF221" s="7">
        <v>2.5423214706546187</v>
      </c>
    </row>
    <row r="222" spans="1:32" x14ac:dyDescent="0.25">
      <c r="A222" s="6">
        <v>44166</v>
      </c>
      <c r="B222" s="7">
        <v>3.6378837239044566E-2</v>
      </c>
      <c r="C222" s="7">
        <v>3.7455498346783508E-2</v>
      </c>
      <c r="D222" s="7">
        <v>1.6232651290830739E-2</v>
      </c>
      <c r="E222" s="7">
        <v>4.9572194513811414E-3</v>
      </c>
      <c r="F222" s="7">
        <v>1.9231100883604513E-2</v>
      </c>
      <c r="G222" s="7">
        <v>-2.0584412472849062E-2</v>
      </c>
      <c r="H222" s="12">
        <v>-1</v>
      </c>
      <c r="I222" s="12">
        <v>1</v>
      </c>
      <c r="J222" s="23">
        <v>-1</v>
      </c>
      <c r="K222" s="23">
        <v>1</v>
      </c>
      <c r="L222" s="9">
        <f t="shared" si="45"/>
        <v>0</v>
      </c>
      <c r="M222" s="9">
        <f t="shared" si="38"/>
        <v>-1.6232651290830739E-2</v>
      </c>
      <c r="N222" s="9">
        <f t="shared" si="39"/>
        <v>0</v>
      </c>
      <c r="O222" s="9">
        <f t="shared" si="40"/>
        <v>4.9572194513811414E-3</v>
      </c>
      <c r="P222" s="9">
        <f t="shared" si="41"/>
        <v>1.9231100883604513E-2</v>
      </c>
      <c r="Q222" s="9">
        <f t="shared" si="42"/>
        <v>0</v>
      </c>
      <c r="R222" s="9">
        <f t="shared" si="43"/>
        <v>-1.9231100883604513E-2</v>
      </c>
      <c r="S222" s="9">
        <f t="shared" si="44"/>
        <v>0</v>
      </c>
      <c r="T222" s="10">
        <f t="shared" si="47"/>
        <v>0.63450225057644138</v>
      </c>
      <c r="U222" s="10">
        <f t="shared" si="47"/>
        <v>0.12146871917819815</v>
      </c>
      <c r="V222" s="10">
        <f t="shared" si="47"/>
        <v>-0.33852683142968987</v>
      </c>
      <c r="W222" s="10">
        <f t="shared" si="47"/>
        <v>0.70265170744484995</v>
      </c>
      <c r="X222" s="10">
        <f t="shared" si="47"/>
        <v>0.63966225099394303</v>
      </c>
      <c r="Y222" s="10">
        <f t="shared" si="47"/>
        <v>-2.0590478197776627E-2</v>
      </c>
      <c r="Z222" s="10">
        <f t="shared" si="47"/>
        <v>-0.63966225099394303</v>
      </c>
      <c r="AA222" s="10">
        <f t="shared" si="47"/>
        <v>2.0590478197776627E-2</v>
      </c>
      <c r="AB222" s="7">
        <f t="shared" si="46"/>
        <v>1.1200958457698</v>
      </c>
      <c r="AC222" s="7">
        <v>2.1211937600999859</v>
      </c>
      <c r="AF222" s="7">
        <v>2.5708615521716225</v>
      </c>
    </row>
    <row r="223" spans="1:32" x14ac:dyDescent="0.25">
      <c r="A223" s="6">
        <v>44197</v>
      </c>
      <c r="B223" s="7">
        <v>-1.0242863776633608E-2</v>
      </c>
      <c r="C223" s="7">
        <v>5.3800505606036331E-2</v>
      </c>
      <c r="D223" s="7">
        <v>-3.7965943621629986E-2</v>
      </c>
      <c r="E223" s="7">
        <v>-1.0926908059107593E-2</v>
      </c>
      <c r="F223" s="7">
        <v>1.9546640054376244E-2</v>
      </c>
      <c r="G223" s="7">
        <v>-4.1488033938793661E-2</v>
      </c>
      <c r="H223" s="12">
        <v>-1</v>
      </c>
      <c r="I223" s="12">
        <v>1</v>
      </c>
      <c r="J223" s="23">
        <v>-1</v>
      </c>
      <c r="K223" s="23">
        <v>1</v>
      </c>
      <c r="L223" s="9">
        <f t="shared" si="45"/>
        <v>0</v>
      </c>
      <c r="M223" s="9">
        <f t="shared" si="38"/>
        <v>3.7965943621629986E-2</v>
      </c>
      <c r="N223" s="9">
        <f t="shared" si="39"/>
        <v>0</v>
      </c>
      <c r="O223" s="9">
        <f t="shared" si="40"/>
        <v>-1.0926908059107593E-2</v>
      </c>
      <c r="P223" s="9">
        <f t="shared" si="41"/>
        <v>1.9546640054376244E-2</v>
      </c>
      <c r="Q223" s="9">
        <f t="shared" si="42"/>
        <v>0</v>
      </c>
      <c r="R223" s="9">
        <f t="shared" si="43"/>
        <v>-1.9546640054376244E-2</v>
      </c>
      <c r="S223" s="9">
        <f t="shared" si="44"/>
        <v>0</v>
      </c>
      <c r="T223" s="10">
        <f t="shared" si="47"/>
        <v>0.63450225057644138</v>
      </c>
      <c r="U223" s="10">
        <f t="shared" si="47"/>
        <v>0.15943466279982815</v>
      </c>
      <c r="V223" s="10">
        <f t="shared" si="47"/>
        <v>-0.33852683142968987</v>
      </c>
      <c r="W223" s="10">
        <f t="shared" si="47"/>
        <v>0.69172479938574238</v>
      </c>
      <c r="X223" s="10">
        <f t="shared" si="47"/>
        <v>0.65920889104831926</v>
      </c>
      <c r="Y223" s="10">
        <f t="shared" si="47"/>
        <v>-2.0590478197776627E-2</v>
      </c>
      <c r="Z223" s="10">
        <f t="shared" si="47"/>
        <v>-0.65920889104831926</v>
      </c>
      <c r="AA223" s="10">
        <f t="shared" si="47"/>
        <v>2.0590478197776627E-2</v>
      </c>
      <c r="AB223" s="7">
        <f t="shared" si="46"/>
        <v>1.1471348813323223</v>
      </c>
      <c r="AC223" s="7">
        <v>2.1119556023219759</v>
      </c>
      <c r="AF223" s="7">
        <v>2.658935261727315</v>
      </c>
    </row>
    <row r="224" spans="1:32" x14ac:dyDescent="0.25">
      <c r="A224" s="6">
        <v>44228</v>
      </c>
      <c r="B224" s="7">
        <v>2.742605383338521E-2</v>
      </c>
      <c r="C224" s="7">
        <v>0.11043778553510218</v>
      </c>
      <c r="D224" s="7">
        <v>-1.7384024666514359E-2</v>
      </c>
      <c r="E224" s="7">
        <v>6.5892914761212194E-3</v>
      </c>
      <c r="F224" s="7">
        <v>4.6565654072414545E-2</v>
      </c>
      <c r="G224" s="7">
        <v>-2.5307333706020389E-2</v>
      </c>
      <c r="H224" s="12">
        <v>-1</v>
      </c>
      <c r="I224" s="12">
        <v>1</v>
      </c>
      <c r="J224" s="23">
        <v>-1</v>
      </c>
      <c r="K224" s="23">
        <v>1</v>
      </c>
      <c r="L224" s="9">
        <f t="shared" si="45"/>
        <v>0</v>
      </c>
      <c r="M224" s="9">
        <f t="shared" si="38"/>
        <v>1.7384024666514359E-2</v>
      </c>
      <c r="N224" s="9">
        <f t="shared" si="39"/>
        <v>0</v>
      </c>
      <c r="O224" s="9">
        <f t="shared" si="40"/>
        <v>6.5892914761212194E-3</v>
      </c>
      <c r="P224" s="9">
        <f t="shared" si="41"/>
        <v>4.6565654072414545E-2</v>
      </c>
      <c r="Q224" s="9">
        <f t="shared" si="42"/>
        <v>0</v>
      </c>
      <c r="R224" s="9">
        <f t="shared" si="43"/>
        <v>-4.6565654072414545E-2</v>
      </c>
      <c r="S224" s="9">
        <f t="shared" si="44"/>
        <v>0</v>
      </c>
      <c r="T224" s="10">
        <f t="shared" si="47"/>
        <v>0.63450225057644138</v>
      </c>
      <c r="U224" s="10">
        <f t="shared" si="47"/>
        <v>0.17681868746634252</v>
      </c>
      <c r="V224" s="10">
        <f t="shared" si="47"/>
        <v>-0.33852683142968987</v>
      </c>
      <c r="W224" s="10">
        <f t="shared" si="47"/>
        <v>0.69831409086186358</v>
      </c>
      <c r="X224" s="10">
        <f t="shared" si="47"/>
        <v>0.70577454512073379</v>
      </c>
      <c r="Y224" s="10">
        <f t="shared" si="47"/>
        <v>-2.0590478197776627E-2</v>
      </c>
      <c r="Z224" s="10">
        <f t="shared" si="47"/>
        <v>-0.70577454512073379</v>
      </c>
      <c r="AA224" s="10">
        <f t="shared" si="47"/>
        <v>2.0590478197776627E-2</v>
      </c>
      <c r="AB224" s="7">
        <f t="shared" si="46"/>
        <v>1.171108197474958</v>
      </c>
      <c r="AC224" s="7">
        <v>2.1401394952476371</v>
      </c>
      <c r="AF224" s="7">
        <v>2.7547815656483854</v>
      </c>
    </row>
    <row r="225" spans="1:32" x14ac:dyDescent="0.25">
      <c r="A225" s="6">
        <v>44256</v>
      </c>
      <c r="B225" s="7">
        <v>4.4398912813180841E-2</v>
      </c>
      <c r="C225" s="7">
        <v>8.602422644532659E-2</v>
      </c>
      <c r="D225" s="7">
        <v>1.7434699494535747E-2</v>
      </c>
      <c r="E225" s="7">
        <v>5.1815325318994637E-3</v>
      </c>
      <c r="F225" s="7">
        <v>8.5603789557191674E-3</v>
      </c>
      <c r="G225" s="7">
        <v>-2.8655038580267456E-2</v>
      </c>
      <c r="H225" s="12">
        <v>-1</v>
      </c>
      <c r="I225" s="12">
        <v>1</v>
      </c>
      <c r="J225" s="23">
        <v>-1</v>
      </c>
      <c r="K225" s="23">
        <v>1</v>
      </c>
      <c r="L225" s="9">
        <f t="shared" si="45"/>
        <v>0</v>
      </c>
      <c r="M225" s="9">
        <f t="shared" si="38"/>
        <v>-1.7434699494535747E-2</v>
      </c>
      <c r="N225" s="9">
        <f t="shared" si="39"/>
        <v>0</v>
      </c>
      <c r="O225" s="9">
        <f t="shared" si="40"/>
        <v>5.1815325318994637E-3</v>
      </c>
      <c r="P225" s="9">
        <f t="shared" si="41"/>
        <v>8.5603789557191674E-3</v>
      </c>
      <c r="Q225" s="9">
        <f t="shared" si="42"/>
        <v>0</v>
      </c>
      <c r="R225" s="9">
        <f t="shared" si="43"/>
        <v>-8.5603789557191674E-3</v>
      </c>
      <c r="S225" s="9">
        <f t="shared" si="44"/>
        <v>0</v>
      </c>
      <c r="T225" s="10">
        <f t="shared" si="47"/>
        <v>0.63450225057644138</v>
      </c>
      <c r="U225" s="10">
        <f t="shared" si="47"/>
        <v>0.15938398797180678</v>
      </c>
      <c r="V225" s="10">
        <f t="shared" si="47"/>
        <v>-0.33852683142968987</v>
      </c>
      <c r="W225" s="10">
        <f t="shared" si="47"/>
        <v>0.70349562339376304</v>
      </c>
      <c r="X225" s="10">
        <f t="shared" si="47"/>
        <v>0.71433492407645294</v>
      </c>
      <c r="Y225" s="10">
        <f t="shared" si="47"/>
        <v>-2.0590478197776627E-2</v>
      </c>
      <c r="Z225" s="10">
        <f t="shared" si="47"/>
        <v>-0.71433492407645294</v>
      </c>
      <c r="AA225" s="10">
        <f t="shared" si="47"/>
        <v>2.0590478197776627E-2</v>
      </c>
      <c r="AB225" s="7">
        <f t="shared" si="46"/>
        <v>1.1588550305123217</v>
      </c>
      <c r="AC225" s="7">
        <v>2.1857403806222049</v>
      </c>
      <c r="AF225" s="7">
        <v>2.7797438162217358</v>
      </c>
    </row>
    <row r="226" spans="1:32" x14ac:dyDescent="0.25">
      <c r="A226" s="6">
        <v>44287</v>
      </c>
      <c r="B226" s="7">
        <v>5.1558238542363341E-2</v>
      </c>
      <c r="C226" s="7">
        <v>2.2431054914758015E-3</v>
      </c>
      <c r="D226" s="7">
        <v>1.2126781256457655E-2</v>
      </c>
      <c r="E226" s="7">
        <v>-1.2543451851814881E-2</v>
      </c>
      <c r="F226" s="7">
        <v>3.0293643363770127E-2</v>
      </c>
      <c r="G226" s="7">
        <v>2.0090355650542794E-2</v>
      </c>
      <c r="H226" s="12">
        <v>-1</v>
      </c>
      <c r="I226" s="12">
        <v>1</v>
      </c>
      <c r="J226" s="23">
        <v>-1</v>
      </c>
      <c r="K226" s="23">
        <v>1</v>
      </c>
      <c r="L226" s="9">
        <f t="shared" si="45"/>
        <v>0</v>
      </c>
      <c r="M226" s="9">
        <f t="shared" si="38"/>
        <v>-1.2126781256457655E-2</v>
      </c>
      <c r="N226" s="9">
        <f t="shared" si="39"/>
        <v>0</v>
      </c>
      <c r="O226" s="9">
        <f t="shared" si="40"/>
        <v>-1.2543451851814881E-2</v>
      </c>
      <c r="P226" s="9">
        <f t="shared" si="41"/>
        <v>3.0293643363770127E-2</v>
      </c>
      <c r="Q226" s="9">
        <f t="shared" si="42"/>
        <v>0</v>
      </c>
      <c r="R226" s="9">
        <f t="shared" si="43"/>
        <v>-3.0293643363770127E-2</v>
      </c>
      <c r="S226" s="9">
        <f t="shared" si="44"/>
        <v>0</v>
      </c>
      <c r="T226" s="10">
        <f t="shared" si="47"/>
        <v>0.63450225057644138</v>
      </c>
      <c r="U226" s="10">
        <f t="shared" si="47"/>
        <v>0.14725720671534911</v>
      </c>
      <c r="V226" s="10">
        <f t="shared" si="47"/>
        <v>-0.33852683142968987</v>
      </c>
      <c r="W226" s="10">
        <f t="shared" si="47"/>
        <v>0.6909521715419481</v>
      </c>
      <c r="X226" s="10">
        <f t="shared" si="47"/>
        <v>0.7446285674402231</v>
      </c>
      <c r="Y226" s="10">
        <f t="shared" si="47"/>
        <v>-2.0590478197776627E-2</v>
      </c>
      <c r="Z226" s="10">
        <f t="shared" si="47"/>
        <v>-0.7446285674402231</v>
      </c>
      <c r="AA226" s="10">
        <f t="shared" si="47"/>
        <v>2.0590478197776627E-2</v>
      </c>
      <c r="AB226" s="7">
        <f t="shared" si="46"/>
        <v>1.1341847974040493</v>
      </c>
      <c r="AC226" s="7">
        <v>2.2377981040202211</v>
      </c>
      <c r="AF226" s="7">
        <v>2.7652768708266908</v>
      </c>
    </row>
    <row r="227" spans="1:32" x14ac:dyDescent="0.25">
      <c r="A227" s="6">
        <v>44317</v>
      </c>
      <c r="B227" s="7">
        <v>6.5446098984584186E-3</v>
      </c>
      <c r="C227" s="7">
        <v>-1.151218306930323E-4</v>
      </c>
      <c r="D227" s="7">
        <v>1.2215842357166922E-2</v>
      </c>
      <c r="E227" s="7">
        <v>5.5777026221061465E-3</v>
      </c>
      <c r="F227" s="7">
        <v>1.148423361336148E-2</v>
      </c>
      <c r="G227" s="7">
        <v>5.7119539558551256E-3</v>
      </c>
      <c r="H227" s="12">
        <v>1</v>
      </c>
      <c r="I227" s="12">
        <v>1</v>
      </c>
      <c r="J227" s="23">
        <v>1</v>
      </c>
      <c r="K227" s="23">
        <v>1</v>
      </c>
      <c r="L227" s="9">
        <f t="shared" si="45"/>
        <v>1.2215842357166922E-2</v>
      </c>
      <c r="M227" s="9">
        <f t="shared" si="38"/>
        <v>0</v>
      </c>
      <c r="N227" s="9">
        <f t="shared" si="39"/>
        <v>-5.5777026221061465E-3</v>
      </c>
      <c r="O227" s="9">
        <f t="shared" si="40"/>
        <v>0</v>
      </c>
      <c r="P227" s="9">
        <f t="shared" si="41"/>
        <v>1.148423361336148E-2</v>
      </c>
      <c r="Q227" s="9">
        <f t="shared" si="42"/>
        <v>0</v>
      </c>
      <c r="R227" s="9">
        <f t="shared" si="43"/>
        <v>-1.148423361336148E-2</v>
      </c>
      <c r="S227" s="9">
        <f t="shared" si="44"/>
        <v>0</v>
      </c>
      <c r="T227" s="10">
        <f t="shared" si="47"/>
        <v>0.64671809293360827</v>
      </c>
      <c r="U227" s="10">
        <f t="shared" si="47"/>
        <v>0.14725720671534911</v>
      </c>
      <c r="V227" s="10">
        <f t="shared" si="47"/>
        <v>-0.34410453405179603</v>
      </c>
      <c r="W227" s="10">
        <f t="shared" si="47"/>
        <v>0.6909521715419481</v>
      </c>
      <c r="X227" s="10">
        <f t="shared" si="47"/>
        <v>0.75611280105358458</v>
      </c>
      <c r="Y227" s="10">
        <f t="shared" si="47"/>
        <v>-2.0590478197776627E-2</v>
      </c>
      <c r="Z227" s="10">
        <f t="shared" si="47"/>
        <v>-0.75611280105358458</v>
      </c>
      <c r="AA227" s="10">
        <f t="shared" si="47"/>
        <v>2.0590478197776627E-2</v>
      </c>
      <c r="AB227" s="7">
        <f t="shared" si="46"/>
        <v>1.1408229371391101</v>
      </c>
      <c r="AC227" s="7">
        <v>2.2450884700186791</v>
      </c>
      <c r="AF227" s="7">
        <v>2.7776872902192578</v>
      </c>
    </row>
    <row r="228" spans="1:32" x14ac:dyDescent="0.25">
      <c r="A228" s="6">
        <v>44348</v>
      </c>
      <c r="B228" s="7">
        <v>2.2179778274440821E-2</v>
      </c>
      <c r="C228" s="7">
        <v>-3.0655097020226812E-2</v>
      </c>
      <c r="D228" s="7">
        <v>1.696333741766997E-2</v>
      </c>
      <c r="E228" s="7">
        <v>7.3711573761226874E-3</v>
      </c>
      <c r="F228" s="7">
        <v>5.10547761978978E-3</v>
      </c>
      <c r="G228" s="7">
        <v>8.8507930187924858E-3</v>
      </c>
      <c r="H228" s="12">
        <v>1</v>
      </c>
      <c r="I228" s="12">
        <v>-1</v>
      </c>
      <c r="J228" s="23">
        <v>1</v>
      </c>
      <c r="K228" s="23">
        <v>-1</v>
      </c>
      <c r="L228" s="9">
        <f t="shared" si="45"/>
        <v>1.696333741766997E-2</v>
      </c>
      <c r="M228" s="9">
        <f t="shared" si="38"/>
        <v>0</v>
      </c>
      <c r="N228" s="9">
        <f t="shared" si="39"/>
        <v>-7.3711573761226874E-3</v>
      </c>
      <c r="O228" s="9">
        <f t="shared" si="40"/>
        <v>0</v>
      </c>
      <c r="P228" s="9">
        <f t="shared" si="41"/>
        <v>0</v>
      </c>
      <c r="Q228" s="9">
        <f t="shared" si="42"/>
        <v>-5.10547761978978E-3</v>
      </c>
      <c r="R228" s="9">
        <f t="shared" si="43"/>
        <v>0</v>
      </c>
      <c r="S228" s="9">
        <f t="shared" si="44"/>
        <v>5.10547761978978E-3</v>
      </c>
      <c r="T228" s="10">
        <f t="shared" si="47"/>
        <v>0.66368143035127825</v>
      </c>
      <c r="U228" s="10">
        <f t="shared" si="47"/>
        <v>0.14725720671534911</v>
      </c>
      <c r="V228" s="10">
        <f t="shared" si="47"/>
        <v>-0.35147569142791873</v>
      </c>
      <c r="W228" s="10">
        <f t="shared" si="47"/>
        <v>0.6909521715419481</v>
      </c>
      <c r="X228" s="10">
        <f t="shared" si="47"/>
        <v>0.75611280105358458</v>
      </c>
      <c r="Y228" s="10">
        <f t="shared" si="47"/>
        <v>-2.5695955817566406E-2</v>
      </c>
      <c r="Z228" s="10">
        <f t="shared" si="47"/>
        <v>-0.75611280105358458</v>
      </c>
      <c r="AA228" s="10">
        <f t="shared" si="47"/>
        <v>2.5695955817566406E-2</v>
      </c>
      <c r="AB228" s="7">
        <f t="shared" si="46"/>
        <v>1.1504151171806574</v>
      </c>
      <c r="AC228" s="7">
        <v>2.2675865147296488</v>
      </c>
      <c r="AF228" s="7">
        <v>2.7910247856598076</v>
      </c>
    </row>
    <row r="229" spans="1:32" x14ac:dyDescent="0.25">
      <c r="A229" s="6">
        <v>44378</v>
      </c>
      <c r="B229" s="7">
        <v>2.4119266388236284E-2</v>
      </c>
      <c r="C229" s="7">
        <v>-1.9218809799632017E-2</v>
      </c>
      <c r="D229" s="7">
        <v>6.9798021718870265E-3</v>
      </c>
      <c r="E229" s="7">
        <v>1.3392975497376024E-4</v>
      </c>
      <c r="F229" s="7">
        <v>6.6590971395921635E-3</v>
      </c>
      <c r="G229" s="7">
        <v>3.0454553422428508E-2</v>
      </c>
      <c r="H229" s="12">
        <v>1</v>
      </c>
      <c r="I229" s="12">
        <v>-1</v>
      </c>
      <c r="J229" s="23">
        <v>1</v>
      </c>
      <c r="K229" s="23">
        <v>-1</v>
      </c>
      <c r="L229" s="9">
        <f t="shared" si="45"/>
        <v>6.9798021718870265E-3</v>
      </c>
      <c r="M229" s="9">
        <f t="shared" si="38"/>
        <v>0</v>
      </c>
      <c r="N229" s="9">
        <f t="shared" si="39"/>
        <v>-1.3392975497376024E-4</v>
      </c>
      <c r="O229" s="9">
        <f t="shared" si="40"/>
        <v>0</v>
      </c>
      <c r="P229" s="9">
        <f t="shared" si="41"/>
        <v>0</v>
      </c>
      <c r="Q229" s="9">
        <f t="shared" si="42"/>
        <v>-6.6590971395921635E-3</v>
      </c>
      <c r="R229" s="9">
        <f t="shared" si="43"/>
        <v>0</v>
      </c>
      <c r="S229" s="9">
        <f t="shared" si="44"/>
        <v>6.6590971395921635E-3</v>
      </c>
      <c r="T229" s="10">
        <f t="shared" si="47"/>
        <v>0.67066123252316523</v>
      </c>
      <c r="U229" s="10">
        <f t="shared" si="47"/>
        <v>0.14725720671534911</v>
      </c>
      <c r="V229" s="10">
        <f t="shared" si="47"/>
        <v>-0.35160962118289252</v>
      </c>
      <c r="W229" s="10">
        <f t="shared" si="47"/>
        <v>0.6909521715419481</v>
      </c>
      <c r="X229" s="10">
        <f t="shared" si="47"/>
        <v>0.75611280105358458</v>
      </c>
      <c r="Y229" s="10">
        <f t="shared" si="47"/>
        <v>-3.235505295715857E-2</v>
      </c>
      <c r="Z229" s="10">
        <f t="shared" si="47"/>
        <v>-0.75611280105358458</v>
      </c>
      <c r="AA229" s="10">
        <f t="shared" si="47"/>
        <v>3.235505295715857E-2</v>
      </c>
      <c r="AB229" s="7">
        <f t="shared" si="46"/>
        <v>1.1572609895975707</v>
      </c>
      <c r="AC229" s="7">
        <v>2.292231150394064</v>
      </c>
      <c r="AF229" s="7">
        <v>2.8216661143595574</v>
      </c>
    </row>
    <row r="230" spans="1:32" x14ac:dyDescent="0.25">
      <c r="A230" s="6">
        <v>44409</v>
      </c>
      <c r="B230" s="7">
        <v>2.9325454689421535E-2</v>
      </c>
      <c r="C230" s="7">
        <v>2.9162464152286509E-3</v>
      </c>
      <c r="D230" s="7">
        <v>1.8326270727281269E-2</v>
      </c>
      <c r="E230" s="7">
        <v>-1.1490464061884264E-2</v>
      </c>
      <c r="F230" s="7">
        <v>9.0350287328493824E-3</v>
      </c>
      <c r="G230" s="7">
        <v>-1.0487486988141873E-2</v>
      </c>
      <c r="H230" s="12">
        <v>-1</v>
      </c>
      <c r="I230" s="12">
        <v>-1</v>
      </c>
      <c r="J230" s="23">
        <v>-1</v>
      </c>
      <c r="K230" s="23">
        <v>-1</v>
      </c>
      <c r="L230" s="9">
        <f t="shared" si="45"/>
        <v>0</v>
      </c>
      <c r="M230" s="9">
        <f t="shared" si="38"/>
        <v>-1.8326270727281269E-2</v>
      </c>
      <c r="N230" s="9">
        <f t="shared" si="39"/>
        <v>0</v>
      </c>
      <c r="O230" s="9">
        <f t="shared" si="40"/>
        <v>-1.1490464061884264E-2</v>
      </c>
      <c r="P230" s="9">
        <f t="shared" si="41"/>
        <v>0</v>
      </c>
      <c r="Q230" s="9">
        <f t="shared" si="42"/>
        <v>-9.0350287328493824E-3</v>
      </c>
      <c r="R230" s="9">
        <f t="shared" si="43"/>
        <v>0</v>
      </c>
      <c r="S230" s="9">
        <f t="shared" si="44"/>
        <v>9.0350287328493824E-3</v>
      </c>
      <c r="T230" s="10">
        <f t="shared" si="47"/>
        <v>0.67066123252316523</v>
      </c>
      <c r="U230" s="10">
        <f t="shared" si="47"/>
        <v>0.12893093598806785</v>
      </c>
      <c r="V230" s="10">
        <f t="shared" si="47"/>
        <v>-0.35160962118289252</v>
      </c>
      <c r="W230" s="10">
        <f t="shared" si="47"/>
        <v>0.67946170748006385</v>
      </c>
      <c r="X230" s="10">
        <f t="shared" si="47"/>
        <v>0.75611280105358458</v>
      </c>
      <c r="Y230" s="10">
        <f t="shared" si="47"/>
        <v>-4.1390081690007949E-2</v>
      </c>
      <c r="Z230" s="10">
        <f t="shared" si="47"/>
        <v>-0.75611280105358458</v>
      </c>
      <c r="AA230" s="10">
        <f t="shared" si="47"/>
        <v>4.1390081690007949E-2</v>
      </c>
      <c r="AB230" s="7">
        <f t="shared" si="46"/>
        <v>1.1274442548084052</v>
      </c>
      <c r="AC230" s="7">
        <v>2.3218630100492912</v>
      </c>
      <c r="AF230" s="7">
        <v>2.7723268638494005</v>
      </c>
    </row>
    <row r="231" spans="1:32" x14ac:dyDescent="0.25">
      <c r="A231" s="6">
        <v>44440</v>
      </c>
      <c r="B231" s="7">
        <v>-4.772644369023616E-2</v>
      </c>
      <c r="C231" s="7">
        <v>-4.8574503818244685E-2</v>
      </c>
      <c r="D231" s="7">
        <v>-2.0115820546968352E-2</v>
      </c>
      <c r="E231" s="7">
        <v>-5.0464856597345863E-2</v>
      </c>
      <c r="F231" s="7">
        <v>-1.4405299472210753E-3</v>
      </c>
      <c r="G231" s="7">
        <v>-4.7948403519810535E-3</v>
      </c>
      <c r="H231" s="12">
        <v>1</v>
      </c>
      <c r="I231" s="12">
        <v>1</v>
      </c>
      <c r="J231" s="23">
        <v>1</v>
      </c>
      <c r="K231" s="23">
        <v>1</v>
      </c>
      <c r="L231" s="9">
        <f t="shared" si="45"/>
        <v>-2.0115820546968352E-2</v>
      </c>
      <c r="M231" s="9">
        <f t="shared" si="38"/>
        <v>0</v>
      </c>
      <c r="N231" s="9">
        <f t="shared" si="39"/>
        <v>5.0464856597345863E-2</v>
      </c>
      <c r="O231" s="9">
        <f t="shared" si="40"/>
        <v>0</v>
      </c>
      <c r="P231" s="9">
        <f t="shared" si="41"/>
        <v>-1.4405299472210753E-3</v>
      </c>
      <c r="Q231" s="9">
        <f t="shared" si="42"/>
        <v>0</v>
      </c>
      <c r="R231" s="9">
        <f t="shared" si="43"/>
        <v>1.4405299472210753E-3</v>
      </c>
      <c r="S231" s="9">
        <f t="shared" si="44"/>
        <v>0</v>
      </c>
      <c r="T231" s="10">
        <f t="shared" si="47"/>
        <v>0.65054541197619686</v>
      </c>
      <c r="U231" s="10">
        <f t="shared" si="47"/>
        <v>0.12893093598806785</v>
      </c>
      <c r="V231" s="10">
        <f t="shared" si="47"/>
        <v>-0.30114476458554668</v>
      </c>
      <c r="W231" s="10">
        <f t="shared" si="47"/>
        <v>0.67946170748006385</v>
      </c>
      <c r="X231" s="10">
        <f t="shared" si="47"/>
        <v>0.75467227110636348</v>
      </c>
      <c r="Y231" s="10">
        <f t="shared" si="47"/>
        <v>-4.1390081690007949E-2</v>
      </c>
      <c r="Z231" s="10">
        <f t="shared" si="47"/>
        <v>-0.75467227110636348</v>
      </c>
      <c r="AA231" s="10">
        <f t="shared" si="47"/>
        <v>4.1390081690007949E-2</v>
      </c>
      <c r="AB231" s="7">
        <f t="shared" si="46"/>
        <v>1.1577932908587827</v>
      </c>
      <c r="AC231" s="7">
        <v>2.2748400124431329</v>
      </c>
      <c r="AF231" s="7">
        <v>2.806030210304538</v>
      </c>
    </row>
    <row r="232" spans="1:32" x14ac:dyDescent="0.25">
      <c r="A232" s="6">
        <v>44470</v>
      </c>
      <c r="B232" s="7">
        <v>6.7811520185359464E-2</v>
      </c>
      <c r="C232" s="7">
        <v>6.641177784413213E-2</v>
      </c>
      <c r="D232" s="7">
        <v>1.2401001113649456E-2</v>
      </c>
      <c r="E232" s="7">
        <v>3.5352190616262616E-2</v>
      </c>
      <c r="F232" s="7">
        <v>2.1941322895229948E-2</v>
      </c>
      <c r="G232" s="7">
        <v>-8.7589070445465121E-3</v>
      </c>
      <c r="H232" s="12">
        <v>-1</v>
      </c>
      <c r="I232" s="12">
        <v>-1</v>
      </c>
      <c r="J232" s="23">
        <v>-1</v>
      </c>
      <c r="K232" s="23">
        <v>-1</v>
      </c>
      <c r="L232" s="9">
        <f t="shared" si="45"/>
        <v>0</v>
      </c>
      <c r="M232" s="9">
        <f t="shared" si="38"/>
        <v>-1.2401001113649456E-2</v>
      </c>
      <c r="N232" s="9">
        <f t="shared" si="39"/>
        <v>0</v>
      </c>
      <c r="O232" s="9">
        <f t="shared" si="40"/>
        <v>3.5352190616262616E-2</v>
      </c>
      <c r="P232" s="9">
        <f t="shared" si="41"/>
        <v>0</v>
      </c>
      <c r="Q232" s="9">
        <f t="shared" si="42"/>
        <v>-2.1941322895229948E-2</v>
      </c>
      <c r="R232" s="9">
        <f t="shared" si="43"/>
        <v>0</v>
      </c>
      <c r="S232" s="9">
        <f t="shared" si="44"/>
        <v>2.1941322895229948E-2</v>
      </c>
      <c r="T232" s="10">
        <f t="shared" si="47"/>
        <v>0.65054541197619686</v>
      </c>
      <c r="U232" s="10">
        <f t="shared" si="47"/>
        <v>0.11652993487441839</v>
      </c>
      <c r="V232" s="10">
        <f t="shared" si="47"/>
        <v>-0.30114476458554668</v>
      </c>
      <c r="W232" s="10">
        <f t="shared" si="47"/>
        <v>0.71481389809632645</v>
      </c>
      <c r="X232" s="10">
        <f t="shared" si="47"/>
        <v>0.75467227110636348</v>
      </c>
      <c r="Y232" s="10">
        <f t="shared" si="47"/>
        <v>-6.3331404585237894E-2</v>
      </c>
      <c r="Z232" s="10">
        <f t="shared" si="47"/>
        <v>-0.75467227110636348</v>
      </c>
      <c r="AA232" s="10">
        <f t="shared" si="47"/>
        <v>6.3331404585237894E-2</v>
      </c>
      <c r="AB232" s="7">
        <f t="shared" si="46"/>
        <v>1.1807444803613958</v>
      </c>
      <c r="AC232" s="7">
        <v>2.343229678444017</v>
      </c>
      <c r="AF232" s="7">
        <v>2.7982811698673746</v>
      </c>
    </row>
    <row r="233" spans="1:32" x14ac:dyDescent="0.25">
      <c r="A233" s="6">
        <v>44501</v>
      </c>
      <c r="B233" s="7">
        <v>-8.0673554045536805E-3</v>
      </c>
      <c r="C233" s="7">
        <v>1.4972978925412972E-2</v>
      </c>
      <c r="D233" s="7">
        <v>-2.8840826497794219E-2</v>
      </c>
      <c r="E233" s="7">
        <v>2.1537887401986894E-2</v>
      </c>
      <c r="F233" s="7">
        <v>2.0005490052964581E-2</v>
      </c>
      <c r="G233" s="7">
        <v>1.2116522201603058E-2</v>
      </c>
      <c r="H233" s="12">
        <v>-1</v>
      </c>
      <c r="I233" s="12">
        <v>1</v>
      </c>
      <c r="J233" s="23">
        <v>-1</v>
      </c>
      <c r="K233" s="23">
        <v>1</v>
      </c>
      <c r="L233" s="9">
        <f t="shared" si="45"/>
        <v>0</v>
      </c>
      <c r="M233" s="9">
        <f t="shared" si="38"/>
        <v>2.8840826497794219E-2</v>
      </c>
      <c r="N233" s="9">
        <f t="shared" si="39"/>
        <v>0</v>
      </c>
      <c r="O233" s="9">
        <f t="shared" si="40"/>
        <v>2.1537887401986894E-2</v>
      </c>
      <c r="P233" s="9">
        <f t="shared" si="41"/>
        <v>2.0005490052964581E-2</v>
      </c>
      <c r="Q233" s="9">
        <f t="shared" si="42"/>
        <v>0</v>
      </c>
      <c r="R233" s="9">
        <f t="shared" si="43"/>
        <v>-2.0005490052964581E-2</v>
      </c>
      <c r="S233" s="9">
        <f t="shared" si="44"/>
        <v>0</v>
      </c>
      <c r="T233" s="10">
        <f t="shared" si="47"/>
        <v>0.65054541197619686</v>
      </c>
      <c r="U233" s="10">
        <f t="shared" si="47"/>
        <v>0.14537076137221261</v>
      </c>
      <c r="V233" s="10">
        <f t="shared" si="47"/>
        <v>-0.30114476458554668</v>
      </c>
      <c r="W233" s="10">
        <f t="shared" si="47"/>
        <v>0.73635178549831337</v>
      </c>
      <c r="X233" s="10">
        <f t="shared" si="47"/>
        <v>0.77467776115932807</v>
      </c>
      <c r="Y233" s="10">
        <f t="shared" si="47"/>
        <v>-6.3331404585237894E-2</v>
      </c>
      <c r="Z233" s="10">
        <f t="shared" si="47"/>
        <v>-0.77467776115932807</v>
      </c>
      <c r="AA233" s="10">
        <f t="shared" si="47"/>
        <v>6.3331404585237894E-2</v>
      </c>
      <c r="AB233" s="7">
        <f t="shared" si="46"/>
        <v>1.2311231942611769</v>
      </c>
      <c r="AC233" s="7">
        <v>2.3358199743225319</v>
      </c>
      <c r="AF233" s="7">
        <v>2.8565488516185171</v>
      </c>
    </row>
    <row r="234" spans="1:32" x14ac:dyDescent="0.25">
      <c r="A234" s="6">
        <v>44531</v>
      </c>
      <c r="B234" s="7">
        <v>4.5210268361061477E-2</v>
      </c>
      <c r="C234" s="7">
        <v>3.3856448687732785E-2</v>
      </c>
      <c r="D234" s="7">
        <v>2.5374119839260571E-2</v>
      </c>
      <c r="E234" s="7">
        <v>-6.323674093309908E-3</v>
      </c>
      <c r="F234" s="7">
        <v>2.7538990939022526E-2</v>
      </c>
      <c r="G234" s="7">
        <v>-2.6852351765409531E-3</v>
      </c>
      <c r="H234" s="12">
        <v>-1</v>
      </c>
      <c r="I234" s="12">
        <v>1</v>
      </c>
      <c r="J234" s="23">
        <v>-1</v>
      </c>
      <c r="K234" s="23">
        <v>1</v>
      </c>
      <c r="L234" s="9">
        <f t="shared" si="45"/>
        <v>0</v>
      </c>
      <c r="M234" s="9">
        <f t="shared" si="38"/>
        <v>-2.5374119839260571E-2</v>
      </c>
      <c r="N234" s="9">
        <f t="shared" si="39"/>
        <v>0</v>
      </c>
      <c r="O234" s="9">
        <f t="shared" si="40"/>
        <v>-6.323674093309908E-3</v>
      </c>
      <c r="P234" s="9">
        <f t="shared" si="41"/>
        <v>2.7538990939022526E-2</v>
      </c>
      <c r="Q234" s="9">
        <f t="shared" si="42"/>
        <v>0</v>
      </c>
      <c r="R234" s="9">
        <f t="shared" si="43"/>
        <v>-2.7538990939022526E-2</v>
      </c>
      <c r="S234" s="9">
        <f t="shared" si="44"/>
        <v>0</v>
      </c>
      <c r="T234" s="10">
        <f t="shared" si="47"/>
        <v>0.65054541197619686</v>
      </c>
      <c r="U234" s="10">
        <f t="shared" si="47"/>
        <v>0.11999664153295203</v>
      </c>
      <c r="V234" s="10">
        <f t="shared" si="47"/>
        <v>-0.30114476458554668</v>
      </c>
      <c r="W234" s="10">
        <f t="shared" si="47"/>
        <v>0.73002811140500345</v>
      </c>
      <c r="X234" s="10">
        <f t="shared" si="47"/>
        <v>0.80221675209835064</v>
      </c>
      <c r="Y234" s="10">
        <f t="shared" si="47"/>
        <v>-6.3331404585237894E-2</v>
      </c>
      <c r="Z234" s="10">
        <f t="shared" si="47"/>
        <v>-0.80221675209835064</v>
      </c>
      <c r="AA234" s="10">
        <f t="shared" si="47"/>
        <v>6.3331404585237894E-2</v>
      </c>
      <c r="AB234" s="7">
        <f t="shared" si="46"/>
        <v>1.1994254003286065</v>
      </c>
      <c r="AC234" s="7">
        <v>2.3822668812281922</v>
      </c>
      <c r="AF234" s="7">
        <v>2.8550752838015101</v>
      </c>
    </row>
    <row r="235" spans="1:32" x14ac:dyDescent="0.25">
      <c r="A235" s="6">
        <v>44562</v>
      </c>
      <c r="B235" s="7">
        <v>-5.4183147552412894E-2</v>
      </c>
      <c r="C235" s="7">
        <v>-3.7315541756700842E-2</v>
      </c>
      <c r="D235" s="7">
        <v>2.2636409234365662E-2</v>
      </c>
      <c r="E235" s="7">
        <v>-4.2129798501501243E-4</v>
      </c>
      <c r="F235" s="7">
        <v>-1.8851744402737389E-2</v>
      </c>
      <c r="G235" s="7">
        <v>-4.0838967133271536E-2</v>
      </c>
      <c r="H235" s="12">
        <v>1</v>
      </c>
      <c r="I235" s="12">
        <v>1</v>
      </c>
      <c r="J235" s="23">
        <v>1</v>
      </c>
      <c r="K235" s="23">
        <v>1</v>
      </c>
      <c r="L235" s="9">
        <f t="shared" si="45"/>
        <v>2.2636409234365662E-2</v>
      </c>
      <c r="M235" s="9">
        <f t="shared" si="38"/>
        <v>0</v>
      </c>
      <c r="N235" s="9">
        <f t="shared" si="39"/>
        <v>4.2129798501501243E-4</v>
      </c>
      <c r="O235" s="9">
        <f t="shared" si="40"/>
        <v>0</v>
      </c>
      <c r="P235" s="9">
        <f t="shared" si="41"/>
        <v>-1.8851744402737389E-2</v>
      </c>
      <c r="Q235" s="9">
        <f t="shared" si="42"/>
        <v>0</v>
      </c>
      <c r="R235" s="9">
        <f t="shared" si="43"/>
        <v>1.8851744402737389E-2</v>
      </c>
      <c r="S235" s="9">
        <f t="shared" si="44"/>
        <v>0</v>
      </c>
      <c r="T235" s="10">
        <f t="shared" si="47"/>
        <v>0.67318182121056247</v>
      </c>
      <c r="U235" s="10">
        <f t="shared" si="47"/>
        <v>0.11999664153295203</v>
      </c>
      <c r="V235" s="10">
        <f t="shared" si="47"/>
        <v>-0.30072346660053167</v>
      </c>
      <c r="W235" s="10">
        <f t="shared" si="47"/>
        <v>0.73002811140500345</v>
      </c>
      <c r="X235" s="10">
        <f t="shared" si="47"/>
        <v>0.78336500769561324</v>
      </c>
      <c r="Y235" s="10">
        <f t="shared" si="47"/>
        <v>-6.3331404585237894E-2</v>
      </c>
      <c r="Z235" s="10">
        <f t="shared" si="47"/>
        <v>-0.78336500769561324</v>
      </c>
      <c r="AA235" s="10">
        <f t="shared" si="47"/>
        <v>6.3331404585237894E-2</v>
      </c>
      <c r="AB235" s="7">
        <f t="shared" si="46"/>
        <v>1.2224831075479872</v>
      </c>
      <c r="AC235" s="7">
        <v>2.3294702444948969</v>
      </c>
      <c r="AF235" s="7">
        <v>2.9001202137514248</v>
      </c>
    </row>
    <row r="236" spans="1:32" x14ac:dyDescent="0.25">
      <c r="A236" s="6">
        <v>44593</v>
      </c>
      <c r="B236" s="7">
        <v>-2.9961465282810056E-2</v>
      </c>
      <c r="C236" s="7">
        <v>-2.0604266682628408E-2</v>
      </c>
      <c r="D236" s="7">
        <v>1.6301219398284696E-2</v>
      </c>
      <c r="E236" s="7">
        <v>9.1934973856490493E-3</v>
      </c>
      <c r="F236" s="7">
        <v>-5.9072520587277015E-3</v>
      </c>
      <c r="G236" s="7">
        <v>-2.1985102829656576E-2</v>
      </c>
      <c r="H236" s="12">
        <v>1</v>
      </c>
      <c r="I236" s="12">
        <v>-1</v>
      </c>
      <c r="J236" s="23">
        <v>1</v>
      </c>
      <c r="K236" s="23">
        <v>-1</v>
      </c>
      <c r="L236" s="9">
        <f t="shared" si="45"/>
        <v>1.6301219398284696E-2</v>
      </c>
      <c r="M236" s="9">
        <f t="shared" si="38"/>
        <v>0</v>
      </c>
      <c r="N236" s="9">
        <f t="shared" si="39"/>
        <v>-9.1934973856490493E-3</v>
      </c>
      <c r="O236" s="9">
        <f t="shared" si="40"/>
        <v>0</v>
      </c>
      <c r="P236" s="9">
        <f t="shared" si="41"/>
        <v>0</v>
      </c>
      <c r="Q236" s="9">
        <f t="shared" si="42"/>
        <v>5.9072520587277015E-3</v>
      </c>
      <c r="R236" s="9">
        <f t="shared" si="43"/>
        <v>0</v>
      </c>
      <c r="S236" s="9">
        <f t="shared" si="44"/>
        <v>-5.9072520587277015E-3</v>
      </c>
      <c r="T236" s="10">
        <f t="shared" si="47"/>
        <v>0.68948304060884713</v>
      </c>
      <c r="U236" s="10">
        <f t="shared" si="47"/>
        <v>0.11999664153295203</v>
      </c>
      <c r="V236" s="10">
        <f t="shared" si="47"/>
        <v>-0.30991696398618074</v>
      </c>
      <c r="W236" s="10">
        <f t="shared" si="47"/>
        <v>0.73002811140500345</v>
      </c>
      <c r="X236" s="10">
        <f t="shared" si="47"/>
        <v>0.78336500769561324</v>
      </c>
      <c r="Y236" s="10">
        <f t="shared" si="47"/>
        <v>-5.7424152526510189E-2</v>
      </c>
      <c r="Z236" s="10">
        <f t="shared" si="47"/>
        <v>-0.78336500769561324</v>
      </c>
      <c r="AA236" s="10">
        <f t="shared" si="47"/>
        <v>5.7424152526510189E-2</v>
      </c>
      <c r="AB236" s="7">
        <f t="shared" si="46"/>
        <v>1.2295908295606228</v>
      </c>
      <c r="AC236" s="7">
        <v>2.3013352057379932</v>
      </c>
      <c r="AF236" s="7">
        <v>2.8911500849931318</v>
      </c>
    </row>
    <row r="237" spans="1:32" x14ac:dyDescent="0.25">
      <c r="A237" s="6">
        <v>44621</v>
      </c>
      <c r="B237" s="7">
        <v>3.6901152909018811E-2</v>
      </c>
      <c r="C237" s="7">
        <v>8.9885063159876544E-2</v>
      </c>
      <c r="D237" s="7">
        <v>1.6182762188979259E-2</v>
      </c>
      <c r="E237" s="7">
        <v>1.3184671065982648E-2</v>
      </c>
      <c r="F237" s="7">
        <v>-4.0189359076868367E-2</v>
      </c>
      <c r="G237" s="7">
        <v>-3.6936724875798934E-3</v>
      </c>
      <c r="H237" s="12">
        <v>-1</v>
      </c>
      <c r="I237" s="12">
        <v>-1</v>
      </c>
      <c r="J237" s="23">
        <v>-1</v>
      </c>
      <c r="K237" s="23">
        <v>-1</v>
      </c>
      <c r="L237" s="9">
        <f t="shared" si="45"/>
        <v>0</v>
      </c>
      <c r="M237" s="9">
        <f t="shared" si="38"/>
        <v>-1.6182762188979259E-2</v>
      </c>
      <c r="N237" s="9">
        <f t="shared" si="39"/>
        <v>0</v>
      </c>
      <c r="O237" s="9">
        <f t="shared" si="40"/>
        <v>1.3184671065982648E-2</v>
      </c>
      <c r="P237" s="9">
        <f t="shared" si="41"/>
        <v>0</v>
      </c>
      <c r="Q237" s="9">
        <f t="shared" si="42"/>
        <v>4.0189359076868367E-2</v>
      </c>
      <c r="R237" s="9">
        <f t="shared" si="43"/>
        <v>0</v>
      </c>
      <c r="S237" s="9">
        <f t="shared" si="44"/>
        <v>-4.0189359076868367E-2</v>
      </c>
      <c r="T237" s="10">
        <f t="shared" si="47"/>
        <v>0.68948304060884713</v>
      </c>
      <c r="U237" s="10">
        <f t="shared" si="47"/>
        <v>0.10381387934397276</v>
      </c>
      <c r="V237" s="10">
        <f t="shared" si="47"/>
        <v>-0.30991696398618074</v>
      </c>
      <c r="W237" s="10">
        <f t="shared" si="47"/>
        <v>0.7432127824709861</v>
      </c>
      <c r="X237" s="10">
        <f t="shared" si="47"/>
        <v>0.78336500769561324</v>
      </c>
      <c r="Y237" s="10">
        <f t="shared" si="47"/>
        <v>-1.7234793449641822E-2</v>
      </c>
      <c r="Z237" s="10">
        <f t="shared" si="47"/>
        <v>-0.78336500769561324</v>
      </c>
      <c r="AA237" s="10">
        <f t="shared" si="47"/>
        <v>1.7234793449641822E-2</v>
      </c>
      <c r="AB237" s="7">
        <f t="shared" si="46"/>
        <v>1.2265927384376263</v>
      </c>
      <c r="AC237" s="7">
        <v>2.3406435142524669</v>
      </c>
      <c r="AF237" s="7">
        <v>2.9246476804594237</v>
      </c>
    </row>
    <row r="238" spans="1:32" x14ac:dyDescent="0.25">
      <c r="A238" s="6">
        <v>44652</v>
      </c>
      <c r="B238" s="7">
        <v>-9.1862059431613879E-2</v>
      </c>
      <c r="C238" s="7">
        <v>3.6116596232121351E-2</v>
      </c>
      <c r="D238" s="7">
        <v>-3.3509970123769106E-2</v>
      </c>
      <c r="E238" s="7">
        <v>-4.5106034144923278E-3</v>
      </c>
      <c r="F238" s="7">
        <v>-6.3748698554428338E-3</v>
      </c>
      <c r="G238" s="7">
        <v>-4.1713923872158269E-2</v>
      </c>
      <c r="H238" s="12">
        <v>-1</v>
      </c>
      <c r="I238" s="12">
        <v>1</v>
      </c>
      <c r="J238" s="23">
        <v>-1</v>
      </c>
      <c r="K238" s="23">
        <v>1</v>
      </c>
      <c r="L238" s="9">
        <f t="shared" si="45"/>
        <v>0</v>
      </c>
      <c r="M238" s="9">
        <f t="shared" si="38"/>
        <v>3.3509970123769106E-2</v>
      </c>
      <c r="N238" s="9">
        <f t="shared" si="39"/>
        <v>0</v>
      </c>
      <c r="O238" s="9">
        <f t="shared" si="40"/>
        <v>-4.5106034144923278E-3</v>
      </c>
      <c r="P238" s="9">
        <f t="shared" si="41"/>
        <v>-6.3748698554428338E-3</v>
      </c>
      <c r="Q238" s="9">
        <f t="shared" si="42"/>
        <v>0</v>
      </c>
      <c r="R238" s="9">
        <f t="shared" si="43"/>
        <v>6.3748698554428338E-3</v>
      </c>
      <c r="S238" s="9">
        <f t="shared" si="44"/>
        <v>0</v>
      </c>
      <c r="T238" s="10">
        <f t="shared" si="47"/>
        <v>0.68948304060884713</v>
      </c>
      <c r="U238" s="10">
        <f t="shared" si="47"/>
        <v>0.13732384946774187</v>
      </c>
      <c r="V238" s="10">
        <f t="shared" si="47"/>
        <v>-0.30991696398618074</v>
      </c>
      <c r="W238" s="10">
        <f t="shared" si="47"/>
        <v>0.73870217905649382</v>
      </c>
      <c r="X238" s="10">
        <f t="shared" si="47"/>
        <v>0.77699013784017035</v>
      </c>
      <c r="Y238" s="10">
        <f t="shared" si="47"/>
        <v>-1.7234793449641822E-2</v>
      </c>
      <c r="Z238" s="10">
        <f t="shared" si="47"/>
        <v>-0.77699013784017035</v>
      </c>
      <c r="AA238" s="10">
        <f t="shared" si="47"/>
        <v>1.7234793449641822E-2</v>
      </c>
      <c r="AB238" s="7">
        <f t="shared" si="46"/>
        <v>1.255592105146903</v>
      </c>
      <c r="AC238" s="7">
        <v>2.2513549465627349</v>
      </c>
      <c r="AF238" s="7">
        <v>2.9889861011854157</v>
      </c>
    </row>
    <row r="239" spans="1:32" x14ac:dyDescent="0.25">
      <c r="A239" s="6">
        <v>44682</v>
      </c>
      <c r="B239" s="7">
        <v>2.2547708845364368E-3</v>
      </c>
      <c r="C239" s="7">
        <v>-4.9625936824924513E-2</v>
      </c>
      <c r="D239" s="7">
        <v>5.8080529031280477E-2</v>
      </c>
      <c r="E239" s="7">
        <v>-1.6590826960377794E-2</v>
      </c>
      <c r="F239" s="7">
        <v>-1.6031069070328533E-3</v>
      </c>
      <c r="G239" s="7">
        <v>-4.7897659323441547E-2</v>
      </c>
      <c r="H239" s="12">
        <v>1</v>
      </c>
      <c r="I239" s="12">
        <v>1</v>
      </c>
      <c r="J239" s="23">
        <v>1</v>
      </c>
      <c r="K239" s="23">
        <v>1</v>
      </c>
      <c r="L239" s="9">
        <f t="shared" si="45"/>
        <v>5.8080529031280477E-2</v>
      </c>
      <c r="M239" s="9">
        <f t="shared" si="38"/>
        <v>0</v>
      </c>
      <c r="N239" s="9">
        <f t="shared" si="39"/>
        <v>1.6590826960377794E-2</v>
      </c>
      <c r="O239" s="9">
        <f t="shared" si="40"/>
        <v>0</v>
      </c>
      <c r="P239" s="9">
        <f t="shared" si="41"/>
        <v>-1.6031069070328533E-3</v>
      </c>
      <c r="Q239" s="9">
        <f t="shared" si="42"/>
        <v>0</v>
      </c>
      <c r="R239" s="9">
        <f t="shared" si="43"/>
        <v>1.6031069070328533E-3</v>
      </c>
      <c r="S239" s="9">
        <f t="shared" si="44"/>
        <v>0</v>
      </c>
      <c r="T239" s="10">
        <f t="shared" si="47"/>
        <v>0.7475635696401276</v>
      </c>
      <c r="U239" s="10">
        <f t="shared" si="47"/>
        <v>0.13732384946774187</v>
      </c>
      <c r="V239" s="10">
        <f t="shared" si="47"/>
        <v>-0.29332613702580296</v>
      </c>
      <c r="W239" s="10">
        <f t="shared" ref="W239:AA302" si="48">O239+W238</f>
        <v>0.73870217905649382</v>
      </c>
      <c r="X239" s="10">
        <f t="shared" si="48"/>
        <v>0.77538703093313754</v>
      </c>
      <c r="Y239" s="10">
        <f t="shared" si="48"/>
        <v>-1.7234793449641822E-2</v>
      </c>
      <c r="Z239" s="10">
        <f t="shared" si="48"/>
        <v>-0.77538703093313754</v>
      </c>
      <c r="AA239" s="10">
        <f t="shared" si="48"/>
        <v>1.7234793449641822E-2</v>
      </c>
      <c r="AB239" s="7">
        <f t="shared" si="46"/>
        <v>1.3302634611385613</v>
      </c>
      <c r="AC239" s="7">
        <v>2.2575144409190981</v>
      </c>
      <c r="AF239" s="7">
        <v>3.1099520095934827</v>
      </c>
    </row>
    <row r="240" spans="1:32" x14ac:dyDescent="0.25">
      <c r="A240" s="6">
        <v>44713</v>
      </c>
      <c r="B240" s="7">
        <v>-8.6059583848674445E-2</v>
      </c>
      <c r="C240" s="7">
        <v>-6.6284959335857985E-2</v>
      </c>
      <c r="D240" s="7">
        <v>7.6098943102592912E-3</v>
      </c>
      <c r="E240" s="7">
        <v>1.4556806555055089E-2</v>
      </c>
      <c r="F240" s="7">
        <v>6.7820448430330922E-3</v>
      </c>
      <c r="G240" s="7">
        <v>-1.0653574469724036E-2</v>
      </c>
      <c r="H240" s="12">
        <v>1</v>
      </c>
      <c r="I240" s="12">
        <v>-1</v>
      </c>
      <c r="J240" s="23">
        <v>1</v>
      </c>
      <c r="K240" s="23">
        <v>-1</v>
      </c>
      <c r="L240" s="9">
        <f t="shared" si="45"/>
        <v>7.6098943102592912E-3</v>
      </c>
      <c r="M240" s="9">
        <f t="shared" si="38"/>
        <v>0</v>
      </c>
      <c r="N240" s="9">
        <f t="shared" si="39"/>
        <v>-1.4556806555055089E-2</v>
      </c>
      <c r="O240" s="9">
        <f t="shared" si="40"/>
        <v>0</v>
      </c>
      <c r="P240" s="9">
        <f t="shared" si="41"/>
        <v>0</v>
      </c>
      <c r="Q240" s="9">
        <f t="shared" si="42"/>
        <v>-6.7820448430330922E-3</v>
      </c>
      <c r="R240" s="9">
        <f t="shared" si="43"/>
        <v>0</v>
      </c>
      <c r="S240" s="9">
        <f t="shared" si="44"/>
        <v>6.7820448430330922E-3</v>
      </c>
      <c r="T240" s="10">
        <f t="shared" ref="T240:V303" si="49">L240+T239</f>
        <v>0.75517346395038687</v>
      </c>
      <c r="U240" s="10">
        <f t="shared" si="49"/>
        <v>0.13732384946774187</v>
      </c>
      <c r="V240" s="10">
        <f t="shared" si="49"/>
        <v>-0.30788294358085805</v>
      </c>
      <c r="W240" s="10">
        <f t="shared" si="48"/>
        <v>0.73870217905649382</v>
      </c>
      <c r="X240" s="10">
        <f t="shared" si="48"/>
        <v>0.77538703093313754</v>
      </c>
      <c r="Y240" s="10">
        <f t="shared" si="48"/>
        <v>-2.4016838292674914E-2</v>
      </c>
      <c r="Z240" s="10">
        <f t="shared" si="48"/>
        <v>-0.77538703093313754</v>
      </c>
      <c r="AA240" s="10">
        <f t="shared" si="48"/>
        <v>2.4016838292674914E-2</v>
      </c>
      <c r="AB240" s="7">
        <f t="shared" si="46"/>
        <v>1.3233165488937655</v>
      </c>
      <c r="AC240" s="7">
        <v>2.1751443478941548</v>
      </c>
      <c r="AF240" s="7">
        <v>3.08556947803593</v>
      </c>
    </row>
    <row r="241" spans="1:32" x14ac:dyDescent="0.25">
      <c r="A241" s="6">
        <v>44743</v>
      </c>
      <c r="B241" s="7">
        <v>8.8091124831144063E-2</v>
      </c>
      <c r="C241" s="7">
        <v>1.2693886789839605E-2</v>
      </c>
      <c r="D241" s="7">
        <v>4.1885610161670708E-2</v>
      </c>
      <c r="E241" s="7">
        <v>-9.4922099550556385E-3</v>
      </c>
      <c r="F241" s="7">
        <v>2.9822572227213E-2</v>
      </c>
      <c r="G241" s="7">
        <v>-1.886995706164055E-2</v>
      </c>
      <c r="H241" s="12">
        <v>-1</v>
      </c>
      <c r="I241" s="12">
        <v>-1</v>
      </c>
      <c r="J241" s="23">
        <v>-1</v>
      </c>
      <c r="K241" s="23">
        <v>-1</v>
      </c>
      <c r="L241" s="9">
        <f t="shared" si="45"/>
        <v>0</v>
      </c>
      <c r="M241" s="9">
        <f t="shared" si="38"/>
        <v>-4.1885610161670708E-2</v>
      </c>
      <c r="N241" s="9">
        <f t="shared" si="39"/>
        <v>0</v>
      </c>
      <c r="O241" s="9">
        <f t="shared" si="40"/>
        <v>-9.4922099550556385E-3</v>
      </c>
      <c r="P241" s="9">
        <f t="shared" si="41"/>
        <v>0</v>
      </c>
      <c r="Q241" s="9">
        <f t="shared" si="42"/>
        <v>-2.9822572227213E-2</v>
      </c>
      <c r="R241" s="9">
        <f t="shared" si="43"/>
        <v>0</v>
      </c>
      <c r="S241" s="9">
        <f t="shared" si="44"/>
        <v>2.9822572227213E-2</v>
      </c>
      <c r="T241" s="10">
        <f t="shared" si="49"/>
        <v>0.75517346395038687</v>
      </c>
      <c r="U241" s="10">
        <f t="shared" si="49"/>
        <v>9.5438239306071163E-2</v>
      </c>
      <c r="V241" s="10">
        <f t="shared" si="49"/>
        <v>-0.30788294358085805</v>
      </c>
      <c r="W241" s="10">
        <f t="shared" si="48"/>
        <v>0.7292099691014382</v>
      </c>
      <c r="X241" s="10">
        <f t="shared" si="48"/>
        <v>0.77538703093313754</v>
      </c>
      <c r="Y241" s="10">
        <f t="shared" si="48"/>
        <v>-5.3839410519887915E-2</v>
      </c>
      <c r="Z241" s="10">
        <f t="shared" si="48"/>
        <v>-0.77538703093313754</v>
      </c>
      <c r="AA241" s="10">
        <f t="shared" si="48"/>
        <v>5.3839410519887915E-2</v>
      </c>
      <c r="AB241" s="7">
        <f t="shared" si="46"/>
        <v>1.2719387287770392</v>
      </c>
      <c r="AC241" s="7">
        <v>2.2648059588308</v>
      </c>
      <c r="AF241" s="7">
        <v>2.9854991286303503</v>
      </c>
    </row>
    <row r="242" spans="1:32" x14ac:dyDescent="0.25">
      <c r="A242" s="6">
        <v>44774</v>
      </c>
      <c r="B242" s="7">
        <v>-4.1657799857286626E-2</v>
      </c>
      <c r="C242" s="7">
        <v>6.062324073068464E-2</v>
      </c>
      <c r="D242" s="7">
        <v>-6.5995677701862043E-2</v>
      </c>
      <c r="E242" s="7">
        <v>-1.0315013568283377E-2</v>
      </c>
      <c r="F242" s="7">
        <v>3.5858619216959159E-3</v>
      </c>
      <c r="G242" s="7">
        <v>-6.3932624235382499E-3</v>
      </c>
      <c r="H242" s="12">
        <v>-1</v>
      </c>
      <c r="I242" s="12">
        <v>1</v>
      </c>
      <c r="J242" s="23">
        <v>-1</v>
      </c>
      <c r="K242" s="23">
        <v>1</v>
      </c>
      <c r="L242" s="9">
        <f t="shared" si="45"/>
        <v>0</v>
      </c>
      <c r="M242" s="9">
        <f t="shared" si="38"/>
        <v>6.5995677701862043E-2</v>
      </c>
      <c r="N242" s="9">
        <f t="shared" si="39"/>
        <v>0</v>
      </c>
      <c r="O242" s="9">
        <f t="shared" si="40"/>
        <v>-1.0315013568283377E-2</v>
      </c>
      <c r="P242" s="9">
        <f t="shared" si="41"/>
        <v>3.5858619216959159E-3</v>
      </c>
      <c r="Q242" s="9">
        <f t="shared" si="42"/>
        <v>0</v>
      </c>
      <c r="R242" s="9">
        <f t="shared" si="43"/>
        <v>-3.5858619216959159E-3</v>
      </c>
      <c r="S242" s="9">
        <f t="shared" si="44"/>
        <v>0</v>
      </c>
      <c r="T242" s="10">
        <f t="shared" si="49"/>
        <v>0.75517346395038687</v>
      </c>
      <c r="U242" s="10">
        <f t="shared" si="49"/>
        <v>0.16143391700793319</v>
      </c>
      <c r="V242" s="10">
        <f t="shared" si="49"/>
        <v>-0.30788294358085805</v>
      </c>
      <c r="W242" s="10">
        <f t="shared" si="48"/>
        <v>0.71889495553315486</v>
      </c>
      <c r="X242" s="10">
        <f t="shared" si="48"/>
        <v>0.77897289285483351</v>
      </c>
      <c r="Y242" s="10">
        <f t="shared" si="48"/>
        <v>-5.3839410519887915E-2</v>
      </c>
      <c r="Z242" s="10">
        <f t="shared" si="48"/>
        <v>-0.77897289285483351</v>
      </c>
      <c r="AA242" s="10">
        <f t="shared" si="48"/>
        <v>5.3839410519887915E-2</v>
      </c>
      <c r="AB242" s="7">
        <f t="shared" si="46"/>
        <v>1.3276193929106179</v>
      </c>
      <c r="AC242" s="7">
        <v>2.2248208031284382</v>
      </c>
      <c r="AF242" s="7">
        <v>3.0511589171091633</v>
      </c>
    </row>
    <row r="243" spans="1:32" x14ac:dyDescent="0.25">
      <c r="A243" s="6">
        <v>44805</v>
      </c>
      <c r="B243" s="7">
        <v>-9.7002169996013396E-2</v>
      </c>
      <c r="C243" s="7">
        <v>8.3886388646190434E-3</v>
      </c>
      <c r="D243" s="7">
        <v>-4.6603959657814595E-2</v>
      </c>
      <c r="E243" s="7">
        <v>-2.7153218540924524E-2</v>
      </c>
      <c r="F243" s="7">
        <v>1.3072733488800007E-2</v>
      </c>
      <c r="G243" s="7">
        <v>-3.2535810818751787E-2</v>
      </c>
      <c r="H243" s="12">
        <v>-1</v>
      </c>
      <c r="I243" s="12">
        <v>1</v>
      </c>
      <c r="J243" s="23">
        <v>-1</v>
      </c>
      <c r="K243" s="23">
        <v>1</v>
      </c>
      <c r="L243" s="9">
        <f t="shared" si="45"/>
        <v>0</v>
      </c>
      <c r="M243" s="9">
        <f t="shared" si="38"/>
        <v>4.6603959657814595E-2</v>
      </c>
      <c r="N243" s="9">
        <f t="shared" si="39"/>
        <v>0</v>
      </c>
      <c r="O243" s="9">
        <f t="shared" si="40"/>
        <v>-2.7153218540924524E-2</v>
      </c>
      <c r="P243" s="9">
        <f t="shared" si="41"/>
        <v>1.3072733488800007E-2</v>
      </c>
      <c r="Q243" s="9">
        <f t="shared" si="42"/>
        <v>0</v>
      </c>
      <c r="R243" s="9">
        <f t="shared" si="43"/>
        <v>-1.3072733488800007E-2</v>
      </c>
      <c r="S243" s="9">
        <f t="shared" si="44"/>
        <v>0</v>
      </c>
      <c r="T243" s="10">
        <f t="shared" si="49"/>
        <v>0.75517346395038687</v>
      </c>
      <c r="U243" s="10">
        <f t="shared" si="49"/>
        <v>0.2080378766657478</v>
      </c>
      <c r="V243" s="10">
        <f t="shared" si="49"/>
        <v>-0.30788294358085805</v>
      </c>
      <c r="W243" s="10">
        <f t="shared" si="48"/>
        <v>0.69174173699223029</v>
      </c>
      <c r="X243" s="10">
        <f t="shared" si="48"/>
        <v>0.79204562634363351</v>
      </c>
      <c r="Y243" s="10">
        <f t="shared" si="48"/>
        <v>-5.3839410519887915E-2</v>
      </c>
      <c r="Z243" s="10">
        <f t="shared" si="48"/>
        <v>-0.79204562634363351</v>
      </c>
      <c r="AA243" s="10">
        <f t="shared" si="48"/>
        <v>5.3839410519887915E-2</v>
      </c>
      <c r="AB243" s="7">
        <f t="shared" si="46"/>
        <v>1.347070134027508</v>
      </c>
      <c r="AC243" s="7">
        <v>2.130332819430893</v>
      </c>
      <c r="AF243" s="7">
        <v>3.1162182025336054</v>
      </c>
    </row>
    <row r="244" spans="1:32" x14ac:dyDescent="0.25">
      <c r="A244" s="6">
        <v>44835</v>
      </c>
      <c r="B244" s="7">
        <v>7.8141380151404344E-2</v>
      </c>
      <c r="C244" s="7">
        <v>0.13935565166982827</v>
      </c>
      <c r="D244" s="7">
        <v>3.1350248517966972E-2</v>
      </c>
      <c r="E244" s="7">
        <v>3.1067135403424123E-2</v>
      </c>
      <c r="F244" s="7">
        <v>1.5584465585531511E-2</v>
      </c>
      <c r="G244" s="7">
        <v>-1.1968878114308447E-2</v>
      </c>
      <c r="H244" s="12">
        <v>-1</v>
      </c>
      <c r="I244" s="12">
        <v>1</v>
      </c>
      <c r="J244" s="23">
        <v>-1</v>
      </c>
      <c r="K244" s="23">
        <v>1</v>
      </c>
      <c r="L244" s="9">
        <f t="shared" si="45"/>
        <v>0</v>
      </c>
      <c r="M244" s="9">
        <f t="shared" si="38"/>
        <v>-3.1350248517966972E-2</v>
      </c>
      <c r="N244" s="9">
        <f t="shared" si="39"/>
        <v>0</v>
      </c>
      <c r="O244" s="9">
        <f t="shared" si="40"/>
        <v>3.1067135403424123E-2</v>
      </c>
      <c r="P244" s="9">
        <f t="shared" si="41"/>
        <v>1.5584465585531511E-2</v>
      </c>
      <c r="Q244" s="9">
        <f t="shared" si="42"/>
        <v>0</v>
      </c>
      <c r="R244" s="9">
        <f t="shared" si="43"/>
        <v>-1.5584465585531511E-2</v>
      </c>
      <c r="S244" s="9">
        <f t="shared" si="44"/>
        <v>0</v>
      </c>
      <c r="T244" s="10">
        <f t="shared" si="49"/>
        <v>0.75517346395038687</v>
      </c>
      <c r="U244" s="10">
        <f t="shared" si="49"/>
        <v>0.17668762814778083</v>
      </c>
      <c r="V244" s="10">
        <f t="shared" si="49"/>
        <v>-0.30788294358085805</v>
      </c>
      <c r="W244" s="10">
        <f t="shared" si="48"/>
        <v>0.72280887239565439</v>
      </c>
      <c r="X244" s="10">
        <f t="shared" si="48"/>
        <v>0.80763009192916502</v>
      </c>
      <c r="Y244" s="10">
        <f t="shared" si="48"/>
        <v>-5.3839410519887915E-2</v>
      </c>
      <c r="Z244" s="10">
        <f t="shared" si="48"/>
        <v>-0.80763009192916502</v>
      </c>
      <c r="AA244" s="10">
        <f t="shared" si="48"/>
        <v>5.3839410519887915E-2</v>
      </c>
      <c r="AB244" s="7">
        <f t="shared" si="46"/>
        <v>1.3467870209129651</v>
      </c>
      <c r="AC244" s="7">
        <v>2.2116928364247199</v>
      </c>
      <c r="AF244" s="7">
        <v>3.1434884331189026</v>
      </c>
    </row>
    <row r="245" spans="1:32" x14ac:dyDescent="0.25">
      <c r="A245" s="6">
        <v>44866</v>
      </c>
      <c r="B245" s="7">
        <v>5.4101386552727962E-2</v>
      </c>
      <c r="C245" s="7">
        <v>-2.1269418729255508E-2</v>
      </c>
      <c r="D245" s="7">
        <v>3.2635390949806997E-2</v>
      </c>
      <c r="E245" s="7">
        <v>2.6334171503575893E-2</v>
      </c>
      <c r="F245" s="7">
        <v>-1.6341383721180588E-2</v>
      </c>
      <c r="G245" s="7">
        <v>-2.7428896165786927E-2</v>
      </c>
      <c r="H245" s="12">
        <v>1</v>
      </c>
      <c r="I245" s="12">
        <v>1</v>
      </c>
      <c r="J245" s="23">
        <v>1</v>
      </c>
      <c r="K245" s="23">
        <v>1</v>
      </c>
      <c r="L245" s="9">
        <f t="shared" si="45"/>
        <v>3.2635390949806997E-2</v>
      </c>
      <c r="M245" s="9">
        <f t="shared" si="38"/>
        <v>0</v>
      </c>
      <c r="N245" s="9">
        <f t="shared" si="39"/>
        <v>-2.6334171503575893E-2</v>
      </c>
      <c r="O245" s="9">
        <f t="shared" si="40"/>
        <v>0</v>
      </c>
      <c r="P245" s="9">
        <f t="shared" si="41"/>
        <v>-1.6341383721180588E-2</v>
      </c>
      <c r="Q245" s="9">
        <f t="shared" si="42"/>
        <v>0</v>
      </c>
      <c r="R245" s="9">
        <f t="shared" si="43"/>
        <v>1.6341383721180588E-2</v>
      </c>
      <c r="S245" s="9">
        <f t="shared" si="44"/>
        <v>0</v>
      </c>
      <c r="T245" s="10">
        <f t="shared" si="49"/>
        <v>0.78780885490019381</v>
      </c>
      <c r="U245" s="10">
        <f t="shared" si="49"/>
        <v>0.17668762814778083</v>
      </c>
      <c r="V245" s="10">
        <f t="shared" si="49"/>
        <v>-0.33421711508443397</v>
      </c>
      <c r="W245" s="10">
        <f t="shared" si="48"/>
        <v>0.72280887239565439</v>
      </c>
      <c r="X245" s="10">
        <f t="shared" si="48"/>
        <v>0.79128870820798447</v>
      </c>
      <c r="Y245" s="10">
        <f t="shared" si="48"/>
        <v>-5.3839410519887915E-2</v>
      </c>
      <c r="Z245" s="10">
        <f t="shared" si="48"/>
        <v>-0.79128870820798447</v>
      </c>
      <c r="AA245" s="10">
        <f t="shared" si="48"/>
        <v>5.3839410519887915E-2</v>
      </c>
      <c r="AB245" s="7">
        <f t="shared" si="46"/>
        <v>1.3530882403591962</v>
      </c>
      <c r="AC245" s="7">
        <v>2.2689075080125618</v>
      </c>
      <c r="AF245" s="7">
        <v>3.1608771650097398</v>
      </c>
    </row>
    <row r="246" spans="1:32" x14ac:dyDescent="0.25">
      <c r="A246" s="6">
        <v>44896</v>
      </c>
      <c r="B246" s="7">
        <v>-5.9355424807020774E-2</v>
      </c>
      <c r="C246" s="7">
        <v>-6.3660020850272947E-2</v>
      </c>
      <c r="D246" s="7">
        <v>-9.8873564368634689E-3</v>
      </c>
      <c r="E246" s="7">
        <v>-4.0741727636447671E-2</v>
      </c>
      <c r="F246" s="7">
        <v>-3.6265950376248794E-2</v>
      </c>
      <c r="G246" s="7">
        <v>6.592438389733847E-2</v>
      </c>
      <c r="H246" s="12">
        <v>1</v>
      </c>
      <c r="I246" s="12">
        <v>-1</v>
      </c>
      <c r="J246" s="23">
        <v>1</v>
      </c>
      <c r="K246" s="23">
        <v>-1</v>
      </c>
      <c r="L246" s="9">
        <f t="shared" si="45"/>
        <v>-9.8873564368634689E-3</v>
      </c>
      <c r="M246" s="9">
        <f t="shared" si="38"/>
        <v>0</v>
      </c>
      <c r="N246" s="9">
        <f t="shared" si="39"/>
        <v>4.0741727636447671E-2</v>
      </c>
      <c r="O246" s="9">
        <f t="shared" si="40"/>
        <v>0</v>
      </c>
      <c r="P246" s="9">
        <f t="shared" si="41"/>
        <v>0</v>
      </c>
      <c r="Q246" s="9">
        <f t="shared" si="42"/>
        <v>3.6265950376248794E-2</v>
      </c>
      <c r="R246" s="9">
        <f t="shared" si="43"/>
        <v>0</v>
      </c>
      <c r="S246" s="9">
        <f t="shared" si="44"/>
        <v>-3.6265950376248794E-2</v>
      </c>
      <c r="T246" s="10">
        <f t="shared" si="49"/>
        <v>0.77792149846333036</v>
      </c>
      <c r="U246" s="10">
        <f t="shared" si="49"/>
        <v>0.17668762814778083</v>
      </c>
      <c r="V246" s="10">
        <f t="shared" si="49"/>
        <v>-0.29347538744798629</v>
      </c>
      <c r="W246" s="10">
        <f t="shared" si="48"/>
        <v>0.72280887239565439</v>
      </c>
      <c r="X246" s="10">
        <f t="shared" si="48"/>
        <v>0.79128870820798447</v>
      </c>
      <c r="Y246" s="10">
        <f t="shared" si="48"/>
        <v>-1.7573460143639121E-2</v>
      </c>
      <c r="Z246" s="10">
        <f t="shared" si="48"/>
        <v>-0.79128870820798447</v>
      </c>
      <c r="AA246" s="10">
        <f t="shared" si="48"/>
        <v>1.7573460143639121E-2</v>
      </c>
      <c r="AB246" s="7">
        <f t="shared" si="46"/>
        <v>1.3839426115587803</v>
      </c>
      <c r="AC246" s="7">
        <v>2.210924455325149</v>
      </c>
      <c r="AF246" s="7">
        <v>3.2939218704829112</v>
      </c>
    </row>
    <row r="247" spans="1:32" x14ac:dyDescent="0.25">
      <c r="A247" s="6">
        <v>44927</v>
      </c>
      <c r="B247" s="7">
        <v>6.0989042987148877E-2</v>
      </c>
      <c r="C247" s="7">
        <v>-2.8703901397100898E-2</v>
      </c>
      <c r="D247" s="7">
        <v>1.5570332348981508E-2</v>
      </c>
      <c r="E247" s="7">
        <v>-4.6658610633868586E-4</v>
      </c>
      <c r="F247" s="7">
        <v>1.4098805850262989E-2</v>
      </c>
      <c r="G247" s="7">
        <v>6.0223087445092256E-2</v>
      </c>
      <c r="H247" s="12">
        <v>1</v>
      </c>
      <c r="I247" s="12">
        <v>-1</v>
      </c>
      <c r="J247" s="23">
        <v>1</v>
      </c>
      <c r="K247" s="23">
        <v>-1</v>
      </c>
      <c r="L247" s="9">
        <f t="shared" si="45"/>
        <v>1.5570332348981508E-2</v>
      </c>
      <c r="M247" s="9">
        <f t="shared" si="38"/>
        <v>0</v>
      </c>
      <c r="N247" s="9">
        <f t="shared" si="39"/>
        <v>4.6658610633868586E-4</v>
      </c>
      <c r="O247" s="9">
        <f t="shared" si="40"/>
        <v>0</v>
      </c>
      <c r="P247" s="9">
        <f t="shared" si="41"/>
        <v>0</v>
      </c>
      <c r="Q247" s="9">
        <f t="shared" si="42"/>
        <v>-1.4098805850262989E-2</v>
      </c>
      <c r="R247" s="9">
        <f t="shared" si="43"/>
        <v>0</v>
      </c>
      <c r="S247" s="9">
        <f t="shared" si="44"/>
        <v>1.4098805850262989E-2</v>
      </c>
      <c r="T247" s="10">
        <f t="shared" si="49"/>
        <v>0.79349183081231189</v>
      </c>
      <c r="U247" s="10">
        <f t="shared" si="49"/>
        <v>0.17668762814778083</v>
      </c>
      <c r="V247" s="10">
        <f t="shared" si="49"/>
        <v>-0.29300880134164758</v>
      </c>
      <c r="W247" s="10">
        <f t="shared" si="48"/>
        <v>0.72280887239565439</v>
      </c>
      <c r="X247" s="10">
        <f t="shared" si="48"/>
        <v>0.79128870820798447</v>
      </c>
      <c r="Y247" s="10">
        <f t="shared" si="48"/>
        <v>-3.1672265993902111E-2</v>
      </c>
      <c r="Z247" s="10">
        <f t="shared" si="48"/>
        <v>-0.79128870820798447</v>
      </c>
      <c r="AA247" s="10">
        <f t="shared" si="48"/>
        <v>3.1672265993902111E-2</v>
      </c>
      <c r="AB247" s="7">
        <f t="shared" si="46"/>
        <v>1.3999795300141005</v>
      </c>
      <c r="AC247" s="7">
        <v>2.2730414178856519</v>
      </c>
      <c r="AF247" s="7">
        <v>3.3560830705330607</v>
      </c>
    </row>
    <row r="248" spans="1:32" x14ac:dyDescent="0.25">
      <c r="A248" s="6">
        <v>44958</v>
      </c>
      <c r="B248" s="7">
        <v>-2.5464125557989256E-2</v>
      </c>
      <c r="C248" s="7">
        <v>3.393514641699949E-2</v>
      </c>
      <c r="D248" s="7">
        <v>-5.7373839170864645E-3</v>
      </c>
      <c r="E248" s="7">
        <v>3.9404879804261807E-3</v>
      </c>
      <c r="F248" s="7">
        <v>2.120154946171568E-2</v>
      </c>
      <c r="G248" s="7">
        <v>-1.7315227024552043E-2</v>
      </c>
      <c r="H248" s="12">
        <v>-1</v>
      </c>
      <c r="I248" s="12">
        <v>-1</v>
      </c>
      <c r="J248" s="23">
        <v>-1</v>
      </c>
      <c r="K248" s="23">
        <v>-1</v>
      </c>
      <c r="L248" s="9">
        <f t="shared" si="45"/>
        <v>0</v>
      </c>
      <c r="M248" s="9">
        <f t="shared" si="38"/>
        <v>5.7373839170864645E-3</v>
      </c>
      <c r="N248" s="9">
        <f t="shared" si="39"/>
        <v>0</v>
      </c>
      <c r="O248" s="9">
        <f t="shared" si="40"/>
        <v>3.9404879804261807E-3</v>
      </c>
      <c r="P248" s="9">
        <f t="shared" si="41"/>
        <v>0</v>
      </c>
      <c r="Q248" s="9">
        <f t="shared" si="42"/>
        <v>-2.120154946171568E-2</v>
      </c>
      <c r="R248" s="9">
        <f t="shared" si="43"/>
        <v>0</v>
      </c>
      <c r="S248" s="9">
        <f t="shared" si="44"/>
        <v>2.120154946171568E-2</v>
      </c>
      <c r="T248" s="10">
        <f t="shared" si="49"/>
        <v>0.79349183081231189</v>
      </c>
      <c r="U248" s="10">
        <f t="shared" si="49"/>
        <v>0.1824250120648673</v>
      </c>
      <c r="V248" s="10">
        <f t="shared" si="49"/>
        <v>-0.29300880134164758</v>
      </c>
      <c r="W248" s="10">
        <f t="shared" si="48"/>
        <v>0.72674936037608062</v>
      </c>
      <c r="X248" s="10">
        <f t="shared" si="48"/>
        <v>0.79128870820798447</v>
      </c>
      <c r="Y248" s="10">
        <f t="shared" si="48"/>
        <v>-5.2873815455617791E-2</v>
      </c>
      <c r="Z248" s="10">
        <f t="shared" si="48"/>
        <v>-0.79128870820798447</v>
      </c>
      <c r="AA248" s="10">
        <f t="shared" si="48"/>
        <v>5.2873815455617791E-2</v>
      </c>
      <c r="AB248" s="7">
        <f t="shared" si="46"/>
        <v>1.409657401911613</v>
      </c>
      <c r="AC248" s="7">
        <v>2.2484610918470529</v>
      </c>
      <c r="AF248" s="7">
        <v>3.3272441659443057</v>
      </c>
    </row>
    <row r="249" spans="1:32" x14ac:dyDescent="0.25">
      <c r="A249" s="6">
        <v>44986</v>
      </c>
      <c r="B249" s="7">
        <v>3.640694729499569E-2</v>
      </c>
      <c r="C249" s="7">
        <v>-2.3821380612611725E-2</v>
      </c>
      <c r="D249" s="7">
        <v>2.5932478440488804E-2</v>
      </c>
      <c r="E249" s="7">
        <v>1.296305279039766E-2</v>
      </c>
      <c r="F249" s="7">
        <v>5.0595579084371876E-3</v>
      </c>
      <c r="G249" s="7">
        <v>2.5590878126626132E-3</v>
      </c>
      <c r="H249" s="12">
        <v>1</v>
      </c>
      <c r="I249" s="12">
        <v>1</v>
      </c>
      <c r="J249" s="23">
        <v>1</v>
      </c>
      <c r="K249" s="23">
        <v>1</v>
      </c>
      <c r="L249" s="9">
        <f t="shared" si="45"/>
        <v>2.5932478440488804E-2</v>
      </c>
      <c r="M249" s="9">
        <f t="shared" si="38"/>
        <v>0</v>
      </c>
      <c r="N249" s="9">
        <f t="shared" si="39"/>
        <v>-1.296305279039766E-2</v>
      </c>
      <c r="O249" s="9">
        <f t="shared" si="40"/>
        <v>0</v>
      </c>
      <c r="P249" s="9">
        <f t="shared" si="41"/>
        <v>5.0595579084371876E-3</v>
      </c>
      <c r="Q249" s="9">
        <f t="shared" si="42"/>
        <v>0</v>
      </c>
      <c r="R249" s="9">
        <f t="shared" si="43"/>
        <v>-5.0595579084371876E-3</v>
      </c>
      <c r="S249" s="9">
        <f t="shared" si="44"/>
        <v>0</v>
      </c>
      <c r="T249" s="10">
        <f t="shared" si="49"/>
        <v>0.81942430925280074</v>
      </c>
      <c r="U249" s="10">
        <f t="shared" si="49"/>
        <v>0.1824250120648673</v>
      </c>
      <c r="V249" s="10">
        <f t="shared" si="49"/>
        <v>-0.30597185413204525</v>
      </c>
      <c r="W249" s="10">
        <f t="shared" si="48"/>
        <v>0.72674936037608062</v>
      </c>
      <c r="X249" s="10">
        <f t="shared" si="48"/>
        <v>0.79634826611642162</v>
      </c>
      <c r="Y249" s="10">
        <f t="shared" si="48"/>
        <v>-5.2873815455617791E-2</v>
      </c>
      <c r="Z249" s="10">
        <f t="shared" si="48"/>
        <v>-0.79634826611642162</v>
      </c>
      <c r="AA249" s="10">
        <f t="shared" si="48"/>
        <v>5.2873815455617791E-2</v>
      </c>
      <c r="AB249" s="7">
        <f t="shared" si="46"/>
        <v>1.4226268275617042</v>
      </c>
      <c r="AC249" s="7">
        <v>2.2863349306304541</v>
      </c>
      <c r="AF249" s="7">
        <v>3.3427140616901716</v>
      </c>
    </row>
    <row r="250" spans="1:32" x14ac:dyDescent="0.25">
      <c r="A250" s="6">
        <v>45017</v>
      </c>
      <c r="B250" s="7">
        <v>1.58486521482058E-2</v>
      </c>
      <c r="C250" s="7">
        <v>1.4416909340226054E-2</v>
      </c>
      <c r="D250" s="7">
        <v>7.9656680460839097E-3</v>
      </c>
      <c r="E250" s="7">
        <v>9.9117768762516031E-3</v>
      </c>
      <c r="F250" s="7">
        <v>5.3723531069235515E-4</v>
      </c>
      <c r="G250" s="7">
        <v>6.3793332121780538E-3</v>
      </c>
      <c r="H250" s="12">
        <v>-1</v>
      </c>
      <c r="I250" s="12">
        <v>-1</v>
      </c>
      <c r="J250" s="23">
        <v>-1</v>
      </c>
      <c r="K250" s="23">
        <v>-1</v>
      </c>
      <c r="L250" s="9">
        <f t="shared" si="45"/>
        <v>0</v>
      </c>
      <c r="M250" s="9">
        <f t="shared" si="38"/>
        <v>-7.9656680460839097E-3</v>
      </c>
      <c r="N250" s="9">
        <f t="shared" si="39"/>
        <v>0</v>
      </c>
      <c r="O250" s="9">
        <f t="shared" si="40"/>
        <v>9.9117768762516031E-3</v>
      </c>
      <c r="P250" s="9">
        <f t="shared" si="41"/>
        <v>0</v>
      </c>
      <c r="Q250" s="9">
        <f t="shared" si="42"/>
        <v>-5.3723531069235515E-4</v>
      </c>
      <c r="R250" s="9">
        <f t="shared" si="43"/>
        <v>0</v>
      </c>
      <c r="S250" s="9">
        <f t="shared" si="44"/>
        <v>5.3723531069235515E-4</v>
      </c>
      <c r="T250" s="10">
        <f t="shared" si="49"/>
        <v>0.81942430925280074</v>
      </c>
      <c r="U250" s="10">
        <f t="shared" si="49"/>
        <v>0.17445934401878338</v>
      </c>
      <c r="V250" s="10">
        <f t="shared" si="49"/>
        <v>-0.30597185413204525</v>
      </c>
      <c r="W250" s="10">
        <f t="shared" si="48"/>
        <v>0.73666113725233218</v>
      </c>
      <c r="X250" s="10">
        <f t="shared" si="48"/>
        <v>0.79634826611642162</v>
      </c>
      <c r="Y250" s="10">
        <f t="shared" si="48"/>
        <v>-5.3411050766310149E-2</v>
      </c>
      <c r="Z250" s="10">
        <f t="shared" si="48"/>
        <v>-0.79634826611642162</v>
      </c>
      <c r="AA250" s="10">
        <f t="shared" si="48"/>
        <v>5.3411050766310149E-2</v>
      </c>
      <c r="AB250" s="7">
        <f t="shared" si="46"/>
        <v>1.424572936391872</v>
      </c>
      <c r="AC250" s="7">
        <v>2.302707483901385</v>
      </c>
      <c r="AF250" s="7">
        <v>3.3505022684218249</v>
      </c>
    </row>
    <row r="251" spans="1:32" x14ac:dyDescent="0.25">
      <c r="A251" s="6">
        <v>45047</v>
      </c>
      <c r="B251" s="7">
        <v>4.6056456231339778E-3</v>
      </c>
      <c r="C251" s="7">
        <v>5.558518579025535E-2</v>
      </c>
      <c r="D251" s="7">
        <v>-1.8409776175125152E-3</v>
      </c>
      <c r="E251" s="7">
        <v>1.8521673682312632E-2</v>
      </c>
      <c r="F251" s="7">
        <v>-7.9656680460839582E-3</v>
      </c>
      <c r="G251" s="7">
        <v>-1.233665227295235E-2</v>
      </c>
      <c r="H251" s="12">
        <v>-1</v>
      </c>
      <c r="I251" s="12">
        <v>1</v>
      </c>
      <c r="J251" s="23">
        <v>-1</v>
      </c>
      <c r="K251" s="23">
        <v>1</v>
      </c>
      <c r="L251" s="9">
        <f t="shared" si="45"/>
        <v>0</v>
      </c>
      <c r="M251" s="9">
        <f t="shared" si="38"/>
        <v>1.8409776175125152E-3</v>
      </c>
      <c r="N251" s="9">
        <f t="shared" si="39"/>
        <v>0</v>
      </c>
      <c r="O251" s="9">
        <f t="shared" si="40"/>
        <v>1.8521673682312632E-2</v>
      </c>
      <c r="P251" s="9">
        <f t="shared" si="41"/>
        <v>-7.9656680460839582E-3</v>
      </c>
      <c r="Q251" s="9">
        <f t="shared" si="42"/>
        <v>0</v>
      </c>
      <c r="R251" s="9">
        <f t="shared" si="43"/>
        <v>7.9656680460839582E-3</v>
      </c>
      <c r="S251" s="9">
        <f t="shared" si="44"/>
        <v>0</v>
      </c>
      <c r="T251" s="10">
        <f t="shared" si="49"/>
        <v>0.81942430925280074</v>
      </c>
      <c r="U251" s="10">
        <f t="shared" si="49"/>
        <v>0.17630032163629589</v>
      </c>
      <c r="V251" s="10">
        <f t="shared" si="49"/>
        <v>-0.30597185413204525</v>
      </c>
      <c r="W251" s="10">
        <f t="shared" si="48"/>
        <v>0.75518281093464479</v>
      </c>
      <c r="X251" s="10">
        <f t="shared" si="48"/>
        <v>0.78838259807033761</v>
      </c>
      <c r="Y251" s="10">
        <f t="shared" si="48"/>
        <v>-5.3411050766310149E-2</v>
      </c>
      <c r="Z251" s="10">
        <f t="shared" si="48"/>
        <v>-0.78838259807033761</v>
      </c>
      <c r="AA251" s="10">
        <f t="shared" si="48"/>
        <v>5.3411050766310149E-2</v>
      </c>
      <c r="AB251" s="7">
        <f t="shared" si="46"/>
        <v>1.4449355876916972</v>
      </c>
      <c r="AC251" s="7">
        <v>2.307992643727768</v>
      </c>
      <c r="AF251" s="7">
        <v>3.3752359039485182</v>
      </c>
    </row>
    <row r="252" spans="1:32" x14ac:dyDescent="0.25">
      <c r="A252" s="6">
        <v>45078</v>
      </c>
      <c r="B252" s="7">
        <v>6.2786786809685191E-2</v>
      </c>
      <c r="C252" s="7">
        <v>5.1366834277172271E-2</v>
      </c>
      <c r="D252" s="7">
        <v>1.539028211431351E-2</v>
      </c>
      <c r="E252" s="7">
        <v>6.1389511311554651E-3</v>
      </c>
      <c r="F252" s="7">
        <v>2.0607024806775186E-2</v>
      </c>
      <c r="G252" s="7">
        <v>-1.8046065467901554E-2</v>
      </c>
      <c r="H252" s="12">
        <v>-1</v>
      </c>
      <c r="I252" s="12">
        <v>1</v>
      </c>
      <c r="J252" s="23">
        <v>-1</v>
      </c>
      <c r="K252" s="23">
        <v>1</v>
      </c>
      <c r="L252" s="9">
        <f t="shared" si="45"/>
        <v>0</v>
      </c>
      <c r="M252" s="9">
        <f t="shared" si="38"/>
        <v>-1.539028211431351E-2</v>
      </c>
      <c r="N252" s="9">
        <f t="shared" si="39"/>
        <v>0</v>
      </c>
      <c r="O252" s="9">
        <f t="shared" si="40"/>
        <v>6.1389511311554651E-3</v>
      </c>
      <c r="P252" s="9">
        <f t="shared" si="41"/>
        <v>2.0607024806775186E-2</v>
      </c>
      <c r="Q252" s="9">
        <f t="shared" si="42"/>
        <v>0</v>
      </c>
      <c r="R252" s="9">
        <f t="shared" si="43"/>
        <v>-2.0607024806775186E-2</v>
      </c>
      <c r="S252" s="9">
        <f t="shared" si="44"/>
        <v>0</v>
      </c>
      <c r="T252" s="10">
        <f t="shared" si="49"/>
        <v>0.81942430925280074</v>
      </c>
      <c r="U252" s="10">
        <f t="shared" si="49"/>
        <v>0.16091003952198238</v>
      </c>
      <c r="V252" s="10">
        <f t="shared" si="49"/>
        <v>-0.30597185413204525</v>
      </c>
      <c r="W252" s="10">
        <f t="shared" si="48"/>
        <v>0.76132176206580027</v>
      </c>
      <c r="X252" s="10">
        <f t="shared" si="48"/>
        <v>0.80898962287711285</v>
      </c>
      <c r="Y252" s="10">
        <f t="shared" si="48"/>
        <v>-5.3411050766310149E-2</v>
      </c>
      <c r="Z252" s="10">
        <f t="shared" si="48"/>
        <v>-0.80898962287711285</v>
      </c>
      <c r="AA252" s="10">
        <f t="shared" si="48"/>
        <v>5.3411050766310149E-2</v>
      </c>
      <c r="AB252" s="7">
        <f t="shared" si="46"/>
        <v>1.4356842567085391</v>
      </c>
      <c r="AC252" s="7">
        <v>2.3713100896199482</v>
      </c>
      <c r="AF252" s="7">
        <v>3.4046376632400368</v>
      </c>
    </row>
    <row r="253" spans="1:32" x14ac:dyDescent="0.25">
      <c r="A253" s="6">
        <v>45108</v>
      </c>
      <c r="B253" s="7">
        <v>3.2209042036108075E-2</v>
      </c>
      <c r="C253" s="7">
        <v>3.7099351628328815E-2</v>
      </c>
      <c r="D253" s="7">
        <v>7.8730585470919226E-3</v>
      </c>
      <c r="E253" s="7">
        <v>-1.3008261248185188E-2</v>
      </c>
      <c r="F253" s="7">
        <v>-8.1998711954159188E-3</v>
      </c>
      <c r="G253" s="7">
        <v>-3.4203228368274614E-2</v>
      </c>
      <c r="H253" s="12">
        <v>-1</v>
      </c>
      <c r="I253" s="12">
        <v>1</v>
      </c>
      <c r="J253" s="23">
        <v>-1</v>
      </c>
      <c r="K253" s="23">
        <v>1</v>
      </c>
      <c r="L253" s="9">
        <f t="shared" si="45"/>
        <v>0</v>
      </c>
      <c r="M253" s="9">
        <f t="shared" si="38"/>
        <v>-7.8730585470919226E-3</v>
      </c>
      <c r="N253" s="9">
        <f t="shared" si="39"/>
        <v>0</v>
      </c>
      <c r="O253" s="9">
        <f t="shared" si="40"/>
        <v>-1.3008261248185188E-2</v>
      </c>
      <c r="P253" s="9">
        <f t="shared" si="41"/>
        <v>-8.1998711954159188E-3</v>
      </c>
      <c r="Q253" s="9">
        <f t="shared" si="42"/>
        <v>0</v>
      </c>
      <c r="R253" s="9">
        <f t="shared" si="43"/>
        <v>8.1998711954159188E-3</v>
      </c>
      <c r="S253" s="9">
        <f t="shared" si="44"/>
        <v>0</v>
      </c>
      <c r="T253" s="10">
        <f t="shared" si="49"/>
        <v>0.81942430925280074</v>
      </c>
      <c r="U253" s="10">
        <f t="shared" si="49"/>
        <v>0.15303698097489046</v>
      </c>
      <c r="V253" s="10">
        <f t="shared" si="49"/>
        <v>-0.30597185413204525</v>
      </c>
      <c r="W253" s="10">
        <f t="shared" si="48"/>
        <v>0.74831350081761505</v>
      </c>
      <c r="X253" s="10">
        <f t="shared" si="48"/>
        <v>0.80078975168169697</v>
      </c>
      <c r="Y253" s="10">
        <f t="shared" si="48"/>
        <v>-5.3411050766310149E-2</v>
      </c>
      <c r="Z253" s="10">
        <f t="shared" si="48"/>
        <v>-0.80078975168169697</v>
      </c>
      <c r="AA253" s="10">
        <f t="shared" si="48"/>
        <v>5.3411050766310149E-2</v>
      </c>
      <c r="AB253" s="7">
        <f t="shared" si="46"/>
        <v>1.414802936913262</v>
      </c>
      <c r="AC253" s="7">
        <v>2.403785093581412</v>
      </c>
      <c r="AF253" s="7">
        <v>3.4097597006176183</v>
      </c>
    </row>
    <row r="254" spans="1:32" x14ac:dyDescent="0.25">
      <c r="A254" s="6">
        <v>45139</v>
      </c>
      <c r="B254" s="7">
        <v>-1.6385701417559566E-2</v>
      </c>
      <c r="C254" s="7">
        <v>3.4355888593008435E-2</v>
      </c>
      <c r="D254" s="7">
        <v>2.4751390414202261E-2</v>
      </c>
      <c r="E254" s="7">
        <v>4.3567907116918693E-2</v>
      </c>
      <c r="F254" s="7">
        <v>-1.5586547649061687E-2</v>
      </c>
      <c r="G254" s="7">
        <v>-4.2954270293844576E-2</v>
      </c>
      <c r="H254" s="12">
        <v>-1</v>
      </c>
      <c r="I254" s="12">
        <v>1</v>
      </c>
      <c r="J254" s="23">
        <v>-1</v>
      </c>
      <c r="K254" s="23">
        <v>1</v>
      </c>
      <c r="L254" s="9">
        <f t="shared" si="45"/>
        <v>0</v>
      </c>
      <c r="M254" s="9">
        <f t="shared" si="38"/>
        <v>-2.4751390414202261E-2</v>
      </c>
      <c r="N254" s="9">
        <f t="shared" si="39"/>
        <v>0</v>
      </c>
      <c r="O254" s="9">
        <f t="shared" si="40"/>
        <v>4.3567907116918693E-2</v>
      </c>
      <c r="P254" s="9">
        <f t="shared" si="41"/>
        <v>-1.5586547649061687E-2</v>
      </c>
      <c r="Q254" s="9">
        <f t="shared" si="42"/>
        <v>0</v>
      </c>
      <c r="R254" s="9">
        <f t="shared" si="43"/>
        <v>1.5586547649061687E-2</v>
      </c>
      <c r="S254" s="9">
        <f t="shared" si="44"/>
        <v>0</v>
      </c>
      <c r="T254" s="10">
        <f t="shared" si="49"/>
        <v>0.81942430925280074</v>
      </c>
      <c r="U254" s="10">
        <f t="shared" si="49"/>
        <v>0.1282855905606882</v>
      </c>
      <c r="V254" s="10">
        <f t="shared" si="49"/>
        <v>-0.30597185413204525</v>
      </c>
      <c r="W254" s="10">
        <f t="shared" si="48"/>
        <v>0.79188140793453377</v>
      </c>
      <c r="X254" s="10">
        <f t="shared" si="48"/>
        <v>0.78520320403263533</v>
      </c>
      <c r="Y254" s="10">
        <f t="shared" si="48"/>
        <v>-5.3411050766310149E-2</v>
      </c>
      <c r="Z254" s="10">
        <f t="shared" si="48"/>
        <v>-0.78520320403263533</v>
      </c>
      <c r="AA254" s="10">
        <f t="shared" si="48"/>
        <v>5.3411050766310149E-2</v>
      </c>
      <c r="AB254" s="7">
        <f t="shared" si="46"/>
        <v>1.4336194536159783</v>
      </c>
      <c r="AC254" s="7">
        <v>2.3880666592149469</v>
      </c>
      <c r="AF254" s="7">
        <v>3.4559439399651177</v>
      </c>
    </row>
    <row r="255" spans="1:32" x14ac:dyDescent="0.25">
      <c r="A255" s="6">
        <v>45170</v>
      </c>
      <c r="B255" s="7">
        <v>-4.8596290544066056E-2</v>
      </c>
      <c r="C255" s="7">
        <v>1.0681884654112257E-2</v>
      </c>
      <c r="D255" s="7">
        <v>-6.8539573097565684E-3</v>
      </c>
      <c r="E255" s="7">
        <v>-3.0426348947618843E-2</v>
      </c>
      <c r="F255" s="7">
        <v>-1.0782916968361523E-2</v>
      </c>
      <c r="G255" s="7">
        <v>-2.0774505230996245E-2</v>
      </c>
      <c r="H255" s="12">
        <v>-1</v>
      </c>
      <c r="I255" s="12">
        <v>1</v>
      </c>
      <c r="J255" s="23">
        <v>-1</v>
      </c>
      <c r="K255" s="23">
        <v>1</v>
      </c>
      <c r="L255" s="9">
        <f t="shared" si="45"/>
        <v>0</v>
      </c>
      <c r="M255" s="9">
        <f t="shared" si="38"/>
        <v>6.8539573097565684E-3</v>
      </c>
      <c r="N255" s="9">
        <f t="shared" si="39"/>
        <v>0</v>
      </c>
      <c r="O255" s="9">
        <f t="shared" si="40"/>
        <v>-3.0426348947618843E-2</v>
      </c>
      <c r="P255" s="9">
        <f t="shared" si="41"/>
        <v>-1.0782916968361523E-2</v>
      </c>
      <c r="Q255" s="9">
        <f t="shared" si="42"/>
        <v>0</v>
      </c>
      <c r="R255" s="9">
        <f t="shared" si="43"/>
        <v>1.0782916968361523E-2</v>
      </c>
      <c r="S255" s="9">
        <f t="shared" si="44"/>
        <v>0</v>
      </c>
      <c r="T255" s="10">
        <f t="shared" si="49"/>
        <v>0.81942430925280074</v>
      </c>
      <c r="U255" s="10">
        <f t="shared" si="49"/>
        <v>0.13513954787044477</v>
      </c>
      <c r="V255" s="10">
        <f t="shared" si="49"/>
        <v>-0.30597185413204525</v>
      </c>
      <c r="W255" s="10">
        <f t="shared" si="48"/>
        <v>0.7614550589869149</v>
      </c>
      <c r="X255" s="10">
        <f t="shared" si="48"/>
        <v>0.77442028706427379</v>
      </c>
      <c r="Y255" s="10">
        <f t="shared" si="48"/>
        <v>-5.3411050766310149E-2</v>
      </c>
      <c r="Z255" s="10">
        <f t="shared" si="48"/>
        <v>-0.77442028706427379</v>
      </c>
      <c r="AA255" s="10">
        <f t="shared" si="48"/>
        <v>5.3411050766310149E-2</v>
      </c>
      <c r="AB255" s="7">
        <f t="shared" si="46"/>
        <v>1.410047061978116</v>
      </c>
      <c r="AC255" s="7">
        <v>2.3399805261025559</v>
      </c>
      <c r="AF255" s="7">
        <v>3.4423631365898903</v>
      </c>
    </row>
    <row r="256" spans="1:32" x14ac:dyDescent="0.25">
      <c r="A256" s="6">
        <v>45200</v>
      </c>
      <c r="B256" s="7">
        <v>-2.1947724150478545E-2</v>
      </c>
      <c r="C256" s="7">
        <v>4.5433788607178741E-2</v>
      </c>
      <c r="D256" s="7">
        <v>-7.1241208321481874E-3</v>
      </c>
      <c r="E256" s="7">
        <v>4.0761703172671072E-3</v>
      </c>
      <c r="F256" s="7">
        <v>4.8073716103814489E-3</v>
      </c>
      <c r="G256" s="7">
        <v>-4.1807514329919145E-2</v>
      </c>
      <c r="H256" s="12">
        <v>-1</v>
      </c>
      <c r="I256" s="12">
        <v>1</v>
      </c>
      <c r="J256" s="23">
        <v>-1</v>
      </c>
      <c r="K256" s="23">
        <v>1</v>
      </c>
      <c r="L256" s="9">
        <f t="shared" si="45"/>
        <v>0</v>
      </c>
      <c r="M256" s="9">
        <f t="shared" si="38"/>
        <v>7.1241208321481874E-3</v>
      </c>
      <c r="N256" s="9">
        <f t="shared" si="39"/>
        <v>0</v>
      </c>
      <c r="O256" s="9">
        <f t="shared" si="40"/>
        <v>4.0761703172671072E-3</v>
      </c>
      <c r="P256" s="9">
        <f t="shared" si="41"/>
        <v>4.8073716103814489E-3</v>
      </c>
      <c r="Q256" s="9">
        <f t="shared" si="42"/>
        <v>0</v>
      </c>
      <c r="R256" s="9">
        <f t="shared" si="43"/>
        <v>-4.8073716103814489E-3</v>
      </c>
      <c r="S256" s="9">
        <f t="shared" si="44"/>
        <v>0</v>
      </c>
      <c r="T256" s="10">
        <f t="shared" si="49"/>
        <v>0.81942430925280074</v>
      </c>
      <c r="U256" s="10">
        <f t="shared" si="49"/>
        <v>0.14226366870259297</v>
      </c>
      <c r="V256" s="10">
        <f t="shared" si="49"/>
        <v>-0.30597185413204525</v>
      </c>
      <c r="W256" s="10">
        <f t="shared" si="48"/>
        <v>0.76553122930418205</v>
      </c>
      <c r="X256" s="10">
        <f t="shared" si="48"/>
        <v>0.77922765867465527</v>
      </c>
      <c r="Y256" s="10">
        <f t="shared" si="48"/>
        <v>-5.3411050766310149E-2</v>
      </c>
      <c r="Z256" s="10">
        <f t="shared" si="48"/>
        <v>-0.77922765867465527</v>
      </c>
      <c r="AA256" s="10">
        <f t="shared" si="48"/>
        <v>5.3411050766310149E-2</v>
      </c>
      <c r="AB256" s="7">
        <f t="shared" si="46"/>
        <v>1.4212473531275314</v>
      </c>
      <c r="AC256" s="7">
        <v>2.318859445155383</v>
      </c>
      <c r="AF256" s="7">
        <v>3.5001783136796063</v>
      </c>
    </row>
    <row r="257" spans="1:32" x14ac:dyDescent="0.25">
      <c r="A257" s="6">
        <v>45231</v>
      </c>
      <c r="B257" s="7">
        <v>8.7409824483363888E-2</v>
      </c>
      <c r="C257" s="7">
        <v>-2.9977367869131852E-3</v>
      </c>
      <c r="D257" s="7">
        <v>6.8817742481404858E-3</v>
      </c>
      <c r="E257" s="7">
        <v>1.1092712032213549E-2</v>
      </c>
      <c r="F257" s="7">
        <v>4.3813207279914342E-2</v>
      </c>
      <c r="G257" s="7">
        <v>5.5642173558489175E-2</v>
      </c>
      <c r="H257" s="12">
        <v>1</v>
      </c>
      <c r="I257" s="12">
        <v>1</v>
      </c>
      <c r="J257" s="23">
        <v>1</v>
      </c>
      <c r="K257" s="23">
        <v>1</v>
      </c>
      <c r="L257" s="9">
        <f t="shared" si="45"/>
        <v>6.8817742481404858E-3</v>
      </c>
      <c r="M257" s="9">
        <f t="shared" si="38"/>
        <v>0</v>
      </c>
      <c r="N257" s="9">
        <f t="shared" si="39"/>
        <v>-1.1092712032213549E-2</v>
      </c>
      <c r="O257" s="9">
        <f t="shared" si="40"/>
        <v>0</v>
      </c>
      <c r="P257" s="9">
        <f t="shared" si="41"/>
        <v>4.3813207279914342E-2</v>
      </c>
      <c r="Q257" s="9">
        <f t="shared" si="42"/>
        <v>0</v>
      </c>
      <c r="R257" s="9">
        <f t="shared" si="43"/>
        <v>-4.3813207279914342E-2</v>
      </c>
      <c r="S257" s="9">
        <f t="shared" si="44"/>
        <v>0</v>
      </c>
      <c r="T257" s="10">
        <f t="shared" si="49"/>
        <v>0.82630608350094126</v>
      </c>
      <c r="U257" s="10">
        <f t="shared" si="49"/>
        <v>0.14226366870259297</v>
      </c>
      <c r="V257" s="10">
        <f t="shared" si="49"/>
        <v>-0.31706456616425882</v>
      </c>
      <c r="W257" s="10">
        <f t="shared" si="48"/>
        <v>0.76553122930418205</v>
      </c>
      <c r="X257" s="10">
        <f t="shared" si="48"/>
        <v>0.8230408659545696</v>
      </c>
      <c r="Y257" s="10">
        <f t="shared" si="48"/>
        <v>-5.3411050766310149E-2</v>
      </c>
      <c r="Z257" s="10">
        <f t="shared" si="48"/>
        <v>-0.8230408659545696</v>
      </c>
      <c r="AA257" s="10">
        <f t="shared" si="48"/>
        <v>5.3411050766310149E-2</v>
      </c>
      <c r="AB257" s="7">
        <f t="shared" si="46"/>
        <v>1.4170364153434583</v>
      </c>
      <c r="AC257" s="7">
        <v>2.4069459505138799</v>
      </c>
      <c r="AF257" s="7">
        <v>3.4841384096169583</v>
      </c>
    </row>
    <row r="258" spans="1:32" x14ac:dyDescent="0.25">
      <c r="A258" s="6">
        <v>45261</v>
      </c>
      <c r="B258" s="7">
        <v>4.4643772916211313E-2</v>
      </c>
      <c r="C258" s="7">
        <v>-4.4658325790076607E-2</v>
      </c>
      <c r="D258" s="7">
        <v>5.5062902406491348E-3</v>
      </c>
      <c r="E258" s="7">
        <v>-5.0551421704840213E-4</v>
      </c>
      <c r="F258" s="7">
        <v>4.0016389801776379E-3</v>
      </c>
      <c r="G258" s="7">
        <v>4.3406286384425376E-2</v>
      </c>
      <c r="H258" s="12">
        <v>1</v>
      </c>
      <c r="I258" s="12">
        <v>-1</v>
      </c>
      <c r="J258" s="23">
        <v>1</v>
      </c>
      <c r="K258" s="23">
        <v>-1</v>
      </c>
      <c r="L258" s="9">
        <f t="shared" si="45"/>
        <v>5.5062902406491348E-3</v>
      </c>
      <c r="M258" s="9">
        <f t="shared" si="38"/>
        <v>0</v>
      </c>
      <c r="N258" s="9">
        <f t="shared" si="39"/>
        <v>5.0551421704840213E-4</v>
      </c>
      <c r="O258" s="9">
        <f t="shared" si="40"/>
        <v>0</v>
      </c>
      <c r="P258" s="9">
        <f t="shared" si="41"/>
        <v>0</v>
      </c>
      <c r="Q258" s="9">
        <f t="shared" si="42"/>
        <v>-4.0016389801776379E-3</v>
      </c>
      <c r="R258" s="9">
        <f t="shared" si="43"/>
        <v>0</v>
      </c>
      <c r="S258" s="9">
        <f t="shared" si="44"/>
        <v>4.0016389801776379E-3</v>
      </c>
      <c r="T258" s="10">
        <f t="shared" si="49"/>
        <v>0.83181237374159034</v>
      </c>
      <c r="U258" s="10">
        <f t="shared" si="49"/>
        <v>0.14226366870259297</v>
      </c>
      <c r="V258" s="10">
        <f t="shared" si="49"/>
        <v>-0.3165590519472104</v>
      </c>
      <c r="W258" s="10">
        <f t="shared" si="48"/>
        <v>0.76553122930418205</v>
      </c>
      <c r="X258" s="10">
        <f t="shared" si="48"/>
        <v>0.8230408659545696</v>
      </c>
      <c r="Y258" s="10">
        <f t="shared" si="48"/>
        <v>-5.7412689746487784E-2</v>
      </c>
      <c r="Z258" s="10">
        <f t="shared" si="48"/>
        <v>-0.8230408659545696</v>
      </c>
      <c r="AA258" s="10">
        <f t="shared" si="48"/>
        <v>5.7412689746487784E-2</v>
      </c>
      <c r="AB258" s="7">
        <f t="shared" si="46"/>
        <v>1.4230482198011558</v>
      </c>
      <c r="AC258" s="7">
        <v>2.4519785650756538</v>
      </c>
      <c r="AF258" s="7">
        <v>3.5295548614789034</v>
      </c>
    </row>
    <row r="259" spans="1:32" x14ac:dyDescent="0.25">
      <c r="A259" s="6">
        <v>45292</v>
      </c>
      <c r="B259" s="7">
        <v>1.5800957516541425E-2</v>
      </c>
      <c r="C259" s="7">
        <v>7.1569505137652881E-2</v>
      </c>
      <c r="D259" s="7">
        <v>-4.0919138594321634E-3</v>
      </c>
      <c r="E259" s="7">
        <v>2.8969369212235873E-2</v>
      </c>
      <c r="F259" s="7">
        <v>-1.4948636087541312E-3</v>
      </c>
      <c r="G259" s="7">
        <v>-1.6724934027748946E-2</v>
      </c>
      <c r="H259" s="12">
        <v>-1</v>
      </c>
      <c r="I259" s="12">
        <v>-1</v>
      </c>
      <c r="J259" s="23">
        <v>-1</v>
      </c>
      <c r="K259" s="23">
        <v>-1</v>
      </c>
      <c r="L259" s="9">
        <f t="shared" si="45"/>
        <v>0</v>
      </c>
      <c r="M259" s="9">
        <f t="shared" ref="M259:M278" si="50">IF(H259=-1,-D259,0)</f>
        <v>4.0919138594321634E-3</v>
      </c>
      <c r="N259" s="9">
        <f t="shared" ref="N259:N278" si="51">IF(H259=1,-E259,0)</f>
        <v>0</v>
      </c>
      <c r="O259" s="9">
        <f t="shared" ref="O259:O278" si="52">IF(H259=-1,E259,0)</f>
        <v>2.8969369212235873E-2</v>
      </c>
      <c r="P259" s="9">
        <f t="shared" ref="P259:P278" si="53">IF(I259=1,F259,0)</f>
        <v>0</v>
      </c>
      <c r="Q259" s="9">
        <f t="shared" ref="Q259:Q278" si="54">IF($I259=-1,-$F259,0)</f>
        <v>1.4948636087541312E-3</v>
      </c>
      <c r="R259" s="9">
        <f t="shared" ref="R259:R278" si="55">IF($I259=1,-$F259,0)</f>
        <v>0</v>
      </c>
      <c r="S259" s="9">
        <f t="shared" ref="S259:S278" si="56">IF($I259=-1,$F259,0)</f>
        <v>-1.4948636087541312E-3</v>
      </c>
      <c r="T259" s="10">
        <f t="shared" si="49"/>
        <v>0.83181237374159034</v>
      </c>
      <c r="U259" s="10">
        <f t="shared" si="49"/>
        <v>0.14635558256202513</v>
      </c>
      <c r="V259" s="10">
        <f t="shared" si="49"/>
        <v>-0.3165590519472104</v>
      </c>
      <c r="W259" s="10">
        <f t="shared" si="48"/>
        <v>0.79450059851641797</v>
      </c>
      <c r="X259" s="10">
        <f t="shared" si="48"/>
        <v>0.8230408659545696</v>
      </c>
      <c r="Y259" s="10">
        <f t="shared" si="48"/>
        <v>-5.5917826137733655E-2</v>
      </c>
      <c r="Z259" s="10">
        <f t="shared" si="48"/>
        <v>-0.8230408659545696</v>
      </c>
      <c r="AA259" s="10">
        <f t="shared" si="48"/>
        <v>5.5917826137733655E-2</v>
      </c>
      <c r="AB259" s="7">
        <f t="shared" si="46"/>
        <v>1.4561095028728239</v>
      </c>
      <c r="AC259" s="7">
        <v>2.4682806182406329</v>
      </c>
      <c r="AF259" s="7">
        <v>3.5473860741315768</v>
      </c>
    </row>
    <row r="260" spans="1:32" x14ac:dyDescent="0.25">
      <c r="A260" s="6">
        <v>45323</v>
      </c>
      <c r="B260" s="7">
        <v>5.0870715521053947E-2</v>
      </c>
      <c r="C260" s="7">
        <v>8.9102841275943034E-2</v>
      </c>
      <c r="D260" s="7">
        <v>1.1421240067535665E-3</v>
      </c>
      <c r="E260" s="7">
        <v>1.6594409000635822E-2</v>
      </c>
      <c r="F260" s="7">
        <v>3.1032701476210567E-2</v>
      </c>
      <c r="G260" s="7">
        <v>-1.8435637178925084E-2</v>
      </c>
      <c r="H260" s="12">
        <v>-1</v>
      </c>
      <c r="I260" s="12">
        <v>1</v>
      </c>
      <c r="J260" s="23">
        <v>-1</v>
      </c>
      <c r="K260" s="23">
        <v>1</v>
      </c>
      <c r="L260" s="9">
        <f t="shared" ref="L260:L278" si="57">IF(H260=1,D260,0)</f>
        <v>0</v>
      </c>
      <c r="M260" s="9">
        <f t="shared" si="50"/>
        <v>-1.1421240067535665E-3</v>
      </c>
      <c r="N260" s="9">
        <f t="shared" si="51"/>
        <v>0</v>
      </c>
      <c r="O260" s="9">
        <f t="shared" si="52"/>
        <v>1.6594409000635822E-2</v>
      </c>
      <c r="P260" s="9">
        <f t="shared" si="53"/>
        <v>3.1032701476210567E-2</v>
      </c>
      <c r="Q260" s="9">
        <f t="shared" si="54"/>
        <v>0</v>
      </c>
      <c r="R260" s="9">
        <f t="shared" si="55"/>
        <v>-3.1032701476210567E-2</v>
      </c>
      <c r="S260" s="9">
        <f t="shared" si="56"/>
        <v>0</v>
      </c>
      <c r="T260" s="10">
        <f t="shared" si="49"/>
        <v>0.83181237374159034</v>
      </c>
      <c r="U260" s="10">
        <f t="shared" si="49"/>
        <v>0.14521345855527157</v>
      </c>
      <c r="V260" s="10">
        <f t="shared" si="49"/>
        <v>-0.3165590519472104</v>
      </c>
      <c r="W260" s="10">
        <f t="shared" si="48"/>
        <v>0.81109500751705377</v>
      </c>
      <c r="X260" s="10">
        <f t="shared" si="48"/>
        <v>0.85407356743078022</v>
      </c>
      <c r="Y260" s="10">
        <f t="shared" si="48"/>
        <v>-5.5917826137733655E-2</v>
      </c>
      <c r="Z260" s="10">
        <f t="shared" si="48"/>
        <v>-0.85407356743078022</v>
      </c>
      <c r="AA260" s="10">
        <f t="shared" si="48"/>
        <v>5.5917826137733655E-2</v>
      </c>
      <c r="AB260" s="7">
        <f t="shared" ref="AB260:AB278" si="58">AB259+SUM(L260:S260)</f>
        <v>1.4715617878667062</v>
      </c>
      <c r="AC260" s="7">
        <v>2.5197693657958391</v>
      </c>
      <c r="AF260" s="7">
        <v>3.6123066977805949</v>
      </c>
    </row>
    <row r="261" spans="1:32" x14ac:dyDescent="0.25">
      <c r="A261" s="6">
        <v>45352</v>
      </c>
      <c r="B261" s="7">
        <v>3.2178750060169029E-2</v>
      </c>
      <c r="C261" s="7">
        <v>3.901761419476165E-2</v>
      </c>
      <c r="D261" s="7">
        <v>1.6648253842542285E-3</v>
      </c>
      <c r="E261" s="7">
        <v>1.6302003058535058E-2</v>
      </c>
      <c r="F261" s="7">
        <v>1.3159058951112419E-2</v>
      </c>
      <c r="G261" s="7">
        <v>2.1235647958883171E-2</v>
      </c>
      <c r="H261" s="12">
        <v>-1</v>
      </c>
      <c r="I261" s="12">
        <v>1</v>
      </c>
      <c r="J261" s="23">
        <v>-1</v>
      </c>
      <c r="K261" s="23">
        <v>1</v>
      </c>
      <c r="L261" s="9">
        <f t="shared" si="57"/>
        <v>0</v>
      </c>
      <c r="M261" s="9">
        <f t="shared" si="50"/>
        <v>-1.6648253842542285E-3</v>
      </c>
      <c r="N261" s="9">
        <f t="shared" si="51"/>
        <v>0</v>
      </c>
      <c r="O261" s="9">
        <f t="shared" si="52"/>
        <v>1.6302003058535058E-2</v>
      </c>
      <c r="P261" s="9">
        <f t="shared" si="53"/>
        <v>1.3159058951112419E-2</v>
      </c>
      <c r="Q261" s="9">
        <f t="shared" si="54"/>
        <v>0</v>
      </c>
      <c r="R261" s="9">
        <f t="shared" si="55"/>
        <v>-1.3159058951112419E-2</v>
      </c>
      <c r="S261" s="9">
        <f t="shared" si="56"/>
        <v>0</v>
      </c>
      <c r="T261" s="10">
        <f t="shared" si="49"/>
        <v>0.83181237374159034</v>
      </c>
      <c r="U261" s="10">
        <f t="shared" si="49"/>
        <v>0.14354863317101735</v>
      </c>
      <c r="V261" s="10">
        <f t="shared" si="49"/>
        <v>-0.3165590519472104</v>
      </c>
      <c r="W261" s="10">
        <f t="shared" si="48"/>
        <v>0.82739701057558879</v>
      </c>
      <c r="X261" s="10">
        <f t="shared" si="48"/>
        <v>0.86723262638189269</v>
      </c>
      <c r="Y261" s="10">
        <f t="shared" si="48"/>
        <v>-5.5917826137733655E-2</v>
      </c>
      <c r="Z261" s="10">
        <f t="shared" si="48"/>
        <v>-0.86723262638189269</v>
      </c>
      <c r="AA261" s="10">
        <f t="shared" si="48"/>
        <v>5.5917826137733655E-2</v>
      </c>
      <c r="AB261" s="7">
        <f t="shared" si="58"/>
        <v>1.4861989655409871</v>
      </c>
      <c r="AC261" s="7">
        <v>2.5523305831680339</v>
      </c>
      <c r="AF261" s="7">
        <v>3.618867286447105</v>
      </c>
    </row>
    <row r="262" spans="1:32" x14ac:dyDescent="0.25">
      <c r="A262" s="6">
        <v>45383</v>
      </c>
      <c r="B262" s="7">
        <v>-4.1155041750283824E-2</v>
      </c>
      <c r="C262" s="7">
        <v>1.4109990981579848E-3</v>
      </c>
      <c r="D262" s="7">
        <v>1.3679412404378172E-2</v>
      </c>
      <c r="E262" s="7">
        <v>-1.0486649375916802E-2</v>
      </c>
      <c r="F262" s="7">
        <v>-8.9104523069123732E-3</v>
      </c>
      <c r="G262" s="7">
        <v>-3.1429933253891595E-2</v>
      </c>
      <c r="H262" s="12">
        <v>-1</v>
      </c>
      <c r="I262" s="12">
        <v>1</v>
      </c>
      <c r="J262" s="23">
        <v>-1</v>
      </c>
      <c r="K262" s="23">
        <v>1</v>
      </c>
      <c r="L262" s="9">
        <f t="shared" si="57"/>
        <v>0</v>
      </c>
      <c r="M262" s="9">
        <f t="shared" si="50"/>
        <v>-1.3679412404378172E-2</v>
      </c>
      <c r="N262" s="9">
        <f t="shared" si="51"/>
        <v>0</v>
      </c>
      <c r="O262" s="9">
        <f t="shared" si="52"/>
        <v>-1.0486649375916802E-2</v>
      </c>
      <c r="P262" s="9">
        <f t="shared" si="53"/>
        <v>-8.9104523069123732E-3</v>
      </c>
      <c r="Q262" s="9">
        <f t="shared" si="54"/>
        <v>0</v>
      </c>
      <c r="R262" s="9">
        <f t="shared" si="55"/>
        <v>8.9104523069123732E-3</v>
      </c>
      <c r="S262" s="9">
        <f t="shared" si="56"/>
        <v>0</v>
      </c>
      <c r="T262" s="10">
        <f t="shared" si="49"/>
        <v>0.83181237374159034</v>
      </c>
      <c r="U262" s="10">
        <f t="shared" si="49"/>
        <v>0.12986922076663918</v>
      </c>
      <c r="V262" s="10">
        <f t="shared" si="49"/>
        <v>-0.3165590519472104</v>
      </c>
      <c r="W262" s="10">
        <f t="shared" si="48"/>
        <v>0.81691036119967197</v>
      </c>
      <c r="X262" s="10">
        <f t="shared" si="48"/>
        <v>0.85832217407498035</v>
      </c>
      <c r="Y262" s="10">
        <f t="shared" si="48"/>
        <v>-5.5917826137733655E-2</v>
      </c>
      <c r="Z262" s="10">
        <f t="shared" si="48"/>
        <v>-0.85832217407498035</v>
      </c>
      <c r="AA262" s="10">
        <f t="shared" si="48"/>
        <v>5.5917826137733655E-2</v>
      </c>
      <c r="AB262" s="7">
        <f t="shared" si="58"/>
        <v>1.4620329037606921</v>
      </c>
      <c r="AC262" s="7">
        <v>2.511938858285073</v>
      </c>
      <c r="AF262" s="7">
        <v>3.6172207056137893</v>
      </c>
    </row>
    <row r="263" spans="1:32" x14ac:dyDescent="0.25">
      <c r="A263" s="6">
        <v>45413</v>
      </c>
      <c r="B263" s="7">
        <v>4.9341926200576133E-2</v>
      </c>
      <c r="C263" s="7">
        <v>1.5893809749767701E-2</v>
      </c>
      <c r="D263" s="7">
        <v>-7.5375643514422695E-3</v>
      </c>
      <c r="E263" s="7">
        <v>-1.2524900429691337E-2</v>
      </c>
      <c r="F263" s="7">
        <v>2.9753173513714228E-2</v>
      </c>
      <c r="G263" s="7">
        <v>3.1661917816724595E-2</v>
      </c>
      <c r="H263" s="12">
        <v>-1</v>
      </c>
      <c r="I263" s="12">
        <v>1</v>
      </c>
      <c r="J263" s="23">
        <v>-1</v>
      </c>
      <c r="K263" s="23">
        <v>1</v>
      </c>
      <c r="L263" s="9">
        <f t="shared" si="57"/>
        <v>0</v>
      </c>
      <c r="M263" s="9">
        <f t="shared" si="50"/>
        <v>7.5375643514422695E-3</v>
      </c>
      <c r="N263" s="9">
        <f t="shared" si="51"/>
        <v>0</v>
      </c>
      <c r="O263" s="9">
        <f t="shared" si="52"/>
        <v>-1.2524900429691337E-2</v>
      </c>
      <c r="P263" s="9">
        <f t="shared" si="53"/>
        <v>2.9753173513714228E-2</v>
      </c>
      <c r="Q263" s="9">
        <f t="shared" si="54"/>
        <v>0</v>
      </c>
      <c r="R263" s="9">
        <f t="shared" si="55"/>
        <v>-2.9753173513714228E-2</v>
      </c>
      <c r="S263" s="9">
        <f t="shared" si="56"/>
        <v>0</v>
      </c>
      <c r="T263" s="10">
        <f t="shared" si="49"/>
        <v>0.83181237374159034</v>
      </c>
      <c r="U263" s="10">
        <f t="shared" si="49"/>
        <v>0.13740678511808144</v>
      </c>
      <c r="V263" s="10">
        <f t="shared" si="49"/>
        <v>-0.3165590519472104</v>
      </c>
      <c r="W263" s="10">
        <f t="shared" si="48"/>
        <v>0.80438546076998063</v>
      </c>
      <c r="X263" s="10">
        <f t="shared" si="48"/>
        <v>0.88807534758869455</v>
      </c>
      <c r="Y263" s="10">
        <f t="shared" si="48"/>
        <v>-5.5917826137733655E-2</v>
      </c>
      <c r="Z263" s="10">
        <f t="shared" si="48"/>
        <v>-0.88807534758869455</v>
      </c>
      <c r="AA263" s="10">
        <f t="shared" si="48"/>
        <v>5.5917826137733655E-2</v>
      </c>
      <c r="AB263" s="7">
        <f t="shared" si="58"/>
        <v>1.457045567682443</v>
      </c>
      <c r="AC263" s="7">
        <v>2.561711090362885</v>
      </c>
      <c r="AF263" s="7">
        <v>3.6103246252325301</v>
      </c>
    </row>
    <row r="264" spans="1:32" x14ac:dyDescent="0.25">
      <c r="A264" s="6">
        <v>45444</v>
      </c>
      <c r="B264" s="7">
        <v>3.4672137981978199E-2</v>
      </c>
      <c r="C264" s="7">
        <v>-1.3570107312282052E-2</v>
      </c>
      <c r="D264" s="7">
        <v>2.723190918377312E-3</v>
      </c>
      <c r="E264" s="7">
        <v>-2.7510876495499673E-2</v>
      </c>
      <c r="F264" s="7">
        <v>1.2512304391934124E-2</v>
      </c>
      <c r="G264" s="7">
        <v>1.4952763595864015E-2</v>
      </c>
      <c r="H264" s="12">
        <v>1</v>
      </c>
      <c r="I264" s="12">
        <v>1</v>
      </c>
      <c r="J264" s="23">
        <v>1</v>
      </c>
      <c r="K264" s="23">
        <v>1</v>
      </c>
      <c r="L264" s="9">
        <f t="shared" si="57"/>
        <v>2.723190918377312E-3</v>
      </c>
      <c r="M264" s="9">
        <f t="shared" si="50"/>
        <v>0</v>
      </c>
      <c r="N264" s="9">
        <f t="shared" si="51"/>
        <v>2.7510876495499673E-2</v>
      </c>
      <c r="O264" s="9">
        <f t="shared" si="52"/>
        <v>0</v>
      </c>
      <c r="P264" s="9">
        <f t="shared" si="53"/>
        <v>1.2512304391934124E-2</v>
      </c>
      <c r="Q264" s="9">
        <f t="shared" si="54"/>
        <v>0</v>
      </c>
      <c r="R264" s="9">
        <f t="shared" si="55"/>
        <v>-1.2512304391934124E-2</v>
      </c>
      <c r="S264" s="9">
        <f t="shared" si="56"/>
        <v>0</v>
      </c>
      <c r="T264" s="10">
        <f t="shared" si="49"/>
        <v>0.8345355646599677</v>
      </c>
      <c r="U264" s="10">
        <f t="shared" si="49"/>
        <v>0.13740678511808144</v>
      </c>
      <c r="V264" s="10">
        <f t="shared" si="49"/>
        <v>-0.28904817545171074</v>
      </c>
      <c r="W264" s="10">
        <f t="shared" si="48"/>
        <v>0.80438546076998063</v>
      </c>
      <c r="X264" s="10">
        <f t="shared" si="48"/>
        <v>0.90058765198062862</v>
      </c>
      <c r="Y264" s="10">
        <f t="shared" si="48"/>
        <v>-5.5917826137733655E-2</v>
      </c>
      <c r="Z264" s="10">
        <f t="shared" si="48"/>
        <v>-0.90058765198062862</v>
      </c>
      <c r="AA264" s="10">
        <f t="shared" si="48"/>
        <v>5.5917826137733655E-2</v>
      </c>
      <c r="AB264" s="7">
        <f t="shared" si="58"/>
        <v>1.48727963509632</v>
      </c>
      <c r="AC264" s="7">
        <v>2.5965600661871289</v>
      </c>
      <c r="AF264" s="7">
        <v>3.6381182334424773</v>
      </c>
    </row>
    <row r="265" spans="1:32" x14ac:dyDescent="0.25">
      <c r="A265" s="6">
        <v>45474</v>
      </c>
      <c r="B265" s="7">
        <v>1.2036422652770377E-2</v>
      </c>
      <c r="C265" s="7">
        <v>6.3733967610182553E-3</v>
      </c>
      <c r="D265" s="7">
        <v>-6.9474075330781503E-3</v>
      </c>
      <c r="E265" s="7">
        <v>2.3045732831310929E-2</v>
      </c>
      <c r="F265" s="7">
        <v>2.0119043559437007E-2</v>
      </c>
      <c r="G265" s="7">
        <v>1.37970494602731E-2</v>
      </c>
      <c r="H265" s="12">
        <v>-1</v>
      </c>
      <c r="I265" s="12">
        <v>-1</v>
      </c>
      <c r="J265" s="23">
        <v>-1</v>
      </c>
      <c r="K265" s="23">
        <v>-1</v>
      </c>
      <c r="L265" s="9">
        <f t="shared" si="57"/>
        <v>0</v>
      </c>
      <c r="M265" s="9">
        <f t="shared" si="50"/>
        <v>6.9474075330781503E-3</v>
      </c>
      <c r="N265" s="9">
        <f t="shared" si="51"/>
        <v>0</v>
      </c>
      <c r="O265" s="9">
        <f t="shared" si="52"/>
        <v>2.3045732831310929E-2</v>
      </c>
      <c r="P265" s="9">
        <f t="shared" si="53"/>
        <v>0</v>
      </c>
      <c r="Q265" s="9">
        <f t="shared" si="54"/>
        <v>-2.0119043559437007E-2</v>
      </c>
      <c r="R265" s="9">
        <f t="shared" si="55"/>
        <v>0</v>
      </c>
      <c r="S265" s="9">
        <f t="shared" si="56"/>
        <v>2.0119043559437007E-2</v>
      </c>
      <c r="T265" s="10">
        <f t="shared" si="49"/>
        <v>0.8345355646599677</v>
      </c>
      <c r="U265" s="10">
        <f t="shared" si="49"/>
        <v>0.14435419265115959</v>
      </c>
      <c r="V265" s="10">
        <f t="shared" si="49"/>
        <v>-0.28904817545171074</v>
      </c>
      <c r="W265" s="10">
        <f t="shared" si="48"/>
        <v>0.82743119360129158</v>
      </c>
      <c r="X265" s="10">
        <f t="shared" si="48"/>
        <v>0.90058765198062862</v>
      </c>
      <c r="Y265" s="10">
        <f t="shared" si="48"/>
        <v>-7.6036869697170661E-2</v>
      </c>
      <c r="Z265" s="10">
        <f t="shared" si="48"/>
        <v>-0.90058765198062862</v>
      </c>
      <c r="AA265" s="10">
        <f t="shared" si="48"/>
        <v>7.6036869697170661E-2</v>
      </c>
      <c r="AB265" s="7">
        <f t="shared" si="58"/>
        <v>1.5172727754607092</v>
      </c>
      <c r="AC265" s="7">
        <v>2.6094614250079191</v>
      </c>
      <c r="AF265" s="7">
        <v>3.6617893797077024</v>
      </c>
    </row>
    <row r="266" spans="1:32" x14ac:dyDescent="0.25">
      <c r="A266" s="6">
        <v>45505</v>
      </c>
      <c r="B266" s="7">
        <v>2.3096674300165244E-2</v>
      </c>
      <c r="C266" s="7">
        <v>-2.6188565902419116E-2</v>
      </c>
      <c r="D266" s="7">
        <v>5.4432595171319481E-3</v>
      </c>
      <c r="E266" s="7">
        <v>-2.2949531899315638E-2</v>
      </c>
      <c r="F266" s="7">
        <v>-6.0141403170915958E-2</v>
      </c>
      <c r="G266" s="7">
        <v>1.4863421378237351E-2</v>
      </c>
      <c r="H266" s="12">
        <v>1</v>
      </c>
      <c r="I266" s="12">
        <v>1</v>
      </c>
      <c r="J266" s="23">
        <v>1</v>
      </c>
      <c r="K266" s="23">
        <v>1</v>
      </c>
      <c r="L266" s="9">
        <f t="shared" si="57"/>
        <v>5.4432595171319481E-3</v>
      </c>
      <c r="M266" s="9">
        <f t="shared" si="50"/>
        <v>0</v>
      </c>
      <c r="N266" s="9">
        <f t="shared" si="51"/>
        <v>2.2949531899315638E-2</v>
      </c>
      <c r="O266" s="9">
        <f t="shared" si="52"/>
        <v>0</v>
      </c>
      <c r="P266" s="9">
        <f t="shared" si="53"/>
        <v>-6.0141403170915958E-2</v>
      </c>
      <c r="Q266" s="9">
        <f t="shared" si="54"/>
        <v>0</v>
      </c>
      <c r="R266" s="9">
        <f t="shared" si="55"/>
        <v>6.0141403170915958E-2</v>
      </c>
      <c r="S266" s="9">
        <f t="shared" si="56"/>
        <v>0</v>
      </c>
      <c r="T266" s="10">
        <f t="shared" si="49"/>
        <v>0.83997882417709968</v>
      </c>
      <c r="U266" s="10">
        <f t="shared" si="49"/>
        <v>0.14435419265115959</v>
      </c>
      <c r="V266" s="10">
        <f t="shared" si="49"/>
        <v>-0.2660986435523951</v>
      </c>
      <c r="W266" s="10">
        <f t="shared" si="48"/>
        <v>0.82743119360129158</v>
      </c>
      <c r="X266" s="10">
        <f t="shared" si="48"/>
        <v>0.84044624880971264</v>
      </c>
      <c r="Y266" s="10">
        <f t="shared" si="48"/>
        <v>-7.6036869697170661E-2</v>
      </c>
      <c r="Z266" s="10">
        <f t="shared" si="48"/>
        <v>-0.84044624880971264</v>
      </c>
      <c r="AA266" s="10">
        <f t="shared" si="48"/>
        <v>7.6036869697170661E-2</v>
      </c>
      <c r="AB266" s="7">
        <f t="shared" si="58"/>
        <v>1.5456655668771568</v>
      </c>
      <c r="AC266" s="7">
        <v>2.6340973198726969</v>
      </c>
      <c r="AF266" s="7">
        <v>3.6151773465749968</v>
      </c>
    </row>
    <row r="267" spans="1:32" x14ac:dyDescent="0.25">
      <c r="A267" s="6">
        <v>45536</v>
      </c>
      <c r="B267" s="7">
        <v>2.0787250725068776E-2</v>
      </c>
      <c r="C267" s="7">
        <v>-1.1957683430430775E-2</v>
      </c>
      <c r="D267" s="7">
        <v>7.1541371203220332E-3</v>
      </c>
      <c r="E267" s="7">
        <v>-5.7935885191071632E-3</v>
      </c>
      <c r="F267" s="7">
        <v>-3.1117013644920338E-2</v>
      </c>
      <c r="G267" s="7">
        <v>3.8879968116322536E-2</v>
      </c>
      <c r="H267" s="12">
        <v>1</v>
      </c>
      <c r="I267" s="12">
        <v>-1</v>
      </c>
      <c r="J267" s="23">
        <v>1</v>
      </c>
      <c r="K267" s="23">
        <v>-1</v>
      </c>
      <c r="L267" s="9">
        <f t="shared" si="57"/>
        <v>7.1541371203220332E-3</v>
      </c>
      <c r="M267" s="9">
        <f t="shared" si="50"/>
        <v>0</v>
      </c>
      <c r="N267" s="9">
        <f t="shared" si="51"/>
        <v>5.7935885191071632E-3</v>
      </c>
      <c r="O267" s="9">
        <f t="shared" si="52"/>
        <v>0</v>
      </c>
      <c r="P267" s="9">
        <f t="shared" si="53"/>
        <v>0</v>
      </c>
      <c r="Q267" s="9">
        <f t="shared" si="54"/>
        <v>3.1117013644920338E-2</v>
      </c>
      <c r="R267" s="9">
        <f t="shared" si="55"/>
        <v>0</v>
      </c>
      <c r="S267" s="9">
        <f t="shared" si="56"/>
        <v>-3.1117013644920338E-2</v>
      </c>
      <c r="T267" s="10">
        <f t="shared" si="49"/>
        <v>0.84713296129742166</v>
      </c>
      <c r="U267" s="10">
        <f t="shared" si="49"/>
        <v>0.14435419265115959</v>
      </c>
      <c r="V267" s="10">
        <f t="shared" si="49"/>
        <v>-0.26030505503328794</v>
      </c>
      <c r="W267" s="10">
        <f t="shared" si="48"/>
        <v>0.82743119360129158</v>
      </c>
      <c r="X267" s="10">
        <f t="shared" si="48"/>
        <v>0.84044624880971264</v>
      </c>
      <c r="Y267" s="10">
        <f t="shared" si="48"/>
        <v>-4.4919856052250323E-2</v>
      </c>
      <c r="Z267" s="10">
        <f t="shared" si="48"/>
        <v>-0.84044624880971264</v>
      </c>
      <c r="AA267" s="10">
        <f t="shared" si="48"/>
        <v>4.4919856052250323E-2</v>
      </c>
      <c r="AB267" s="7">
        <f t="shared" si="58"/>
        <v>1.5586132925165861</v>
      </c>
      <c r="AC267" s="7">
        <v>2.6555976984525032</v>
      </c>
      <c r="AF267" s="7">
        <v>3.698122053975669</v>
      </c>
    </row>
    <row r="268" spans="1:32" x14ac:dyDescent="0.25">
      <c r="A268" s="6">
        <v>45566</v>
      </c>
      <c r="B268" s="7">
        <v>-8.9637250286328206E-3</v>
      </c>
      <c r="C268" s="7">
        <v>7.5531379394351394E-2</v>
      </c>
      <c r="D268" s="7">
        <v>-2.601957976440664E-2</v>
      </c>
      <c r="E268" s="7">
        <v>2.3824947236706136E-3</v>
      </c>
      <c r="F268" s="7">
        <v>-1.0442140020132771E-2</v>
      </c>
      <c r="G268" s="7">
        <v>-3.0675082917408353E-2</v>
      </c>
      <c r="H268" s="12">
        <v>-1</v>
      </c>
      <c r="I268" s="12">
        <v>-1</v>
      </c>
      <c r="J268" s="23">
        <v>-1</v>
      </c>
      <c r="K268" s="23">
        <v>-1</v>
      </c>
      <c r="L268" s="9">
        <f t="shared" si="57"/>
        <v>0</v>
      </c>
      <c r="M268" s="9">
        <f t="shared" si="50"/>
        <v>2.601957976440664E-2</v>
      </c>
      <c r="N268" s="9">
        <f t="shared" si="51"/>
        <v>0</v>
      </c>
      <c r="O268" s="9">
        <f t="shared" si="52"/>
        <v>2.3824947236706136E-3</v>
      </c>
      <c r="P268" s="9">
        <f t="shared" si="53"/>
        <v>0</v>
      </c>
      <c r="Q268" s="9">
        <f t="shared" si="54"/>
        <v>1.0442140020132771E-2</v>
      </c>
      <c r="R268" s="9">
        <f t="shared" si="55"/>
        <v>0</v>
      </c>
      <c r="S268" s="9">
        <f t="shared" si="56"/>
        <v>-1.0442140020132771E-2</v>
      </c>
      <c r="T268" s="10">
        <f t="shared" si="49"/>
        <v>0.84713296129742166</v>
      </c>
      <c r="U268" s="10">
        <f t="shared" si="49"/>
        <v>0.17037377241556623</v>
      </c>
      <c r="V268" s="10">
        <f t="shared" si="49"/>
        <v>-0.26030505503328794</v>
      </c>
      <c r="W268" s="10">
        <f t="shared" si="48"/>
        <v>0.82981368832496216</v>
      </c>
      <c r="X268" s="10">
        <f t="shared" si="48"/>
        <v>0.84044624880971264</v>
      </c>
      <c r="Y268" s="10">
        <f t="shared" si="48"/>
        <v>-3.447771603211755E-2</v>
      </c>
      <c r="Z268" s="10">
        <f t="shared" si="48"/>
        <v>-0.84044624880971264</v>
      </c>
      <c r="AA268" s="10">
        <f t="shared" si="48"/>
        <v>3.447771603211755E-2</v>
      </c>
      <c r="AB268" s="7">
        <f t="shared" si="58"/>
        <v>1.5870153670046634</v>
      </c>
      <c r="AC268" s="7">
        <v>2.647177747586118</v>
      </c>
      <c r="AF268" s="7">
        <v>3.7062911855664704</v>
      </c>
    </row>
    <row r="269" spans="1:32" x14ac:dyDescent="0.25">
      <c r="A269" s="6">
        <v>45597</v>
      </c>
      <c r="B269" s="7">
        <v>5.7923013086624189E-2</v>
      </c>
      <c r="C269" s="7">
        <v>6.2794062589265745E-2</v>
      </c>
      <c r="D269" s="7">
        <v>1.4846949421476317E-2</v>
      </c>
      <c r="E269" s="7">
        <v>3.9395219458884141E-2</v>
      </c>
      <c r="F269" s="7">
        <v>4.6338520008788547E-2</v>
      </c>
      <c r="G269" s="7">
        <v>-8.818994088863677E-3</v>
      </c>
      <c r="H269" s="12">
        <v>-1</v>
      </c>
      <c r="I269" s="12">
        <v>1</v>
      </c>
      <c r="J269" s="23">
        <v>-1</v>
      </c>
      <c r="K269" s="23">
        <v>1</v>
      </c>
      <c r="L269" s="9">
        <f t="shared" si="57"/>
        <v>0</v>
      </c>
      <c r="M269" s="9">
        <f t="shared" si="50"/>
        <v>-1.4846949421476317E-2</v>
      </c>
      <c r="N269" s="9">
        <f t="shared" si="51"/>
        <v>0</v>
      </c>
      <c r="O269" s="9">
        <f t="shared" si="52"/>
        <v>3.9395219458884141E-2</v>
      </c>
      <c r="P269" s="9">
        <f t="shared" si="53"/>
        <v>4.6338520008788547E-2</v>
      </c>
      <c r="Q269" s="9">
        <f t="shared" si="54"/>
        <v>0</v>
      </c>
      <c r="R269" s="9">
        <f t="shared" si="55"/>
        <v>-4.6338520008788547E-2</v>
      </c>
      <c r="S269" s="9">
        <f t="shared" si="56"/>
        <v>0</v>
      </c>
      <c r="T269" s="10">
        <f t="shared" si="49"/>
        <v>0.84713296129742166</v>
      </c>
      <c r="U269" s="10">
        <f t="shared" si="49"/>
        <v>0.1555268229940899</v>
      </c>
      <c r="V269" s="10">
        <f t="shared" si="49"/>
        <v>-0.26030505503328794</v>
      </c>
      <c r="W269" s="10">
        <f t="shared" si="48"/>
        <v>0.8692089077838463</v>
      </c>
      <c r="X269" s="10">
        <f t="shared" si="48"/>
        <v>0.88678476881850121</v>
      </c>
      <c r="Y269" s="10">
        <f t="shared" si="48"/>
        <v>-3.447771603211755E-2</v>
      </c>
      <c r="Z269" s="10">
        <f t="shared" si="48"/>
        <v>-0.88678476881850121</v>
      </c>
      <c r="AA269" s="10">
        <f t="shared" si="48"/>
        <v>3.447771603211755E-2</v>
      </c>
      <c r="AB269" s="7">
        <f t="shared" si="58"/>
        <v>1.6115636370420712</v>
      </c>
      <c r="AC269" s="7">
        <v>2.7057140672197342</v>
      </c>
      <c r="AF269" s="7">
        <v>3.7859969697015305</v>
      </c>
    </row>
    <row r="270" spans="1:32" x14ac:dyDescent="0.25">
      <c r="A270" s="6">
        <v>45627</v>
      </c>
      <c r="B270" s="7">
        <v>-2.4354253846920634E-2</v>
      </c>
      <c r="C270" s="7">
        <v>3.9036998208068344E-2</v>
      </c>
      <c r="D270" s="7">
        <v>-8.6135309785591897E-3</v>
      </c>
      <c r="E270" s="7">
        <v>-1.115924717554876E-2</v>
      </c>
      <c r="F270" s="7">
        <v>8.6917097530328155E-3</v>
      </c>
      <c r="G270" s="7">
        <v>7.9242570584242746E-3</v>
      </c>
      <c r="H270" s="12">
        <v>-1</v>
      </c>
      <c r="I270" s="12">
        <v>1</v>
      </c>
      <c r="J270" s="23">
        <v>-1</v>
      </c>
      <c r="K270" s="23">
        <v>1</v>
      </c>
      <c r="L270" s="9">
        <f t="shared" si="57"/>
        <v>0</v>
      </c>
      <c r="M270" s="9">
        <f t="shared" si="50"/>
        <v>8.6135309785591897E-3</v>
      </c>
      <c r="N270" s="9">
        <f t="shared" si="51"/>
        <v>0</v>
      </c>
      <c r="O270" s="9">
        <f t="shared" si="52"/>
        <v>-1.115924717554876E-2</v>
      </c>
      <c r="P270" s="9">
        <f t="shared" si="53"/>
        <v>8.6917097530328155E-3</v>
      </c>
      <c r="Q270" s="9">
        <f t="shared" si="54"/>
        <v>0</v>
      </c>
      <c r="R270" s="9">
        <f t="shared" si="55"/>
        <v>-8.6917097530328155E-3</v>
      </c>
      <c r="S270" s="9">
        <f t="shared" si="56"/>
        <v>0</v>
      </c>
      <c r="T270" s="10">
        <f t="shared" si="49"/>
        <v>0.84713296129742166</v>
      </c>
      <c r="U270" s="10">
        <f t="shared" si="49"/>
        <v>0.16414035397264909</v>
      </c>
      <c r="V270" s="10">
        <f t="shared" si="49"/>
        <v>-0.26030505503328794</v>
      </c>
      <c r="W270" s="10">
        <f t="shared" si="48"/>
        <v>0.85804966060829757</v>
      </c>
      <c r="X270" s="10">
        <f t="shared" si="48"/>
        <v>0.89547647857153401</v>
      </c>
      <c r="Y270" s="10">
        <f t="shared" si="48"/>
        <v>-3.447771603211755E-2</v>
      </c>
      <c r="Z270" s="10">
        <f t="shared" si="48"/>
        <v>-0.89547647857153401</v>
      </c>
      <c r="AA270" s="10">
        <f t="shared" si="48"/>
        <v>3.447771603211755E-2</v>
      </c>
      <c r="AB270" s="7">
        <f t="shared" si="58"/>
        <v>1.6090179208450817</v>
      </c>
      <c r="AC270" s="7">
        <v>2.682194504292216</v>
      </c>
      <c r="AF270" s="7">
        <v>3.7842187061991495</v>
      </c>
    </row>
    <row r="271" spans="1:32" x14ac:dyDescent="0.25">
      <c r="A271" s="6">
        <v>45658</v>
      </c>
      <c r="B271" s="7">
        <v>2.6502009567008759E-2</v>
      </c>
      <c r="C271" s="7">
        <v>3.7929519450425733E-2</v>
      </c>
      <c r="D271" s="7">
        <v>-1.0167113227328512E-2</v>
      </c>
      <c r="E271" s="7">
        <v>6.1722234289853725E-3</v>
      </c>
      <c r="F271" s="7">
        <v>5.8013851190404702E-3</v>
      </c>
      <c r="G271" s="7">
        <v>-1.499805088929935E-2</v>
      </c>
      <c r="H271" s="12">
        <v>-1</v>
      </c>
      <c r="I271" s="12">
        <v>1</v>
      </c>
      <c r="J271" s="23">
        <v>-1</v>
      </c>
      <c r="K271" s="23">
        <v>1</v>
      </c>
      <c r="L271" s="9">
        <f t="shared" si="57"/>
        <v>0</v>
      </c>
      <c r="M271" s="9">
        <f t="shared" si="50"/>
        <v>1.0167113227328512E-2</v>
      </c>
      <c r="N271" s="9">
        <f t="shared" si="51"/>
        <v>0</v>
      </c>
      <c r="O271" s="9">
        <f t="shared" si="52"/>
        <v>6.1722234289853725E-3</v>
      </c>
      <c r="P271" s="9">
        <f t="shared" si="53"/>
        <v>5.8013851190404702E-3</v>
      </c>
      <c r="Q271" s="9">
        <f t="shared" si="54"/>
        <v>0</v>
      </c>
      <c r="R271" s="9">
        <f t="shared" si="55"/>
        <v>-5.8013851190404702E-3</v>
      </c>
      <c r="S271" s="9">
        <f t="shared" si="56"/>
        <v>0</v>
      </c>
      <c r="T271" s="10">
        <f t="shared" si="49"/>
        <v>0.84713296129742166</v>
      </c>
      <c r="U271" s="10">
        <f t="shared" si="49"/>
        <v>0.17430746719997761</v>
      </c>
      <c r="V271" s="10">
        <f t="shared" si="49"/>
        <v>-0.26030505503328794</v>
      </c>
      <c r="W271" s="10">
        <f t="shared" si="48"/>
        <v>0.86422188403728295</v>
      </c>
      <c r="X271" s="10">
        <f t="shared" si="48"/>
        <v>0.9012778636905745</v>
      </c>
      <c r="Y271" s="10">
        <f t="shared" si="48"/>
        <v>-3.447771603211755E-2</v>
      </c>
      <c r="Z271" s="10">
        <f t="shared" si="48"/>
        <v>-0.9012778636905745</v>
      </c>
      <c r="AA271" s="10">
        <f t="shared" si="48"/>
        <v>3.447771603211755E-2</v>
      </c>
      <c r="AB271" s="7">
        <f t="shared" si="58"/>
        <v>1.6253572575013955</v>
      </c>
      <c r="AC271" s="7">
        <v>2.7094473207969831</v>
      </c>
      <c r="AF271" s="7">
        <v>3.8213574788638032</v>
      </c>
    </row>
    <row r="272" spans="1:32" x14ac:dyDescent="0.25">
      <c r="A272" s="6">
        <v>45689</v>
      </c>
      <c r="B272" s="7">
        <v>-1.2776043967811583E-2</v>
      </c>
      <c r="C272" s="7">
        <v>-3.500936501709119E-2</v>
      </c>
      <c r="D272" s="7">
        <v>-5.0865333317791379E-3</v>
      </c>
      <c r="E272" s="7">
        <v>2.8087473180161238E-2</v>
      </c>
      <c r="F272" s="7">
        <v>-1.7461244313232028E-3</v>
      </c>
      <c r="G272" s="7">
        <v>2.0621095775060161E-2</v>
      </c>
      <c r="H272" s="12">
        <v>1</v>
      </c>
      <c r="I272" s="12">
        <v>1</v>
      </c>
      <c r="J272" s="23">
        <v>1</v>
      </c>
      <c r="K272" s="23">
        <v>1</v>
      </c>
      <c r="L272" s="9">
        <f t="shared" si="57"/>
        <v>-5.0865333317791379E-3</v>
      </c>
      <c r="M272" s="9">
        <f t="shared" si="50"/>
        <v>0</v>
      </c>
      <c r="N272" s="9">
        <f t="shared" si="51"/>
        <v>-2.8087473180161238E-2</v>
      </c>
      <c r="O272" s="9">
        <f t="shared" si="52"/>
        <v>0</v>
      </c>
      <c r="P272" s="9">
        <f t="shared" si="53"/>
        <v>-1.7461244313232028E-3</v>
      </c>
      <c r="Q272" s="9">
        <f t="shared" si="54"/>
        <v>0</v>
      </c>
      <c r="R272" s="9">
        <f t="shared" si="55"/>
        <v>1.7461244313232028E-3</v>
      </c>
      <c r="S272" s="9">
        <f t="shared" si="56"/>
        <v>0</v>
      </c>
      <c r="T272" s="10">
        <f t="shared" si="49"/>
        <v>0.84204642796564255</v>
      </c>
      <c r="U272" s="10">
        <f t="shared" si="49"/>
        <v>0.17430746719997761</v>
      </c>
      <c r="V272" s="10">
        <f t="shared" si="49"/>
        <v>-0.28839252821344918</v>
      </c>
      <c r="W272" s="10">
        <f t="shared" si="48"/>
        <v>0.86422188403728295</v>
      </c>
      <c r="X272" s="10">
        <f t="shared" si="48"/>
        <v>0.89953173925925134</v>
      </c>
      <c r="Y272" s="10">
        <f t="shared" si="48"/>
        <v>-3.447771603211755E-2</v>
      </c>
      <c r="Z272" s="10">
        <f t="shared" si="48"/>
        <v>-0.89953173925925134</v>
      </c>
      <c r="AA272" s="10">
        <f t="shared" si="48"/>
        <v>3.447771603211755E-2</v>
      </c>
      <c r="AB272" s="7">
        <f t="shared" si="58"/>
        <v>1.5921832509894551</v>
      </c>
      <c r="AC272" s="7">
        <v>2.6972923962901092</v>
      </c>
      <c r="AF272" s="7">
        <v>3.7658162521454792</v>
      </c>
    </row>
    <row r="273" spans="1:32" x14ac:dyDescent="0.25">
      <c r="A273" s="6">
        <v>45717</v>
      </c>
      <c r="B273" s="7">
        <v>-5.7331697768171243E-2</v>
      </c>
      <c r="C273" s="7">
        <v>-3.3407846146737079E-2</v>
      </c>
      <c r="D273" s="7">
        <v>-8.1718970707223143E-3</v>
      </c>
      <c r="E273" s="7">
        <v>3.6319127510171141E-3</v>
      </c>
      <c r="F273" s="7">
        <v>-3.1213501580951396E-2</v>
      </c>
      <c r="G273" s="7">
        <v>-2.2278008159225978E-2</v>
      </c>
      <c r="H273" s="12">
        <v>1</v>
      </c>
      <c r="I273" s="12">
        <v>-1</v>
      </c>
      <c r="J273" s="23">
        <v>1</v>
      </c>
      <c r="K273" s="23">
        <v>-1</v>
      </c>
      <c r="L273" s="9">
        <f t="shared" si="57"/>
        <v>-8.1718970707223143E-3</v>
      </c>
      <c r="M273" s="9">
        <f t="shared" si="50"/>
        <v>0</v>
      </c>
      <c r="N273" s="9">
        <f t="shared" si="51"/>
        <v>-3.6319127510171141E-3</v>
      </c>
      <c r="O273" s="9">
        <f t="shared" si="52"/>
        <v>0</v>
      </c>
      <c r="P273" s="9">
        <f t="shared" si="53"/>
        <v>0</v>
      </c>
      <c r="Q273" s="9">
        <f t="shared" si="54"/>
        <v>3.1213501580951396E-2</v>
      </c>
      <c r="R273" s="9">
        <f t="shared" si="55"/>
        <v>0</v>
      </c>
      <c r="S273" s="9">
        <f t="shared" si="56"/>
        <v>-3.1213501580951396E-2</v>
      </c>
      <c r="T273" s="10">
        <f t="shared" si="49"/>
        <v>0.83387453089492025</v>
      </c>
      <c r="U273" s="10">
        <f t="shared" si="49"/>
        <v>0.17430746719997761</v>
      </c>
      <c r="V273" s="10">
        <f t="shared" si="49"/>
        <v>-0.29202444096446628</v>
      </c>
      <c r="W273" s="10">
        <f t="shared" si="48"/>
        <v>0.86422188403728295</v>
      </c>
      <c r="X273" s="10">
        <f t="shared" si="48"/>
        <v>0.89953173925925134</v>
      </c>
      <c r="Y273" s="10">
        <f t="shared" si="48"/>
        <v>-3.2642144511661544E-3</v>
      </c>
      <c r="Z273" s="10">
        <f t="shared" si="48"/>
        <v>-0.89953173925925134</v>
      </c>
      <c r="AA273" s="10">
        <f t="shared" si="48"/>
        <v>3.2642144511661544E-3</v>
      </c>
      <c r="AB273" s="7">
        <f t="shared" si="58"/>
        <v>1.5803794411677157</v>
      </c>
      <c r="AC273" s="7">
        <v>2.641745304078706</v>
      </c>
      <c r="AF273" s="7">
        <v>3.7629479357454652</v>
      </c>
    </row>
    <row r="274" spans="1:32" x14ac:dyDescent="0.25">
      <c r="A274" s="6">
        <v>45748</v>
      </c>
      <c r="B274" s="7">
        <v>-8.7079434414738428E-3</v>
      </c>
      <c r="C274" s="7">
        <v>-1.1483725364181536E-2</v>
      </c>
      <c r="D274" s="7">
        <v>5.0464070106939728E-2</v>
      </c>
      <c r="E274" s="7">
        <v>3.3990149814473548E-2</v>
      </c>
      <c r="F274" s="7">
        <v>-0.10351692435420581</v>
      </c>
      <c r="G274" s="7">
        <v>-7.2364724208488149E-3</v>
      </c>
      <c r="H274" s="12">
        <v>1</v>
      </c>
      <c r="I274" s="12">
        <v>-1</v>
      </c>
      <c r="J274" s="23">
        <v>1</v>
      </c>
      <c r="K274" s="23">
        <v>-1</v>
      </c>
      <c r="L274" s="9">
        <f t="shared" si="57"/>
        <v>5.0464070106939728E-2</v>
      </c>
      <c r="M274" s="9">
        <f t="shared" si="50"/>
        <v>0</v>
      </c>
      <c r="N274" s="9">
        <f t="shared" si="51"/>
        <v>-3.3990149814473548E-2</v>
      </c>
      <c r="O274" s="9">
        <f t="shared" si="52"/>
        <v>0</v>
      </c>
      <c r="P274" s="9">
        <f t="shared" si="53"/>
        <v>0</v>
      </c>
      <c r="Q274" s="9">
        <f t="shared" si="54"/>
        <v>0.10351692435420581</v>
      </c>
      <c r="R274" s="9">
        <f t="shared" si="55"/>
        <v>0</v>
      </c>
      <c r="S274" s="9">
        <f t="shared" si="56"/>
        <v>-0.10351692435420581</v>
      </c>
      <c r="T274" s="10">
        <f t="shared" si="49"/>
        <v>0.88433860100186001</v>
      </c>
      <c r="U274" s="10">
        <f t="shared" si="49"/>
        <v>0.17430746719997761</v>
      </c>
      <c r="V274" s="10">
        <f t="shared" si="49"/>
        <v>-0.32601459077893985</v>
      </c>
      <c r="W274" s="10">
        <f t="shared" si="48"/>
        <v>0.86422188403728295</v>
      </c>
      <c r="X274" s="10">
        <f t="shared" si="48"/>
        <v>0.89953173925925134</v>
      </c>
      <c r="Y274" s="10">
        <f t="shared" si="48"/>
        <v>0.10025270990303967</v>
      </c>
      <c r="Z274" s="10">
        <f t="shared" si="48"/>
        <v>-0.89953173925925134</v>
      </c>
      <c r="AA274" s="10">
        <f t="shared" si="48"/>
        <v>-0.10025270990303967</v>
      </c>
      <c r="AB274" s="7">
        <f t="shared" si="58"/>
        <v>1.5968533614601819</v>
      </c>
      <c r="AC274" s="7">
        <v>2.6438352333767021</v>
      </c>
      <c r="AF274" s="7">
        <v>3.8757023079712885</v>
      </c>
    </row>
    <row r="275" spans="1:32" x14ac:dyDescent="0.25">
      <c r="A275" s="6">
        <v>45778</v>
      </c>
      <c r="B275" s="7">
        <v>6.0949225706794605E-2</v>
      </c>
      <c r="C275" s="7">
        <v>0.10957911041744683</v>
      </c>
      <c r="D275" s="7">
        <v>1.1141170220970385E-2</v>
      </c>
      <c r="E275" s="7">
        <v>2.713825197772381E-2</v>
      </c>
      <c r="F275" s="7">
        <v>1.1849305622369077E-2</v>
      </c>
      <c r="G275" s="7">
        <v>-1.4030753308767668E-2</v>
      </c>
      <c r="H275" s="12">
        <v>-1</v>
      </c>
      <c r="I275" s="12">
        <v>-1</v>
      </c>
      <c r="J275" s="23">
        <v>-1</v>
      </c>
      <c r="K275" s="23">
        <v>-1</v>
      </c>
      <c r="L275" s="9">
        <f t="shared" si="57"/>
        <v>0</v>
      </c>
      <c r="M275" s="9">
        <f t="shared" si="50"/>
        <v>-1.1141170220970385E-2</v>
      </c>
      <c r="N275" s="9">
        <f t="shared" si="51"/>
        <v>0</v>
      </c>
      <c r="O275" s="9">
        <f t="shared" si="52"/>
        <v>2.713825197772381E-2</v>
      </c>
      <c r="P275" s="9">
        <f t="shared" si="53"/>
        <v>0</v>
      </c>
      <c r="Q275" s="9">
        <f t="shared" si="54"/>
        <v>-1.1849305622369077E-2</v>
      </c>
      <c r="R275" s="9">
        <f t="shared" si="55"/>
        <v>0</v>
      </c>
      <c r="S275" s="9">
        <f t="shared" si="56"/>
        <v>1.1849305622369077E-2</v>
      </c>
      <c r="T275" s="10">
        <f t="shared" si="49"/>
        <v>0.88433860100186001</v>
      </c>
      <c r="U275" s="10">
        <f t="shared" si="49"/>
        <v>0.16316629697900722</v>
      </c>
      <c r="V275" s="10">
        <f t="shared" si="49"/>
        <v>-0.32601459077893985</v>
      </c>
      <c r="W275" s="10">
        <f t="shared" si="48"/>
        <v>0.89136013601500674</v>
      </c>
      <c r="X275" s="10">
        <f t="shared" si="48"/>
        <v>0.89953173925925134</v>
      </c>
      <c r="Y275" s="10">
        <f t="shared" si="48"/>
        <v>8.8403404280670589E-2</v>
      </c>
      <c r="Z275" s="10">
        <f t="shared" si="48"/>
        <v>-0.89953173925925134</v>
      </c>
      <c r="AA275" s="10">
        <f t="shared" si="48"/>
        <v>-8.8403404280670589E-2</v>
      </c>
      <c r="AB275" s="7">
        <f t="shared" si="58"/>
        <v>1.6128504432169353</v>
      </c>
      <c r="AC275" s="7">
        <v>2.7060042862219729</v>
      </c>
      <c r="AF275" s="7">
        <v>3.8658193307969051</v>
      </c>
    </row>
    <row r="276" spans="1:32" x14ac:dyDescent="0.25">
      <c r="A276" s="6">
        <v>45809</v>
      </c>
      <c r="B276" s="7">
        <v>5.0109422082739628E-2</v>
      </c>
      <c r="C276" s="7">
        <v>1.1664630776718258E-2</v>
      </c>
      <c r="D276" s="7">
        <v>2.9066005384365462E-2</v>
      </c>
      <c r="E276" s="7">
        <v>1.6912792689625568E-2</v>
      </c>
      <c r="F276" s="7">
        <v>1.6407174187849045E-2</v>
      </c>
      <c r="G276" s="7">
        <v>-7.1216753098330733E-3</v>
      </c>
      <c r="H276" s="12">
        <v>-1</v>
      </c>
      <c r="I276" s="12">
        <v>1</v>
      </c>
      <c r="J276" s="23">
        <v>-1</v>
      </c>
      <c r="K276" s="23">
        <v>1</v>
      </c>
      <c r="L276" s="9">
        <f t="shared" si="57"/>
        <v>0</v>
      </c>
      <c r="M276" s="9">
        <f t="shared" si="50"/>
        <v>-2.9066005384365462E-2</v>
      </c>
      <c r="N276" s="9">
        <f t="shared" si="51"/>
        <v>0</v>
      </c>
      <c r="O276" s="9">
        <f t="shared" si="52"/>
        <v>1.6912792689625568E-2</v>
      </c>
      <c r="P276" s="9">
        <f t="shared" si="53"/>
        <v>1.6407174187849045E-2</v>
      </c>
      <c r="Q276" s="9">
        <f t="shared" si="54"/>
        <v>0</v>
      </c>
      <c r="R276" s="9">
        <f t="shared" si="55"/>
        <v>-1.6407174187849045E-2</v>
      </c>
      <c r="S276" s="9">
        <f t="shared" si="56"/>
        <v>0</v>
      </c>
      <c r="T276" s="10">
        <f t="shared" si="49"/>
        <v>0.88433860100186001</v>
      </c>
      <c r="U276" s="10">
        <f t="shared" si="49"/>
        <v>0.13410029159464176</v>
      </c>
      <c r="V276" s="10">
        <f t="shared" si="49"/>
        <v>-0.32601459077893985</v>
      </c>
      <c r="W276" s="10">
        <f t="shared" si="48"/>
        <v>0.90827292870463228</v>
      </c>
      <c r="X276" s="10">
        <f t="shared" si="48"/>
        <v>0.91593891344710043</v>
      </c>
      <c r="Y276" s="10">
        <f t="shared" si="48"/>
        <v>8.8403404280670589E-2</v>
      </c>
      <c r="Z276" s="10">
        <f t="shared" si="48"/>
        <v>-0.91593891344710043</v>
      </c>
      <c r="AA276" s="10">
        <f t="shared" si="48"/>
        <v>-8.8403404280670589E-2</v>
      </c>
      <c r="AB276" s="7">
        <f t="shared" si="58"/>
        <v>1.6006972305221954</v>
      </c>
      <c r="AC276" s="7">
        <v>2.7565490644019581</v>
      </c>
      <c r="AF276" s="7">
        <v>3.8771949675998472</v>
      </c>
    </row>
    <row r="277" spans="1:32" x14ac:dyDescent="0.25">
      <c r="A277" s="6">
        <v>45839</v>
      </c>
      <c r="B277" s="7">
        <v>2.2770325416294181E-2</v>
      </c>
      <c r="C277" s="7">
        <v>3.3737406528080702E-2</v>
      </c>
      <c r="D277" s="7">
        <v>5.1073623354443189E-3</v>
      </c>
      <c r="E277" s="7">
        <v>4.6125415532246722E-3</v>
      </c>
      <c r="F277" s="7">
        <v>4.0220880825346979E-3</v>
      </c>
      <c r="G277" s="7">
        <v>-2.1753909381793265E-2</v>
      </c>
      <c r="H277" s="12">
        <v>-1</v>
      </c>
      <c r="I277" s="12">
        <v>1</v>
      </c>
      <c r="J277" s="23">
        <v>-1</v>
      </c>
      <c r="K277" s="23">
        <v>1</v>
      </c>
      <c r="L277" s="9">
        <f t="shared" si="57"/>
        <v>0</v>
      </c>
      <c r="M277" s="9">
        <f t="shared" si="50"/>
        <v>-5.1073623354443189E-3</v>
      </c>
      <c r="N277" s="9">
        <f t="shared" si="51"/>
        <v>0</v>
      </c>
      <c r="O277" s="9">
        <f t="shared" si="52"/>
        <v>4.6125415532246722E-3</v>
      </c>
      <c r="P277" s="9">
        <f t="shared" si="53"/>
        <v>4.0220880825346979E-3</v>
      </c>
      <c r="Q277" s="9">
        <f t="shared" si="54"/>
        <v>0</v>
      </c>
      <c r="R277" s="9">
        <f t="shared" si="55"/>
        <v>-4.0220880825346979E-3</v>
      </c>
      <c r="S277" s="9">
        <f t="shared" si="56"/>
        <v>0</v>
      </c>
      <c r="T277" s="10">
        <f t="shared" si="49"/>
        <v>0.88433860100186001</v>
      </c>
      <c r="U277" s="10">
        <f t="shared" si="49"/>
        <v>0.12899292925919745</v>
      </c>
      <c r="V277" s="10">
        <f t="shared" si="49"/>
        <v>-0.32601459077893985</v>
      </c>
      <c r="W277" s="10">
        <f t="shared" si="48"/>
        <v>0.91288547025785693</v>
      </c>
      <c r="X277" s="10">
        <f t="shared" si="48"/>
        <v>0.91996100152963511</v>
      </c>
      <c r="Y277" s="10">
        <f t="shared" si="48"/>
        <v>8.8403404280670589E-2</v>
      </c>
      <c r="Z277" s="10">
        <f t="shared" si="48"/>
        <v>-0.91996100152963511</v>
      </c>
      <c r="AA277" s="10">
        <f t="shared" si="48"/>
        <v>-8.8403404280670589E-2</v>
      </c>
      <c r="AB277" s="7">
        <f t="shared" si="58"/>
        <v>1.6002024097399756</v>
      </c>
      <c r="AC277" s="7">
        <v>2.7795102426250078</v>
      </c>
      <c r="AF277" s="7">
        <v>3.9024761442819553</v>
      </c>
    </row>
    <row r="278" spans="1:32" x14ac:dyDescent="0.25">
      <c r="A278" s="6">
        <v>45870</v>
      </c>
      <c r="B278" s="7">
        <v>9.4946638684212728E-3</v>
      </c>
      <c r="C278" s="7">
        <v>6.6001117953861342E-3</v>
      </c>
      <c r="D278" s="7">
        <v>0</v>
      </c>
      <c r="E278" s="7">
        <v>0</v>
      </c>
      <c r="F278" s="7">
        <v>2.6889009812874562E-4</v>
      </c>
      <c r="G278" s="7">
        <v>1.2406993948444583E-2</v>
      </c>
      <c r="H278" s="12">
        <v>-1</v>
      </c>
      <c r="I278" s="12">
        <v>1</v>
      </c>
      <c r="J278" s="23">
        <v>-1</v>
      </c>
      <c r="K278" s="23">
        <v>1</v>
      </c>
      <c r="L278" s="9">
        <f t="shared" si="57"/>
        <v>0</v>
      </c>
      <c r="M278" s="9">
        <f t="shared" si="50"/>
        <v>0</v>
      </c>
      <c r="N278" s="9">
        <f t="shared" si="51"/>
        <v>0</v>
      </c>
      <c r="O278" s="9">
        <f t="shared" si="52"/>
        <v>0</v>
      </c>
      <c r="P278" s="9">
        <f t="shared" si="53"/>
        <v>2.6889009812874562E-4</v>
      </c>
      <c r="Q278" s="9">
        <f t="shared" si="54"/>
        <v>0</v>
      </c>
      <c r="R278" s="9">
        <f t="shared" si="55"/>
        <v>-2.6889009812874562E-4</v>
      </c>
      <c r="S278" s="9">
        <f t="shared" si="56"/>
        <v>0</v>
      </c>
      <c r="T278" s="15">
        <f t="shared" si="49"/>
        <v>0.88433860100186001</v>
      </c>
      <c r="U278" s="15">
        <f t="shared" si="49"/>
        <v>0.12899292925919745</v>
      </c>
      <c r="V278" s="15">
        <f t="shared" si="49"/>
        <v>-0.32601459077893985</v>
      </c>
      <c r="W278" s="15">
        <f t="shared" si="48"/>
        <v>0.91288547025785693</v>
      </c>
      <c r="X278" s="15">
        <f t="shared" si="48"/>
        <v>0.92022989162776381</v>
      </c>
      <c r="Y278" s="15">
        <f t="shared" si="48"/>
        <v>8.8403404280670589E-2</v>
      </c>
      <c r="Z278" s="19">
        <f t="shared" si="48"/>
        <v>-0.92022989162776381</v>
      </c>
      <c r="AA278" s="19">
        <f t="shared" si="48"/>
        <v>-8.8403404280670589E-2</v>
      </c>
      <c r="AB278" s="19">
        <f t="shared" si="58"/>
        <v>1.6002024097399756</v>
      </c>
      <c r="AC278" s="7">
        <v>2.8004000561701399</v>
      </c>
      <c r="AF278" s="7">
        <v>3.8903380404316397</v>
      </c>
    </row>
    <row r="279" spans="1:32" x14ac:dyDescent="0.25">
      <c r="AF279" s="7">
        <v>3.8650610404316397</v>
      </c>
    </row>
    <row r="280" spans="1:32" x14ac:dyDescent="0.25">
      <c r="AF280" s="7">
        <v>3.9017740404316399</v>
      </c>
    </row>
    <row r="292" spans="1:21" x14ac:dyDescent="0.25">
      <c r="A292" s="6">
        <v>45901</v>
      </c>
      <c r="B292" s="7">
        <v>3.5234000000000001E-2</v>
      </c>
      <c r="C292" s="7">
        <v>7.9579999999999998E-3</v>
      </c>
      <c r="D292" s="7">
        <v>-9.3199999999999999E-4</v>
      </c>
      <c r="E292" s="7">
        <v>7.5950000000000002E-3</v>
      </c>
      <c r="F292" s="7">
        <v>5.927E-3</v>
      </c>
      <c r="G292" s="7">
        <v>3.9731000000000002E-2</v>
      </c>
      <c r="T292" s="7" t="s">
        <v>35</v>
      </c>
    </row>
    <row r="293" spans="1:21" x14ac:dyDescent="0.25">
      <c r="A293" s="6">
        <v>45931</v>
      </c>
      <c r="B293" s="7">
        <v>3.2113000000000003E-2</v>
      </c>
      <c r="C293" s="7">
        <v>-2.4447E-2</v>
      </c>
      <c r="D293" s="7">
        <v>2.3838000000000002E-2</v>
      </c>
      <c r="E293" s="7">
        <v>-9.8560000000000002E-3</v>
      </c>
      <c r="F293" s="7">
        <v>4.4229999999999998E-3</v>
      </c>
      <c r="G293" s="7">
        <v>1.4040000000000001E-3</v>
      </c>
      <c r="T293" s="17" t="s">
        <v>34</v>
      </c>
      <c r="U293" s="13"/>
    </row>
    <row r="294" spans="1:21" x14ac:dyDescent="0.25">
      <c r="T294" s="21" t="s">
        <v>32</v>
      </c>
      <c r="U294" s="22"/>
    </row>
    <row r="295" spans="1:21" x14ac:dyDescent="0.25">
      <c r="T295" s="19" t="s">
        <v>33</v>
      </c>
      <c r="U29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py_v2</vt:lpstr>
      <vt:lpstr>py_v2_raw_py</vt:lpstr>
      <vt:lpstr>py_v2_raw_xl_calc</vt:lpstr>
      <vt:lpstr>py_v2_raw_xl_calc_xl_signal</vt:lpstr>
      <vt:lpstr>xl_data_xl_sign_xl_calc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Simone Calligaro</cp:lastModifiedBy>
  <dcterms:created xsi:type="dcterms:W3CDTF">2025-11-04T16:55:36Z</dcterms:created>
  <dcterms:modified xsi:type="dcterms:W3CDTF">2025-11-04T20:09:21Z</dcterms:modified>
</cp:coreProperties>
</file>