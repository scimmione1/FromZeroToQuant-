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/FromZeroToQuant-/09_papers/01_The Unintended Consequences of Rebalancing/"/>
    </mc:Choice>
  </mc:AlternateContent>
  <xr:revisionPtr revIDLastSave="75" documentId="11_2D2599ACD567E8DFE54878D6425DCE3A8743AFB5" xr6:coauthVersionLast="47" xr6:coauthVersionMax="47" xr10:uidLastSave="{C308E8F9-9C42-4BE1-9C5F-9C2B5589D4F5}"/>
  <bookViews>
    <workbookView xWindow="-120" yWindow="-120" windowWidth="29040" windowHeight="17520" activeTab="4" xr2:uid="{00000000-000D-0000-FFFF-FFFF00000000}"/>
  </bookViews>
  <sheets>
    <sheet name="Sheet1" sheetId="1" r:id="rId1"/>
    <sheet name="Sheet2" sheetId="2" r:id="rId2"/>
    <sheet name="Sheet1 (2)" sheetId="3" r:id="rId3"/>
    <sheet name="Sheet2 (2)" sheetId="4" r:id="rId4"/>
    <sheet name="signals comparison" sheetId="5" r:id="rId5"/>
  </sheets>
  <externalReferences>
    <externalReference r:id="rId6"/>
  </externalReferences>
  <definedNames>
    <definedName name="_xlnm._FilterDatabase" localSheetId="4" hidden="1">'signals comparison'!$G$1:$H$278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9" i="5" l="1"/>
  <c r="C279" i="5"/>
  <c r="D279" i="5"/>
  <c r="E279" i="5"/>
  <c r="H278" i="5"/>
  <c r="G278" i="5"/>
  <c r="H277" i="5"/>
  <c r="G277" i="5"/>
  <c r="H276" i="5"/>
  <c r="G276" i="5"/>
  <c r="H275" i="5"/>
  <c r="G275" i="5"/>
  <c r="H274" i="5"/>
  <c r="G274" i="5"/>
  <c r="H273" i="5"/>
  <c r="G273" i="5"/>
  <c r="H272" i="5"/>
  <c r="G272" i="5"/>
  <c r="H271" i="5"/>
  <c r="G271" i="5"/>
  <c r="H270" i="5"/>
  <c r="G270" i="5"/>
  <c r="H269" i="5"/>
  <c r="G269" i="5"/>
  <c r="H268" i="5"/>
  <c r="G268" i="5"/>
  <c r="H267" i="5"/>
  <c r="G267" i="5"/>
  <c r="H266" i="5"/>
  <c r="G266" i="5"/>
  <c r="H265" i="5"/>
  <c r="G265" i="5"/>
  <c r="H264" i="5"/>
  <c r="G264" i="5"/>
  <c r="H263" i="5"/>
  <c r="G263" i="5"/>
  <c r="H262" i="5"/>
  <c r="G262" i="5"/>
  <c r="H261" i="5"/>
  <c r="G261" i="5"/>
  <c r="H260" i="5"/>
  <c r="G260" i="5"/>
  <c r="H259" i="5"/>
  <c r="G259" i="5"/>
  <c r="H258" i="5"/>
  <c r="G258" i="5"/>
  <c r="H257" i="5"/>
  <c r="G257" i="5"/>
  <c r="H256" i="5"/>
  <c r="G256" i="5"/>
  <c r="H255" i="5"/>
  <c r="G255" i="5"/>
  <c r="H254" i="5"/>
  <c r="G254" i="5"/>
  <c r="H253" i="5"/>
  <c r="G253" i="5"/>
  <c r="H252" i="5"/>
  <c r="G252" i="5"/>
  <c r="H251" i="5"/>
  <c r="G251" i="5"/>
  <c r="H250" i="5"/>
  <c r="G250" i="5"/>
  <c r="H249" i="5"/>
  <c r="G249" i="5"/>
  <c r="H248" i="5"/>
  <c r="G248" i="5"/>
  <c r="H247" i="5"/>
  <c r="G247" i="5"/>
  <c r="H246" i="5"/>
  <c r="G246" i="5"/>
  <c r="H245" i="5"/>
  <c r="G245" i="5"/>
  <c r="H244" i="5"/>
  <c r="G244" i="5"/>
  <c r="H243" i="5"/>
  <c r="G243" i="5"/>
  <c r="H242" i="5"/>
  <c r="G242" i="5"/>
  <c r="H241" i="5"/>
  <c r="G241" i="5"/>
  <c r="H240" i="5"/>
  <c r="G240" i="5"/>
  <c r="H239" i="5"/>
  <c r="G239" i="5"/>
  <c r="H238" i="5"/>
  <c r="G238" i="5"/>
  <c r="H237" i="5"/>
  <c r="G237" i="5"/>
  <c r="H236" i="5"/>
  <c r="G236" i="5"/>
  <c r="H235" i="5"/>
  <c r="G235" i="5"/>
  <c r="H234" i="5"/>
  <c r="G234" i="5"/>
  <c r="H233" i="5"/>
  <c r="G233" i="5"/>
  <c r="H232" i="5"/>
  <c r="G232" i="5"/>
  <c r="H231" i="5"/>
  <c r="G231" i="5"/>
  <c r="H230" i="5"/>
  <c r="G230" i="5"/>
  <c r="H229" i="5"/>
  <c r="G229" i="5"/>
  <c r="H228" i="5"/>
  <c r="G228" i="5"/>
  <c r="H227" i="5"/>
  <c r="G227" i="5"/>
  <c r="H226" i="5"/>
  <c r="G226" i="5"/>
  <c r="H225" i="5"/>
  <c r="G225" i="5"/>
  <c r="H224" i="5"/>
  <c r="G224" i="5"/>
  <c r="H223" i="5"/>
  <c r="G223" i="5"/>
  <c r="H222" i="5"/>
  <c r="G222" i="5"/>
  <c r="H221" i="5"/>
  <c r="G221" i="5"/>
  <c r="H220" i="5"/>
  <c r="G220" i="5"/>
  <c r="H219" i="5"/>
  <c r="G219" i="5"/>
  <c r="H218" i="5"/>
  <c r="G218" i="5"/>
  <c r="H217" i="5"/>
  <c r="G217" i="5"/>
  <c r="H216" i="5"/>
  <c r="G216" i="5"/>
  <c r="H215" i="5"/>
  <c r="G215" i="5"/>
  <c r="H214" i="5"/>
  <c r="G214" i="5"/>
  <c r="H213" i="5"/>
  <c r="G213" i="5"/>
  <c r="H212" i="5"/>
  <c r="G212" i="5"/>
  <c r="H211" i="5"/>
  <c r="G211" i="5"/>
  <c r="H210" i="5"/>
  <c r="G210" i="5"/>
  <c r="H209" i="5"/>
  <c r="G209" i="5"/>
  <c r="H208" i="5"/>
  <c r="G208" i="5"/>
  <c r="H207" i="5"/>
  <c r="G207" i="5"/>
  <c r="H206" i="5"/>
  <c r="G206" i="5"/>
  <c r="H205" i="5"/>
  <c r="G205" i="5"/>
  <c r="H204" i="5"/>
  <c r="G204" i="5"/>
  <c r="H203" i="5"/>
  <c r="G203" i="5"/>
  <c r="H202" i="5"/>
  <c r="G202" i="5"/>
  <c r="H201" i="5"/>
  <c r="G201" i="5"/>
  <c r="H200" i="5"/>
  <c r="G200" i="5"/>
  <c r="H199" i="5"/>
  <c r="G199" i="5"/>
  <c r="H198" i="5"/>
  <c r="G198" i="5"/>
  <c r="H197" i="5"/>
  <c r="G197" i="5"/>
  <c r="H196" i="5"/>
  <c r="G196" i="5"/>
  <c r="H195" i="5"/>
  <c r="G195" i="5"/>
  <c r="H194" i="5"/>
  <c r="G194" i="5"/>
  <c r="H193" i="5"/>
  <c r="G193" i="5"/>
  <c r="H192" i="5"/>
  <c r="G192" i="5"/>
  <c r="H191" i="5"/>
  <c r="G191" i="5"/>
  <c r="H190" i="5"/>
  <c r="G190" i="5"/>
  <c r="H189" i="5"/>
  <c r="G189" i="5"/>
  <c r="H188" i="5"/>
  <c r="G188" i="5"/>
  <c r="H187" i="5"/>
  <c r="G187" i="5"/>
  <c r="H186" i="5"/>
  <c r="G186" i="5"/>
  <c r="H185" i="5"/>
  <c r="G185" i="5"/>
  <c r="H184" i="5"/>
  <c r="G184" i="5"/>
  <c r="H183" i="5"/>
  <c r="G183" i="5"/>
  <c r="H182" i="5"/>
  <c r="G182" i="5"/>
  <c r="H181" i="5"/>
  <c r="G181" i="5"/>
  <c r="H180" i="5"/>
  <c r="G180" i="5"/>
  <c r="H179" i="5"/>
  <c r="G179" i="5"/>
  <c r="H178" i="5"/>
  <c r="G178" i="5"/>
  <c r="H177" i="5"/>
  <c r="G177" i="5"/>
  <c r="H176" i="5"/>
  <c r="G176" i="5"/>
  <c r="H175" i="5"/>
  <c r="G175" i="5"/>
  <c r="H174" i="5"/>
  <c r="G174" i="5"/>
  <c r="H173" i="5"/>
  <c r="G173" i="5"/>
  <c r="H172" i="5"/>
  <c r="G172" i="5"/>
  <c r="H171" i="5"/>
  <c r="G171" i="5"/>
  <c r="H170" i="5"/>
  <c r="G170" i="5"/>
  <c r="H169" i="5"/>
  <c r="G169" i="5"/>
  <c r="H168" i="5"/>
  <c r="G168" i="5"/>
  <c r="H167" i="5"/>
  <c r="G167" i="5"/>
  <c r="H166" i="5"/>
  <c r="G166" i="5"/>
  <c r="H165" i="5"/>
  <c r="G165" i="5"/>
  <c r="H164" i="5"/>
  <c r="G164" i="5"/>
  <c r="H163" i="5"/>
  <c r="G163" i="5"/>
  <c r="H162" i="5"/>
  <c r="G162" i="5"/>
  <c r="H161" i="5"/>
  <c r="G161" i="5"/>
  <c r="H160" i="5"/>
  <c r="G160" i="5"/>
  <c r="H159" i="5"/>
  <c r="G159" i="5"/>
  <c r="H158" i="5"/>
  <c r="G158" i="5"/>
  <c r="H157" i="5"/>
  <c r="G157" i="5"/>
  <c r="H156" i="5"/>
  <c r="G156" i="5"/>
  <c r="H155" i="5"/>
  <c r="G155" i="5"/>
  <c r="H154" i="5"/>
  <c r="G154" i="5"/>
  <c r="H153" i="5"/>
  <c r="G153" i="5"/>
  <c r="H152" i="5"/>
  <c r="G152" i="5"/>
  <c r="H151" i="5"/>
  <c r="G151" i="5"/>
  <c r="H150" i="5"/>
  <c r="G150" i="5"/>
  <c r="H149" i="5"/>
  <c r="G149" i="5"/>
  <c r="H148" i="5"/>
  <c r="G148" i="5"/>
  <c r="H147" i="5"/>
  <c r="G147" i="5"/>
  <c r="H146" i="5"/>
  <c r="G146" i="5"/>
  <c r="H145" i="5"/>
  <c r="G145" i="5"/>
  <c r="H144" i="5"/>
  <c r="G144" i="5"/>
  <c r="H143" i="5"/>
  <c r="G143" i="5"/>
  <c r="H142" i="5"/>
  <c r="G142" i="5"/>
  <c r="H141" i="5"/>
  <c r="G141" i="5"/>
  <c r="H140" i="5"/>
  <c r="G140" i="5"/>
  <c r="H139" i="5"/>
  <c r="G139" i="5"/>
  <c r="H138" i="5"/>
  <c r="G138" i="5"/>
  <c r="H137" i="5"/>
  <c r="G137" i="5"/>
  <c r="H136" i="5"/>
  <c r="G136" i="5"/>
  <c r="H135" i="5"/>
  <c r="G135" i="5"/>
  <c r="H134" i="5"/>
  <c r="G134" i="5"/>
  <c r="H133" i="5"/>
  <c r="G133" i="5"/>
  <c r="H132" i="5"/>
  <c r="G132" i="5"/>
  <c r="H131" i="5"/>
  <c r="G131" i="5"/>
  <c r="H130" i="5"/>
  <c r="G130" i="5"/>
  <c r="H129" i="5"/>
  <c r="G129" i="5"/>
  <c r="H128" i="5"/>
  <c r="G128" i="5"/>
  <c r="H127" i="5"/>
  <c r="G127" i="5"/>
  <c r="H126" i="5"/>
  <c r="G126" i="5"/>
  <c r="H125" i="5"/>
  <c r="G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G2" i="5"/>
  <c r="Q280" i="2"/>
  <c r="P280" i="2"/>
  <c r="I280" i="2"/>
  <c r="O280" i="2" s="1"/>
  <c r="H280" i="2"/>
  <c r="K280" i="2" s="1"/>
  <c r="H279" i="2"/>
  <c r="K279" i="2" s="1"/>
  <c r="G278" i="2"/>
  <c r="F278" i="2"/>
  <c r="E278" i="2"/>
  <c r="D278" i="2"/>
  <c r="C278" i="2"/>
  <c r="I279" i="2" s="1"/>
  <c r="B278" i="2"/>
  <c r="A278" i="2"/>
  <c r="I277" i="2"/>
  <c r="Q277" i="2" s="1"/>
  <c r="H277" i="2"/>
  <c r="G277" i="2"/>
  <c r="F277" i="2"/>
  <c r="E277" i="2"/>
  <c r="D277" i="2"/>
  <c r="C277" i="2"/>
  <c r="I278" i="2" s="1"/>
  <c r="B277" i="2"/>
  <c r="A277" i="2"/>
  <c r="G276" i="2"/>
  <c r="F276" i="2"/>
  <c r="E276" i="2"/>
  <c r="D276" i="2"/>
  <c r="C276" i="2"/>
  <c r="H276" i="2" s="1"/>
  <c r="B276" i="2"/>
  <c r="A276" i="2"/>
  <c r="P275" i="2"/>
  <c r="G275" i="2"/>
  <c r="F275" i="2"/>
  <c r="E275" i="2"/>
  <c r="D275" i="2"/>
  <c r="C275" i="2"/>
  <c r="B275" i="2"/>
  <c r="A275" i="2"/>
  <c r="H274" i="2"/>
  <c r="M274" i="2" s="1"/>
  <c r="G274" i="2"/>
  <c r="F274" i="2"/>
  <c r="E274" i="2"/>
  <c r="D274" i="2"/>
  <c r="C274" i="2"/>
  <c r="I275" i="2" s="1"/>
  <c r="N275" i="2" s="1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H271" i="2"/>
  <c r="M271" i="2" s="1"/>
  <c r="G271" i="2"/>
  <c r="F271" i="2"/>
  <c r="E271" i="2"/>
  <c r="D271" i="2"/>
  <c r="C271" i="2"/>
  <c r="I272" i="2" s="1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I270" i="2" s="1"/>
  <c r="Q270" i="2" s="1"/>
  <c r="B269" i="2"/>
  <c r="A269" i="2"/>
  <c r="H268" i="2"/>
  <c r="G268" i="2"/>
  <c r="F268" i="2"/>
  <c r="E268" i="2"/>
  <c r="D268" i="2"/>
  <c r="C268" i="2"/>
  <c r="I269" i="2" s="1"/>
  <c r="B268" i="2"/>
  <c r="A268" i="2"/>
  <c r="G267" i="2"/>
  <c r="F267" i="2"/>
  <c r="E267" i="2"/>
  <c r="D267" i="2"/>
  <c r="C267" i="2"/>
  <c r="B267" i="2"/>
  <c r="A267" i="2"/>
  <c r="I266" i="2"/>
  <c r="G266" i="2"/>
  <c r="F266" i="2"/>
  <c r="E266" i="2"/>
  <c r="D266" i="2"/>
  <c r="C266" i="2"/>
  <c r="B266" i="2"/>
  <c r="A266" i="2"/>
  <c r="H265" i="2"/>
  <c r="J265" i="2" s="1"/>
  <c r="G265" i="2"/>
  <c r="F265" i="2"/>
  <c r="E265" i="2"/>
  <c r="D265" i="2"/>
  <c r="C265" i="2"/>
  <c r="B265" i="2"/>
  <c r="A265" i="2"/>
  <c r="G264" i="2"/>
  <c r="F264" i="2"/>
  <c r="E264" i="2"/>
  <c r="D264" i="2"/>
  <c r="C264" i="2"/>
  <c r="I265" i="2" s="1"/>
  <c r="B264" i="2"/>
  <c r="A264" i="2"/>
  <c r="G263" i="2"/>
  <c r="F263" i="2"/>
  <c r="E263" i="2"/>
  <c r="D263" i="2"/>
  <c r="C263" i="2"/>
  <c r="I264" i="2" s="1"/>
  <c r="O264" i="2" s="1"/>
  <c r="B263" i="2"/>
  <c r="A263" i="2"/>
  <c r="G262" i="2"/>
  <c r="F262" i="2"/>
  <c r="E262" i="2"/>
  <c r="D262" i="2"/>
  <c r="C262" i="2"/>
  <c r="H262" i="2" s="1"/>
  <c r="B262" i="2"/>
  <c r="A262" i="2"/>
  <c r="Q261" i="2"/>
  <c r="G261" i="2"/>
  <c r="P261" i="2" s="1"/>
  <c r="F261" i="2"/>
  <c r="E261" i="2"/>
  <c r="D261" i="2"/>
  <c r="C261" i="2"/>
  <c r="H261" i="2" s="1"/>
  <c r="J261" i="2" s="1"/>
  <c r="B261" i="2"/>
  <c r="A261" i="2"/>
  <c r="G260" i="2"/>
  <c r="F260" i="2"/>
  <c r="E260" i="2"/>
  <c r="D260" i="2"/>
  <c r="C260" i="2"/>
  <c r="I261" i="2" s="1"/>
  <c r="O261" i="2" s="1"/>
  <c r="B260" i="2"/>
  <c r="A260" i="2"/>
  <c r="G259" i="2"/>
  <c r="F259" i="2"/>
  <c r="E259" i="2"/>
  <c r="D259" i="2"/>
  <c r="C259" i="2"/>
  <c r="I260" i="2" s="1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H254" i="2"/>
  <c r="J254" i="2" s="1"/>
  <c r="G254" i="2"/>
  <c r="F254" i="2"/>
  <c r="E254" i="2"/>
  <c r="D254" i="2"/>
  <c r="C254" i="2"/>
  <c r="I255" i="2" s="1"/>
  <c r="B254" i="2"/>
  <c r="A254" i="2"/>
  <c r="G253" i="2"/>
  <c r="F253" i="2"/>
  <c r="E253" i="2"/>
  <c r="D253" i="2"/>
  <c r="C253" i="2"/>
  <c r="I254" i="2" s="1"/>
  <c r="B253" i="2"/>
  <c r="A253" i="2"/>
  <c r="G252" i="2"/>
  <c r="F252" i="2"/>
  <c r="E252" i="2"/>
  <c r="D252" i="2"/>
  <c r="C252" i="2"/>
  <c r="B252" i="2"/>
  <c r="A252" i="2"/>
  <c r="H251" i="2"/>
  <c r="G251" i="2"/>
  <c r="F251" i="2"/>
  <c r="E251" i="2"/>
  <c r="D251" i="2"/>
  <c r="C251" i="2"/>
  <c r="I252" i="2" s="1"/>
  <c r="Q252" i="2" s="1"/>
  <c r="B251" i="2"/>
  <c r="A251" i="2"/>
  <c r="G250" i="2"/>
  <c r="F250" i="2"/>
  <c r="E250" i="2"/>
  <c r="D250" i="2"/>
  <c r="C250" i="2"/>
  <c r="H250" i="2" s="1"/>
  <c r="J250" i="2" s="1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M247" i="2"/>
  <c r="G247" i="2"/>
  <c r="F247" i="2"/>
  <c r="E247" i="2"/>
  <c r="D247" i="2"/>
  <c r="C247" i="2"/>
  <c r="H247" i="2" s="1"/>
  <c r="L247" i="2" s="1"/>
  <c r="B247" i="2"/>
  <c r="A247" i="2"/>
  <c r="G246" i="2"/>
  <c r="F246" i="2"/>
  <c r="E246" i="2"/>
  <c r="D246" i="2"/>
  <c r="C246" i="2"/>
  <c r="B246" i="2"/>
  <c r="A246" i="2"/>
  <c r="H245" i="2"/>
  <c r="G245" i="2"/>
  <c r="F245" i="2"/>
  <c r="E245" i="2"/>
  <c r="D245" i="2"/>
  <c r="C245" i="2"/>
  <c r="I246" i="2" s="1"/>
  <c r="B245" i="2"/>
  <c r="A245" i="2"/>
  <c r="G244" i="2"/>
  <c r="F244" i="2"/>
  <c r="E244" i="2"/>
  <c r="D244" i="2"/>
  <c r="C244" i="2"/>
  <c r="H244" i="2" s="1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I242" i="2" s="1"/>
  <c r="Q242" i="2" s="1"/>
  <c r="B241" i="2"/>
  <c r="A241" i="2"/>
  <c r="G240" i="2"/>
  <c r="F240" i="2"/>
  <c r="E240" i="2"/>
  <c r="D240" i="2"/>
  <c r="C240" i="2"/>
  <c r="I241" i="2" s="1"/>
  <c r="N241" i="2" s="1"/>
  <c r="B240" i="2"/>
  <c r="A240" i="2"/>
  <c r="G239" i="2"/>
  <c r="F239" i="2"/>
  <c r="E239" i="2"/>
  <c r="D239" i="2"/>
  <c r="C239" i="2"/>
  <c r="H239" i="2" s="1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H236" i="2"/>
  <c r="G236" i="2"/>
  <c r="F236" i="2"/>
  <c r="E236" i="2"/>
  <c r="D236" i="2"/>
  <c r="C236" i="2"/>
  <c r="I237" i="2" s="1"/>
  <c r="B236" i="2"/>
  <c r="A236" i="2"/>
  <c r="I235" i="2"/>
  <c r="Q235" i="2" s="1"/>
  <c r="G235" i="2"/>
  <c r="F235" i="2"/>
  <c r="E235" i="2"/>
  <c r="D235" i="2"/>
  <c r="C235" i="2"/>
  <c r="I236" i="2" s="1"/>
  <c r="B235" i="2"/>
  <c r="A235" i="2"/>
  <c r="G234" i="2"/>
  <c r="F234" i="2"/>
  <c r="E234" i="2"/>
  <c r="D234" i="2"/>
  <c r="C234" i="2"/>
  <c r="H234" i="2" s="1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I233" i="2" s="1"/>
  <c r="B232" i="2"/>
  <c r="A232" i="2"/>
  <c r="G231" i="2"/>
  <c r="F231" i="2"/>
  <c r="E231" i="2"/>
  <c r="D231" i="2"/>
  <c r="C231" i="2"/>
  <c r="H231" i="2" s="1"/>
  <c r="B231" i="2"/>
  <c r="A231" i="2"/>
  <c r="G230" i="2"/>
  <c r="F230" i="2"/>
  <c r="E230" i="2"/>
  <c r="D230" i="2"/>
  <c r="C230" i="2"/>
  <c r="I231" i="2" s="1"/>
  <c r="Q231" i="2" s="1"/>
  <c r="B230" i="2"/>
  <c r="A230" i="2"/>
  <c r="H229" i="2"/>
  <c r="L229" i="2" s="1"/>
  <c r="G229" i="2"/>
  <c r="F229" i="2"/>
  <c r="E229" i="2"/>
  <c r="D229" i="2"/>
  <c r="C229" i="2"/>
  <c r="I230" i="2" s="1"/>
  <c r="P230" i="2" s="1"/>
  <c r="B229" i="2"/>
  <c r="A229" i="2"/>
  <c r="G228" i="2"/>
  <c r="F228" i="2"/>
  <c r="E228" i="2"/>
  <c r="D228" i="2"/>
  <c r="C228" i="2"/>
  <c r="I229" i="2" s="1"/>
  <c r="B228" i="2"/>
  <c r="A228" i="2"/>
  <c r="P227" i="2"/>
  <c r="G227" i="2"/>
  <c r="F227" i="2"/>
  <c r="E227" i="2"/>
  <c r="D227" i="2"/>
  <c r="C227" i="2"/>
  <c r="B227" i="2"/>
  <c r="A227" i="2"/>
  <c r="H226" i="2"/>
  <c r="K226" i="2" s="1"/>
  <c r="G226" i="2"/>
  <c r="F226" i="2"/>
  <c r="E226" i="2"/>
  <c r="M226" i="2" s="1"/>
  <c r="D226" i="2"/>
  <c r="C226" i="2"/>
  <c r="I227" i="2" s="1"/>
  <c r="N227" i="2" s="1"/>
  <c r="B226" i="2"/>
  <c r="A226" i="2"/>
  <c r="P225" i="2"/>
  <c r="N225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I225" i="2" s="1"/>
  <c r="O225" i="2" s="1"/>
  <c r="B224" i="2"/>
  <c r="A224" i="2"/>
  <c r="G223" i="2"/>
  <c r="F223" i="2"/>
  <c r="E223" i="2"/>
  <c r="D223" i="2"/>
  <c r="C223" i="2"/>
  <c r="B223" i="2"/>
  <c r="A223" i="2"/>
  <c r="H222" i="2"/>
  <c r="K222" i="2" s="1"/>
  <c r="G222" i="2"/>
  <c r="F222" i="2"/>
  <c r="E222" i="2"/>
  <c r="D222" i="2"/>
  <c r="C222" i="2"/>
  <c r="I223" i="2" s="1"/>
  <c r="P223" i="2" s="1"/>
  <c r="B222" i="2"/>
  <c r="A222" i="2"/>
  <c r="G221" i="2"/>
  <c r="F221" i="2"/>
  <c r="E221" i="2"/>
  <c r="D221" i="2"/>
  <c r="C221" i="2"/>
  <c r="H221" i="2" s="1"/>
  <c r="B221" i="2"/>
  <c r="A221" i="2"/>
  <c r="G220" i="2"/>
  <c r="F220" i="2"/>
  <c r="E220" i="2"/>
  <c r="D220" i="2"/>
  <c r="C220" i="2"/>
  <c r="H220" i="2" s="1"/>
  <c r="M220" i="2" s="1"/>
  <c r="B220" i="2"/>
  <c r="A220" i="2"/>
  <c r="H219" i="2"/>
  <c r="G219" i="2"/>
  <c r="F219" i="2"/>
  <c r="E219" i="2"/>
  <c r="D219" i="2"/>
  <c r="C219" i="2"/>
  <c r="I220" i="2" s="1"/>
  <c r="B219" i="2"/>
  <c r="A219" i="2"/>
  <c r="G218" i="2"/>
  <c r="F218" i="2"/>
  <c r="E218" i="2"/>
  <c r="D218" i="2"/>
  <c r="C218" i="2"/>
  <c r="H218" i="2" s="1"/>
  <c r="L218" i="2" s="1"/>
  <c r="B218" i="2"/>
  <c r="A218" i="2"/>
  <c r="G217" i="2"/>
  <c r="F217" i="2"/>
  <c r="E217" i="2"/>
  <c r="D217" i="2"/>
  <c r="C217" i="2"/>
  <c r="H217" i="2" s="1"/>
  <c r="L217" i="2" s="1"/>
  <c r="B217" i="2"/>
  <c r="A217" i="2"/>
  <c r="I216" i="2"/>
  <c r="N216" i="2" s="1"/>
  <c r="G216" i="2"/>
  <c r="F216" i="2"/>
  <c r="E216" i="2"/>
  <c r="D216" i="2"/>
  <c r="C216" i="2"/>
  <c r="I217" i="2" s="1"/>
  <c r="Q217" i="2" s="1"/>
  <c r="B216" i="2"/>
  <c r="A216" i="2"/>
  <c r="M215" i="2"/>
  <c r="H215" i="2"/>
  <c r="J215" i="2" s="1"/>
  <c r="G215" i="2"/>
  <c r="F215" i="2"/>
  <c r="E215" i="2"/>
  <c r="D215" i="2"/>
  <c r="C215" i="2"/>
  <c r="B215" i="2"/>
  <c r="A215" i="2"/>
  <c r="I214" i="2"/>
  <c r="G214" i="2"/>
  <c r="F214" i="2"/>
  <c r="E214" i="2"/>
  <c r="D214" i="2"/>
  <c r="C214" i="2"/>
  <c r="B214" i="2"/>
  <c r="A214" i="2"/>
  <c r="M213" i="2"/>
  <c r="G213" i="2"/>
  <c r="F213" i="2"/>
  <c r="E213" i="2"/>
  <c r="D213" i="2"/>
  <c r="C213" i="2"/>
  <c r="H213" i="2" s="1"/>
  <c r="K213" i="2" s="1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H211" i="2" s="1"/>
  <c r="B211" i="2"/>
  <c r="A211" i="2"/>
  <c r="G210" i="2"/>
  <c r="F210" i="2"/>
  <c r="E210" i="2"/>
  <c r="D210" i="2"/>
  <c r="C210" i="2"/>
  <c r="H210" i="2" s="1"/>
  <c r="K210" i="2" s="1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H208" i="2" s="1"/>
  <c r="B208" i="2"/>
  <c r="A208" i="2"/>
  <c r="G207" i="2"/>
  <c r="F207" i="2"/>
  <c r="E207" i="2"/>
  <c r="D207" i="2"/>
  <c r="C207" i="2"/>
  <c r="B207" i="2"/>
  <c r="A207" i="2"/>
  <c r="N206" i="2"/>
  <c r="G206" i="2"/>
  <c r="F206" i="2"/>
  <c r="E206" i="2"/>
  <c r="D206" i="2"/>
  <c r="C206" i="2"/>
  <c r="H206" i="2" s="1"/>
  <c r="M206" i="2" s="1"/>
  <c r="B206" i="2"/>
  <c r="A206" i="2"/>
  <c r="G205" i="2"/>
  <c r="F205" i="2"/>
  <c r="E205" i="2"/>
  <c r="D205" i="2"/>
  <c r="C205" i="2"/>
  <c r="I206" i="2" s="1"/>
  <c r="O206" i="2" s="1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I204" i="2" s="1"/>
  <c r="Q204" i="2" s="1"/>
  <c r="B203" i="2"/>
  <c r="A203" i="2"/>
  <c r="G202" i="2"/>
  <c r="F202" i="2"/>
  <c r="E202" i="2"/>
  <c r="D202" i="2"/>
  <c r="C202" i="2"/>
  <c r="I203" i="2" s="1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I199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H198" i="2" s="1"/>
  <c r="B198" i="2"/>
  <c r="A198" i="2"/>
  <c r="G197" i="2"/>
  <c r="F197" i="2"/>
  <c r="E197" i="2"/>
  <c r="D197" i="2"/>
  <c r="C197" i="2"/>
  <c r="H197" i="2" s="1"/>
  <c r="B197" i="2"/>
  <c r="A197" i="2"/>
  <c r="G196" i="2"/>
  <c r="F196" i="2"/>
  <c r="E196" i="2"/>
  <c r="D196" i="2"/>
  <c r="C196" i="2"/>
  <c r="B196" i="2"/>
  <c r="A196" i="2"/>
  <c r="L195" i="2"/>
  <c r="G195" i="2"/>
  <c r="F195" i="2"/>
  <c r="E195" i="2"/>
  <c r="D195" i="2"/>
  <c r="C195" i="2"/>
  <c r="H195" i="2" s="1"/>
  <c r="K195" i="2" s="1"/>
  <c r="B195" i="2"/>
  <c r="A195" i="2"/>
  <c r="J194" i="2"/>
  <c r="G194" i="2"/>
  <c r="F194" i="2"/>
  <c r="E194" i="2"/>
  <c r="D194" i="2"/>
  <c r="C194" i="2"/>
  <c r="H194" i="2" s="1"/>
  <c r="K194" i="2" s="1"/>
  <c r="B194" i="2"/>
  <c r="A194" i="2"/>
  <c r="G193" i="2"/>
  <c r="F193" i="2"/>
  <c r="E193" i="2"/>
  <c r="D193" i="2"/>
  <c r="C193" i="2"/>
  <c r="H193" i="2" s="1"/>
  <c r="B193" i="2"/>
  <c r="A193" i="2"/>
  <c r="J192" i="2"/>
  <c r="H192" i="2"/>
  <c r="L192" i="2" s="1"/>
  <c r="G192" i="2"/>
  <c r="F192" i="2"/>
  <c r="E192" i="2"/>
  <c r="D192" i="2"/>
  <c r="C192" i="2"/>
  <c r="I193" i="2" s="1"/>
  <c r="Q193" i="2" s="1"/>
  <c r="B192" i="2"/>
  <c r="A192" i="2"/>
  <c r="G191" i="2"/>
  <c r="F191" i="2"/>
  <c r="N191" i="2" s="1"/>
  <c r="E191" i="2"/>
  <c r="D191" i="2"/>
  <c r="C191" i="2"/>
  <c r="B191" i="2"/>
  <c r="A191" i="2"/>
  <c r="G190" i="2"/>
  <c r="F190" i="2"/>
  <c r="E190" i="2"/>
  <c r="D190" i="2"/>
  <c r="C190" i="2"/>
  <c r="I191" i="2" s="1"/>
  <c r="Q191" i="2" s="1"/>
  <c r="B190" i="2"/>
  <c r="A190" i="2"/>
  <c r="K189" i="2"/>
  <c r="G189" i="2"/>
  <c r="F189" i="2"/>
  <c r="E189" i="2"/>
  <c r="D189" i="2"/>
  <c r="C189" i="2"/>
  <c r="H189" i="2" s="1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I187" i="2" s="1"/>
  <c r="P187" i="2" s="1"/>
  <c r="B186" i="2"/>
  <c r="A186" i="2"/>
  <c r="H185" i="2"/>
  <c r="J185" i="2" s="1"/>
  <c r="G185" i="2"/>
  <c r="F185" i="2"/>
  <c r="E185" i="2"/>
  <c r="D185" i="2"/>
  <c r="C185" i="2"/>
  <c r="I186" i="2" s="1"/>
  <c r="B185" i="2"/>
  <c r="A185" i="2"/>
  <c r="G184" i="2"/>
  <c r="F184" i="2"/>
  <c r="E184" i="2"/>
  <c r="D184" i="2"/>
  <c r="C184" i="2"/>
  <c r="I185" i="2" s="1"/>
  <c r="B184" i="2"/>
  <c r="A184" i="2"/>
  <c r="G183" i="2"/>
  <c r="F183" i="2"/>
  <c r="E183" i="2"/>
  <c r="D183" i="2"/>
  <c r="C183" i="2"/>
  <c r="H183" i="2" s="1"/>
  <c r="L183" i="2" s="1"/>
  <c r="B183" i="2"/>
  <c r="A183" i="2"/>
  <c r="G182" i="2"/>
  <c r="F182" i="2"/>
  <c r="E182" i="2"/>
  <c r="D182" i="2"/>
  <c r="C182" i="2"/>
  <c r="I183" i="2" s="1"/>
  <c r="O183" i="2" s="1"/>
  <c r="B182" i="2"/>
  <c r="A182" i="2"/>
  <c r="G181" i="2"/>
  <c r="F181" i="2"/>
  <c r="E181" i="2"/>
  <c r="D181" i="2"/>
  <c r="C181" i="2"/>
  <c r="H181" i="2" s="1"/>
  <c r="B181" i="2"/>
  <c r="A181" i="2"/>
  <c r="G180" i="2"/>
  <c r="F180" i="2"/>
  <c r="E180" i="2"/>
  <c r="D180" i="2"/>
  <c r="C180" i="2"/>
  <c r="B180" i="2"/>
  <c r="A180" i="2"/>
  <c r="H179" i="2"/>
  <c r="K179" i="2" s="1"/>
  <c r="G179" i="2"/>
  <c r="F179" i="2"/>
  <c r="E179" i="2"/>
  <c r="D179" i="2"/>
  <c r="C179" i="2"/>
  <c r="I180" i="2" s="1"/>
  <c r="O180" i="2" s="1"/>
  <c r="B179" i="2"/>
  <c r="A179" i="2"/>
  <c r="G178" i="2"/>
  <c r="F178" i="2"/>
  <c r="E178" i="2"/>
  <c r="D178" i="2"/>
  <c r="C178" i="2"/>
  <c r="H178" i="2" s="1"/>
  <c r="L178" i="2" s="1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H175" i="2" s="1"/>
  <c r="B175" i="2"/>
  <c r="A175" i="2"/>
  <c r="G174" i="2"/>
  <c r="F174" i="2"/>
  <c r="E174" i="2"/>
  <c r="D174" i="2"/>
  <c r="C174" i="2"/>
  <c r="H174" i="2" s="1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I173" i="2" s="1"/>
  <c r="B172" i="2"/>
  <c r="A172" i="2"/>
  <c r="M171" i="2"/>
  <c r="K171" i="2"/>
  <c r="G171" i="2"/>
  <c r="F171" i="2"/>
  <c r="E171" i="2"/>
  <c r="D171" i="2"/>
  <c r="C171" i="2"/>
  <c r="H171" i="2" s="1"/>
  <c r="J171" i="2" s="1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H168" i="2"/>
  <c r="K168" i="2" s="1"/>
  <c r="G168" i="2"/>
  <c r="F168" i="2"/>
  <c r="E168" i="2"/>
  <c r="D168" i="2"/>
  <c r="C168" i="2"/>
  <c r="I169" i="2" s="1"/>
  <c r="B168" i="2"/>
  <c r="A168" i="2"/>
  <c r="G167" i="2"/>
  <c r="F167" i="2"/>
  <c r="E167" i="2"/>
  <c r="D167" i="2"/>
  <c r="C167" i="2"/>
  <c r="B167" i="2"/>
  <c r="A167" i="2"/>
  <c r="H166" i="2"/>
  <c r="G166" i="2"/>
  <c r="F166" i="2"/>
  <c r="E166" i="2"/>
  <c r="D166" i="2"/>
  <c r="C166" i="2"/>
  <c r="I167" i="2" s="1"/>
  <c r="P167" i="2" s="1"/>
  <c r="B166" i="2"/>
  <c r="A166" i="2"/>
  <c r="G165" i="2"/>
  <c r="F165" i="2"/>
  <c r="E165" i="2"/>
  <c r="D165" i="2"/>
  <c r="C165" i="2"/>
  <c r="H165" i="2" s="1"/>
  <c r="B165" i="2"/>
  <c r="A165" i="2"/>
  <c r="H164" i="2"/>
  <c r="M164" i="2" s="1"/>
  <c r="G164" i="2"/>
  <c r="F164" i="2"/>
  <c r="E164" i="2"/>
  <c r="D164" i="2"/>
  <c r="C164" i="2"/>
  <c r="I165" i="2" s="1"/>
  <c r="N165" i="2" s="1"/>
  <c r="B164" i="2"/>
  <c r="A164" i="2"/>
  <c r="G163" i="2"/>
  <c r="F163" i="2"/>
  <c r="E163" i="2"/>
  <c r="D163" i="2"/>
  <c r="C163" i="2"/>
  <c r="B163" i="2"/>
  <c r="A163" i="2"/>
  <c r="M162" i="2"/>
  <c r="K162" i="2"/>
  <c r="J162" i="2"/>
  <c r="G162" i="2"/>
  <c r="F162" i="2"/>
  <c r="E162" i="2"/>
  <c r="L162" i="2" s="1"/>
  <c r="D162" i="2"/>
  <c r="C162" i="2"/>
  <c r="H162" i="2" s="1"/>
  <c r="B162" i="2"/>
  <c r="A162" i="2"/>
  <c r="H161" i="2"/>
  <c r="J161" i="2" s="1"/>
  <c r="G161" i="2"/>
  <c r="F161" i="2"/>
  <c r="E161" i="2"/>
  <c r="D161" i="2"/>
  <c r="C161" i="2"/>
  <c r="I162" i="2" s="1"/>
  <c r="B161" i="2"/>
  <c r="A161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I160" i="2" s="1"/>
  <c r="P160" i="2" s="1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I158" i="2" s="1"/>
  <c r="P158" i="2" s="1"/>
  <c r="B157" i="2"/>
  <c r="A157" i="2"/>
  <c r="G156" i="2"/>
  <c r="F156" i="2"/>
  <c r="E156" i="2"/>
  <c r="D156" i="2"/>
  <c r="C156" i="2"/>
  <c r="I157" i="2" s="1"/>
  <c r="P157" i="2" s="1"/>
  <c r="B156" i="2"/>
  <c r="A156" i="2"/>
  <c r="G155" i="2"/>
  <c r="F155" i="2"/>
  <c r="E155" i="2"/>
  <c r="D155" i="2"/>
  <c r="C155" i="2"/>
  <c r="H155" i="2" s="1"/>
  <c r="B155" i="2"/>
  <c r="A155" i="2"/>
  <c r="K154" i="2"/>
  <c r="J154" i="2"/>
  <c r="G154" i="2"/>
  <c r="F154" i="2"/>
  <c r="E154" i="2"/>
  <c r="D154" i="2"/>
  <c r="C154" i="2"/>
  <c r="H154" i="2" s="1"/>
  <c r="L154" i="2" s="1"/>
  <c r="B154" i="2"/>
  <c r="A154" i="2"/>
  <c r="G153" i="2"/>
  <c r="F153" i="2"/>
  <c r="E153" i="2"/>
  <c r="D153" i="2"/>
  <c r="C153" i="2"/>
  <c r="I154" i="2" s="1"/>
  <c r="P154" i="2" s="1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I152" i="2" s="1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H148" i="2" s="1"/>
  <c r="M148" i="2" s="1"/>
  <c r="B148" i="2"/>
  <c r="A148" i="2"/>
  <c r="G147" i="2"/>
  <c r="F147" i="2"/>
  <c r="E147" i="2"/>
  <c r="D147" i="2"/>
  <c r="C147" i="2"/>
  <c r="I148" i="2" s="1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H145" i="2" s="1"/>
  <c r="B145" i="2"/>
  <c r="A145" i="2"/>
  <c r="H144" i="2"/>
  <c r="G144" i="2"/>
  <c r="F144" i="2"/>
  <c r="E144" i="2"/>
  <c r="D144" i="2"/>
  <c r="C144" i="2"/>
  <c r="I145" i="2" s="1"/>
  <c r="B144" i="2"/>
  <c r="A144" i="2"/>
  <c r="G143" i="2"/>
  <c r="F143" i="2"/>
  <c r="E143" i="2"/>
  <c r="D143" i="2"/>
  <c r="C143" i="2"/>
  <c r="H143" i="2" s="1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K139" i="2"/>
  <c r="J139" i="2"/>
  <c r="G139" i="2"/>
  <c r="F139" i="2"/>
  <c r="E139" i="2"/>
  <c r="D139" i="2"/>
  <c r="C139" i="2"/>
  <c r="H139" i="2" s="1"/>
  <c r="M139" i="2" s="1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H137" i="2" s="1"/>
  <c r="B137" i="2"/>
  <c r="A137" i="2"/>
  <c r="H136" i="2"/>
  <c r="J136" i="2" s="1"/>
  <c r="G136" i="2"/>
  <c r="F136" i="2"/>
  <c r="E136" i="2"/>
  <c r="D136" i="2"/>
  <c r="C136" i="2"/>
  <c r="I137" i="2" s="1"/>
  <c r="Q137" i="2" s="1"/>
  <c r="B136" i="2"/>
  <c r="A136" i="2"/>
  <c r="G135" i="2"/>
  <c r="F135" i="2"/>
  <c r="E135" i="2"/>
  <c r="D135" i="2"/>
  <c r="C135" i="2"/>
  <c r="B135" i="2"/>
  <c r="A135" i="2"/>
  <c r="M134" i="2"/>
  <c r="G134" i="2"/>
  <c r="F134" i="2"/>
  <c r="E134" i="2"/>
  <c r="D134" i="2"/>
  <c r="C134" i="2"/>
  <c r="H134" i="2" s="1"/>
  <c r="J134" i="2" s="1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H132" i="2" s="1"/>
  <c r="B132" i="2"/>
  <c r="A132" i="2"/>
  <c r="G131" i="2"/>
  <c r="F131" i="2"/>
  <c r="E131" i="2"/>
  <c r="D131" i="2"/>
  <c r="C131" i="2"/>
  <c r="H131" i="2" s="1"/>
  <c r="K131" i="2" s="1"/>
  <c r="B131" i="2"/>
  <c r="A131" i="2"/>
  <c r="G130" i="2"/>
  <c r="F130" i="2"/>
  <c r="E130" i="2"/>
  <c r="D130" i="2"/>
  <c r="C130" i="2"/>
  <c r="H130" i="2" s="1"/>
  <c r="B130" i="2"/>
  <c r="A130" i="2"/>
  <c r="G129" i="2"/>
  <c r="F129" i="2"/>
  <c r="E129" i="2"/>
  <c r="D129" i="2"/>
  <c r="C129" i="2"/>
  <c r="H129" i="2" s="1"/>
  <c r="J129" i="2" s="1"/>
  <c r="B129" i="2"/>
  <c r="A129" i="2"/>
  <c r="G128" i="2"/>
  <c r="F128" i="2"/>
  <c r="E128" i="2"/>
  <c r="D128" i="2"/>
  <c r="C128" i="2"/>
  <c r="H128" i="2" s="1"/>
  <c r="K128" i="2" s="1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H123" i="2" s="1"/>
  <c r="B123" i="2"/>
  <c r="A123" i="2"/>
  <c r="G122" i="2"/>
  <c r="F122" i="2"/>
  <c r="E122" i="2"/>
  <c r="D122" i="2"/>
  <c r="C122" i="2"/>
  <c r="H122" i="2" s="1"/>
  <c r="B122" i="2"/>
  <c r="A122" i="2"/>
  <c r="G121" i="2"/>
  <c r="F121" i="2"/>
  <c r="E121" i="2"/>
  <c r="D121" i="2"/>
  <c r="C121" i="2"/>
  <c r="I122" i="2" s="1"/>
  <c r="P122" i="2" s="1"/>
  <c r="B121" i="2"/>
  <c r="A121" i="2"/>
  <c r="G120" i="2"/>
  <c r="F120" i="2"/>
  <c r="E120" i="2"/>
  <c r="D120" i="2"/>
  <c r="C120" i="2"/>
  <c r="H120" i="2" s="1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H118" i="2" s="1"/>
  <c r="M118" i="2" s="1"/>
  <c r="B118" i="2"/>
  <c r="A118" i="2"/>
  <c r="G117" i="2"/>
  <c r="F117" i="2"/>
  <c r="E117" i="2"/>
  <c r="D117" i="2"/>
  <c r="C117" i="2"/>
  <c r="H117" i="2" s="1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H115" i="2" s="1"/>
  <c r="M115" i="2" s="1"/>
  <c r="B115" i="2"/>
  <c r="A115" i="2"/>
  <c r="G114" i="2"/>
  <c r="F114" i="2"/>
  <c r="E114" i="2"/>
  <c r="D114" i="2"/>
  <c r="C114" i="2"/>
  <c r="H114" i="2" s="1"/>
  <c r="B114" i="2"/>
  <c r="A114" i="2"/>
  <c r="G113" i="2"/>
  <c r="F113" i="2"/>
  <c r="E113" i="2"/>
  <c r="D113" i="2"/>
  <c r="C113" i="2"/>
  <c r="H113" i="2" s="1"/>
  <c r="M113" i="2" s="1"/>
  <c r="B113" i="2"/>
  <c r="A113" i="2"/>
  <c r="G112" i="2"/>
  <c r="F112" i="2"/>
  <c r="E112" i="2"/>
  <c r="D112" i="2"/>
  <c r="C112" i="2"/>
  <c r="H112" i="2" s="1"/>
  <c r="B112" i="2"/>
  <c r="A112" i="2"/>
  <c r="G111" i="2"/>
  <c r="F111" i="2"/>
  <c r="E111" i="2"/>
  <c r="D111" i="2"/>
  <c r="C111" i="2"/>
  <c r="H111" i="2" s="1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H109" i="2" s="1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I108" i="2" s="1"/>
  <c r="P108" i="2" s="1"/>
  <c r="B107" i="2"/>
  <c r="A107" i="2"/>
  <c r="G106" i="2"/>
  <c r="F106" i="2"/>
  <c r="E106" i="2"/>
  <c r="D106" i="2"/>
  <c r="C106" i="2"/>
  <c r="B106" i="2"/>
  <c r="A106" i="2"/>
  <c r="M105" i="2"/>
  <c r="G105" i="2"/>
  <c r="F105" i="2"/>
  <c r="E105" i="2"/>
  <c r="D105" i="2"/>
  <c r="C105" i="2"/>
  <c r="H105" i="2" s="1"/>
  <c r="B105" i="2"/>
  <c r="A105" i="2"/>
  <c r="G104" i="2"/>
  <c r="F104" i="2"/>
  <c r="E104" i="2"/>
  <c r="D104" i="2"/>
  <c r="C104" i="2"/>
  <c r="H104" i="2" s="1"/>
  <c r="J104" i="2" s="1"/>
  <c r="B104" i="2"/>
  <c r="A104" i="2"/>
  <c r="G103" i="2"/>
  <c r="F103" i="2"/>
  <c r="E103" i="2"/>
  <c r="D103" i="2"/>
  <c r="C103" i="2"/>
  <c r="I104" i="2" s="1"/>
  <c r="N104" i="2" s="1"/>
  <c r="B103" i="2"/>
  <c r="A103" i="2"/>
  <c r="G102" i="2"/>
  <c r="F102" i="2"/>
  <c r="E102" i="2"/>
  <c r="D102" i="2"/>
  <c r="C102" i="2"/>
  <c r="H102" i="2" s="1"/>
  <c r="B102" i="2"/>
  <c r="A102" i="2"/>
  <c r="G101" i="2"/>
  <c r="F101" i="2"/>
  <c r="E101" i="2"/>
  <c r="D101" i="2"/>
  <c r="C101" i="2"/>
  <c r="H101" i="2" s="1"/>
  <c r="L101" i="2" s="1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H99" i="2" s="1"/>
  <c r="J99" i="2" s="1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H97" i="2" s="1"/>
  <c r="J97" i="2" s="1"/>
  <c r="B97" i="2"/>
  <c r="A97" i="2"/>
  <c r="H96" i="2"/>
  <c r="J96" i="2" s="1"/>
  <c r="G96" i="2"/>
  <c r="F96" i="2"/>
  <c r="E96" i="2"/>
  <c r="D96" i="2"/>
  <c r="C96" i="2"/>
  <c r="I97" i="2" s="1"/>
  <c r="B96" i="2"/>
  <c r="A96" i="2"/>
  <c r="I95" i="2"/>
  <c r="Q95" i="2" s="1"/>
  <c r="G95" i="2"/>
  <c r="F95" i="2"/>
  <c r="E95" i="2"/>
  <c r="D95" i="2"/>
  <c r="C95" i="2"/>
  <c r="B95" i="2"/>
  <c r="A95" i="2"/>
  <c r="G94" i="2"/>
  <c r="F94" i="2"/>
  <c r="E94" i="2"/>
  <c r="D94" i="2"/>
  <c r="C94" i="2"/>
  <c r="H94" i="2" s="1"/>
  <c r="B94" i="2"/>
  <c r="A94" i="2"/>
  <c r="G93" i="2"/>
  <c r="F93" i="2"/>
  <c r="E93" i="2"/>
  <c r="D93" i="2"/>
  <c r="C93" i="2"/>
  <c r="I94" i="2" s="1"/>
  <c r="O94" i="2" s="1"/>
  <c r="B93" i="2"/>
  <c r="A93" i="2"/>
  <c r="G92" i="2"/>
  <c r="F92" i="2"/>
  <c r="E92" i="2"/>
  <c r="D92" i="2"/>
  <c r="C92" i="2"/>
  <c r="H92" i="2" s="1"/>
  <c r="L92" i="2" s="1"/>
  <c r="B92" i="2"/>
  <c r="A92" i="2"/>
  <c r="G91" i="2"/>
  <c r="F91" i="2"/>
  <c r="E91" i="2"/>
  <c r="D91" i="2"/>
  <c r="C91" i="2"/>
  <c r="H91" i="2" s="1"/>
  <c r="B91" i="2"/>
  <c r="A91" i="2"/>
  <c r="G90" i="2"/>
  <c r="F90" i="2"/>
  <c r="E90" i="2"/>
  <c r="D90" i="2"/>
  <c r="C90" i="2"/>
  <c r="I91" i="2" s="1"/>
  <c r="B90" i="2"/>
  <c r="A90" i="2"/>
  <c r="J89" i="2"/>
  <c r="G89" i="2"/>
  <c r="F89" i="2"/>
  <c r="E89" i="2"/>
  <c r="D89" i="2"/>
  <c r="C89" i="2"/>
  <c r="H89" i="2" s="1"/>
  <c r="M89" i="2" s="1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H86" i="2"/>
  <c r="L86" i="2" s="1"/>
  <c r="G86" i="2"/>
  <c r="F86" i="2"/>
  <c r="E86" i="2"/>
  <c r="D86" i="2"/>
  <c r="C86" i="2"/>
  <c r="I87" i="2" s="1"/>
  <c r="B86" i="2"/>
  <c r="A86" i="2"/>
  <c r="G85" i="2"/>
  <c r="F85" i="2"/>
  <c r="E85" i="2"/>
  <c r="D85" i="2"/>
  <c r="C85" i="2"/>
  <c r="I86" i="2" s="1"/>
  <c r="B85" i="2"/>
  <c r="A85" i="2"/>
  <c r="G84" i="2"/>
  <c r="F84" i="2"/>
  <c r="E84" i="2"/>
  <c r="D84" i="2"/>
  <c r="C84" i="2"/>
  <c r="B84" i="2"/>
  <c r="A84" i="2"/>
  <c r="I83" i="2"/>
  <c r="G83" i="2"/>
  <c r="F83" i="2"/>
  <c r="E83" i="2"/>
  <c r="D83" i="2"/>
  <c r="C83" i="2"/>
  <c r="I84" i="2" s="1"/>
  <c r="Q84" i="2" s="1"/>
  <c r="B83" i="2"/>
  <c r="A83" i="2"/>
  <c r="G82" i="2"/>
  <c r="F82" i="2"/>
  <c r="E82" i="2"/>
  <c r="D82" i="2"/>
  <c r="C82" i="2"/>
  <c r="H82" i="2" s="1"/>
  <c r="J82" i="2" s="1"/>
  <c r="B82" i="2"/>
  <c r="A82" i="2"/>
  <c r="H81" i="2"/>
  <c r="G81" i="2"/>
  <c r="F81" i="2"/>
  <c r="E81" i="2"/>
  <c r="D81" i="2"/>
  <c r="C81" i="2"/>
  <c r="I82" i="2" s="1"/>
  <c r="Q82" i="2" s="1"/>
  <c r="B81" i="2"/>
  <c r="A81" i="2"/>
  <c r="G80" i="2"/>
  <c r="F80" i="2"/>
  <c r="E80" i="2"/>
  <c r="D80" i="2"/>
  <c r="C80" i="2"/>
  <c r="H80" i="2" s="1"/>
  <c r="B80" i="2"/>
  <c r="A80" i="2"/>
  <c r="G79" i="2"/>
  <c r="F79" i="2"/>
  <c r="E79" i="2"/>
  <c r="D79" i="2"/>
  <c r="C79" i="2"/>
  <c r="H79" i="2" s="1"/>
  <c r="J79" i="2" s="1"/>
  <c r="B79" i="2"/>
  <c r="A79" i="2"/>
  <c r="M78" i="2"/>
  <c r="H78" i="2"/>
  <c r="K78" i="2" s="1"/>
  <c r="G78" i="2"/>
  <c r="F78" i="2"/>
  <c r="E78" i="2"/>
  <c r="D78" i="2"/>
  <c r="C78" i="2"/>
  <c r="I79" i="2" s="1"/>
  <c r="B78" i="2"/>
  <c r="A78" i="2"/>
  <c r="G77" i="2"/>
  <c r="F77" i="2"/>
  <c r="E77" i="2"/>
  <c r="D77" i="2"/>
  <c r="C77" i="2"/>
  <c r="H77" i="2" s="1"/>
  <c r="K77" i="2" s="1"/>
  <c r="B77" i="2"/>
  <c r="A77" i="2"/>
  <c r="G76" i="2"/>
  <c r="F76" i="2"/>
  <c r="E76" i="2"/>
  <c r="D76" i="2"/>
  <c r="C76" i="2"/>
  <c r="B76" i="2"/>
  <c r="A76" i="2"/>
  <c r="H75" i="2"/>
  <c r="J75" i="2" s="1"/>
  <c r="G75" i="2"/>
  <c r="F75" i="2"/>
  <c r="E75" i="2"/>
  <c r="D75" i="2"/>
  <c r="C75" i="2"/>
  <c r="I76" i="2" s="1"/>
  <c r="N76" i="2" s="1"/>
  <c r="B75" i="2"/>
  <c r="A75" i="2"/>
  <c r="G74" i="2"/>
  <c r="F74" i="2"/>
  <c r="E74" i="2"/>
  <c r="D74" i="2"/>
  <c r="C74" i="2"/>
  <c r="I75" i="2" s="1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H70" i="2" s="1"/>
  <c r="M70" i="2" s="1"/>
  <c r="B70" i="2"/>
  <c r="A70" i="2"/>
  <c r="H69" i="2"/>
  <c r="M69" i="2" s="1"/>
  <c r="G69" i="2"/>
  <c r="F69" i="2"/>
  <c r="E69" i="2"/>
  <c r="D69" i="2"/>
  <c r="C69" i="2"/>
  <c r="I70" i="2" s="1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H65" i="2"/>
  <c r="M65" i="2" s="1"/>
  <c r="G65" i="2"/>
  <c r="F65" i="2"/>
  <c r="E65" i="2"/>
  <c r="D65" i="2"/>
  <c r="C65" i="2"/>
  <c r="I66" i="2" s="1"/>
  <c r="N66" i="2" s="1"/>
  <c r="B65" i="2"/>
  <c r="A65" i="2"/>
  <c r="G64" i="2"/>
  <c r="F64" i="2"/>
  <c r="E64" i="2"/>
  <c r="L64" i="2" s="1"/>
  <c r="D64" i="2"/>
  <c r="C64" i="2"/>
  <c r="H64" i="2" s="1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I60" i="2" s="1"/>
  <c r="O60" i="2" s="1"/>
  <c r="B59" i="2"/>
  <c r="A59" i="2"/>
  <c r="G58" i="2"/>
  <c r="F58" i="2"/>
  <c r="E58" i="2"/>
  <c r="D58" i="2"/>
  <c r="C58" i="2"/>
  <c r="H58" i="2" s="1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I57" i="2" s="1"/>
  <c r="N57" i="2" s="1"/>
  <c r="B56" i="2"/>
  <c r="A56" i="2"/>
  <c r="G55" i="2"/>
  <c r="F55" i="2"/>
  <c r="E55" i="2"/>
  <c r="D55" i="2"/>
  <c r="C55" i="2"/>
  <c r="I56" i="2" s="1"/>
  <c r="P56" i="2" s="1"/>
  <c r="B55" i="2"/>
  <c r="A55" i="2"/>
  <c r="G54" i="2"/>
  <c r="F54" i="2"/>
  <c r="E54" i="2"/>
  <c r="D54" i="2"/>
  <c r="C54" i="2"/>
  <c r="H54" i="2" s="1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H52" i="2" s="1"/>
  <c r="B52" i="2"/>
  <c r="A52" i="2"/>
  <c r="G51" i="2"/>
  <c r="F51" i="2"/>
  <c r="E51" i="2"/>
  <c r="D51" i="2"/>
  <c r="C51" i="2"/>
  <c r="H51" i="2" s="1"/>
  <c r="B51" i="2"/>
  <c r="A51" i="2"/>
  <c r="G50" i="2"/>
  <c r="F50" i="2"/>
  <c r="E50" i="2"/>
  <c r="D50" i="2"/>
  <c r="C50" i="2"/>
  <c r="H50" i="2" s="1"/>
  <c r="K50" i="2" s="1"/>
  <c r="B50" i="2"/>
  <c r="A50" i="2"/>
  <c r="M49" i="2"/>
  <c r="G49" i="2"/>
  <c r="F49" i="2"/>
  <c r="E49" i="2"/>
  <c r="D49" i="2"/>
  <c r="C49" i="2"/>
  <c r="H49" i="2" s="1"/>
  <c r="K49" i="2" s="1"/>
  <c r="B49" i="2"/>
  <c r="A49" i="2"/>
  <c r="G48" i="2"/>
  <c r="F48" i="2"/>
  <c r="E48" i="2"/>
  <c r="D48" i="2"/>
  <c r="C48" i="2"/>
  <c r="B48" i="2"/>
  <c r="A48" i="2"/>
  <c r="H47" i="2"/>
  <c r="L47" i="2" s="1"/>
  <c r="G47" i="2"/>
  <c r="F47" i="2"/>
  <c r="E47" i="2"/>
  <c r="D47" i="2"/>
  <c r="C47" i="2"/>
  <c r="I48" i="2" s="1"/>
  <c r="P48" i="2" s="1"/>
  <c r="B47" i="2"/>
  <c r="A47" i="2"/>
  <c r="H46" i="2"/>
  <c r="G46" i="2"/>
  <c r="F46" i="2"/>
  <c r="E46" i="2"/>
  <c r="D46" i="2"/>
  <c r="C46" i="2"/>
  <c r="I47" i="2" s="1"/>
  <c r="P47" i="2" s="1"/>
  <c r="B46" i="2"/>
  <c r="A46" i="2"/>
  <c r="G45" i="2"/>
  <c r="F45" i="2"/>
  <c r="E45" i="2"/>
  <c r="D45" i="2"/>
  <c r="C45" i="2"/>
  <c r="H45" i="2" s="1"/>
  <c r="K45" i="2" s="1"/>
  <c r="B45" i="2"/>
  <c r="A45" i="2"/>
  <c r="Q44" i="2"/>
  <c r="G44" i="2"/>
  <c r="F44" i="2"/>
  <c r="E44" i="2"/>
  <c r="D44" i="2"/>
  <c r="C44" i="2"/>
  <c r="H44" i="2" s="1"/>
  <c r="M44" i="2" s="1"/>
  <c r="B44" i="2"/>
  <c r="A44" i="2"/>
  <c r="G43" i="2"/>
  <c r="F43" i="2"/>
  <c r="E43" i="2"/>
  <c r="D43" i="2"/>
  <c r="C43" i="2"/>
  <c r="I44" i="2" s="1"/>
  <c r="B43" i="2"/>
  <c r="A43" i="2"/>
  <c r="I42" i="2"/>
  <c r="G42" i="2"/>
  <c r="F42" i="2"/>
  <c r="E42" i="2"/>
  <c r="D42" i="2"/>
  <c r="C42" i="2"/>
  <c r="H42" i="2" s="1"/>
  <c r="J42" i="2" s="1"/>
  <c r="B42" i="2"/>
  <c r="A42" i="2"/>
  <c r="G41" i="2"/>
  <c r="F41" i="2"/>
  <c r="E41" i="2"/>
  <c r="D41" i="2"/>
  <c r="C41" i="2"/>
  <c r="H41" i="2" s="1"/>
  <c r="B41" i="2"/>
  <c r="A41" i="2"/>
  <c r="G40" i="2"/>
  <c r="F40" i="2"/>
  <c r="E40" i="2"/>
  <c r="D40" i="2"/>
  <c r="C40" i="2"/>
  <c r="B40" i="2"/>
  <c r="A40" i="2"/>
  <c r="H39" i="2"/>
  <c r="J39" i="2" s="1"/>
  <c r="G39" i="2"/>
  <c r="F39" i="2"/>
  <c r="E39" i="2"/>
  <c r="M39" i="2" s="1"/>
  <c r="D39" i="2"/>
  <c r="C39" i="2"/>
  <c r="I40" i="2" s="1"/>
  <c r="Q40" i="2" s="1"/>
  <c r="B39" i="2"/>
  <c r="A39" i="2"/>
  <c r="G38" i="2"/>
  <c r="F38" i="2"/>
  <c r="E38" i="2"/>
  <c r="D38" i="2"/>
  <c r="C38" i="2"/>
  <c r="H38" i="2" s="1"/>
  <c r="B38" i="2"/>
  <c r="A38" i="2"/>
  <c r="H37" i="2"/>
  <c r="G37" i="2"/>
  <c r="F37" i="2"/>
  <c r="E37" i="2"/>
  <c r="D37" i="2"/>
  <c r="C37" i="2"/>
  <c r="I38" i="2" s="1"/>
  <c r="P38" i="2" s="1"/>
  <c r="B37" i="2"/>
  <c r="A37" i="2"/>
  <c r="G36" i="2"/>
  <c r="F36" i="2"/>
  <c r="E36" i="2"/>
  <c r="D36" i="2"/>
  <c r="C36" i="2"/>
  <c r="I37" i="2" s="1"/>
  <c r="N37" i="2" s="1"/>
  <c r="B36" i="2"/>
  <c r="A36" i="2"/>
  <c r="G35" i="2"/>
  <c r="F35" i="2"/>
  <c r="E35" i="2"/>
  <c r="D35" i="2"/>
  <c r="C35" i="2"/>
  <c r="H35" i="2" s="1"/>
  <c r="B35" i="2"/>
  <c r="A35" i="2"/>
  <c r="G34" i="2"/>
  <c r="F34" i="2"/>
  <c r="E34" i="2"/>
  <c r="D34" i="2"/>
  <c r="C34" i="2"/>
  <c r="I35" i="2" s="1"/>
  <c r="Q35" i="2" s="1"/>
  <c r="B34" i="2"/>
  <c r="A34" i="2"/>
  <c r="G33" i="2"/>
  <c r="F33" i="2"/>
  <c r="E33" i="2"/>
  <c r="D33" i="2"/>
  <c r="C33" i="2"/>
  <c r="H33" i="2" s="1"/>
  <c r="J33" i="2" s="1"/>
  <c r="B33" i="2"/>
  <c r="A33" i="2"/>
  <c r="G32" i="2"/>
  <c r="F32" i="2"/>
  <c r="E32" i="2"/>
  <c r="D32" i="2"/>
  <c r="C32" i="2"/>
  <c r="H32" i="2" s="1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I29" i="2" s="1"/>
  <c r="O29" i="2" s="1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H25" i="2" s="1"/>
  <c r="M25" i="2" s="1"/>
  <c r="B25" i="2"/>
  <c r="A25" i="2"/>
  <c r="I24" i="2"/>
  <c r="G24" i="2"/>
  <c r="F24" i="2"/>
  <c r="E24" i="2"/>
  <c r="D24" i="2"/>
  <c r="C24" i="2"/>
  <c r="H24" i="2" s="1"/>
  <c r="B24" i="2"/>
  <c r="A24" i="2"/>
  <c r="G23" i="2"/>
  <c r="F23" i="2"/>
  <c r="E23" i="2"/>
  <c r="D23" i="2"/>
  <c r="C23" i="2"/>
  <c r="H23" i="2" s="1"/>
  <c r="J23" i="2" s="1"/>
  <c r="B23" i="2"/>
  <c r="A23" i="2"/>
  <c r="H22" i="2"/>
  <c r="G22" i="2"/>
  <c r="F22" i="2"/>
  <c r="E22" i="2"/>
  <c r="D22" i="2"/>
  <c r="C22" i="2"/>
  <c r="I23" i="2" s="1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I20" i="2" s="1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H16" i="2"/>
  <c r="L16" i="2" s="1"/>
  <c r="G16" i="2"/>
  <c r="F16" i="2"/>
  <c r="E16" i="2"/>
  <c r="D16" i="2"/>
  <c r="C16" i="2"/>
  <c r="I17" i="2" s="1"/>
  <c r="Q17" i="2" s="1"/>
  <c r="B16" i="2"/>
  <c r="A16" i="2"/>
  <c r="H15" i="2"/>
  <c r="G15" i="2"/>
  <c r="F15" i="2"/>
  <c r="E15" i="2"/>
  <c r="D15" i="2"/>
  <c r="C15" i="2"/>
  <c r="I16" i="2" s="1"/>
  <c r="B15" i="2"/>
  <c r="A15" i="2"/>
  <c r="G14" i="2"/>
  <c r="F14" i="2"/>
  <c r="E14" i="2"/>
  <c r="D14" i="2"/>
  <c r="C14" i="2"/>
  <c r="H14" i="2" s="1"/>
  <c r="B14" i="2"/>
  <c r="A14" i="2"/>
  <c r="G13" i="2"/>
  <c r="F13" i="2"/>
  <c r="E13" i="2"/>
  <c r="D13" i="2"/>
  <c r="C13" i="2"/>
  <c r="H13" i="2" s="1"/>
  <c r="B13" i="2"/>
  <c r="A13" i="2"/>
  <c r="I12" i="2"/>
  <c r="G12" i="2"/>
  <c r="F12" i="2"/>
  <c r="E12" i="2"/>
  <c r="D12" i="2"/>
  <c r="C12" i="2"/>
  <c r="B12" i="2"/>
  <c r="A12" i="2"/>
  <c r="M11" i="2"/>
  <c r="J11" i="2"/>
  <c r="G11" i="2"/>
  <c r="F11" i="2"/>
  <c r="E11" i="2"/>
  <c r="L11" i="2" s="1"/>
  <c r="D11" i="2"/>
  <c r="C11" i="2"/>
  <c r="H11" i="2" s="1"/>
  <c r="K11" i="2" s="1"/>
  <c r="B11" i="2"/>
  <c r="A11" i="2"/>
  <c r="G10" i="2"/>
  <c r="F10" i="2"/>
  <c r="E10" i="2"/>
  <c r="D10" i="2"/>
  <c r="C10" i="2"/>
  <c r="H10" i="2" s="1"/>
  <c r="B10" i="2"/>
  <c r="A10" i="2"/>
  <c r="G9" i="2"/>
  <c r="F9" i="2"/>
  <c r="E9" i="2"/>
  <c r="D9" i="2"/>
  <c r="C9" i="2"/>
  <c r="H9" i="2" s="1"/>
  <c r="J9" i="2" s="1"/>
  <c r="B9" i="2"/>
  <c r="A9" i="2"/>
  <c r="Q8" i="2"/>
  <c r="G8" i="2"/>
  <c r="F8" i="2"/>
  <c r="N8" i="2" s="1"/>
  <c r="E8" i="2"/>
  <c r="D8" i="2"/>
  <c r="C8" i="2"/>
  <c r="H8" i="2" s="1"/>
  <c r="B8" i="2"/>
  <c r="A8" i="2"/>
  <c r="H7" i="2"/>
  <c r="G7" i="2"/>
  <c r="F7" i="2"/>
  <c r="E7" i="2"/>
  <c r="D7" i="2"/>
  <c r="C7" i="2"/>
  <c r="I8" i="2" s="1"/>
  <c r="B7" i="2"/>
  <c r="A7" i="2"/>
  <c r="G6" i="2"/>
  <c r="F6" i="2"/>
  <c r="E6" i="2"/>
  <c r="D6" i="2"/>
  <c r="C6" i="2"/>
  <c r="H6" i="2" s="1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I5" i="2" s="1"/>
  <c r="Q5" i="2" s="1"/>
  <c r="B4" i="2"/>
  <c r="A4" i="2"/>
  <c r="G3" i="2"/>
  <c r="F3" i="2"/>
  <c r="E3" i="2"/>
  <c r="D3" i="2"/>
  <c r="C3" i="2"/>
  <c r="I4" i="2" s="1"/>
  <c r="N4" i="2" s="1"/>
  <c r="B3" i="2"/>
  <c r="A3" i="2"/>
  <c r="Q2" i="2"/>
  <c r="Y2" i="2" s="1"/>
  <c r="P2" i="2"/>
  <c r="X2" i="2" s="1"/>
  <c r="O2" i="2"/>
  <c r="W2" i="2" s="1"/>
  <c r="N2" i="2"/>
  <c r="V2" i="2" s="1"/>
  <c r="G2" i="2"/>
  <c r="F2" i="2"/>
  <c r="E2" i="2"/>
  <c r="D2" i="2"/>
  <c r="C2" i="2"/>
  <c r="H2" i="2" s="1"/>
  <c r="M2" i="2" s="1"/>
  <c r="U2" i="2" s="1"/>
  <c r="B2" i="2"/>
  <c r="A2" i="2"/>
  <c r="P237" i="2" l="1"/>
  <c r="O237" i="2"/>
  <c r="N237" i="2"/>
  <c r="J137" i="2"/>
  <c r="K137" i="2"/>
  <c r="P206" i="2"/>
  <c r="P17" i="2"/>
  <c r="H34" i="2"/>
  <c r="J34" i="2" s="1"/>
  <c r="L39" i="2"/>
  <c r="I46" i="2"/>
  <c r="P46" i="2" s="1"/>
  <c r="H55" i="2"/>
  <c r="J55" i="2" s="1"/>
  <c r="M75" i="2"/>
  <c r="I80" i="2"/>
  <c r="N80" i="2" s="1"/>
  <c r="K89" i="2"/>
  <c r="H107" i="2"/>
  <c r="M154" i="2"/>
  <c r="I184" i="2"/>
  <c r="Q214" i="2"/>
  <c r="K265" i="2"/>
  <c r="Q37" i="2"/>
  <c r="Q206" i="2"/>
  <c r="M82" i="2"/>
  <c r="I114" i="2"/>
  <c r="I55" i="2"/>
  <c r="P55" i="2" s="1"/>
  <c r="L89" i="2"/>
  <c r="I100" i="2"/>
  <c r="Q100" i="2" s="1"/>
  <c r="I118" i="2"/>
  <c r="Q118" i="2" s="1"/>
  <c r="H156" i="2"/>
  <c r="K156" i="2" s="1"/>
  <c r="H235" i="2"/>
  <c r="H240" i="2"/>
  <c r="L261" i="2"/>
  <c r="H264" i="2"/>
  <c r="L265" i="2"/>
  <c r="P37" i="2"/>
  <c r="K136" i="2"/>
  <c r="M229" i="2"/>
  <c r="K75" i="2"/>
  <c r="H3" i="2"/>
  <c r="L3" i="2" s="1"/>
  <c r="H19" i="2"/>
  <c r="M19" i="2" s="1"/>
  <c r="H36" i="2"/>
  <c r="K36" i="2" s="1"/>
  <c r="L70" i="2"/>
  <c r="M86" i="2"/>
  <c r="I102" i="2"/>
  <c r="J113" i="2"/>
  <c r="I138" i="2"/>
  <c r="I156" i="2"/>
  <c r="J183" i="2"/>
  <c r="H186" i="2"/>
  <c r="P193" i="2"/>
  <c r="H205" i="2"/>
  <c r="L205" i="2" s="1"/>
  <c r="M261" i="2"/>
  <c r="M265" i="2"/>
  <c r="L264" i="2"/>
  <c r="I194" i="2"/>
  <c r="Q194" i="2" s="1"/>
  <c r="I3" i="2"/>
  <c r="P3" i="2" s="1"/>
  <c r="X3" i="2" s="1"/>
  <c r="H93" i="2"/>
  <c r="K104" i="2"/>
  <c r="K113" i="2"/>
  <c r="I124" i="2"/>
  <c r="N124" i="2" s="1"/>
  <c r="H151" i="2"/>
  <c r="M151" i="2" s="1"/>
  <c r="K183" i="2"/>
  <c r="K192" i="2"/>
  <c r="O223" i="2"/>
  <c r="N261" i="2"/>
  <c r="H43" i="2"/>
  <c r="M43" i="2" s="1"/>
  <c r="J50" i="2"/>
  <c r="H59" i="2"/>
  <c r="J59" i="2" s="1"/>
  <c r="L104" i="2"/>
  <c r="L113" i="2"/>
  <c r="H153" i="2"/>
  <c r="M153" i="2" s="1"/>
  <c r="I172" i="2"/>
  <c r="M183" i="2"/>
  <c r="O193" i="2"/>
  <c r="H216" i="2"/>
  <c r="L216" i="2" s="1"/>
  <c r="J49" i="2"/>
  <c r="L50" i="2"/>
  <c r="I59" i="2"/>
  <c r="K79" i="2"/>
  <c r="M104" i="2"/>
  <c r="N183" i="2"/>
  <c r="H202" i="2"/>
  <c r="J202" i="2" s="1"/>
  <c r="H269" i="2"/>
  <c r="L269" i="2" s="1"/>
  <c r="H278" i="2"/>
  <c r="M278" i="2" s="1"/>
  <c r="P29" i="2"/>
  <c r="N40" i="2"/>
  <c r="L49" i="2"/>
  <c r="M50" i="2"/>
  <c r="L78" i="2"/>
  <c r="L79" i="2"/>
  <c r="I130" i="2"/>
  <c r="P137" i="2"/>
  <c r="I140" i="2"/>
  <c r="N140" i="2" s="1"/>
  <c r="L148" i="2"/>
  <c r="Q167" i="2"/>
  <c r="I190" i="2"/>
  <c r="P190" i="2" s="1"/>
  <c r="N204" i="2"/>
  <c r="P40" i="2"/>
  <c r="J115" i="2"/>
  <c r="H182" i="2"/>
  <c r="J197" i="2"/>
  <c r="P204" i="2"/>
  <c r="I232" i="2"/>
  <c r="H260" i="2"/>
  <c r="H263" i="2"/>
  <c r="J263" i="2" s="1"/>
  <c r="L136" i="2"/>
  <c r="O40" i="2"/>
  <c r="M58" i="2"/>
  <c r="L75" i="2"/>
  <c r="M94" i="2"/>
  <c r="L105" i="2"/>
  <c r="I110" i="2"/>
  <c r="O110" i="2" s="1"/>
  <c r="K134" i="2"/>
  <c r="M136" i="2"/>
  <c r="I144" i="2"/>
  <c r="I182" i="2"/>
  <c r="N44" i="2"/>
  <c r="M32" i="2"/>
  <c r="K39" i="2"/>
  <c r="L134" i="2"/>
  <c r="L171" i="2"/>
  <c r="I222" i="2"/>
  <c r="N222" i="2" s="1"/>
  <c r="Q275" i="2"/>
  <c r="O145" i="2"/>
  <c r="N145" i="2"/>
  <c r="K109" i="2"/>
  <c r="L109" i="2"/>
  <c r="M109" i="2"/>
  <c r="J109" i="2"/>
  <c r="M102" i="2"/>
  <c r="L102" i="2"/>
  <c r="I189" i="2"/>
  <c r="Q189" i="2" s="1"/>
  <c r="H188" i="2"/>
  <c r="K188" i="2" s="1"/>
  <c r="I25" i="2"/>
  <c r="Q25" i="2" s="1"/>
  <c r="I63" i="2"/>
  <c r="H62" i="2"/>
  <c r="I131" i="2"/>
  <c r="Q131" i="2" s="1"/>
  <c r="O158" i="2"/>
  <c r="I166" i="2"/>
  <c r="I53" i="2"/>
  <c r="M81" i="2"/>
  <c r="N91" i="2"/>
  <c r="I112" i="2"/>
  <c r="N122" i="2"/>
  <c r="O122" i="2"/>
  <c r="Q122" i="2"/>
  <c r="H135" i="2"/>
  <c r="J135" i="2" s="1"/>
  <c r="I136" i="2"/>
  <c r="P136" i="2" s="1"/>
  <c r="H232" i="2"/>
  <c r="L232" i="2" s="1"/>
  <c r="M251" i="2"/>
  <c r="I256" i="2"/>
  <c r="Q256" i="2" s="1"/>
  <c r="H255" i="2"/>
  <c r="M208" i="2"/>
  <c r="L208" i="2"/>
  <c r="J208" i="2"/>
  <c r="Q233" i="2"/>
  <c r="P233" i="2"/>
  <c r="O233" i="2"/>
  <c r="L268" i="2"/>
  <c r="M268" i="2"/>
  <c r="I21" i="2"/>
  <c r="O21" i="2" s="1"/>
  <c r="H20" i="2"/>
  <c r="K268" i="2"/>
  <c r="K16" i="2"/>
  <c r="I247" i="2"/>
  <c r="O247" i="2" s="1"/>
  <c r="H246" i="2"/>
  <c r="I43" i="2"/>
  <c r="N84" i="2"/>
  <c r="I103" i="2"/>
  <c r="Q103" i="2" s="1"/>
  <c r="I15" i="2"/>
  <c r="Q158" i="2"/>
  <c r="N158" i="2"/>
  <c r="K34" i="2"/>
  <c r="M34" i="2"/>
  <c r="I93" i="2"/>
  <c r="N93" i="2" s="1"/>
  <c r="Q124" i="2"/>
  <c r="O124" i="2"/>
  <c r="P124" i="2"/>
  <c r="I175" i="2"/>
  <c r="N175" i="2" s="1"/>
  <c r="H223" i="2"/>
  <c r="I224" i="2"/>
  <c r="N224" i="2" s="1"/>
  <c r="H273" i="2"/>
  <c r="I274" i="2"/>
  <c r="O274" i="2" s="1"/>
  <c r="N79" i="2"/>
  <c r="O79" i="2"/>
  <c r="N233" i="2"/>
  <c r="J16" i="2"/>
  <c r="H27" i="2"/>
  <c r="L27" i="2" s="1"/>
  <c r="I28" i="2"/>
  <c r="P28" i="2" s="1"/>
  <c r="Q66" i="2"/>
  <c r="P66" i="2"/>
  <c r="O66" i="2"/>
  <c r="K96" i="2"/>
  <c r="M96" i="2"/>
  <c r="L96" i="2"/>
  <c r="I113" i="2"/>
  <c r="O113" i="2" s="1"/>
  <c r="L151" i="2"/>
  <c r="M175" i="2"/>
  <c r="K175" i="2"/>
  <c r="L175" i="2"/>
  <c r="I30" i="2"/>
  <c r="H29" i="2"/>
  <c r="K29" i="2" s="1"/>
  <c r="H126" i="2"/>
  <c r="I127" i="2"/>
  <c r="O127" i="2" s="1"/>
  <c r="I11" i="2"/>
  <c r="Q70" i="2"/>
  <c r="P70" i="2"/>
  <c r="I150" i="2"/>
  <c r="H149" i="2"/>
  <c r="J149" i="2" s="1"/>
  <c r="J175" i="2"/>
  <c r="J193" i="2"/>
  <c r="M193" i="2"/>
  <c r="L193" i="2"/>
  <c r="I208" i="2"/>
  <c r="P208" i="2" s="1"/>
  <c r="H207" i="2"/>
  <c r="P260" i="2"/>
  <c r="O260" i="2"/>
  <c r="N260" i="2"/>
  <c r="N29" i="2"/>
  <c r="I39" i="2"/>
  <c r="P39" i="2" s="1"/>
  <c r="H83" i="2"/>
  <c r="M83" i="2" s="1"/>
  <c r="J102" i="2"/>
  <c r="K107" i="2"/>
  <c r="M107" i="2"/>
  <c r="L107" i="2"/>
  <c r="Q182" i="2"/>
  <c r="O182" i="2"/>
  <c r="K205" i="2"/>
  <c r="J205" i="2"/>
  <c r="H225" i="2"/>
  <c r="K225" i="2" s="1"/>
  <c r="I226" i="2"/>
  <c r="Q226" i="2" s="1"/>
  <c r="P246" i="2"/>
  <c r="Q246" i="2"/>
  <c r="O246" i="2"/>
  <c r="N246" i="2"/>
  <c r="H253" i="2"/>
  <c r="J253" i="2" s="1"/>
  <c r="Q260" i="2"/>
  <c r="I14" i="2"/>
  <c r="O14" i="2" s="1"/>
  <c r="O17" i="2"/>
  <c r="N17" i="2"/>
  <c r="I36" i="2"/>
  <c r="Q36" i="2" s="1"/>
  <c r="I67" i="2"/>
  <c r="P67" i="2" s="1"/>
  <c r="H66" i="2"/>
  <c r="N70" i="2"/>
  <c r="L94" i="2"/>
  <c r="K94" i="2"/>
  <c r="J94" i="2"/>
  <c r="K102" i="2"/>
  <c r="I119" i="2"/>
  <c r="P152" i="2"/>
  <c r="O152" i="2"/>
  <c r="N152" i="2"/>
  <c r="Q152" i="2"/>
  <c r="H157" i="2"/>
  <c r="N182" i="2"/>
  <c r="J195" i="2"/>
  <c r="M195" i="2"/>
  <c r="P269" i="2"/>
  <c r="N269" i="2"/>
  <c r="J13" i="2"/>
  <c r="L13" i="2"/>
  <c r="K13" i="2"/>
  <c r="O24" i="2"/>
  <c r="Q24" i="2"/>
  <c r="P24" i="2"/>
  <c r="N24" i="2"/>
  <c r="Q97" i="2"/>
  <c r="O97" i="2"/>
  <c r="K101" i="2"/>
  <c r="H121" i="2"/>
  <c r="K121" i="2" s="1"/>
  <c r="H147" i="2"/>
  <c r="J147" i="2" s="1"/>
  <c r="H176" i="2"/>
  <c r="M176" i="2" s="1"/>
  <c r="I177" i="2"/>
  <c r="L220" i="2"/>
  <c r="K220" i="2"/>
  <c r="J220" i="2"/>
  <c r="I33" i="2"/>
  <c r="Q33" i="2" s="1"/>
  <c r="L38" i="2"/>
  <c r="O44" i="2"/>
  <c r="N47" i="2"/>
  <c r="I52" i="2"/>
  <c r="Q52" i="2" s="1"/>
  <c r="H61" i="2"/>
  <c r="M61" i="2" s="1"/>
  <c r="I62" i="2"/>
  <c r="P62" i="2" s="1"/>
  <c r="P255" i="2"/>
  <c r="N255" i="2"/>
  <c r="P79" i="2"/>
  <c r="P44" i="2"/>
  <c r="L51" i="2"/>
  <c r="K69" i="2"/>
  <c r="J69" i="2"/>
  <c r="H71" i="2"/>
  <c r="I72" i="2"/>
  <c r="Q72" i="2" s="1"/>
  <c r="K91" i="2"/>
  <c r="M91" i="2"/>
  <c r="L91" i="2"/>
  <c r="J91" i="2"/>
  <c r="I147" i="2"/>
  <c r="N147" i="2" s="1"/>
  <c r="H146" i="2"/>
  <c r="M146" i="2" s="1"/>
  <c r="O187" i="2"/>
  <c r="Q187" i="2"/>
  <c r="N187" i="2"/>
  <c r="H259" i="2"/>
  <c r="P266" i="2"/>
  <c r="Q102" i="2"/>
  <c r="P102" i="2"/>
  <c r="O102" i="2"/>
  <c r="N102" i="2"/>
  <c r="I10" i="2"/>
  <c r="N10" i="2" s="1"/>
  <c r="I238" i="2"/>
  <c r="H237" i="2"/>
  <c r="H249" i="2"/>
  <c r="K249" i="2" s="1"/>
  <c r="I250" i="2"/>
  <c r="Q250" i="2" s="1"/>
  <c r="Q266" i="2"/>
  <c r="O266" i="2"/>
  <c r="N266" i="2"/>
  <c r="I212" i="2"/>
  <c r="M79" i="2"/>
  <c r="I179" i="2"/>
  <c r="K208" i="2"/>
  <c r="K218" i="2"/>
  <c r="J229" i="2"/>
  <c r="I78" i="2"/>
  <c r="P78" i="2" s="1"/>
  <c r="K81" i="2"/>
  <c r="I133" i="2"/>
  <c r="P133" i="2" s="1"/>
  <c r="M192" i="2"/>
  <c r="I209" i="2"/>
  <c r="P209" i="2" s="1"/>
  <c r="K229" i="2"/>
  <c r="I240" i="2"/>
  <c r="Q240" i="2" s="1"/>
  <c r="K251" i="2"/>
  <c r="J264" i="2"/>
  <c r="O275" i="2"/>
  <c r="N95" i="2"/>
  <c r="I106" i="2"/>
  <c r="Q106" i="2" s="1"/>
  <c r="I115" i="2"/>
  <c r="O115" i="2" s="1"/>
  <c r="N173" i="2"/>
  <c r="N185" i="2"/>
  <c r="O191" i="2"/>
  <c r="I211" i="2"/>
  <c r="P211" i="2" s="1"/>
  <c r="M218" i="2"/>
  <c r="M223" i="2"/>
  <c r="N242" i="2"/>
  <c r="J218" i="2"/>
  <c r="O95" i="2"/>
  <c r="M120" i="2"/>
  <c r="J164" i="2"/>
  <c r="O173" i="2"/>
  <c r="P191" i="2"/>
  <c r="H203" i="2"/>
  <c r="K203" i="2" s="1"/>
  <c r="O214" i="2"/>
  <c r="H224" i="2"/>
  <c r="L224" i="2" s="1"/>
  <c r="Q225" i="2"/>
  <c r="I248" i="2"/>
  <c r="Q248" i="2" s="1"/>
  <c r="I251" i="2"/>
  <c r="N252" i="2"/>
  <c r="I263" i="2"/>
  <c r="P263" i="2" s="1"/>
  <c r="K274" i="2"/>
  <c r="P60" i="2"/>
  <c r="J81" i="2"/>
  <c r="N82" i="2"/>
  <c r="P95" i="2"/>
  <c r="K115" i="2"/>
  <c r="I123" i="2"/>
  <c r="P123" i="2" s="1"/>
  <c r="I129" i="2"/>
  <c r="P129" i="2" s="1"/>
  <c r="I132" i="2"/>
  <c r="O132" i="2" s="1"/>
  <c r="P138" i="2"/>
  <c r="L139" i="2"/>
  <c r="J156" i="2"/>
  <c r="N160" i="2"/>
  <c r="K164" i="2"/>
  <c r="N167" i="2"/>
  <c r="P173" i="2"/>
  <c r="O185" i="2"/>
  <c r="I196" i="2"/>
  <c r="Q196" i="2" s="1"/>
  <c r="J213" i="2"/>
  <c r="P217" i="2"/>
  <c r="N231" i="2"/>
  <c r="J251" i="2"/>
  <c r="O252" i="2"/>
  <c r="L274" i="2"/>
  <c r="L280" i="2"/>
  <c r="I9" i="2"/>
  <c r="O9" i="2" s="1"/>
  <c r="I51" i="2"/>
  <c r="N51" i="2" s="1"/>
  <c r="Q60" i="2"/>
  <c r="L81" i="2"/>
  <c r="O82" i="2"/>
  <c r="L115" i="2"/>
  <c r="O160" i="2"/>
  <c r="L164" i="2"/>
  <c r="Q173" i="2"/>
  <c r="I176" i="2"/>
  <c r="Q176" i="2" s="1"/>
  <c r="K193" i="2"/>
  <c r="I207" i="2"/>
  <c r="O207" i="2" s="1"/>
  <c r="L213" i="2"/>
  <c r="O231" i="2"/>
  <c r="Q237" i="2"/>
  <c r="L251" i="2"/>
  <c r="P252" i="2"/>
  <c r="M280" i="2"/>
  <c r="L34" i="2"/>
  <c r="P82" i="2"/>
  <c r="I98" i="2"/>
  <c r="I105" i="2"/>
  <c r="N105" i="2" s="1"/>
  <c r="J107" i="2"/>
  <c r="N138" i="2"/>
  <c r="I146" i="2"/>
  <c r="O146" i="2" s="1"/>
  <c r="Q160" i="2"/>
  <c r="I163" i="2"/>
  <c r="O163" i="2" s="1"/>
  <c r="O167" i="2"/>
  <c r="L206" i="2"/>
  <c r="J210" i="2"/>
  <c r="P231" i="2"/>
  <c r="H241" i="2"/>
  <c r="K241" i="2" s="1"/>
  <c r="K247" i="2"/>
  <c r="P270" i="2"/>
  <c r="N280" i="2"/>
  <c r="I81" i="2"/>
  <c r="H56" i="2"/>
  <c r="N59" i="2"/>
  <c r="L65" i="2"/>
  <c r="I71" i="2"/>
  <c r="Q71" i="2" s="1"/>
  <c r="J78" i="2"/>
  <c r="Q79" i="2"/>
  <c r="H85" i="2"/>
  <c r="K85" i="2" s="1"/>
  <c r="H90" i="2"/>
  <c r="L90" i="2" s="1"/>
  <c r="H172" i="2"/>
  <c r="K172" i="2" s="1"/>
  <c r="H184" i="2"/>
  <c r="K184" i="2" s="1"/>
  <c r="H190" i="2"/>
  <c r="N193" i="2"/>
  <c r="I195" i="2"/>
  <c r="H230" i="2"/>
  <c r="L230" i="2" s="1"/>
  <c r="K261" i="2"/>
  <c r="I262" i="2"/>
  <c r="O262" i="2" s="1"/>
  <c r="N3" i="2"/>
  <c r="V3" i="2" s="1"/>
  <c r="M6" i="2"/>
  <c r="L6" i="2"/>
  <c r="K6" i="2"/>
  <c r="M22" i="2"/>
  <c r="L22" i="2"/>
  <c r="K22" i="2"/>
  <c r="J22" i="2"/>
  <c r="I69" i="2"/>
  <c r="H68" i="2"/>
  <c r="M114" i="2"/>
  <c r="K114" i="2"/>
  <c r="J114" i="2"/>
  <c r="Q140" i="2"/>
  <c r="P140" i="2"/>
  <c r="Q175" i="2"/>
  <c r="O175" i="2"/>
  <c r="P175" i="2"/>
  <c r="I68" i="2"/>
  <c r="H67" i="2"/>
  <c r="N113" i="2"/>
  <c r="Q113" i="2"/>
  <c r="O114" i="2"/>
  <c r="N114" i="2"/>
  <c r="Q114" i="2"/>
  <c r="P114" i="2"/>
  <c r="V4" i="2"/>
  <c r="H26" i="2"/>
  <c r="I27" i="2"/>
  <c r="J47" i="2"/>
  <c r="M47" i="2"/>
  <c r="K47" i="2"/>
  <c r="L114" i="2"/>
  <c r="J144" i="2"/>
  <c r="M144" i="2"/>
  <c r="L144" i="2"/>
  <c r="K144" i="2"/>
  <c r="Q157" i="2"/>
  <c r="O157" i="2"/>
  <c r="N157" i="2"/>
  <c r="O279" i="2"/>
  <c r="N279" i="2"/>
  <c r="Q279" i="2"/>
  <c r="P279" i="2"/>
  <c r="J19" i="2"/>
  <c r="P75" i="2"/>
  <c r="O75" i="2"/>
  <c r="N75" i="2"/>
  <c r="I7" i="2"/>
  <c r="Q20" i="2"/>
  <c r="P20" i="2"/>
  <c r="O20" i="2"/>
  <c r="H100" i="2"/>
  <c r="I101" i="2"/>
  <c r="M28" i="2"/>
  <c r="L28" i="2"/>
  <c r="K28" i="2"/>
  <c r="J28" i="2"/>
  <c r="P23" i="2"/>
  <c r="Q23" i="2"/>
  <c r="O23" i="2"/>
  <c r="N23" i="2"/>
  <c r="K15" i="2"/>
  <c r="J15" i="2"/>
  <c r="L15" i="2"/>
  <c r="M15" i="2"/>
  <c r="P156" i="2"/>
  <c r="N156" i="2"/>
  <c r="P14" i="2"/>
  <c r="N14" i="2"/>
  <c r="L52" i="2"/>
  <c r="K52" i="2"/>
  <c r="J52" i="2"/>
  <c r="O52" i="2"/>
  <c r="N52" i="2"/>
  <c r="P52" i="2"/>
  <c r="Q75" i="2"/>
  <c r="P113" i="2"/>
  <c r="O156" i="2"/>
  <c r="Q156" i="2"/>
  <c r="M23" i="2"/>
  <c r="L23" i="2"/>
  <c r="K23" i="2"/>
  <c r="I32" i="2"/>
  <c r="H31" i="2"/>
  <c r="O35" i="2"/>
  <c r="N35" i="2"/>
  <c r="P35" i="2"/>
  <c r="O105" i="2"/>
  <c r="J7" i="2"/>
  <c r="L7" i="2"/>
  <c r="I13" i="2"/>
  <c r="H12" i="2"/>
  <c r="H30" i="2"/>
  <c r="I31" i="2"/>
  <c r="H116" i="2"/>
  <c r="I117" i="2"/>
  <c r="J6" i="2"/>
  <c r="K7" i="2"/>
  <c r="O129" i="2"/>
  <c r="Q129" i="2"/>
  <c r="N129" i="2"/>
  <c r="K132" i="2"/>
  <c r="M132" i="2"/>
  <c r="L132" i="2"/>
  <c r="J132" i="2"/>
  <c r="M174" i="2"/>
  <c r="L174" i="2"/>
  <c r="K174" i="2"/>
  <c r="J174" i="2"/>
  <c r="M7" i="2"/>
  <c r="O42" i="2"/>
  <c r="Q42" i="2"/>
  <c r="N42" i="2"/>
  <c r="P42" i="2"/>
  <c r="M52" i="2"/>
  <c r="Q55" i="2"/>
  <c r="O55" i="2"/>
  <c r="N55" i="2"/>
  <c r="O4" i="2"/>
  <c r="Q4" i="2"/>
  <c r="P4" i="2"/>
  <c r="L32" i="2"/>
  <c r="K32" i="2"/>
  <c r="J32" i="2"/>
  <c r="O46" i="2"/>
  <c r="N46" i="2"/>
  <c r="M51" i="2"/>
  <c r="K51" i="2"/>
  <c r="J51" i="2"/>
  <c r="M54" i="2"/>
  <c r="L54" i="2"/>
  <c r="J54" i="2"/>
  <c r="K54" i="2"/>
  <c r="H74" i="2"/>
  <c r="H88" i="2"/>
  <c r="I89" i="2"/>
  <c r="L10" i="2"/>
  <c r="K10" i="2"/>
  <c r="J10" i="2"/>
  <c r="N20" i="2"/>
  <c r="J24" i="2"/>
  <c r="M24" i="2"/>
  <c r="K24" i="2"/>
  <c r="L93" i="2"/>
  <c r="M93" i="2"/>
  <c r="K93" i="2"/>
  <c r="J93" i="2"/>
  <c r="H57" i="2"/>
  <c r="I58" i="2"/>
  <c r="H73" i="2"/>
  <c r="I74" i="2"/>
  <c r="L181" i="2"/>
  <c r="M181" i="2"/>
  <c r="J181" i="2"/>
  <c r="K181" i="2"/>
  <c r="M10" i="2"/>
  <c r="L24" i="2"/>
  <c r="N48" i="2"/>
  <c r="Q48" i="2"/>
  <c r="O48" i="2"/>
  <c r="N86" i="2"/>
  <c r="K92" i="2"/>
  <c r="J92" i="2"/>
  <c r="M92" i="2"/>
  <c r="I109" i="2"/>
  <c r="H108" i="2"/>
  <c r="I143" i="2"/>
  <c r="H142" i="2"/>
  <c r="Q145" i="2"/>
  <c r="P145" i="2"/>
  <c r="P148" i="2"/>
  <c r="O148" i="2"/>
  <c r="N148" i="2"/>
  <c r="Q148" i="2"/>
  <c r="N162" i="2"/>
  <c r="Q162" i="2"/>
  <c r="P162" i="2"/>
  <c r="O162" i="2"/>
  <c r="N180" i="2"/>
  <c r="P180" i="2"/>
  <c r="Q180" i="2"/>
  <c r="N184" i="2"/>
  <c r="O184" i="2"/>
  <c r="Q184" i="2"/>
  <c r="P184" i="2"/>
  <c r="P16" i="2"/>
  <c r="O16" i="2"/>
  <c r="N16" i="2"/>
  <c r="Q16" i="2"/>
  <c r="M42" i="2"/>
  <c r="L42" i="2"/>
  <c r="I45" i="2"/>
  <c r="M46" i="2"/>
  <c r="L46" i="2"/>
  <c r="K46" i="2"/>
  <c r="J46" i="2"/>
  <c r="I54" i="2"/>
  <c r="H53" i="2"/>
  <c r="L80" i="2"/>
  <c r="M80" i="2"/>
  <c r="K80" i="2"/>
  <c r="J80" i="2"/>
  <c r="L85" i="2"/>
  <c r="J85" i="2"/>
  <c r="I88" i="2"/>
  <c r="H87" i="2"/>
  <c r="H169" i="2"/>
  <c r="I170" i="2"/>
  <c r="H196" i="2"/>
  <c r="I197" i="2"/>
  <c r="H209" i="2"/>
  <c r="I210" i="2"/>
  <c r="I18" i="2"/>
  <c r="H17" i="2"/>
  <c r="Q28" i="2"/>
  <c r="J37" i="2"/>
  <c r="M37" i="2"/>
  <c r="O56" i="2"/>
  <c r="Q56" i="2"/>
  <c r="Q57" i="2"/>
  <c r="P57" i="2"/>
  <c r="O57" i="2"/>
  <c r="K61" i="2"/>
  <c r="J61" i="2"/>
  <c r="L61" i="2"/>
  <c r="I73" i="2"/>
  <c r="H72" i="2"/>
  <c r="L83" i="2"/>
  <c r="K83" i="2"/>
  <c r="H141" i="2"/>
  <c r="I142" i="2"/>
  <c r="Q144" i="2"/>
  <c r="P144" i="2"/>
  <c r="N144" i="2"/>
  <c r="O144" i="2"/>
  <c r="K37" i="2"/>
  <c r="K42" i="2"/>
  <c r="H63" i="2"/>
  <c r="I64" i="2"/>
  <c r="P83" i="2"/>
  <c r="O83" i="2"/>
  <c r="Q83" i="2"/>
  <c r="Q94" i="2"/>
  <c r="P94" i="2"/>
  <c r="N94" i="2"/>
  <c r="M123" i="2"/>
  <c r="L123" i="2"/>
  <c r="K123" i="2"/>
  <c r="J123" i="2"/>
  <c r="J130" i="2"/>
  <c r="K130" i="2"/>
  <c r="M130" i="2"/>
  <c r="L130" i="2"/>
  <c r="K143" i="2"/>
  <c r="J143" i="2"/>
  <c r="L143" i="2"/>
  <c r="M143" i="2"/>
  <c r="M159" i="2"/>
  <c r="L159" i="2"/>
  <c r="J159" i="2"/>
  <c r="M178" i="2"/>
  <c r="J178" i="2"/>
  <c r="L182" i="2"/>
  <c r="M182" i="2"/>
  <c r="K182" i="2"/>
  <c r="J182" i="2"/>
  <c r="Q12" i="2"/>
  <c r="P12" i="2"/>
  <c r="O12" i="2"/>
  <c r="N12" i="2"/>
  <c r="M14" i="2"/>
  <c r="L14" i="2"/>
  <c r="K14" i="2"/>
  <c r="H18" i="2"/>
  <c r="I19" i="2"/>
  <c r="N33" i="2"/>
  <c r="L37" i="2"/>
  <c r="I61" i="2"/>
  <c r="H60" i="2"/>
  <c r="J83" i="2"/>
  <c r="H119" i="2"/>
  <c r="I120" i="2"/>
  <c r="Q123" i="2"/>
  <c r="O123" i="2"/>
  <c r="N123" i="2"/>
  <c r="Q130" i="2"/>
  <c r="O130" i="2"/>
  <c r="N130" i="2"/>
  <c r="P130" i="2"/>
  <c r="K159" i="2"/>
  <c r="K178" i="2"/>
  <c r="K44" i="2"/>
  <c r="J44" i="2"/>
  <c r="L44" i="2"/>
  <c r="I111" i="2"/>
  <c r="H110" i="2"/>
  <c r="P5" i="2"/>
  <c r="P8" i="2"/>
  <c r="O8" i="2"/>
  <c r="M8" i="2"/>
  <c r="L8" i="2"/>
  <c r="K8" i="2"/>
  <c r="J8" i="2"/>
  <c r="M13" i="2"/>
  <c r="J14" i="2"/>
  <c r="H21" i="2"/>
  <c r="I22" i="2"/>
  <c r="J36" i="2"/>
  <c r="I49" i="2"/>
  <c r="H48" i="2"/>
  <c r="N83" i="2"/>
  <c r="O98" i="2"/>
  <c r="N98" i="2"/>
  <c r="L137" i="2"/>
  <c r="H191" i="2"/>
  <c r="I192" i="2"/>
  <c r="Q208" i="2"/>
  <c r="O208" i="2"/>
  <c r="N87" i="2"/>
  <c r="P87" i="2"/>
  <c r="O87" i="2"/>
  <c r="Q87" i="2"/>
  <c r="M99" i="2"/>
  <c r="L99" i="2"/>
  <c r="K99" i="2"/>
  <c r="O172" i="2"/>
  <c r="Q172" i="2"/>
  <c r="P172" i="2"/>
  <c r="N172" i="2"/>
  <c r="H5" i="2"/>
  <c r="I6" i="2"/>
  <c r="M16" i="2"/>
  <c r="N56" i="2"/>
  <c r="P72" i="2"/>
  <c r="O72" i="2"/>
  <c r="N72" i="2"/>
  <c r="P106" i="2"/>
  <c r="O106" i="2"/>
  <c r="L129" i="2"/>
  <c r="K129" i="2"/>
  <c r="M129" i="2"/>
  <c r="M137" i="2"/>
  <c r="L157" i="2"/>
  <c r="I188" i="2"/>
  <c r="H187" i="2"/>
  <c r="P104" i="2"/>
  <c r="Q104" i="2"/>
  <c r="O104" i="2"/>
  <c r="L112" i="2"/>
  <c r="J112" i="2"/>
  <c r="M112" i="2"/>
  <c r="K112" i="2"/>
  <c r="M117" i="2"/>
  <c r="J117" i="2"/>
  <c r="L168" i="2"/>
  <c r="M168" i="2"/>
  <c r="J168" i="2"/>
  <c r="Q229" i="2"/>
  <c r="O229" i="2"/>
  <c r="P229" i="2"/>
  <c r="N229" i="2"/>
  <c r="I245" i="2"/>
  <c r="I153" i="2"/>
  <c r="H152" i="2"/>
  <c r="M245" i="2"/>
  <c r="K245" i="2"/>
  <c r="J245" i="2"/>
  <c r="Q10" i="2"/>
  <c r="P10" i="2"/>
  <c r="O10" i="2"/>
  <c r="Q59" i="2"/>
  <c r="P59" i="2"/>
  <c r="N5" i="2"/>
  <c r="O38" i="2"/>
  <c r="H40" i="2"/>
  <c r="I41" i="2"/>
  <c r="I65" i="2"/>
  <c r="H76" i="2"/>
  <c r="I77" i="2"/>
  <c r="J86" i="2"/>
  <c r="L155" i="2"/>
  <c r="M155" i="2"/>
  <c r="J155" i="2"/>
  <c r="K155" i="2"/>
  <c r="I161" i="2"/>
  <c r="H160" i="2"/>
  <c r="M166" i="2"/>
  <c r="L166" i="2"/>
  <c r="J166" i="2"/>
  <c r="K166" i="2"/>
  <c r="H201" i="2"/>
  <c r="I202" i="2"/>
  <c r="M244" i="2"/>
  <c r="L244" i="2"/>
  <c r="J244" i="2"/>
  <c r="K244" i="2"/>
  <c r="L245" i="2"/>
  <c r="I273" i="2"/>
  <c r="H272" i="2"/>
  <c r="O5" i="2"/>
  <c r="L35" i="2"/>
  <c r="K35" i="2"/>
  <c r="M35" i="2"/>
  <c r="J35" i="2"/>
  <c r="N43" i="2"/>
  <c r="O47" i="2"/>
  <c r="J65" i="2"/>
  <c r="K86" i="2"/>
  <c r="Q91" i="2"/>
  <c r="P91" i="2"/>
  <c r="O91" i="2"/>
  <c r="P97" i="2"/>
  <c r="N97" i="2"/>
  <c r="K117" i="2"/>
  <c r="I125" i="2"/>
  <c r="H124" i="2"/>
  <c r="Q199" i="2"/>
  <c r="P199" i="2"/>
  <c r="O199" i="2"/>
  <c r="N199" i="2"/>
  <c r="L2" i="2"/>
  <c r="T2" i="2" s="1"/>
  <c r="K2" i="2"/>
  <c r="S2" i="2" s="1"/>
  <c r="J2" i="2"/>
  <c r="R2" i="2" s="1"/>
  <c r="I26" i="2"/>
  <c r="I34" i="2"/>
  <c r="L41" i="2"/>
  <c r="M41" i="2"/>
  <c r="J41" i="2"/>
  <c r="K41" i="2"/>
  <c r="O43" i="2"/>
  <c r="Q47" i="2"/>
  <c r="L55" i="2"/>
  <c r="M55" i="2"/>
  <c r="K55" i="2"/>
  <c r="K65" i="2"/>
  <c r="M77" i="2"/>
  <c r="L77" i="2"/>
  <c r="J77" i="2"/>
  <c r="L97" i="2"/>
  <c r="M97" i="2"/>
  <c r="K97" i="2"/>
  <c r="I99" i="2"/>
  <c r="H98" i="2"/>
  <c r="L117" i="2"/>
  <c r="O118" i="2"/>
  <c r="O119" i="2"/>
  <c r="Q119" i="2"/>
  <c r="I126" i="2"/>
  <c r="H125" i="2"/>
  <c r="H133" i="2"/>
  <c r="I134" i="2"/>
  <c r="K135" i="2"/>
  <c r="L146" i="2"/>
  <c r="K146" i="2"/>
  <c r="J146" i="2"/>
  <c r="H163" i="2"/>
  <c r="I164" i="2"/>
  <c r="H177" i="2"/>
  <c r="I178" i="2"/>
  <c r="H84" i="2"/>
  <c r="I85" i="2"/>
  <c r="M165" i="2"/>
  <c r="L165" i="2"/>
  <c r="K165" i="2"/>
  <c r="J165" i="2"/>
  <c r="J186" i="2"/>
  <c r="M186" i="2"/>
  <c r="K186" i="2"/>
  <c r="L186" i="2"/>
  <c r="L197" i="2"/>
  <c r="K197" i="2"/>
  <c r="M197" i="2"/>
  <c r="H227" i="2"/>
  <c r="I228" i="2"/>
  <c r="H4" i="2"/>
  <c r="Q29" i="2"/>
  <c r="N53" i="2"/>
  <c r="L58" i="2"/>
  <c r="K58" i="2"/>
  <c r="J58" i="2"/>
  <c r="O59" i="2"/>
  <c r="O70" i="2"/>
  <c r="H103" i="2"/>
  <c r="K111" i="2"/>
  <c r="M111" i="2"/>
  <c r="L111" i="2"/>
  <c r="J111" i="2"/>
  <c r="O112" i="2"/>
  <c r="K122" i="2"/>
  <c r="L122" i="2"/>
  <c r="J122" i="2"/>
  <c r="M122" i="2"/>
  <c r="M131" i="2"/>
  <c r="J131" i="2"/>
  <c r="L131" i="2"/>
  <c r="I151" i="2"/>
  <c r="H150" i="2"/>
  <c r="Q165" i="2"/>
  <c r="P165" i="2"/>
  <c r="O165" i="2"/>
  <c r="M9" i="2"/>
  <c r="L9" i="2"/>
  <c r="K9" i="2"/>
  <c r="L25" i="2"/>
  <c r="K25" i="2"/>
  <c r="J25" i="2"/>
  <c r="M33" i="2"/>
  <c r="L33" i="2"/>
  <c r="K33" i="2"/>
  <c r="Q38" i="2"/>
  <c r="N38" i="2"/>
  <c r="J45" i="2"/>
  <c r="M45" i="2"/>
  <c r="L45" i="2"/>
  <c r="K64" i="2"/>
  <c r="M64" i="2"/>
  <c r="J64" i="2"/>
  <c r="L71" i="2"/>
  <c r="K71" i="2"/>
  <c r="Q76" i="2"/>
  <c r="P76" i="2"/>
  <c r="O76" i="2"/>
  <c r="P86" i="2"/>
  <c r="O86" i="2"/>
  <c r="Q86" i="2"/>
  <c r="P103" i="2"/>
  <c r="O103" i="2"/>
  <c r="N103" i="2"/>
  <c r="H106" i="2"/>
  <c r="I107" i="2"/>
  <c r="N108" i="2"/>
  <c r="Q108" i="2"/>
  <c r="O108" i="2"/>
  <c r="M156" i="2"/>
  <c r="L156" i="2"/>
  <c r="H170" i="2"/>
  <c r="I171" i="2"/>
  <c r="I198" i="2"/>
  <c r="H204" i="2"/>
  <c r="I205" i="2"/>
  <c r="H233" i="2"/>
  <c r="I234" i="2"/>
  <c r="K149" i="2"/>
  <c r="M149" i="2"/>
  <c r="H167" i="2"/>
  <c r="I168" i="2"/>
  <c r="O37" i="2"/>
  <c r="M38" i="2"/>
  <c r="K38" i="2"/>
  <c r="J38" i="2"/>
  <c r="N60" i="2"/>
  <c r="L69" i="2"/>
  <c r="O84" i="2"/>
  <c r="P84" i="2"/>
  <c r="I96" i="2"/>
  <c r="H95" i="2"/>
  <c r="K105" i="2"/>
  <c r="J105" i="2"/>
  <c r="H127" i="2"/>
  <c r="I128" i="2"/>
  <c r="M128" i="2"/>
  <c r="L128" i="2"/>
  <c r="J128" i="2"/>
  <c r="I139" i="2"/>
  <c r="H138" i="2"/>
  <c r="H158" i="2"/>
  <c r="I159" i="2"/>
  <c r="K70" i="2"/>
  <c r="J70" i="2"/>
  <c r="L82" i="2"/>
  <c r="K82" i="2"/>
  <c r="J101" i="2"/>
  <c r="M101" i="2"/>
  <c r="J151" i="2"/>
  <c r="Q183" i="2"/>
  <c r="P183" i="2"/>
  <c r="M222" i="2"/>
  <c r="L222" i="2"/>
  <c r="J222" i="2"/>
  <c r="P81" i="2"/>
  <c r="Q81" i="2"/>
  <c r="L118" i="2"/>
  <c r="K118" i="2"/>
  <c r="J118" i="2"/>
  <c r="N133" i="2"/>
  <c r="K151" i="2"/>
  <c r="L185" i="2"/>
  <c r="M185" i="2"/>
  <c r="K185" i="2"/>
  <c r="O196" i="2"/>
  <c r="N196" i="2"/>
  <c r="H212" i="2"/>
  <c r="I213" i="2"/>
  <c r="Q222" i="2"/>
  <c r="P222" i="2"/>
  <c r="O222" i="2"/>
  <c r="I90" i="2"/>
  <c r="I116" i="2"/>
  <c r="I121" i="2"/>
  <c r="N137" i="2"/>
  <c r="L153" i="2"/>
  <c r="K153" i="2"/>
  <c r="J153" i="2"/>
  <c r="I181" i="2"/>
  <c r="H180" i="2"/>
  <c r="L236" i="2"/>
  <c r="M236" i="2"/>
  <c r="K236" i="2"/>
  <c r="J236" i="2"/>
  <c r="O137" i="2"/>
  <c r="N150" i="2"/>
  <c r="I174" i="2"/>
  <c r="H173" i="2"/>
  <c r="M190" i="2"/>
  <c r="K190" i="2"/>
  <c r="J190" i="2"/>
  <c r="I201" i="2"/>
  <c r="H200" i="2"/>
  <c r="M211" i="2"/>
  <c r="K211" i="2"/>
  <c r="J211" i="2"/>
  <c r="I92" i="2"/>
  <c r="Q154" i="2"/>
  <c r="O154" i="2"/>
  <c r="N154" i="2"/>
  <c r="M179" i="2"/>
  <c r="L179" i="2"/>
  <c r="J179" i="2"/>
  <c r="L190" i="2"/>
  <c r="J207" i="2"/>
  <c r="L211" i="2"/>
  <c r="Q220" i="2"/>
  <c r="P220" i="2"/>
  <c r="O220" i="2"/>
  <c r="N220" i="2"/>
  <c r="I50" i="2"/>
  <c r="L120" i="2"/>
  <c r="K120" i="2"/>
  <c r="J120" i="2"/>
  <c r="H140" i="2"/>
  <c r="I141" i="2"/>
  <c r="M145" i="2"/>
  <c r="K145" i="2"/>
  <c r="L145" i="2"/>
  <c r="J145" i="2"/>
  <c r="M161" i="2"/>
  <c r="L161" i="2"/>
  <c r="K161" i="2"/>
  <c r="N195" i="2"/>
  <c r="Q195" i="2"/>
  <c r="P195" i="2"/>
  <c r="O195" i="2"/>
  <c r="H199" i="2"/>
  <c r="I200" i="2"/>
  <c r="Q207" i="2"/>
  <c r="J230" i="2"/>
  <c r="M230" i="2"/>
  <c r="K230" i="2"/>
  <c r="M231" i="2"/>
  <c r="L231" i="2"/>
  <c r="J231" i="2"/>
  <c r="K231" i="2"/>
  <c r="I149" i="2"/>
  <c r="Q166" i="2"/>
  <c r="P166" i="2"/>
  <c r="O176" i="2"/>
  <c r="P185" i="2"/>
  <c r="Q186" i="2"/>
  <c r="P186" i="2"/>
  <c r="N186" i="2"/>
  <c r="O186" i="2"/>
  <c r="Q236" i="2"/>
  <c r="P236" i="2"/>
  <c r="N236" i="2"/>
  <c r="O236" i="2"/>
  <c r="Q185" i="2"/>
  <c r="M198" i="2"/>
  <c r="L198" i="2"/>
  <c r="J198" i="2"/>
  <c r="Q223" i="2"/>
  <c r="N223" i="2"/>
  <c r="Q224" i="2"/>
  <c r="P224" i="2"/>
  <c r="O224" i="2"/>
  <c r="P232" i="2"/>
  <c r="O232" i="2"/>
  <c r="N232" i="2"/>
  <c r="Q232" i="2"/>
  <c r="J148" i="2"/>
  <c r="K148" i="2"/>
  <c r="O169" i="2"/>
  <c r="Q169" i="2"/>
  <c r="N169" i="2"/>
  <c r="P182" i="2"/>
  <c r="K198" i="2"/>
  <c r="J203" i="2"/>
  <c r="M203" i="2"/>
  <c r="L203" i="2"/>
  <c r="M235" i="2"/>
  <c r="K235" i="2"/>
  <c r="L235" i="2"/>
  <c r="J235" i="2"/>
  <c r="P169" i="2"/>
  <c r="L189" i="2"/>
  <c r="M189" i="2"/>
  <c r="J189" i="2"/>
  <c r="M194" i="2"/>
  <c r="L194" i="2"/>
  <c r="P203" i="2"/>
  <c r="O203" i="2"/>
  <c r="Q203" i="2"/>
  <c r="N203" i="2"/>
  <c r="H214" i="2"/>
  <c r="I215" i="2"/>
  <c r="L240" i="2"/>
  <c r="K240" i="2"/>
  <c r="M240" i="2"/>
  <c r="J240" i="2"/>
  <c r="I258" i="2"/>
  <c r="H257" i="2"/>
  <c r="O230" i="2"/>
  <c r="N230" i="2"/>
  <c r="Q230" i="2"/>
  <c r="H258" i="2"/>
  <c r="I259" i="2"/>
  <c r="I135" i="2"/>
  <c r="I244" i="2"/>
  <c r="H243" i="2"/>
  <c r="P214" i="2"/>
  <c r="N214" i="2"/>
  <c r="H248" i="2"/>
  <c r="I249" i="2"/>
  <c r="I155" i="2"/>
  <c r="K206" i="2"/>
  <c r="J206" i="2"/>
  <c r="M210" i="2"/>
  <c r="L210" i="2"/>
  <c r="J216" i="2"/>
  <c r="K216" i="2"/>
  <c r="M216" i="2"/>
  <c r="Q216" i="2"/>
  <c r="P216" i="2"/>
  <c r="O216" i="2"/>
  <c r="H252" i="2"/>
  <c r="I253" i="2"/>
  <c r="O270" i="2"/>
  <c r="N270" i="2"/>
  <c r="L215" i="2"/>
  <c r="K215" i="2"/>
  <c r="M219" i="2"/>
  <c r="L219" i="2"/>
  <c r="K219" i="2"/>
  <c r="J219" i="2"/>
  <c r="K221" i="2"/>
  <c r="L221" i="2"/>
  <c r="J221" i="2"/>
  <c r="M221" i="2"/>
  <c r="J224" i="2"/>
  <c r="M250" i="2"/>
  <c r="L250" i="2"/>
  <c r="K250" i="2"/>
  <c r="M217" i="2"/>
  <c r="K217" i="2"/>
  <c r="J217" i="2"/>
  <c r="L226" i="2"/>
  <c r="J226" i="2"/>
  <c r="H242" i="2"/>
  <c r="I243" i="2"/>
  <c r="O217" i="2"/>
  <c r="N217" i="2"/>
  <c r="H228" i="2"/>
  <c r="P235" i="2"/>
  <c r="O235" i="2"/>
  <c r="N235" i="2"/>
  <c r="J241" i="2"/>
  <c r="M239" i="2"/>
  <c r="L239" i="2"/>
  <c r="K239" i="2"/>
  <c r="O242" i="2"/>
  <c r="O204" i="2"/>
  <c r="I218" i="2"/>
  <c r="J239" i="2"/>
  <c r="P242" i="2"/>
  <c r="H267" i="2"/>
  <c r="I268" i="2"/>
  <c r="H266" i="2"/>
  <c r="I267" i="2"/>
  <c r="I219" i="2"/>
  <c r="M234" i="2"/>
  <c r="L234" i="2"/>
  <c r="K234" i="2"/>
  <c r="J234" i="2"/>
  <c r="Q241" i="2"/>
  <c r="O241" i="2"/>
  <c r="P241" i="2"/>
  <c r="O272" i="2"/>
  <c r="N272" i="2"/>
  <c r="Q272" i="2"/>
  <c r="P272" i="2"/>
  <c r="Q278" i="2"/>
  <c r="P278" i="2"/>
  <c r="N278" i="2"/>
  <c r="O278" i="2"/>
  <c r="I221" i="2"/>
  <c r="L271" i="2"/>
  <c r="K271" i="2"/>
  <c r="J271" i="2"/>
  <c r="M277" i="2"/>
  <c r="K277" i="2"/>
  <c r="Q265" i="2"/>
  <c r="P265" i="2"/>
  <c r="O265" i="2"/>
  <c r="N265" i="2"/>
  <c r="P277" i="2"/>
  <c r="O277" i="2"/>
  <c r="N277" i="2"/>
  <c r="M260" i="2"/>
  <c r="L260" i="2"/>
  <c r="K260" i="2"/>
  <c r="J260" i="2"/>
  <c r="M263" i="2"/>
  <c r="K263" i="2"/>
  <c r="L263" i="2"/>
  <c r="P274" i="2"/>
  <c r="Q274" i="2"/>
  <c r="N274" i="2"/>
  <c r="J277" i="2"/>
  <c r="O227" i="2"/>
  <c r="Q227" i="2"/>
  <c r="J274" i="2"/>
  <c r="L277" i="2"/>
  <c r="H238" i="2"/>
  <c r="I239" i="2"/>
  <c r="M253" i="2"/>
  <c r="L253" i="2"/>
  <c r="K253" i="2"/>
  <c r="L254" i="2"/>
  <c r="M254" i="2"/>
  <c r="K254" i="2"/>
  <c r="Q254" i="2"/>
  <c r="P254" i="2"/>
  <c r="O254" i="2"/>
  <c r="N254" i="2"/>
  <c r="N247" i="2"/>
  <c r="M269" i="2"/>
  <c r="M276" i="2"/>
  <c r="L276" i="2"/>
  <c r="K276" i="2"/>
  <c r="J276" i="2"/>
  <c r="Q264" i="2"/>
  <c r="P264" i="2"/>
  <c r="N264" i="2"/>
  <c r="J268" i="2"/>
  <c r="H275" i="2"/>
  <c r="I276" i="2"/>
  <c r="M279" i="2"/>
  <c r="L279" i="2"/>
  <c r="J279" i="2"/>
  <c r="Q269" i="2"/>
  <c r="O269" i="2"/>
  <c r="H270" i="2"/>
  <c r="I271" i="2"/>
  <c r="M262" i="2"/>
  <c r="L262" i="2"/>
  <c r="K262" i="2"/>
  <c r="J262" i="2"/>
  <c r="J247" i="2"/>
  <c r="Q255" i="2"/>
  <c r="O255" i="2"/>
  <c r="H256" i="2"/>
  <c r="I257" i="2"/>
  <c r="J280" i="2"/>
  <c r="O3" i="2" l="1"/>
  <c r="W3" i="2" s="1"/>
  <c r="N240" i="2"/>
  <c r="Q110" i="2"/>
  <c r="O240" i="2"/>
  <c r="O39" i="2"/>
  <c r="K19" i="2"/>
  <c r="Q3" i="2"/>
  <c r="Y3" i="2" s="1"/>
  <c r="P240" i="2"/>
  <c r="O250" i="2"/>
  <c r="Q39" i="2"/>
  <c r="L19" i="2"/>
  <c r="L202" i="2"/>
  <c r="O211" i="2"/>
  <c r="O226" i="2"/>
  <c r="Q190" i="2"/>
  <c r="M205" i="2"/>
  <c r="K278" i="2"/>
  <c r="Q211" i="2"/>
  <c r="P226" i="2"/>
  <c r="O190" i="2"/>
  <c r="P250" i="2"/>
  <c r="N127" i="2"/>
  <c r="Q132" i="2"/>
  <c r="Q46" i="2"/>
  <c r="P132" i="2"/>
  <c r="L59" i="2"/>
  <c r="N62" i="2"/>
  <c r="N194" i="2"/>
  <c r="K224" i="2"/>
  <c r="M36" i="2"/>
  <c r="P118" i="2"/>
  <c r="N39" i="2"/>
  <c r="N190" i="2"/>
  <c r="M202" i="2"/>
  <c r="N211" i="2"/>
  <c r="N226" i="2"/>
  <c r="L36" i="2"/>
  <c r="J278" i="2"/>
  <c r="N250" i="2"/>
  <c r="N132" i="2"/>
  <c r="K59" i="2"/>
  <c r="L278" i="2"/>
  <c r="P194" i="2"/>
  <c r="O93" i="2"/>
  <c r="P127" i="2"/>
  <c r="M59" i="2"/>
  <c r="O194" i="2"/>
  <c r="J225" i="2"/>
  <c r="Q133" i="2"/>
  <c r="P146" i="2"/>
  <c r="P93" i="2"/>
  <c r="Q93" i="2"/>
  <c r="Q127" i="2"/>
  <c r="J43" i="2"/>
  <c r="K202" i="2"/>
  <c r="P131" i="2"/>
  <c r="N256" i="2"/>
  <c r="O133" i="2"/>
  <c r="N100" i="2"/>
  <c r="K43" i="2"/>
  <c r="M264" i="2"/>
  <c r="K264" i="2"/>
  <c r="O256" i="2"/>
  <c r="O80" i="2"/>
  <c r="O100" i="2"/>
  <c r="J3" i="2"/>
  <c r="R3" i="2" s="1"/>
  <c r="L43" i="2"/>
  <c r="O138" i="2"/>
  <c r="Q138" i="2"/>
  <c r="J269" i="2"/>
  <c r="N207" i="2"/>
  <c r="P256" i="2"/>
  <c r="N131" i="2"/>
  <c r="N110" i="2"/>
  <c r="P80" i="2"/>
  <c r="Q209" i="2"/>
  <c r="N28" i="2"/>
  <c r="P100" i="2"/>
  <c r="K3" i="2"/>
  <c r="S3" i="2" s="1"/>
  <c r="K269" i="2"/>
  <c r="O248" i="2"/>
  <c r="P207" i="2"/>
  <c r="O131" i="2"/>
  <c r="N146" i="2"/>
  <c r="P110" i="2"/>
  <c r="N118" i="2"/>
  <c r="Q80" i="2"/>
  <c r="N209" i="2"/>
  <c r="O28" i="2"/>
  <c r="M3" i="2"/>
  <c r="U3" i="2" s="1"/>
  <c r="O140" i="2"/>
  <c r="M224" i="2"/>
  <c r="P176" i="2"/>
  <c r="N176" i="2"/>
  <c r="O209" i="2"/>
  <c r="P21" i="2"/>
  <c r="L121" i="2"/>
  <c r="L207" i="2"/>
  <c r="K207" i="2"/>
  <c r="P63" i="2"/>
  <c r="O63" i="2"/>
  <c r="N63" i="2"/>
  <c r="Q63" i="2"/>
  <c r="L241" i="2"/>
  <c r="W5" i="2"/>
  <c r="J121" i="2"/>
  <c r="O62" i="2"/>
  <c r="O238" i="2"/>
  <c r="N238" i="2"/>
  <c r="Q238" i="2"/>
  <c r="P238" i="2"/>
  <c r="J157" i="2"/>
  <c r="M157" i="2"/>
  <c r="L237" i="2"/>
  <c r="J237" i="2"/>
  <c r="M237" i="2"/>
  <c r="Q30" i="2"/>
  <c r="O30" i="2"/>
  <c r="P196" i="2"/>
  <c r="Q14" i="2"/>
  <c r="M241" i="2"/>
  <c r="J232" i="2"/>
  <c r="L149" i="2"/>
  <c r="P51" i="2"/>
  <c r="N115" i="2"/>
  <c r="M121" i="2"/>
  <c r="N21" i="2"/>
  <c r="Q62" i="2"/>
  <c r="J249" i="2"/>
  <c r="M62" i="2"/>
  <c r="L62" i="2"/>
  <c r="K62" i="2"/>
  <c r="J62" i="2"/>
  <c r="K237" i="2"/>
  <c r="M232" i="2"/>
  <c r="K157" i="2"/>
  <c r="P71" i="2"/>
  <c r="Q136" i="2"/>
  <c r="M85" i="2"/>
  <c r="Q115" i="2"/>
  <c r="O51" i="2"/>
  <c r="M29" i="2"/>
  <c r="N30" i="2"/>
  <c r="Q179" i="2"/>
  <c r="P179" i="2"/>
  <c r="O179" i="2"/>
  <c r="N179" i="2"/>
  <c r="J71" i="2"/>
  <c r="M71" i="2"/>
  <c r="M273" i="2"/>
  <c r="L273" i="2"/>
  <c r="K273" i="2"/>
  <c r="J273" i="2"/>
  <c r="O15" i="2"/>
  <c r="N15" i="2"/>
  <c r="Q15" i="2"/>
  <c r="P15" i="2"/>
  <c r="Q112" i="2"/>
  <c r="N112" i="2"/>
  <c r="K232" i="2"/>
  <c r="V5" i="2"/>
  <c r="L249" i="2"/>
  <c r="M207" i="2"/>
  <c r="Q51" i="2"/>
  <c r="L29" i="2"/>
  <c r="Q21" i="2"/>
  <c r="O189" i="2"/>
  <c r="O147" i="2"/>
  <c r="N71" i="2"/>
  <c r="J29" i="2"/>
  <c r="N78" i="2"/>
  <c r="M56" i="2"/>
  <c r="L56" i="2"/>
  <c r="J56" i="2"/>
  <c r="K56" i="2"/>
  <c r="P248" i="2"/>
  <c r="N248" i="2"/>
  <c r="N25" i="2"/>
  <c r="Q150" i="2"/>
  <c r="P150" i="2"/>
  <c r="O150" i="2"/>
  <c r="L223" i="2"/>
  <c r="J223" i="2"/>
  <c r="M249" i="2"/>
  <c r="N136" i="2"/>
  <c r="J172" i="2"/>
  <c r="P189" i="2"/>
  <c r="P112" i="2"/>
  <c r="P147" i="2"/>
  <c r="O71" i="2"/>
  <c r="O25" i="2"/>
  <c r="J188" i="2"/>
  <c r="X4" i="2"/>
  <c r="X5" i="2" s="1"/>
  <c r="O78" i="2"/>
  <c r="J184" i="2"/>
  <c r="K90" i="2"/>
  <c r="N36" i="2"/>
  <c r="N81" i="2"/>
  <c r="O81" i="2"/>
  <c r="O212" i="2"/>
  <c r="N212" i="2"/>
  <c r="Q212" i="2"/>
  <c r="P212" i="2"/>
  <c r="M259" i="2"/>
  <c r="L259" i="2"/>
  <c r="K259" i="2"/>
  <c r="Q43" i="2"/>
  <c r="P43" i="2"/>
  <c r="O53" i="2"/>
  <c r="Q53" i="2"/>
  <c r="P53" i="2"/>
  <c r="M27" i="2"/>
  <c r="K27" i="2"/>
  <c r="J27" i="2"/>
  <c r="P115" i="2"/>
  <c r="Q147" i="2"/>
  <c r="P25" i="2"/>
  <c r="M188" i="2"/>
  <c r="Y4" i="2"/>
  <c r="Y5" i="2" s="1"/>
  <c r="Q78" i="2"/>
  <c r="L184" i="2"/>
  <c r="J90" i="2"/>
  <c r="O36" i="2"/>
  <c r="K223" i="2"/>
  <c r="K246" i="2"/>
  <c r="J246" i="2"/>
  <c r="M246" i="2"/>
  <c r="L246" i="2"/>
  <c r="O166" i="2"/>
  <c r="N166" i="2"/>
  <c r="N67" i="2"/>
  <c r="Q67" i="2"/>
  <c r="O67" i="2"/>
  <c r="P36" i="2"/>
  <c r="P98" i="2"/>
  <c r="Q98" i="2"/>
  <c r="Q177" i="2"/>
  <c r="P177" i="2"/>
  <c r="O177" i="2"/>
  <c r="N177" i="2"/>
  <c r="Q11" i="2"/>
  <c r="P11" i="2"/>
  <c r="O11" i="2"/>
  <c r="N11" i="2"/>
  <c r="P247" i="2"/>
  <c r="Q247" i="2"/>
  <c r="J255" i="2"/>
  <c r="M255" i="2"/>
  <c r="L255" i="2"/>
  <c r="K255" i="2"/>
  <c r="K20" i="2"/>
  <c r="J20" i="2"/>
  <c r="M20" i="2"/>
  <c r="L20" i="2"/>
  <c r="P30" i="2"/>
  <c r="O136" i="2"/>
  <c r="L172" i="2"/>
  <c r="N189" i="2"/>
  <c r="O251" i="2"/>
  <c r="P251" i="2"/>
  <c r="P119" i="2"/>
  <c r="N119" i="2"/>
  <c r="Q263" i="2"/>
  <c r="M172" i="2"/>
  <c r="N263" i="2"/>
  <c r="O263" i="2"/>
  <c r="N251" i="2"/>
  <c r="N262" i="2"/>
  <c r="L135" i="2"/>
  <c r="O33" i="2"/>
  <c r="L188" i="2"/>
  <c r="W4" i="2"/>
  <c r="P105" i="2"/>
  <c r="N9" i="2"/>
  <c r="M184" i="2"/>
  <c r="M90" i="2"/>
  <c r="J259" i="2"/>
  <c r="Q251" i="2"/>
  <c r="P262" i="2"/>
  <c r="Q146" i="2"/>
  <c r="M135" i="2"/>
  <c r="N106" i="2"/>
  <c r="N208" i="2"/>
  <c r="P33" i="2"/>
  <c r="Q105" i="2"/>
  <c r="Q9" i="2"/>
  <c r="K176" i="2"/>
  <c r="J176" i="2"/>
  <c r="L176" i="2"/>
  <c r="L225" i="2"/>
  <c r="M225" i="2"/>
  <c r="P163" i="2"/>
  <c r="N163" i="2"/>
  <c r="Q163" i="2"/>
  <c r="Q262" i="2"/>
  <c r="P9" i="2"/>
  <c r="K147" i="2"/>
  <c r="M147" i="2"/>
  <c r="L147" i="2"/>
  <c r="K66" i="2"/>
  <c r="J66" i="2"/>
  <c r="M66" i="2"/>
  <c r="L66" i="2"/>
  <c r="L126" i="2"/>
  <c r="M126" i="2"/>
  <c r="K126" i="2"/>
  <c r="J126" i="2"/>
  <c r="Q276" i="2"/>
  <c r="P276" i="2"/>
  <c r="O276" i="2"/>
  <c r="N276" i="2"/>
  <c r="K138" i="2"/>
  <c r="M138" i="2"/>
  <c r="L138" i="2"/>
  <c r="J138" i="2"/>
  <c r="L17" i="2"/>
  <c r="M17" i="2"/>
  <c r="K17" i="2"/>
  <c r="J17" i="2"/>
  <c r="K26" i="2"/>
  <c r="M26" i="2"/>
  <c r="L26" i="2"/>
  <c r="J26" i="2"/>
  <c r="J275" i="2"/>
  <c r="M275" i="2"/>
  <c r="L275" i="2"/>
  <c r="K275" i="2"/>
  <c r="J212" i="2"/>
  <c r="M212" i="2"/>
  <c r="L212" i="2"/>
  <c r="K212" i="2"/>
  <c r="N139" i="2"/>
  <c r="Q139" i="2"/>
  <c r="P139" i="2"/>
  <c r="O139" i="2"/>
  <c r="O18" i="2"/>
  <c r="Q18" i="2"/>
  <c r="P18" i="2"/>
  <c r="N18" i="2"/>
  <c r="Q109" i="2"/>
  <c r="O109" i="2"/>
  <c r="N109" i="2"/>
  <c r="P109" i="2"/>
  <c r="O258" i="2"/>
  <c r="N258" i="2"/>
  <c r="Q258" i="2"/>
  <c r="P258" i="2"/>
  <c r="P31" i="2"/>
  <c r="Q31" i="2"/>
  <c r="O31" i="2"/>
  <c r="N31" i="2"/>
  <c r="P218" i="2"/>
  <c r="Q218" i="2"/>
  <c r="O218" i="2"/>
  <c r="N218" i="2"/>
  <c r="M88" i="2"/>
  <c r="L88" i="2"/>
  <c r="K88" i="2"/>
  <c r="J88" i="2"/>
  <c r="P213" i="2"/>
  <c r="O213" i="2"/>
  <c r="N213" i="2"/>
  <c r="Q213" i="2"/>
  <c r="L243" i="2"/>
  <c r="K243" i="2"/>
  <c r="J243" i="2"/>
  <c r="M243" i="2"/>
  <c r="O221" i="2"/>
  <c r="N221" i="2"/>
  <c r="Q221" i="2"/>
  <c r="P221" i="2"/>
  <c r="M152" i="2"/>
  <c r="L152" i="2"/>
  <c r="J152" i="2"/>
  <c r="K152" i="2"/>
  <c r="O32" i="2"/>
  <c r="P32" i="2"/>
  <c r="N32" i="2"/>
  <c r="Q32" i="2"/>
  <c r="K238" i="2"/>
  <c r="J238" i="2"/>
  <c r="M238" i="2"/>
  <c r="L238" i="2"/>
  <c r="J18" i="2"/>
  <c r="M18" i="2"/>
  <c r="L18" i="2"/>
  <c r="K18" i="2"/>
  <c r="Q73" i="2"/>
  <c r="O73" i="2"/>
  <c r="N73" i="2"/>
  <c r="P73" i="2"/>
  <c r="O58" i="2"/>
  <c r="N58" i="2"/>
  <c r="Q58" i="2"/>
  <c r="P58" i="2"/>
  <c r="N27" i="2"/>
  <c r="Q27" i="2"/>
  <c r="P27" i="2"/>
  <c r="O27" i="2"/>
  <c r="M63" i="2"/>
  <c r="L63" i="2"/>
  <c r="J63" i="2"/>
  <c r="K63" i="2"/>
  <c r="M100" i="2"/>
  <c r="K100" i="2"/>
  <c r="J100" i="2"/>
  <c r="L100" i="2"/>
  <c r="P50" i="2"/>
  <c r="O50" i="2"/>
  <c r="N50" i="2"/>
  <c r="Q50" i="2"/>
  <c r="N201" i="2"/>
  <c r="Q201" i="2"/>
  <c r="O201" i="2"/>
  <c r="P201" i="2"/>
  <c r="Q85" i="2"/>
  <c r="P85" i="2"/>
  <c r="O85" i="2"/>
  <c r="N85" i="2"/>
  <c r="Q245" i="2"/>
  <c r="P245" i="2"/>
  <c r="O245" i="2"/>
  <c r="N245" i="2"/>
  <c r="L106" i="2"/>
  <c r="M106" i="2"/>
  <c r="J106" i="2"/>
  <c r="K106" i="2"/>
  <c r="Q268" i="2"/>
  <c r="P268" i="2"/>
  <c r="O268" i="2"/>
  <c r="N268" i="2"/>
  <c r="N215" i="2"/>
  <c r="O215" i="2"/>
  <c r="P215" i="2"/>
  <c r="Q215" i="2"/>
  <c r="K84" i="2"/>
  <c r="J84" i="2"/>
  <c r="M84" i="2"/>
  <c r="L84" i="2"/>
  <c r="P134" i="2"/>
  <c r="O134" i="2"/>
  <c r="Q134" i="2"/>
  <c r="N134" i="2"/>
  <c r="Q188" i="2"/>
  <c r="P188" i="2"/>
  <c r="O188" i="2"/>
  <c r="N188" i="2"/>
  <c r="N267" i="2"/>
  <c r="Q267" i="2"/>
  <c r="P267" i="2"/>
  <c r="O267" i="2"/>
  <c r="M258" i="2"/>
  <c r="L258" i="2"/>
  <c r="J258" i="2"/>
  <c r="K258" i="2"/>
  <c r="K214" i="2"/>
  <c r="M214" i="2"/>
  <c r="L214" i="2"/>
  <c r="J214" i="2"/>
  <c r="Q168" i="2"/>
  <c r="P168" i="2"/>
  <c r="O168" i="2"/>
  <c r="N168" i="2"/>
  <c r="K266" i="2"/>
  <c r="J266" i="2"/>
  <c r="M266" i="2"/>
  <c r="L266" i="2"/>
  <c r="Q107" i="2"/>
  <c r="N107" i="2"/>
  <c r="P107" i="2"/>
  <c r="O107" i="2"/>
  <c r="N111" i="2"/>
  <c r="Q111" i="2"/>
  <c r="P111" i="2"/>
  <c r="O111" i="2"/>
  <c r="M267" i="2"/>
  <c r="L267" i="2"/>
  <c r="K267" i="2"/>
  <c r="J267" i="2"/>
  <c r="L133" i="2"/>
  <c r="M133" i="2"/>
  <c r="K133" i="2"/>
  <c r="J133" i="2"/>
  <c r="O200" i="2"/>
  <c r="P200" i="2"/>
  <c r="N200" i="2"/>
  <c r="Q200" i="2"/>
  <c r="L95" i="2"/>
  <c r="K95" i="2"/>
  <c r="J95" i="2"/>
  <c r="M95" i="2"/>
  <c r="Q202" i="2"/>
  <c r="P202" i="2"/>
  <c r="O202" i="2"/>
  <c r="N202" i="2"/>
  <c r="O74" i="2"/>
  <c r="N74" i="2"/>
  <c r="Q74" i="2"/>
  <c r="P74" i="2"/>
  <c r="M228" i="2"/>
  <c r="L228" i="2"/>
  <c r="K228" i="2"/>
  <c r="J228" i="2"/>
  <c r="O149" i="2"/>
  <c r="Q149" i="2"/>
  <c r="N149" i="2"/>
  <c r="P149" i="2"/>
  <c r="M199" i="2"/>
  <c r="K199" i="2"/>
  <c r="J199" i="2"/>
  <c r="L199" i="2"/>
  <c r="Q92" i="2"/>
  <c r="P92" i="2"/>
  <c r="O92" i="2"/>
  <c r="N92" i="2"/>
  <c r="P174" i="2"/>
  <c r="Q174" i="2"/>
  <c r="O174" i="2"/>
  <c r="N174" i="2"/>
  <c r="P96" i="2"/>
  <c r="O96" i="2"/>
  <c r="Q96" i="2"/>
  <c r="N96" i="2"/>
  <c r="N164" i="2"/>
  <c r="Q164" i="2"/>
  <c r="P164" i="2"/>
  <c r="O164" i="2"/>
  <c r="M201" i="2"/>
  <c r="K201" i="2"/>
  <c r="J201" i="2"/>
  <c r="L201" i="2"/>
  <c r="J187" i="2"/>
  <c r="L187" i="2"/>
  <c r="K187" i="2"/>
  <c r="M187" i="2"/>
  <c r="M30" i="2"/>
  <c r="K30" i="2"/>
  <c r="J30" i="2"/>
  <c r="L30" i="2"/>
  <c r="L67" i="2"/>
  <c r="K67" i="2"/>
  <c r="J67" i="2"/>
  <c r="M67" i="2"/>
  <c r="L167" i="2"/>
  <c r="K167" i="2"/>
  <c r="J167" i="2"/>
  <c r="M167" i="2"/>
  <c r="J150" i="2"/>
  <c r="M150" i="2"/>
  <c r="L150" i="2"/>
  <c r="K150" i="2"/>
  <c r="N178" i="2"/>
  <c r="Q178" i="2"/>
  <c r="P178" i="2"/>
  <c r="O178" i="2"/>
  <c r="J125" i="2"/>
  <c r="L125" i="2"/>
  <c r="K125" i="2"/>
  <c r="M125" i="2"/>
  <c r="M272" i="2"/>
  <c r="L272" i="2"/>
  <c r="J272" i="2"/>
  <c r="K272" i="2"/>
  <c r="P153" i="2"/>
  <c r="O153" i="2"/>
  <c r="N153" i="2"/>
  <c r="Q153" i="2"/>
  <c r="O192" i="2"/>
  <c r="Q192" i="2"/>
  <c r="P192" i="2"/>
  <c r="N192" i="2"/>
  <c r="M60" i="2"/>
  <c r="J60" i="2"/>
  <c r="L60" i="2"/>
  <c r="K60" i="2"/>
  <c r="J73" i="2"/>
  <c r="M73" i="2"/>
  <c r="L73" i="2"/>
  <c r="K73" i="2"/>
  <c r="Q68" i="2"/>
  <c r="P68" i="2"/>
  <c r="N68" i="2"/>
  <c r="O68" i="2"/>
  <c r="M173" i="2"/>
  <c r="L173" i="2"/>
  <c r="J173" i="2"/>
  <c r="K173" i="2"/>
  <c r="Q151" i="2"/>
  <c r="O151" i="2"/>
  <c r="N151" i="2"/>
  <c r="P151" i="2"/>
  <c r="K177" i="2"/>
  <c r="M177" i="2"/>
  <c r="L177" i="2"/>
  <c r="J177" i="2"/>
  <c r="O126" i="2"/>
  <c r="Q126" i="2"/>
  <c r="P126" i="2"/>
  <c r="N126" i="2"/>
  <c r="Q273" i="2"/>
  <c r="P273" i="2"/>
  <c r="O273" i="2"/>
  <c r="N273" i="2"/>
  <c r="M191" i="2"/>
  <c r="L191" i="2"/>
  <c r="K191" i="2"/>
  <c r="J191" i="2"/>
  <c r="P61" i="2"/>
  <c r="N61" i="2"/>
  <c r="Q61" i="2"/>
  <c r="O61" i="2"/>
  <c r="N64" i="2"/>
  <c r="Q64" i="2"/>
  <c r="O64" i="2"/>
  <c r="P64" i="2"/>
  <c r="J72" i="2"/>
  <c r="M72" i="2"/>
  <c r="L72" i="2"/>
  <c r="K72" i="2"/>
  <c r="P89" i="2"/>
  <c r="Q89" i="2"/>
  <c r="O89" i="2"/>
  <c r="N89" i="2"/>
  <c r="L31" i="2"/>
  <c r="M31" i="2"/>
  <c r="K31" i="2"/>
  <c r="J31" i="2"/>
  <c r="Q101" i="2"/>
  <c r="P101" i="2"/>
  <c r="N101" i="2"/>
  <c r="O101" i="2"/>
  <c r="N239" i="2"/>
  <c r="P239" i="2"/>
  <c r="O239" i="2"/>
  <c r="Q239" i="2"/>
  <c r="P219" i="2"/>
  <c r="N219" i="2"/>
  <c r="Q219" i="2"/>
  <c r="O219" i="2"/>
  <c r="O244" i="2"/>
  <c r="N244" i="2"/>
  <c r="P244" i="2"/>
  <c r="Q244" i="2"/>
  <c r="L257" i="2"/>
  <c r="K257" i="2"/>
  <c r="J257" i="2"/>
  <c r="M257" i="2"/>
  <c r="Q121" i="2"/>
  <c r="N121" i="2"/>
  <c r="O121" i="2"/>
  <c r="P121" i="2"/>
  <c r="N171" i="2"/>
  <c r="P171" i="2"/>
  <c r="Q171" i="2"/>
  <c r="O171" i="2"/>
  <c r="K163" i="2"/>
  <c r="M163" i="2"/>
  <c r="L163" i="2"/>
  <c r="J163" i="2"/>
  <c r="P77" i="2"/>
  <c r="O77" i="2"/>
  <c r="N77" i="2"/>
  <c r="Q77" i="2"/>
  <c r="N6" i="2"/>
  <c r="V6" i="2" s="1"/>
  <c r="O6" i="2"/>
  <c r="W6" i="2" s="1"/>
  <c r="Q6" i="2"/>
  <c r="P6" i="2"/>
  <c r="M48" i="2"/>
  <c r="K48" i="2"/>
  <c r="J48" i="2"/>
  <c r="L48" i="2"/>
  <c r="L53" i="2"/>
  <c r="K53" i="2"/>
  <c r="J53" i="2"/>
  <c r="M53" i="2"/>
  <c r="K57" i="2"/>
  <c r="J57" i="2"/>
  <c r="M57" i="2"/>
  <c r="L57" i="2"/>
  <c r="M74" i="2"/>
  <c r="K74" i="2"/>
  <c r="J74" i="2"/>
  <c r="L74" i="2"/>
  <c r="K12" i="2"/>
  <c r="M12" i="2"/>
  <c r="L12" i="2"/>
  <c r="J12" i="2"/>
  <c r="P116" i="2"/>
  <c r="O116" i="2"/>
  <c r="N116" i="2"/>
  <c r="Q116" i="2"/>
  <c r="J170" i="2"/>
  <c r="L170" i="2"/>
  <c r="K170" i="2"/>
  <c r="M170" i="2"/>
  <c r="M76" i="2"/>
  <c r="L76" i="2"/>
  <c r="K76" i="2"/>
  <c r="J76" i="2"/>
  <c r="J5" i="2"/>
  <c r="M5" i="2"/>
  <c r="L5" i="2"/>
  <c r="K5" i="2"/>
  <c r="P49" i="2"/>
  <c r="O49" i="2"/>
  <c r="N49" i="2"/>
  <c r="Q49" i="2"/>
  <c r="Q142" i="2"/>
  <c r="P142" i="2"/>
  <c r="N142" i="2"/>
  <c r="O142" i="2"/>
  <c r="P54" i="2"/>
  <c r="O54" i="2"/>
  <c r="Q54" i="2"/>
  <c r="N54" i="2"/>
  <c r="N13" i="2"/>
  <c r="Q13" i="2"/>
  <c r="P13" i="2"/>
  <c r="O13" i="2"/>
  <c r="Q243" i="2"/>
  <c r="O243" i="2"/>
  <c r="N243" i="2"/>
  <c r="P243" i="2"/>
  <c r="N90" i="2"/>
  <c r="Q90" i="2"/>
  <c r="P90" i="2"/>
  <c r="O90" i="2"/>
  <c r="N128" i="2"/>
  <c r="Q128" i="2"/>
  <c r="P128" i="2"/>
  <c r="O128" i="2"/>
  <c r="M4" i="2"/>
  <c r="U4" i="2" s="1"/>
  <c r="J4" i="2"/>
  <c r="K4" i="2"/>
  <c r="L4" i="2"/>
  <c r="M141" i="2"/>
  <c r="L141" i="2"/>
  <c r="K141" i="2"/>
  <c r="J141" i="2"/>
  <c r="O210" i="2"/>
  <c r="N210" i="2"/>
  <c r="Q210" i="2"/>
  <c r="P210" i="2"/>
  <c r="L127" i="2"/>
  <c r="M127" i="2"/>
  <c r="J127" i="2"/>
  <c r="K127" i="2"/>
  <c r="P234" i="2"/>
  <c r="N234" i="2"/>
  <c r="Q234" i="2"/>
  <c r="O234" i="2"/>
  <c r="L103" i="2"/>
  <c r="K103" i="2"/>
  <c r="J103" i="2"/>
  <c r="M103" i="2"/>
  <c r="Q228" i="2"/>
  <c r="P228" i="2"/>
  <c r="O228" i="2"/>
  <c r="N228" i="2"/>
  <c r="L124" i="2"/>
  <c r="K124" i="2"/>
  <c r="M124" i="2"/>
  <c r="J124" i="2"/>
  <c r="L160" i="2"/>
  <c r="K160" i="2"/>
  <c r="M160" i="2"/>
  <c r="J160" i="2"/>
  <c r="N65" i="2"/>
  <c r="P65" i="2"/>
  <c r="O65" i="2"/>
  <c r="Q65" i="2"/>
  <c r="J209" i="2"/>
  <c r="L209" i="2"/>
  <c r="M209" i="2"/>
  <c r="K209" i="2"/>
  <c r="M68" i="2"/>
  <c r="L68" i="2"/>
  <c r="K68" i="2"/>
  <c r="J68" i="2"/>
  <c r="Q271" i="2"/>
  <c r="O271" i="2"/>
  <c r="N271" i="2"/>
  <c r="P271" i="2"/>
  <c r="J256" i="2"/>
  <c r="L256" i="2"/>
  <c r="M256" i="2"/>
  <c r="K256" i="2"/>
  <c r="M270" i="2"/>
  <c r="L270" i="2"/>
  <c r="K270" i="2"/>
  <c r="J270" i="2"/>
  <c r="N253" i="2"/>
  <c r="P253" i="2"/>
  <c r="O253" i="2"/>
  <c r="Q253" i="2"/>
  <c r="O155" i="2"/>
  <c r="N155" i="2"/>
  <c r="P155" i="2"/>
  <c r="Q155" i="2"/>
  <c r="N135" i="2"/>
  <c r="O135" i="2"/>
  <c r="P135" i="2"/>
  <c r="Q135" i="2"/>
  <c r="J233" i="2"/>
  <c r="L233" i="2"/>
  <c r="K233" i="2"/>
  <c r="M233" i="2"/>
  <c r="J227" i="2"/>
  <c r="M227" i="2"/>
  <c r="K227" i="2"/>
  <c r="L227" i="2"/>
  <c r="Q34" i="2"/>
  <c r="P34" i="2"/>
  <c r="N34" i="2"/>
  <c r="O34" i="2"/>
  <c r="Q125" i="2"/>
  <c r="N125" i="2"/>
  <c r="P125" i="2"/>
  <c r="O125" i="2"/>
  <c r="Q161" i="2"/>
  <c r="P161" i="2"/>
  <c r="O161" i="2"/>
  <c r="N161" i="2"/>
  <c r="P120" i="2"/>
  <c r="Q120" i="2"/>
  <c r="O120" i="2"/>
  <c r="N120" i="2"/>
  <c r="P197" i="2"/>
  <c r="Q197" i="2"/>
  <c r="N197" i="2"/>
  <c r="O197" i="2"/>
  <c r="J87" i="2"/>
  <c r="K87" i="2"/>
  <c r="M87" i="2"/>
  <c r="L87" i="2"/>
  <c r="L142" i="2"/>
  <c r="M142" i="2"/>
  <c r="K142" i="2"/>
  <c r="J142" i="2"/>
  <c r="P117" i="2"/>
  <c r="O117" i="2"/>
  <c r="N117" i="2"/>
  <c r="Q117" i="2"/>
  <c r="T3" i="2"/>
  <c r="Q7" i="2"/>
  <c r="P7" i="2"/>
  <c r="O7" i="2"/>
  <c r="W7" i="2" s="1"/>
  <c r="W8" i="2" s="1"/>
  <c r="W9" i="2" s="1"/>
  <c r="W10" i="2" s="1"/>
  <c r="W11" i="2" s="1"/>
  <c r="W12" i="2" s="1"/>
  <c r="N7" i="2"/>
  <c r="V7" i="2" s="1"/>
  <c r="V8" i="2" s="1"/>
  <c r="V9" i="2" s="1"/>
  <c r="V10" i="2" s="1"/>
  <c r="V11" i="2" s="1"/>
  <c r="V12" i="2" s="1"/>
  <c r="P69" i="2"/>
  <c r="O69" i="2"/>
  <c r="Q69" i="2"/>
  <c r="N69" i="2"/>
  <c r="Q88" i="2"/>
  <c r="P88" i="2"/>
  <c r="N88" i="2"/>
  <c r="O88" i="2"/>
  <c r="O141" i="2"/>
  <c r="P141" i="2"/>
  <c r="N141" i="2"/>
  <c r="Q141" i="2"/>
  <c r="P159" i="2"/>
  <c r="Q159" i="2"/>
  <c r="O159" i="2"/>
  <c r="N159" i="2"/>
  <c r="N41" i="2"/>
  <c r="Q41" i="2"/>
  <c r="P41" i="2"/>
  <c r="O41" i="2"/>
  <c r="M196" i="2"/>
  <c r="L196" i="2"/>
  <c r="K196" i="2"/>
  <c r="J196" i="2"/>
  <c r="P143" i="2"/>
  <c r="Q143" i="2"/>
  <c r="O143" i="2"/>
  <c r="N143" i="2"/>
  <c r="M248" i="2"/>
  <c r="L248" i="2"/>
  <c r="K248" i="2"/>
  <c r="J248" i="2"/>
  <c r="L140" i="2"/>
  <c r="M140" i="2"/>
  <c r="K140" i="2"/>
  <c r="J140" i="2"/>
  <c r="K180" i="2"/>
  <c r="M180" i="2"/>
  <c r="L180" i="2"/>
  <c r="J180" i="2"/>
  <c r="J158" i="2"/>
  <c r="K158" i="2"/>
  <c r="L158" i="2"/>
  <c r="M158" i="2"/>
  <c r="L204" i="2"/>
  <c r="K204" i="2"/>
  <c r="J204" i="2"/>
  <c r="M204" i="2"/>
  <c r="M98" i="2"/>
  <c r="K98" i="2"/>
  <c r="J98" i="2"/>
  <c r="L98" i="2"/>
  <c r="M40" i="2"/>
  <c r="J40" i="2"/>
  <c r="L40" i="2"/>
  <c r="K40" i="2"/>
  <c r="J21" i="2"/>
  <c r="M21" i="2"/>
  <c r="L21" i="2"/>
  <c r="K21" i="2"/>
  <c r="P170" i="2"/>
  <c r="O170" i="2"/>
  <c r="N170" i="2"/>
  <c r="Q170" i="2"/>
  <c r="P45" i="2"/>
  <c r="O45" i="2"/>
  <c r="Q45" i="2"/>
  <c r="N45" i="2"/>
  <c r="Q257" i="2"/>
  <c r="P257" i="2"/>
  <c r="O257" i="2"/>
  <c r="N257" i="2"/>
  <c r="K242" i="2"/>
  <c r="L242" i="2"/>
  <c r="J242" i="2"/>
  <c r="M242" i="2"/>
  <c r="K252" i="2"/>
  <c r="J252" i="2"/>
  <c r="M252" i="2"/>
  <c r="L252" i="2"/>
  <c r="P249" i="2"/>
  <c r="O249" i="2"/>
  <c r="N249" i="2"/>
  <c r="Q249" i="2"/>
  <c r="N205" i="2"/>
  <c r="P205" i="2"/>
  <c r="O205" i="2"/>
  <c r="Q205" i="2"/>
  <c r="O26" i="2"/>
  <c r="Q26" i="2"/>
  <c r="P26" i="2"/>
  <c r="N26" i="2"/>
  <c r="N22" i="2"/>
  <c r="Q22" i="2"/>
  <c r="P22" i="2"/>
  <c r="O22" i="2"/>
  <c r="K119" i="2"/>
  <c r="M119" i="2"/>
  <c r="L119" i="2"/>
  <c r="J119" i="2"/>
  <c r="J116" i="2"/>
  <c r="M116" i="2"/>
  <c r="K116" i="2"/>
  <c r="L116" i="2"/>
  <c r="Q259" i="2"/>
  <c r="P259" i="2"/>
  <c r="O259" i="2"/>
  <c r="N259" i="2"/>
  <c r="K200" i="2"/>
  <c r="L200" i="2"/>
  <c r="M200" i="2"/>
  <c r="J200" i="2"/>
  <c r="P181" i="2"/>
  <c r="Q181" i="2"/>
  <c r="O181" i="2"/>
  <c r="N181" i="2"/>
  <c r="P198" i="2"/>
  <c r="Q198" i="2"/>
  <c r="N198" i="2"/>
  <c r="O198" i="2"/>
  <c r="Q99" i="2"/>
  <c r="P99" i="2"/>
  <c r="O99" i="2"/>
  <c r="N99" i="2"/>
  <c r="L110" i="2"/>
  <c r="K110" i="2"/>
  <c r="J110" i="2"/>
  <c r="M110" i="2"/>
  <c r="N19" i="2"/>
  <c r="Q19" i="2"/>
  <c r="O19" i="2"/>
  <c r="P19" i="2"/>
  <c r="L169" i="2"/>
  <c r="K169" i="2"/>
  <c r="M169" i="2"/>
  <c r="J169" i="2"/>
  <c r="M108" i="2"/>
  <c r="L108" i="2"/>
  <c r="K108" i="2"/>
  <c r="J108" i="2"/>
  <c r="S4" i="2" l="1"/>
  <c r="R4" i="2"/>
  <c r="Y6" i="2"/>
  <c r="Y7" i="2"/>
  <c r="Y8" i="2" s="1"/>
  <c r="Y9" i="2" s="1"/>
  <c r="Y10" i="2" s="1"/>
  <c r="Y11" i="2" s="1"/>
  <c r="Y12" i="2" s="1"/>
  <c r="X6" i="2"/>
  <c r="Y13" i="2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S5" i="2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U5" i="2"/>
  <c r="U6" i="2" s="1"/>
  <c r="U7" i="2" s="1"/>
  <c r="U8" i="2" s="1"/>
  <c r="U9" i="2" s="1"/>
  <c r="U10" i="2" s="1"/>
  <c r="U11" i="2" s="1"/>
  <c r="R5" i="2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R131" i="2" s="1"/>
  <c r="R132" i="2" s="1"/>
  <c r="R133" i="2" s="1"/>
  <c r="R134" i="2" s="1"/>
  <c r="R135" i="2" s="1"/>
  <c r="R136" i="2" s="1"/>
  <c r="R137" i="2" s="1"/>
  <c r="R138" i="2" s="1"/>
  <c r="R139" i="2" s="1"/>
  <c r="R140" i="2" s="1"/>
  <c r="R141" i="2" s="1"/>
  <c r="R142" i="2" s="1"/>
  <c r="R143" i="2" s="1"/>
  <c r="R144" i="2" s="1"/>
  <c r="R145" i="2" s="1"/>
  <c r="R146" i="2" s="1"/>
  <c r="R147" i="2" s="1"/>
  <c r="R148" i="2" s="1"/>
  <c r="R149" i="2" s="1"/>
  <c r="R150" i="2" s="1"/>
  <c r="R151" i="2" s="1"/>
  <c r="R152" i="2" s="1"/>
  <c r="R153" i="2" s="1"/>
  <c r="R154" i="2" s="1"/>
  <c r="R155" i="2" s="1"/>
  <c r="R156" i="2" s="1"/>
  <c r="R157" i="2" s="1"/>
  <c r="R158" i="2" s="1"/>
  <c r="R159" i="2" s="1"/>
  <c r="R160" i="2" s="1"/>
  <c r="R161" i="2" s="1"/>
  <c r="R162" i="2" s="1"/>
  <c r="R163" i="2" s="1"/>
  <c r="R164" i="2" s="1"/>
  <c r="R165" i="2" s="1"/>
  <c r="R166" i="2" s="1"/>
  <c r="R167" i="2" s="1"/>
  <c r="R168" i="2" s="1"/>
  <c r="R169" i="2" s="1"/>
  <c r="R170" i="2" s="1"/>
  <c r="R171" i="2" s="1"/>
  <c r="R172" i="2" s="1"/>
  <c r="R173" i="2" s="1"/>
  <c r="R174" i="2" s="1"/>
  <c r="R175" i="2" s="1"/>
  <c r="R176" i="2" s="1"/>
  <c r="R177" i="2" s="1"/>
  <c r="R178" i="2" s="1"/>
  <c r="R179" i="2" s="1"/>
  <c r="R180" i="2" s="1"/>
  <c r="R181" i="2" s="1"/>
  <c r="R182" i="2" s="1"/>
  <c r="R183" i="2" s="1"/>
  <c r="R184" i="2" s="1"/>
  <c r="R185" i="2" s="1"/>
  <c r="R186" i="2" s="1"/>
  <c r="R187" i="2" s="1"/>
  <c r="R188" i="2" s="1"/>
  <c r="R189" i="2" s="1"/>
  <c r="R190" i="2" s="1"/>
  <c r="R191" i="2" s="1"/>
  <c r="R192" i="2" s="1"/>
  <c r="R193" i="2" s="1"/>
  <c r="R194" i="2" s="1"/>
  <c r="R195" i="2" s="1"/>
  <c r="R196" i="2" s="1"/>
  <c r="R197" i="2" s="1"/>
  <c r="R198" i="2" s="1"/>
  <c r="R199" i="2" s="1"/>
  <c r="R200" i="2" s="1"/>
  <c r="R201" i="2" s="1"/>
  <c r="R202" i="2" s="1"/>
  <c r="R203" i="2" s="1"/>
  <c r="R204" i="2" s="1"/>
  <c r="R205" i="2" s="1"/>
  <c r="R206" i="2" s="1"/>
  <c r="R207" i="2" s="1"/>
  <c r="R208" i="2" s="1"/>
  <c r="R209" i="2" s="1"/>
  <c r="R210" i="2" s="1"/>
  <c r="R211" i="2" s="1"/>
  <c r="R212" i="2" s="1"/>
  <c r="R213" i="2" s="1"/>
  <c r="R214" i="2" s="1"/>
  <c r="R215" i="2" s="1"/>
  <c r="R216" i="2" s="1"/>
  <c r="R217" i="2" s="1"/>
  <c r="R218" i="2" s="1"/>
  <c r="R219" i="2" s="1"/>
  <c r="R220" i="2" s="1"/>
  <c r="R221" i="2" s="1"/>
  <c r="R222" i="2" s="1"/>
  <c r="R223" i="2" s="1"/>
  <c r="R224" i="2" s="1"/>
  <c r="R225" i="2" s="1"/>
  <c r="R226" i="2" s="1"/>
  <c r="R227" i="2" s="1"/>
  <c r="R228" i="2" s="1"/>
  <c r="R229" i="2" s="1"/>
  <c r="R230" i="2" s="1"/>
  <c r="R231" i="2" s="1"/>
  <c r="R232" i="2" s="1"/>
  <c r="R233" i="2" s="1"/>
  <c r="R234" i="2" s="1"/>
  <c r="R235" i="2" s="1"/>
  <c r="R236" i="2" s="1"/>
  <c r="R237" i="2" s="1"/>
  <c r="R238" i="2" s="1"/>
  <c r="R239" i="2" s="1"/>
  <c r="R240" i="2" s="1"/>
  <c r="R241" i="2" s="1"/>
  <c r="R242" i="2" s="1"/>
  <c r="R243" i="2" s="1"/>
  <c r="R244" i="2" s="1"/>
  <c r="R245" i="2" s="1"/>
  <c r="R246" i="2" s="1"/>
  <c r="R247" i="2" s="1"/>
  <c r="R248" i="2" s="1"/>
  <c r="R249" i="2" s="1"/>
  <c r="R250" i="2" s="1"/>
  <c r="R251" i="2" s="1"/>
  <c r="R252" i="2" s="1"/>
  <c r="R253" i="2" s="1"/>
  <c r="R254" i="2" s="1"/>
  <c r="R255" i="2" s="1"/>
  <c r="R256" i="2" s="1"/>
  <c r="R257" i="2" s="1"/>
  <c r="R258" i="2" s="1"/>
  <c r="R259" i="2" s="1"/>
  <c r="R260" i="2" s="1"/>
  <c r="R261" i="2" s="1"/>
  <c r="R262" i="2" s="1"/>
  <c r="R263" i="2" s="1"/>
  <c r="R264" i="2" s="1"/>
  <c r="R265" i="2" s="1"/>
  <c r="R266" i="2" s="1"/>
  <c r="R267" i="2" s="1"/>
  <c r="R268" i="2" s="1"/>
  <c r="R269" i="2" s="1"/>
  <c r="R270" i="2" s="1"/>
  <c r="R271" i="2" s="1"/>
  <c r="R272" i="2" s="1"/>
  <c r="R273" i="2" s="1"/>
  <c r="R274" i="2" s="1"/>
  <c r="R275" i="2" s="1"/>
  <c r="R276" i="2" s="1"/>
  <c r="R277" i="2" s="1"/>
  <c r="R278" i="2" s="1"/>
  <c r="R279" i="2" s="1"/>
  <c r="R280" i="2" s="1"/>
  <c r="W18" i="2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U12" i="2"/>
  <c r="U13" i="2" s="1"/>
  <c r="U14" i="2" s="1"/>
  <c r="U15" i="2" s="1"/>
  <c r="U16" i="2" s="1"/>
  <c r="V13" i="2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X7" i="2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X251" i="2" s="1"/>
  <c r="X252" i="2" s="1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X266" i="2" s="1"/>
  <c r="X267" i="2" s="1"/>
  <c r="X268" i="2" s="1"/>
  <c r="X269" i="2" s="1"/>
  <c r="X270" i="2" s="1"/>
  <c r="X271" i="2" s="1"/>
  <c r="X272" i="2" s="1"/>
  <c r="X273" i="2" s="1"/>
  <c r="X274" i="2" s="1"/>
  <c r="X275" i="2" s="1"/>
  <c r="X276" i="2" s="1"/>
  <c r="X277" i="2" s="1"/>
  <c r="X278" i="2" s="1"/>
  <c r="X279" i="2" s="1"/>
  <c r="X280" i="2" s="1"/>
  <c r="U17" i="2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T138" i="2" s="1"/>
  <c r="T139" i="2" s="1"/>
  <c r="T140" i="2" s="1"/>
  <c r="T141" i="2" s="1"/>
  <c r="T142" i="2" s="1"/>
  <c r="T143" i="2" s="1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T174" i="2" s="1"/>
  <c r="T175" i="2" s="1"/>
  <c r="T176" i="2" s="1"/>
  <c r="T177" i="2" s="1"/>
  <c r="T178" i="2" s="1"/>
  <c r="T179" i="2" s="1"/>
  <c r="T180" i="2" s="1"/>
  <c r="T181" i="2" s="1"/>
  <c r="T182" i="2" s="1"/>
  <c r="T183" i="2" s="1"/>
  <c r="T184" i="2" s="1"/>
  <c r="T185" i="2" s="1"/>
  <c r="T186" i="2" s="1"/>
  <c r="T187" i="2" s="1"/>
  <c r="T188" i="2" s="1"/>
  <c r="T189" i="2" s="1"/>
  <c r="T190" i="2" s="1"/>
  <c r="T191" i="2" s="1"/>
  <c r="T192" i="2" s="1"/>
  <c r="T193" i="2" s="1"/>
  <c r="T194" i="2" s="1"/>
  <c r="T195" i="2" s="1"/>
  <c r="T196" i="2" s="1"/>
  <c r="T197" i="2" s="1"/>
  <c r="T198" i="2" s="1"/>
  <c r="T199" i="2" s="1"/>
  <c r="T200" i="2" s="1"/>
  <c r="T201" i="2" s="1"/>
  <c r="T202" i="2" s="1"/>
  <c r="T203" i="2" s="1"/>
  <c r="T204" i="2" s="1"/>
  <c r="T205" i="2" s="1"/>
  <c r="T206" i="2" s="1"/>
  <c r="T207" i="2" s="1"/>
  <c r="T208" i="2" s="1"/>
  <c r="T209" i="2" s="1"/>
  <c r="T210" i="2" s="1"/>
  <c r="T211" i="2" s="1"/>
  <c r="T212" i="2" s="1"/>
  <c r="T213" i="2" s="1"/>
  <c r="T214" i="2" s="1"/>
  <c r="T215" i="2" s="1"/>
  <c r="T216" i="2" s="1"/>
  <c r="T217" i="2" s="1"/>
  <c r="T218" i="2" s="1"/>
  <c r="T219" i="2" s="1"/>
  <c r="T220" i="2" s="1"/>
  <c r="T221" i="2" s="1"/>
  <c r="T222" i="2" s="1"/>
  <c r="T223" i="2" s="1"/>
  <c r="T224" i="2" s="1"/>
  <c r="T225" i="2" s="1"/>
  <c r="T226" i="2" s="1"/>
  <c r="T227" i="2" s="1"/>
  <c r="T228" i="2" s="1"/>
  <c r="T229" i="2" s="1"/>
  <c r="T230" i="2" s="1"/>
  <c r="T231" i="2" s="1"/>
  <c r="T232" i="2" s="1"/>
  <c r="T233" i="2" s="1"/>
  <c r="T234" i="2" s="1"/>
  <c r="T235" i="2" s="1"/>
  <c r="T236" i="2" s="1"/>
  <c r="T237" i="2" s="1"/>
  <c r="T238" i="2" s="1"/>
  <c r="T239" i="2" s="1"/>
  <c r="T240" i="2" s="1"/>
  <c r="T241" i="2" s="1"/>
  <c r="T242" i="2" s="1"/>
  <c r="T243" i="2" s="1"/>
  <c r="T244" i="2" s="1"/>
  <c r="T245" i="2" s="1"/>
  <c r="T246" i="2" s="1"/>
  <c r="T247" i="2" s="1"/>
  <c r="T248" i="2" s="1"/>
  <c r="T249" i="2" s="1"/>
  <c r="T250" i="2" s="1"/>
  <c r="T251" i="2" s="1"/>
  <c r="T252" i="2" s="1"/>
  <c r="T253" i="2" s="1"/>
  <c r="T254" i="2" s="1"/>
  <c r="T255" i="2" s="1"/>
  <c r="T256" i="2" s="1"/>
  <c r="T257" i="2" s="1"/>
  <c r="T258" i="2" s="1"/>
  <c r="T259" i="2" s="1"/>
  <c r="T260" i="2" s="1"/>
  <c r="T261" i="2" s="1"/>
  <c r="T262" i="2" s="1"/>
  <c r="T263" i="2" s="1"/>
  <c r="T264" i="2" s="1"/>
  <c r="T265" i="2" s="1"/>
  <c r="T266" i="2" s="1"/>
  <c r="T267" i="2" s="1"/>
  <c r="T268" i="2" s="1"/>
  <c r="T269" i="2" s="1"/>
  <c r="T270" i="2" s="1"/>
  <c r="T271" i="2" s="1"/>
  <c r="T272" i="2" s="1"/>
  <c r="T273" i="2" s="1"/>
  <c r="T274" i="2" s="1"/>
  <c r="T275" i="2" s="1"/>
  <c r="T276" i="2" s="1"/>
  <c r="T277" i="2" s="1"/>
  <c r="T278" i="2" s="1"/>
  <c r="T279" i="2" s="1"/>
  <c r="T280" i="2" s="1"/>
  <c r="W13" i="2"/>
  <c r="W14" i="2" s="1"/>
  <c r="W15" i="2" s="1"/>
  <c r="W16" i="2" s="1"/>
  <c r="W17" i="2" s="1"/>
</calcChain>
</file>

<file path=xl/sharedStrings.xml><?xml version="1.0" encoding="utf-8"?>
<sst xmlns="http://schemas.openxmlformats.org/spreadsheetml/2006/main" count="83" uniqueCount="35">
  <si>
    <t>ym</t>
  </si>
  <si>
    <t>SPY_ret</t>
  </si>
  <si>
    <t>SPY_TLT_som</t>
  </si>
  <si>
    <t>SPY_ret_eom</t>
  </si>
  <si>
    <t>TLT_ret_eom</t>
  </si>
  <si>
    <t>SPY_ret_nsm</t>
  </si>
  <si>
    <t>TLT_ret_nsm</t>
  </si>
  <si>
    <t>signal_eom</t>
  </si>
  <si>
    <t>signal_som</t>
  </si>
  <si>
    <t>End_of_Month_SPY_Long_SPY</t>
  </si>
  <si>
    <t>End_of_Month_SPY_Short_SPY</t>
  </si>
  <si>
    <t>End_of_Month_TLT_Short_TLT</t>
  </si>
  <si>
    <t>End_of_Month_TLT_Long_TLT</t>
  </si>
  <si>
    <t>Start_of_Month_SPY_Long_SPY</t>
  </si>
  <si>
    <t>Start_of_Month_SPY_Short_SPY</t>
  </si>
  <si>
    <t>Start_of_Month_TLT_Short_TLT</t>
  </si>
  <si>
    <t>Start_of_Month_TLT_Long_TLT</t>
  </si>
  <si>
    <t>cpl_End_of_Month_SPY_Long_SPY</t>
  </si>
  <si>
    <t>cpl_End_of_Month_SPY_Short_SPY</t>
  </si>
  <si>
    <t>cpl_End_of_Month_TLT_Short_TLT</t>
  </si>
  <si>
    <t>cpl_End_of_Month_TLT_Long_TLT</t>
  </si>
  <si>
    <t>cpl_Start_of_Month_SPY_Long_SPY</t>
  </si>
  <si>
    <t>cpl_Start_of_Month_SPY_Short_SPY</t>
  </si>
  <si>
    <t>cpl_Start_of_Month_TLT_Short_TLT</t>
  </si>
  <si>
    <t>cpl_Start_of_Month_TLT_Long_TLT</t>
  </si>
  <si>
    <t>Total</t>
  </si>
  <si>
    <t>filter</t>
  </si>
  <si>
    <t>filter2</t>
  </si>
  <si>
    <t>115 signals are different for column signal_som</t>
  </si>
  <si>
    <t>1 signal is different for column signal_eom</t>
  </si>
  <si>
    <t>This explain the differences in the file v2_comparison_xl columns som</t>
  </si>
  <si>
    <t>signal_eom (xl)</t>
  </si>
  <si>
    <t>signal_som (xl)</t>
  </si>
  <si>
    <t>signal_eom (py)</t>
  </si>
  <si>
    <t>signal_som (py)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</si>
</sst>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%;[Red]\-0.00%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3" fillId="0" borderId="0" xfId="0" applyNumberFormat="1" applyFont="1"/>
    <xf numFmtId="0" fontId="3" fillId="0" borderId="0" xfId="0" applyFont="1"/>
    <xf numFmtId="0" fontId="1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165" fontId="0" fillId="0" borderId="6" xfId="0" quotePrefix="1" applyNumberFormat="1" applyBorder="1" applyAlignment="1">
      <alignment horizontal="center" vertical="center"/>
    </xf>
    <xf numFmtId="10" fontId="0" fillId="0" borderId="0" xfId="1" quotePrefix="1" applyNumberFormat="1" applyFont="1" applyFill="1" applyAlignment="1">
      <alignment horizontal="center" vertical="center"/>
    </xf>
    <xf numFmtId="165" fontId="0" fillId="0" borderId="7" xfId="0" quotePrefix="1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0" xfId="0" applyFont="1"/>
  </cellXfs>
  <cellStyles count="2">
    <cellStyle name="Normal" xfId="0" builtinId="0"/>
    <cellStyle name="Per cent" xfId="1" builtinId="5"/>
  </cellStyles>
  <dxfs count="10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border outline="0">
        <top style="thin">
          <color auto="1"/>
        </top>
      </border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border outline="0">
        <top style="thin">
          <color auto="1"/>
        </top>
      </border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4" formatCode="yyyy\-mm\-dd\ hh:mm:ss"/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rgb="FF000000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4" formatCode="yyyy\-mm\-dd\ hh:mm:ss"/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bc00a0f969ad489/Programmazione/github/FromZeroToQuant/FromZeroToQuant-/09_papers/01_The%20Unintended%20Consequences%20of%20Rebalancing/251103_SPY_TLT_backtest_.xlsx" TargetMode="External"/><Relationship Id="rId1" Type="http://schemas.openxmlformats.org/officeDocument/2006/relationships/externalLinkPath" Target="251103_SPY_TLT_backtest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RawData"/>
      <sheetName val="Backtest"/>
      <sheetName val="bt_py_names"/>
      <sheetName val="bt_full"/>
      <sheetName val="bt_full_no_EoM_short_TLT"/>
      <sheetName val="Data"/>
      <sheetName val="Python Script for getting data"/>
    </sheetNames>
    <sheetDataSet>
      <sheetData sheetId="0"/>
      <sheetData sheetId="1"/>
      <sheetData sheetId="2"/>
      <sheetData sheetId="3"/>
      <sheetData sheetId="4"/>
      <sheetData sheetId="5">
        <row r="5">
          <cell r="A5">
            <v>37469</v>
          </cell>
          <cell r="B5">
            <v>6.7786154352028833E-3</v>
          </cell>
          <cell r="C5">
            <v>1.0151052696173293E-2</v>
          </cell>
          <cell r="F5">
            <v>-4.2345772443368498E-2</v>
          </cell>
          <cell r="G5">
            <v>1.469165253014592E-2</v>
          </cell>
          <cell r="H5">
            <v>-3.414351278145604E-2</v>
          </cell>
          <cell r="I5">
            <v>1.4075972845321685E-2</v>
          </cell>
        </row>
        <row r="6">
          <cell r="A6">
            <v>37500</v>
          </cell>
          <cell r="B6">
            <v>-0.11076677231132262</v>
          </cell>
          <cell r="C6">
            <v>-0.12654670885184757</v>
          </cell>
          <cell r="F6">
            <v>-2.2605263607593816E-2</v>
          </cell>
          <cell r="G6">
            <v>3.3248630832344141E-3</v>
          </cell>
          <cell r="H6">
            <v>-1.2278930521347042E-2</v>
          </cell>
          <cell r="I6">
            <v>7.1598070258672257E-3</v>
          </cell>
        </row>
        <row r="7">
          <cell r="A7">
            <v>37530</v>
          </cell>
          <cell r="B7">
            <v>7.9072556471592031E-2</v>
          </cell>
          <cell r="C7">
            <v>0.16075988880458544</v>
          </cell>
          <cell r="F7">
            <v>-1.8468757302789001E-2</v>
          </cell>
          <cell r="G7">
            <v>2.5574892630438432E-2</v>
          </cell>
          <cell r="H7">
            <v>-3.3063528520603847E-2</v>
          </cell>
          <cell r="I7">
            <v>-4.4185292609520352E-3</v>
          </cell>
        </row>
        <row r="8">
          <cell r="A8">
            <v>37561</v>
          </cell>
          <cell r="B8">
            <v>5.9854092957559765E-2</v>
          </cell>
          <cell r="C8">
            <v>6.3586580985996705E-2</v>
          </cell>
          <cell r="F8">
            <v>-1.1693546525228817E-3</v>
          </cell>
          <cell r="G8">
            <v>-6.6405285442990448E-3</v>
          </cell>
          <cell r="H8">
            <v>2.4990820097527615E-2</v>
          </cell>
          <cell r="I8">
            <v>1.5959440241275595E-2</v>
          </cell>
        </row>
        <row r="9">
          <cell r="A9">
            <v>37591</v>
          </cell>
          <cell r="B9">
            <v>-5.823252946503793E-2</v>
          </cell>
          <cell r="C9">
            <v>-6.4204942347053789E-2</v>
          </cell>
          <cell r="F9">
            <v>-1.975141288916684E-2</v>
          </cell>
          <cell r="G9">
            <v>1.8537161373992306E-2</v>
          </cell>
          <cell r="H9">
            <v>-2.0967368053873555E-2</v>
          </cell>
          <cell r="I9">
            <v>1.1778490418373625E-2</v>
          </cell>
        </row>
        <row r="10">
          <cell r="A10">
            <v>37622</v>
          </cell>
          <cell r="B10">
            <v>-2.4902965529687425E-2</v>
          </cell>
          <cell r="C10">
            <v>1.8151719234693674E-2</v>
          </cell>
          <cell r="F10">
            <v>-3.0328305801601459E-2</v>
          </cell>
          <cell r="G10">
            <v>6.9506100607132654E-3</v>
          </cell>
          <cell r="H10">
            <v>3.5188717539179765E-2</v>
          </cell>
          <cell r="I10">
            <v>-1.8000451301945945E-2</v>
          </cell>
        </row>
        <row r="11">
          <cell r="A11">
            <v>37653</v>
          </cell>
          <cell r="B11">
            <v>-1.3570614197984544E-2</v>
          </cell>
          <cell r="C11">
            <v>-3.7582425932882781E-2</v>
          </cell>
          <cell r="F11">
            <v>1.3040803122683371E-2</v>
          </cell>
          <cell r="G11">
            <v>1.9532753075675407E-2</v>
          </cell>
          <cell r="H11">
            <v>-3.1156082648895776E-2</v>
          </cell>
          <cell r="I11">
            <v>7.5842026835619726E-3</v>
          </cell>
        </row>
        <row r="12">
          <cell r="A12">
            <v>37681</v>
          </cell>
          <cell r="B12">
            <v>2.1372549105130832E-3</v>
          </cell>
          <cell r="C12">
            <v>0.10501108443958183</v>
          </cell>
          <cell r="F12">
            <v>-5.6549706399883812E-2</v>
          </cell>
          <cell r="G12">
            <v>3.2583379175479654E-2</v>
          </cell>
          <cell r="H12">
            <v>-1.8785634688455129E-2</v>
          </cell>
          <cell r="I12">
            <v>4.7606175207964068E-3</v>
          </cell>
        </row>
        <row r="13">
          <cell r="A13">
            <v>37712</v>
          </cell>
          <cell r="B13">
            <v>8.1223226482743216E-2</v>
          </cell>
          <cell r="C13">
            <v>8.3760679445333275E-2</v>
          </cell>
          <cell r="F13">
            <v>6.2214800188667239E-3</v>
          </cell>
          <cell r="G13">
            <v>1.9188037405920927E-2</v>
          </cell>
          <cell r="H13">
            <v>3.831759761064675E-2</v>
          </cell>
          <cell r="I13">
            <v>-1.9068062442549067E-2</v>
          </cell>
        </row>
        <row r="14">
          <cell r="A14">
            <v>37742</v>
          </cell>
          <cell r="B14">
            <v>5.3384245512395956E-2</v>
          </cell>
          <cell r="C14">
            <v>-5.5054602565912339E-2</v>
          </cell>
          <cell r="F14">
            <v>4.5364642152558296E-2</v>
          </cell>
          <cell r="G14">
            <v>-1.7950653737101154E-3</v>
          </cell>
          <cell r="H14">
            <v>1.597342757041828E-2</v>
          </cell>
          <cell r="I14">
            <v>1.442703785556722E-2</v>
          </cell>
        </row>
        <row r="15">
          <cell r="A15">
            <v>37773</v>
          </cell>
          <cell r="B15">
            <v>1.0596063862264466E-2</v>
          </cell>
          <cell r="C15">
            <v>3.3775056393808359E-2</v>
          </cell>
          <cell r="F15">
            <v>-1.8369472849866106E-2</v>
          </cell>
          <cell r="G15">
            <v>-1.3423260708564914E-2</v>
          </cell>
          <cell r="H15">
            <v>2.3548221525163844E-2</v>
          </cell>
          <cell r="I15">
            <v>-6.5859764806690951E-4</v>
          </cell>
        </row>
        <row r="16">
          <cell r="A16">
            <v>37803</v>
          </cell>
          <cell r="B16">
            <v>1.7866740475004139E-2</v>
          </cell>
          <cell r="C16">
            <v>8.1669580238746195E-2</v>
          </cell>
          <cell r="F16">
            <v>2.216397670015548E-3</v>
          </cell>
          <cell r="G16">
            <v>-3.9127789601589372E-2</v>
          </cell>
          <cell r="H16">
            <v>3.5419742157082566E-2</v>
          </cell>
          <cell r="I16">
            <v>-2.2465039596315295E-2</v>
          </cell>
        </row>
        <row r="17">
          <cell r="A17">
            <v>37834</v>
          </cell>
          <cell r="B17">
            <v>2.0415823630765294E-2</v>
          </cell>
          <cell r="C17">
            <v>8.6189233696981997E-3</v>
          </cell>
          <cell r="F17">
            <v>6.6266254038208159E-3</v>
          </cell>
          <cell r="G17">
            <v>7.8013612977776373E-3</v>
          </cell>
          <cell r="H17">
            <v>-1.4084041863477519E-2</v>
          </cell>
          <cell r="I17">
            <v>1.7146179916123636E-2</v>
          </cell>
        </row>
        <row r="18">
          <cell r="A18">
            <v>37865</v>
          </cell>
          <cell r="B18">
            <v>-1.0966089333232471E-2</v>
          </cell>
          <cell r="C18">
            <v>-5.1631716224384014E-3</v>
          </cell>
          <cell r="F18">
            <v>-2.5680352408644094E-2</v>
          </cell>
          <cell r="G18">
            <v>3.7771205546862821E-2</v>
          </cell>
          <cell r="H18">
            <v>2.1841664622560132E-2</v>
          </cell>
          <cell r="I18">
            <v>-9.3762190842890634E-4</v>
          </cell>
        </row>
        <row r="19">
          <cell r="A19">
            <v>37895</v>
          </cell>
          <cell r="B19">
            <v>5.2144139912676593E-2</v>
          </cell>
          <cell r="C19">
            <v>9.1258810603082163E-2</v>
          </cell>
          <cell r="F19">
            <v>4.187473498823085E-3</v>
          </cell>
          <cell r="G19">
            <v>1.2520683132503714E-2</v>
          </cell>
          <cell r="H19">
            <v>4.221811855834802E-2</v>
          </cell>
          <cell r="I19">
            <v>-3.6904121899701381E-2</v>
          </cell>
        </row>
        <row r="20">
          <cell r="A20">
            <v>37926</v>
          </cell>
          <cell r="B20">
            <v>1.0861449368547426E-2</v>
          </cell>
          <cell r="C20">
            <v>-2.9759385248789294E-2</v>
          </cell>
          <cell r="F20">
            <v>2.1266989697093914E-2</v>
          </cell>
          <cell r="G20">
            <v>-1.5965120188949303E-2</v>
          </cell>
          <cell r="H20">
            <v>2.9385173054028513E-3</v>
          </cell>
          <cell r="I20">
            <v>-1.594344880559977E-2</v>
          </cell>
        </row>
        <row r="21">
          <cell r="A21">
            <v>37956</v>
          </cell>
          <cell r="B21">
            <v>4.9087898099312438E-2</v>
          </cell>
          <cell r="C21">
            <v>1.3271875247031131E-5</v>
          </cell>
          <cell r="F21">
            <v>2.1619299732725618E-2</v>
          </cell>
          <cell r="G21">
            <v>-1.411171926405454E-2</v>
          </cell>
          <cell r="H21">
            <v>3.7503646150602258E-3</v>
          </cell>
          <cell r="I21">
            <v>1.2761996920309574E-2</v>
          </cell>
        </row>
        <row r="22">
          <cell r="A22">
            <v>37987</v>
          </cell>
          <cell r="B22">
            <v>1.9577025972393632E-2</v>
          </cell>
          <cell r="C22">
            <v>5.5776224237058785E-3</v>
          </cell>
          <cell r="F22">
            <v>-8.3370962572605293E-3</v>
          </cell>
          <cell r="G22">
            <v>-3.8998462570735415E-3</v>
          </cell>
          <cell r="H22">
            <v>1.8695655003773966E-2</v>
          </cell>
          <cell r="I22">
            <v>1.1744042368061811E-4</v>
          </cell>
        </row>
        <row r="23">
          <cell r="A23">
            <v>38018</v>
          </cell>
          <cell r="B23">
            <v>1.3479708802168621E-2</v>
          </cell>
          <cell r="C23">
            <v>-3.9915077704742391E-3</v>
          </cell>
          <cell r="F23">
            <v>3.7455402371840744E-3</v>
          </cell>
          <cell r="G23">
            <v>8.837824589380738E-3</v>
          </cell>
          <cell r="H23">
            <v>8.5113765150951239E-3</v>
          </cell>
          <cell r="I23">
            <v>8.021269081473081E-3</v>
          </cell>
        </row>
        <row r="24">
          <cell r="A24">
            <v>38047</v>
          </cell>
          <cell r="B24">
            <v>-1.3334294966489475E-2</v>
          </cell>
          <cell r="C24">
            <v>-5.5326873150173414E-2</v>
          </cell>
          <cell r="F24">
            <v>1.8201990800118098E-2</v>
          </cell>
          <cell r="G24">
            <v>-9.7793502857180283E-3</v>
          </cell>
          <cell r="H24">
            <v>1.1754441496936219E-2</v>
          </cell>
          <cell r="I24">
            <v>1.5015637139404094E-2</v>
          </cell>
        </row>
        <row r="25">
          <cell r="A25">
            <v>38078</v>
          </cell>
          <cell r="B25">
            <v>-1.9102805722503481E-2</v>
          </cell>
          <cell r="C25">
            <v>6.4031392450913854E-2</v>
          </cell>
          <cell r="F25">
            <v>-2.9219346069354106E-2</v>
          </cell>
          <cell r="G25">
            <v>-1.0466084980112988E-2</v>
          </cell>
          <cell r="H25">
            <v>1.3437141486775382E-2</v>
          </cell>
          <cell r="I25">
            <v>-3.3073193219356839E-2</v>
          </cell>
        </row>
        <row r="26">
          <cell r="A26">
            <v>38108</v>
          </cell>
          <cell r="B26">
            <v>1.6979050250249192E-2</v>
          </cell>
          <cell r="C26">
            <v>8.6682691255538097E-3</v>
          </cell>
          <cell r="F26">
            <v>2.7396704422756032E-2</v>
          </cell>
          <cell r="G26">
            <v>1.6501478291470945E-2</v>
          </cell>
          <cell r="H26">
            <v>-9.0526502395397168E-3</v>
          </cell>
          <cell r="I26">
            <v>-2.4236662573878066E-2</v>
          </cell>
        </row>
        <row r="27">
          <cell r="A27">
            <v>38139</v>
          </cell>
          <cell r="B27">
            <v>1.8331885030361789E-2</v>
          </cell>
          <cell r="C27">
            <v>1.6372054357472281E-2</v>
          </cell>
          <cell r="F27">
            <v>6.6580648753345774E-3</v>
          </cell>
          <cell r="G27">
            <v>1.5177840048565337E-2</v>
          </cell>
          <cell r="H27">
            <v>1.617131804322568E-2</v>
          </cell>
          <cell r="I27">
            <v>-1.5313748195601428E-2</v>
          </cell>
        </row>
        <row r="28">
          <cell r="A28">
            <v>38169</v>
          </cell>
          <cell r="B28">
            <v>-3.2749449777161849E-2</v>
          </cell>
          <cell r="C28">
            <v>-5.7592268858129694E-2</v>
          </cell>
          <cell r="F28">
            <v>8.6987554498197672E-3</v>
          </cell>
          <cell r="G28">
            <v>-9.4552811160753848E-4</v>
          </cell>
          <cell r="H28">
            <v>-2.7350142406960161E-2</v>
          </cell>
          <cell r="I28">
            <v>1.1646994998757954E-2</v>
          </cell>
        </row>
        <row r="29">
          <cell r="A29">
            <v>38200</v>
          </cell>
          <cell r="B29">
            <v>2.4332456643171877E-3</v>
          </cell>
          <cell r="C29">
            <v>-2.9952560431180792E-2</v>
          </cell>
          <cell r="F29">
            <v>5.6859571158404927E-3</v>
          </cell>
          <cell r="G29">
            <v>1.4113410125157998E-2</v>
          </cell>
          <cell r="H29">
            <v>-3.6661442255212291E-2</v>
          </cell>
          <cell r="I29">
            <v>2.5311785646998028E-2</v>
          </cell>
        </row>
        <row r="30">
          <cell r="A30">
            <v>38231</v>
          </cell>
          <cell r="B30">
            <v>9.9866287756100423E-3</v>
          </cell>
          <cell r="C30">
            <v>-1.7417315802490854E-2</v>
          </cell>
          <cell r="F30">
            <v>1.8801533055461802E-3</v>
          </cell>
          <cell r="G30">
            <v>-1.6073671783751298E-2</v>
          </cell>
          <cell r="H30">
            <v>1.314340904362583E-2</v>
          </cell>
          <cell r="I30">
            <v>-1.3740926279097662E-3</v>
          </cell>
        </row>
        <row r="31">
          <cell r="A31">
            <v>38261</v>
          </cell>
          <cell r="B31">
            <v>1.2802230986665466E-2</v>
          </cell>
          <cell r="C31">
            <v>-2.4055554186821974E-2</v>
          </cell>
          <cell r="F31">
            <v>1.7465748553655909E-2</v>
          </cell>
          <cell r="G31">
            <v>-1.8990809668799555E-3</v>
          </cell>
          <cell r="H31">
            <v>1.5008879658332905E-2</v>
          </cell>
          <cell r="I31">
            <v>-1.2468756187064008E-2</v>
          </cell>
        </row>
        <row r="32">
          <cell r="A32">
            <v>38292</v>
          </cell>
          <cell r="B32">
            <v>4.355541838229525E-2</v>
          </cell>
          <cell r="C32">
            <v>4.874141950004432E-2</v>
          </cell>
          <cell r="F32">
            <v>3.9945171430488188E-3</v>
          </cell>
          <cell r="G32">
            <v>-1.5068680556364556E-2</v>
          </cell>
          <cell r="H32">
            <v>3.5408743949253405E-2</v>
          </cell>
          <cell r="I32">
            <v>-1.429184381447136E-2</v>
          </cell>
        </row>
        <row r="33">
          <cell r="A33">
            <v>38322</v>
          </cell>
          <cell r="B33">
            <v>2.9676404633139329E-2</v>
          </cell>
          <cell r="C33">
            <v>-3.8337068155050351E-3</v>
          </cell>
          <cell r="F33">
            <v>3.9793821301403586E-3</v>
          </cell>
          <cell r="G33">
            <v>-3.2904806428732851E-3</v>
          </cell>
          <cell r="H33">
            <v>1.7799677396180876E-3</v>
          </cell>
          <cell r="I33">
            <v>1.4504216616743846E-2</v>
          </cell>
        </row>
        <row r="34">
          <cell r="A34">
            <v>38353</v>
          </cell>
          <cell r="B34">
            <v>-2.2676157800578019E-2</v>
          </cell>
          <cell r="C34">
            <v>-6.807434997875153E-2</v>
          </cell>
          <cell r="F34">
            <v>1.371934186058742E-2</v>
          </cell>
          <cell r="G34">
            <v>3.3852755500740927E-3</v>
          </cell>
          <cell r="H34">
            <v>-2.0308677511837452E-2</v>
          </cell>
          <cell r="I34">
            <v>-1.1279635504883459E-4</v>
          </cell>
        </row>
        <row r="35">
          <cell r="A35">
            <v>38384</v>
          </cell>
          <cell r="B35">
            <v>2.0688724278982062E-2</v>
          </cell>
          <cell r="C35">
            <v>1.3671822992324192E-2</v>
          </cell>
          <cell r="F35">
            <v>1.6971610815911909E-2</v>
          </cell>
          <cell r="G35">
            <v>-4.8764277817778066E-3</v>
          </cell>
          <cell r="H35">
            <v>1.6035526165009389E-2</v>
          </cell>
          <cell r="I35">
            <v>2.1386087064852059E-2</v>
          </cell>
        </row>
        <row r="36">
          <cell r="A36">
            <v>38412</v>
          </cell>
          <cell r="B36">
            <v>-1.8462502172189858E-2</v>
          </cell>
          <cell r="C36">
            <v>-2.4812336581095905E-3</v>
          </cell>
          <cell r="F36">
            <v>-1.1862885700992623E-3</v>
          </cell>
          <cell r="G36">
            <v>1.0237580699193637E-2</v>
          </cell>
          <cell r="H36">
            <v>1.7747835247511494E-2</v>
          </cell>
          <cell r="I36">
            <v>1.2535334232020304E-2</v>
          </cell>
        </row>
        <row r="37">
          <cell r="A37">
            <v>38443</v>
          </cell>
          <cell r="B37">
            <v>-1.8912752545091678E-2</v>
          </cell>
          <cell r="C37">
            <v>-3.5700334724594038E-2</v>
          </cell>
          <cell r="F37">
            <v>-2.2443399410768516E-3</v>
          </cell>
          <cell r="G37">
            <v>1.8892977603744671E-2</v>
          </cell>
          <cell r="H37">
            <v>1.0792942654148012E-2</v>
          </cell>
          <cell r="I37">
            <v>-4.05231105981758E-3</v>
          </cell>
        </row>
        <row r="38">
          <cell r="A38">
            <v>38473</v>
          </cell>
          <cell r="B38">
            <v>3.1716339268027298E-2</v>
          </cell>
          <cell r="C38">
            <v>1.4363283865139239E-2</v>
          </cell>
          <cell r="F38">
            <v>3.0175309021802576E-3</v>
          </cell>
          <cell r="G38">
            <v>1.6557043536769383E-2</v>
          </cell>
          <cell r="H38">
            <v>1.1510013127153601E-2</v>
          </cell>
          <cell r="I38">
            <v>-1.1465711361094623E-2</v>
          </cell>
        </row>
        <row r="39">
          <cell r="A39">
            <v>38504</v>
          </cell>
          <cell r="B39">
            <v>1.5138288098725198E-3</v>
          </cell>
          <cell r="C39">
            <v>1.8341199277175608E-2</v>
          </cell>
          <cell r="F39">
            <v>-1.903262277125322E-2</v>
          </cell>
          <cell r="G39">
            <v>1.9212293525328328E-2</v>
          </cell>
          <cell r="H39">
            <v>5.4255543732965568E-3</v>
          </cell>
          <cell r="I39">
            <v>1.9450649407346574E-2</v>
          </cell>
        </row>
        <row r="40">
          <cell r="A40">
            <v>38534</v>
          </cell>
          <cell r="B40">
            <v>3.7547313345992178E-2</v>
          </cell>
          <cell r="C40">
            <v>6.5608487152724493E-2</v>
          </cell>
          <cell r="F40">
            <v>1.6172994952600986E-3</v>
          </cell>
          <cell r="G40">
            <v>-4.7140262993998422E-3</v>
          </cell>
          <cell r="H40">
            <v>1.7796759743278781E-2</v>
          </cell>
          <cell r="I40">
            <v>-1.8200037770397685E-2</v>
          </cell>
        </row>
        <row r="41">
          <cell r="A41">
            <v>38565</v>
          </cell>
          <cell r="B41">
            <v>-9.418476936731526E-3</v>
          </cell>
          <cell r="C41">
            <v>-2.1198097897498016E-2</v>
          </cell>
          <cell r="F41">
            <v>8.9795341574789266E-4</v>
          </cell>
          <cell r="G41">
            <v>2.3292312410693683E-2</v>
          </cell>
          <cell r="H41">
            <v>-6.9743585278697583E-3</v>
          </cell>
          <cell r="I41">
            <v>-1.1983082904433289E-2</v>
          </cell>
        </row>
        <row r="42">
          <cell r="A42">
            <v>38596</v>
          </cell>
          <cell r="B42">
            <v>7.9934270357336478E-3</v>
          </cell>
          <cell r="C42">
            <v>1.8911431047654345E-2</v>
          </cell>
          <cell r="F42">
            <v>1.3912732976948568E-2</v>
          </cell>
          <cell r="G42">
            <v>-1.1967080644273737E-2</v>
          </cell>
          <cell r="H42">
            <v>7.4776549560379903E-3</v>
          </cell>
          <cell r="I42">
            <v>-2.0659862099850244E-2</v>
          </cell>
        </row>
        <row r="43">
          <cell r="A43">
            <v>38626</v>
          </cell>
          <cell r="B43">
            <v>-2.3934787789252124E-2</v>
          </cell>
          <cell r="C43">
            <v>-3.6271312273709486E-2</v>
          </cell>
          <cell r="F43">
            <v>1.6789064588612849E-2</v>
          </cell>
          <cell r="G43">
            <v>-1.821199276076765E-2</v>
          </cell>
          <cell r="H43">
            <v>-2.827313780995298E-2</v>
          </cell>
          <cell r="I43">
            <v>2.16158148162943E-5</v>
          </cell>
        </row>
        <row r="44">
          <cell r="A44">
            <v>38657</v>
          </cell>
          <cell r="B44">
            <v>4.3013436578415935E-2</v>
          </cell>
          <cell r="C44">
            <v>3.4375949860764178E-2</v>
          </cell>
          <cell r="F44">
            <v>-2.7872972755486726E-3</v>
          </cell>
          <cell r="G44">
            <v>-4.5449255439016867E-3</v>
          </cell>
          <cell r="H44">
            <v>1.7329848146017911E-2</v>
          </cell>
          <cell r="I44">
            <v>-1.0831471697630192E-2</v>
          </cell>
        </row>
        <row r="45">
          <cell r="A45">
            <v>38687</v>
          </cell>
          <cell r="B45">
            <v>-1.9150356828486481E-3</v>
          </cell>
          <cell r="C45">
            <v>1.154915431735965E-4</v>
          </cell>
          <cell r="F45">
            <v>-1.2133900500669722E-2</v>
          </cell>
          <cell r="G45">
            <v>1.9277092901276577E-2</v>
          </cell>
          <cell r="H45">
            <v>5.328284129773749E-3</v>
          </cell>
          <cell r="I45">
            <v>6.700281508490169E-4</v>
          </cell>
        </row>
        <row r="46">
          <cell r="A46">
            <v>38718</v>
          </cell>
          <cell r="B46">
            <v>2.3730081677992197E-2</v>
          </cell>
          <cell r="C46">
            <v>1.6251487221031174E-2</v>
          </cell>
          <cell r="F46">
            <v>7.4785944569611563E-3</v>
          </cell>
          <cell r="G46">
            <v>-1.3473956204481519E-2</v>
          </cell>
          <cell r="H46">
            <v>3.3642066642074649E-2</v>
          </cell>
          <cell r="I46">
            <v>-1.3060746137903189E-3</v>
          </cell>
        </row>
        <row r="47">
          <cell r="A47">
            <v>38749</v>
          </cell>
          <cell r="B47">
            <v>5.7093160942483807E-3</v>
          </cell>
          <cell r="C47">
            <v>2.0033188771710177E-3</v>
          </cell>
          <cell r="F47">
            <v>-8.0778583310231692E-3</v>
          </cell>
          <cell r="G47">
            <v>-7.6611107314804392E-4</v>
          </cell>
          <cell r="H47">
            <v>-1.5969757563471531E-2</v>
          </cell>
          <cell r="I47">
            <v>2.7739393737873496E-3</v>
          </cell>
        </row>
        <row r="48">
          <cell r="A48">
            <v>38777</v>
          </cell>
          <cell r="B48">
            <v>1.6369067309703361E-2</v>
          </cell>
          <cell r="C48">
            <v>4.2366414650334187E-2</v>
          </cell>
          <cell r="F48">
            <v>1.8502043911465646E-3</v>
          </cell>
          <cell r="G48">
            <v>-1.8928268737331545E-2</v>
          </cell>
          <cell r="H48">
            <v>-2.0299161938544833E-3</v>
          </cell>
          <cell r="I48">
            <v>-2.6944239787582629E-2</v>
          </cell>
        </row>
        <row r="49">
          <cell r="A49">
            <v>38808</v>
          </cell>
          <cell r="B49">
            <v>1.2552708122264644E-2</v>
          </cell>
          <cell r="C49">
            <v>2.4616946540269472E-2</v>
          </cell>
          <cell r="F49">
            <v>4.2684736334779446E-3</v>
          </cell>
          <cell r="G49">
            <v>-1.1576703193824237E-2</v>
          </cell>
          <cell r="H49">
            <v>-2.2362709254265378E-3</v>
          </cell>
          <cell r="I49">
            <v>-1.6802783585886997E-2</v>
          </cell>
        </row>
        <row r="50">
          <cell r="A50">
            <v>38838</v>
          </cell>
          <cell r="B50">
            <v>-3.058337062707895E-2</v>
          </cell>
          <cell r="C50">
            <v>-4.0936156477608232E-2</v>
          </cell>
          <cell r="F50">
            <v>3.2211743209751634E-3</v>
          </cell>
          <cell r="G50">
            <v>-9.0424605799544061E-3</v>
          </cell>
          <cell r="H50">
            <v>7.9553629311967123E-3</v>
          </cell>
          <cell r="I50">
            <v>-2.7481612293821433E-3</v>
          </cell>
        </row>
        <row r="51">
          <cell r="A51">
            <v>38869</v>
          </cell>
          <cell r="B51">
            <v>2.6046786010255167E-3</v>
          </cell>
          <cell r="C51">
            <v>-2.4136279285289729E-2</v>
          </cell>
          <cell r="F51">
            <v>1.7996187837285297E-2</v>
          </cell>
          <cell r="G51">
            <v>2.969314792692611E-3</v>
          </cell>
          <cell r="H51">
            <v>-1.3024734076348625E-2</v>
          </cell>
          <cell r="I51">
            <v>2.0921812409311978E-2</v>
          </cell>
        </row>
        <row r="52">
          <cell r="A52">
            <v>38899</v>
          </cell>
          <cell r="B52">
            <v>4.468008958796967E-3</v>
          </cell>
          <cell r="C52">
            <v>-2.3649271526161874E-2</v>
          </cell>
          <cell r="F52">
            <v>1.2910411835419359E-2</v>
          </cell>
          <cell r="G52">
            <v>6.195492477974341E-3</v>
          </cell>
          <cell r="H52">
            <v>-3.3842370024011574E-3</v>
          </cell>
          <cell r="I52">
            <v>4.4785110205172026E-3</v>
          </cell>
        </row>
        <row r="53">
          <cell r="A53">
            <v>38930</v>
          </cell>
          <cell r="B53">
            <v>2.1587907719146763E-2</v>
          </cell>
          <cell r="C53">
            <v>-1.0089722427011503E-3</v>
          </cell>
          <cell r="F53">
            <v>3.9113592680134514E-3</v>
          </cell>
          <cell r="G53">
            <v>1.1418121631058528E-2</v>
          </cell>
          <cell r="H53">
            <v>3.9115179361156726E-4</v>
          </cell>
          <cell r="I53">
            <v>1.0498166980180697E-2</v>
          </cell>
        </row>
        <row r="54">
          <cell r="A54">
            <v>38961</v>
          </cell>
          <cell r="B54">
            <v>2.6643527518460088E-2</v>
          </cell>
          <cell r="C54">
            <v>-1.1261635978117291E-2</v>
          </cell>
          <cell r="F54">
            <v>1.592179277364051E-2</v>
          </cell>
          <cell r="G54">
            <v>-3.0152215371729183E-3</v>
          </cell>
          <cell r="H54">
            <v>-2.7593213246328015E-3</v>
          </cell>
          <cell r="I54">
            <v>-4.570561007088669E-3</v>
          </cell>
        </row>
        <row r="55">
          <cell r="A55">
            <v>38991</v>
          </cell>
          <cell r="B55">
            <v>3.1030163088766955E-2</v>
          </cell>
          <cell r="C55">
            <v>4.1168317493083292E-2</v>
          </cell>
          <cell r="F55">
            <v>6.918260549522319E-3</v>
          </cell>
          <cell r="G55">
            <v>2.548778546364891E-2</v>
          </cell>
          <cell r="H55">
            <v>1.0648340267244209E-2</v>
          </cell>
          <cell r="I55">
            <v>-8.8649682893671145E-3</v>
          </cell>
        </row>
        <row r="56">
          <cell r="A56">
            <v>39022</v>
          </cell>
          <cell r="B56">
            <v>1.9690075438344244E-2</v>
          </cell>
          <cell r="C56">
            <v>1.1072758939932151E-2</v>
          </cell>
          <cell r="F56">
            <v>-7.8262594549686451E-4</v>
          </cell>
          <cell r="G56">
            <v>1.3419337735648712E-2</v>
          </cell>
          <cell r="H56">
            <v>5.9328951483249934E-3</v>
          </cell>
          <cell r="I56">
            <v>-2.9666651849128926E-3</v>
          </cell>
        </row>
        <row r="57">
          <cell r="A57">
            <v>39052</v>
          </cell>
          <cell r="B57">
            <v>1.3282696711612991E-2</v>
          </cell>
          <cell r="C57">
            <v>2.5508959424920759E-2</v>
          </cell>
          <cell r="F57">
            <v>-1.7694179454963432E-16</v>
          </cell>
          <cell r="G57">
            <v>-1.510077938741145E-2</v>
          </cell>
          <cell r="H57">
            <v>4.4733305016389814E-3</v>
          </cell>
          <cell r="I57">
            <v>-3.1642057175023061E-3</v>
          </cell>
        </row>
        <row r="58">
          <cell r="A58">
            <v>39083</v>
          </cell>
          <cell r="B58">
            <v>1.4928488844230672E-2</v>
          </cell>
          <cell r="C58">
            <v>2.5634941222122259E-2</v>
          </cell>
          <cell r="F58">
            <v>-1.3903654065319159E-3</v>
          </cell>
          <cell r="G58">
            <v>-6.8607160114793689E-4</v>
          </cell>
          <cell r="H58">
            <v>-3.8910623244477879E-3</v>
          </cell>
          <cell r="I58">
            <v>1.0573022287509958E-2</v>
          </cell>
        </row>
        <row r="59">
          <cell r="A59">
            <v>39114</v>
          </cell>
          <cell r="B59">
            <v>-1.9812716514843898E-2</v>
          </cell>
          <cell r="C59">
            <v>3.0659186013294124E-3</v>
          </cell>
          <cell r="F59">
            <v>-3.445253757602991E-2</v>
          </cell>
          <cell r="G59">
            <v>2.1754926771803795E-2</v>
          </cell>
          <cell r="H59">
            <v>1.0104817526538145E-2</v>
          </cell>
          <cell r="I59">
            <v>9.8723633273717394E-3</v>
          </cell>
        </row>
        <row r="60">
          <cell r="A60">
            <v>39142</v>
          </cell>
          <cell r="B60">
            <v>1.1522851077644499E-2</v>
          </cell>
          <cell r="C60">
            <v>2.1201145163857352E-2</v>
          </cell>
          <cell r="F60">
            <v>-9.0430043580398967E-3</v>
          </cell>
          <cell r="G60">
            <v>-1.6514017261077919E-2</v>
          </cell>
          <cell r="H60">
            <v>-9.7683223735969844E-3</v>
          </cell>
          <cell r="I60">
            <v>6.9130557163929254E-3</v>
          </cell>
        </row>
        <row r="61">
          <cell r="A61">
            <v>39173</v>
          </cell>
          <cell r="B61">
            <v>4.3342227295940484E-2</v>
          </cell>
          <cell r="C61">
            <v>3.5941124397633951E-2</v>
          </cell>
          <cell r="F61">
            <v>1.551807768923278E-3</v>
          </cell>
          <cell r="G61">
            <v>3.1591196779816285E-3</v>
          </cell>
          <cell r="H61">
            <v>1.7036627436698187E-2</v>
          </cell>
          <cell r="I61">
            <v>-8.9536555089582623E-3</v>
          </cell>
        </row>
        <row r="62">
          <cell r="A62">
            <v>39203</v>
          </cell>
          <cell r="B62">
            <v>3.3357697017391309E-2</v>
          </cell>
          <cell r="C62">
            <v>4.2332386488612969E-2</v>
          </cell>
          <cell r="F62">
            <v>5.1009769890597006E-3</v>
          </cell>
          <cell r="G62">
            <v>-9.3337323194785105E-3</v>
          </cell>
          <cell r="H62">
            <v>1.7778846546448492E-2</v>
          </cell>
          <cell r="I62">
            <v>4.6719227697911373E-3</v>
          </cell>
        </row>
        <row r="63">
          <cell r="A63">
            <v>39234</v>
          </cell>
          <cell r="B63">
            <v>-1.4729290126719493E-2</v>
          </cell>
          <cell r="C63">
            <v>2.8869478110362581E-2</v>
          </cell>
          <cell r="F63">
            <v>-1.0251694244875603E-2</v>
          </cell>
          <cell r="G63">
            <v>2.3161209195956461E-2</v>
          </cell>
          <cell r="H63">
            <v>-2.7910441280711164E-2</v>
          </cell>
          <cell r="I63">
            <v>-2.5566861285420323E-2</v>
          </cell>
        </row>
        <row r="64">
          <cell r="A64">
            <v>39264</v>
          </cell>
          <cell r="B64">
            <v>-3.1810472206891816E-2</v>
          </cell>
          <cell r="C64">
            <v>1.1822252926382917E-2</v>
          </cell>
          <cell r="F64">
            <v>-5.5070868179035531E-2</v>
          </cell>
          <cell r="G64">
            <v>2.1212947571695843E-2</v>
          </cell>
          <cell r="H64">
            <v>1.7594133247710406E-2</v>
          </cell>
          <cell r="I64">
            <v>-1.2620057206138119E-2</v>
          </cell>
        </row>
        <row r="65">
          <cell r="A65">
            <v>39295</v>
          </cell>
          <cell r="B65">
            <v>1.2751780789011489E-2</v>
          </cell>
          <cell r="C65">
            <v>-4.7597881591381836E-3</v>
          </cell>
          <cell r="F65">
            <v>1.8187597839126296E-2</v>
          </cell>
          <cell r="G65">
            <v>1.8395138144748135E-2</v>
          </cell>
          <cell r="H65">
            <v>1.3970246636689356E-2</v>
          </cell>
          <cell r="I65">
            <v>-1.134035193226488E-3</v>
          </cell>
        </row>
        <row r="66">
          <cell r="A66">
            <v>39326</v>
          </cell>
          <cell r="B66">
            <v>3.7983341542592759E-2</v>
          </cell>
          <cell r="C66">
            <v>3.6412706546078213E-2</v>
          </cell>
          <cell r="F66">
            <v>5.8500372931473447E-3</v>
          </cell>
          <cell r="G66">
            <v>6.5590289954891544E-3</v>
          </cell>
          <cell r="H66">
            <v>-1.2271275016065175E-2</v>
          </cell>
          <cell r="I66">
            <v>2.7653821555618539E-2</v>
          </cell>
        </row>
        <row r="67">
          <cell r="A67">
            <v>39356</v>
          </cell>
          <cell r="B67">
            <v>1.3475387113586527E-2</v>
          </cell>
          <cell r="C67">
            <v>-4.2575200815451401E-2</v>
          </cell>
          <cell r="F67">
            <v>3.2731933153520125E-2</v>
          </cell>
          <cell r="G67">
            <v>-5.3200496574762907E-3</v>
          </cell>
          <cell r="H67">
            <v>2.1204747316324019E-2</v>
          </cell>
          <cell r="I67">
            <v>-1.0757589157916643E-3</v>
          </cell>
        </row>
        <row r="68">
          <cell r="A68">
            <v>39387</v>
          </cell>
          <cell r="B68">
            <v>-3.9503124324463262E-2</v>
          </cell>
          <cell r="C68">
            <v>-0.12982080217176881</v>
          </cell>
          <cell r="F68">
            <v>4.8090248698228664E-2</v>
          </cell>
          <cell r="G68">
            <v>9.9023938313787772E-3</v>
          </cell>
          <cell r="H68">
            <v>-4.4560724455551218E-2</v>
          </cell>
          <cell r="I68">
            <v>1.2578626784887359E-2</v>
          </cell>
        </row>
        <row r="69">
          <cell r="A69">
            <v>39417</v>
          </cell>
          <cell r="B69">
            <v>-1.1324158619732719E-2</v>
          </cell>
          <cell r="C69">
            <v>2.6863865089404471E-2</v>
          </cell>
          <cell r="F69">
            <v>-1.3046219688631715E-2</v>
          </cell>
          <cell r="G69">
            <v>1.8845038864491397E-2</v>
          </cell>
          <cell r="H69">
            <v>1.5021888411573397E-2</v>
          </cell>
          <cell r="I69">
            <v>-2.4270087329901366E-2</v>
          </cell>
        </row>
        <row r="70">
          <cell r="A70">
            <v>39448</v>
          </cell>
          <cell r="B70">
            <v>-6.2365995504664359E-2</v>
          </cell>
          <cell r="C70">
            <v>-0.12258340301776818</v>
          </cell>
          <cell r="F70">
            <v>2.5883299944655578E-2</v>
          </cell>
          <cell r="G70">
            <v>-1.3592269705264792E-2</v>
          </cell>
          <cell r="H70">
            <v>-5.1217686338903806E-2</v>
          </cell>
          <cell r="I70">
            <v>1.6310164955915724E-2</v>
          </cell>
        </row>
        <row r="71">
          <cell r="A71">
            <v>39479</v>
          </cell>
          <cell r="B71">
            <v>-2.6182343269458896E-2</v>
          </cell>
          <cell r="C71">
            <v>1.5475285837679532E-2</v>
          </cell>
          <cell r="F71">
            <v>-1.3360992604450964E-2</v>
          </cell>
          <cell r="G71">
            <v>2.3732619931614615E-2</v>
          </cell>
          <cell r="H71">
            <v>-2.5360782468309414E-2</v>
          </cell>
          <cell r="I71">
            <v>-2.1581226637696842E-2</v>
          </cell>
        </row>
        <row r="72">
          <cell r="A72">
            <v>39508</v>
          </cell>
          <cell r="B72">
            <v>-8.982463454304028E-3</v>
          </cell>
          <cell r="C72">
            <v>-3.3501588531891918E-3</v>
          </cell>
          <cell r="F72">
            <v>-2.0623916972411824E-2</v>
          </cell>
          <cell r="G72">
            <v>6.1725656370662622E-3</v>
          </cell>
          <cell r="H72">
            <v>-3.1194416202091686E-2</v>
          </cell>
          <cell r="I72">
            <v>-1.7752867451748675E-2</v>
          </cell>
        </row>
        <row r="73">
          <cell r="A73">
            <v>39539</v>
          </cell>
          <cell r="B73">
            <v>4.6561022288474016E-2</v>
          </cell>
          <cell r="C73">
            <v>7.3511936997365329E-2</v>
          </cell>
          <cell r="F73">
            <v>-2.0953301015842283E-3</v>
          </cell>
          <cell r="G73">
            <v>-3.2288246608653745E-4</v>
          </cell>
          <cell r="H73">
            <v>3.7114346151723543E-2</v>
          </cell>
          <cell r="I73">
            <v>-8.2450445561075072E-3</v>
          </cell>
        </row>
        <row r="74">
          <cell r="A74">
            <v>39569</v>
          </cell>
          <cell r="B74">
            <v>1.5003711755008559E-2</v>
          </cell>
          <cell r="C74">
            <v>1.2247545635428347E-2</v>
          </cell>
          <cell r="F74">
            <v>6.1464440310737348E-3</v>
          </cell>
          <cell r="G74">
            <v>-2.3859812651107898E-2</v>
          </cell>
          <cell r="H74">
            <v>9.0723271434295545E-3</v>
          </cell>
          <cell r="I74">
            <v>-1.5577079066678637E-2</v>
          </cell>
        </row>
        <row r="75">
          <cell r="A75">
            <v>39600</v>
          </cell>
          <cell r="B75">
            <v>-8.7275760081046691E-2</v>
          </cell>
          <cell r="C75">
            <v>-5.7943533327620284E-2</v>
          </cell>
          <cell r="F75">
            <v>-2.774087241653813E-2</v>
          </cell>
          <cell r="G75">
            <v>2.778135210967049E-2</v>
          </cell>
          <cell r="H75">
            <v>-2.9354430812414938E-2</v>
          </cell>
          <cell r="I75">
            <v>8.9322170775613212E-3</v>
          </cell>
        </row>
        <row r="76">
          <cell r="A76">
            <v>39630</v>
          </cell>
          <cell r="B76">
            <v>-9.0265962793679762E-3</v>
          </cell>
          <cell r="C76">
            <v>1.4269385985783891E-2</v>
          </cell>
          <cell r="F76">
            <v>-5.1116427214111925E-3</v>
          </cell>
          <cell r="G76">
            <v>1.4504345505090999E-2</v>
          </cell>
          <cell r="H76">
            <v>-5.7993387194488731E-3</v>
          </cell>
          <cell r="I76">
            <v>1.1691531132829544E-2</v>
          </cell>
        </row>
        <row r="77">
          <cell r="A77">
            <v>39661</v>
          </cell>
          <cell r="B77">
            <v>1.5335311854992307E-2</v>
          </cell>
          <cell r="C77">
            <v>-1.1917921483408683E-2</v>
          </cell>
          <cell r="F77">
            <v>7.716392942728769E-3</v>
          </cell>
          <cell r="G77">
            <v>7.4875066438296074E-3</v>
          </cell>
          <cell r="H77">
            <v>1.4180227433267766E-3</v>
          </cell>
          <cell r="I77">
            <v>4.5010293523597318E-3</v>
          </cell>
        </row>
        <row r="78">
          <cell r="A78">
            <v>39692</v>
          </cell>
          <cell r="B78">
            <v>-9.890755281492844E-2</v>
          </cell>
          <cell r="C78">
            <v>-5.8969739441932872E-2</v>
          </cell>
          <cell r="F78">
            <v>-4.4845344924539204E-2</v>
          </cell>
          <cell r="G78">
            <v>9.7439888345378749E-3</v>
          </cell>
          <cell r="H78">
            <v>-1.4075041619453138E-2</v>
          </cell>
          <cell r="I78">
            <v>2.5136179560376823E-2</v>
          </cell>
        </row>
        <row r="79">
          <cell r="A79">
            <v>39722</v>
          </cell>
          <cell r="B79">
            <v>-0.18054711096471043</v>
          </cell>
          <cell r="C79">
            <v>-0.19620275757356803</v>
          </cell>
          <cell r="F79">
            <v>1.0068129945736335E-2</v>
          </cell>
          <cell r="G79">
            <v>-2.4369465220447126E-2</v>
          </cell>
          <cell r="H79">
            <v>-0.14803368672747119</v>
          </cell>
          <cell r="I79">
            <v>4.4253709808859856E-2</v>
          </cell>
        </row>
        <row r="80">
          <cell r="A80">
            <v>39753</v>
          </cell>
          <cell r="B80">
            <v>-7.2147486555183452E-2</v>
          </cell>
          <cell r="C80">
            <v>-0.30412362735782883</v>
          </cell>
          <cell r="F80">
            <v>0.12480061733340533</v>
          </cell>
          <cell r="G80">
            <v>2.6842809415822497E-2</v>
          </cell>
          <cell r="H80">
            <v>-3.11523790794331E-2</v>
          </cell>
          <cell r="I80">
            <v>1.9281268616307877E-2</v>
          </cell>
        </row>
        <row r="81">
          <cell r="A81">
            <v>39783</v>
          </cell>
          <cell r="B81">
            <v>9.7482817931282707E-3</v>
          </cell>
          <cell r="C81">
            <v>-0.1619503820234223</v>
          </cell>
          <cell r="F81">
            <v>2.297884092475954E-2</v>
          </cell>
          <cell r="G81">
            <v>-2.0746129755802568E-2</v>
          </cell>
          <cell r="H81">
            <v>-2.4268353581620418E-2</v>
          </cell>
          <cell r="I81">
            <v>4.7403740448031056E-2</v>
          </cell>
        </row>
        <row r="82">
          <cell r="A82">
            <v>39814</v>
          </cell>
          <cell r="B82">
            <v>-8.5682300123382751E-2</v>
          </cell>
          <cell r="C82">
            <v>2.0495995468137723E-2</v>
          </cell>
          <cell r="F82">
            <v>-3.3749252063286078E-3</v>
          </cell>
          <cell r="G82">
            <v>-3.7272034079666887E-2</v>
          </cell>
          <cell r="H82">
            <v>8.8264838307612926E-3</v>
          </cell>
          <cell r="I82">
            <v>-5.8573695954333246E-2</v>
          </cell>
        </row>
        <row r="83">
          <cell r="A83">
            <v>39845</v>
          </cell>
          <cell r="B83">
            <v>-0.1136715402197348</v>
          </cell>
          <cell r="C83">
            <v>-0.11756308018695301</v>
          </cell>
          <cell r="F83">
            <v>-9.6916675981411626E-3</v>
          </cell>
          <cell r="G83">
            <v>-2.9021138768274671E-2</v>
          </cell>
          <cell r="H83">
            <v>4.8887995871712525E-2</v>
          </cell>
          <cell r="I83">
            <v>-1.1421455800217998E-2</v>
          </cell>
        </row>
        <row r="84">
          <cell r="A84">
            <v>39873</v>
          </cell>
          <cell r="B84">
            <v>8.002180958571993E-2</v>
          </cell>
          <cell r="C84">
            <v>2.1447876437045502E-2</v>
          </cell>
          <cell r="F84">
            <v>3.5976669272090499E-2</v>
          </cell>
          <cell r="G84">
            <v>1.7077905766788592E-2</v>
          </cell>
          <cell r="H84">
            <v>-7.0172294294610374E-2</v>
          </cell>
          <cell r="I84">
            <v>2.5864066943576604E-2</v>
          </cell>
        </row>
        <row r="85">
          <cell r="A85">
            <v>39904</v>
          </cell>
          <cell r="B85">
            <v>9.4715707038457247E-2</v>
          </cell>
          <cell r="C85">
            <v>9.801054784327469E-2</v>
          </cell>
          <cell r="F85">
            <v>3.3500061768666572E-2</v>
          </cell>
          <cell r="G85">
            <v>-3.5259229711041645E-2</v>
          </cell>
          <cell r="H85">
            <v>2.6433555277714221E-2</v>
          </cell>
          <cell r="I85">
            <v>-2.5636747867464199E-2</v>
          </cell>
        </row>
        <row r="86">
          <cell r="A86">
            <v>39934</v>
          </cell>
          <cell r="B86">
            <v>5.6808595314450996E-2</v>
          </cell>
          <cell r="C86">
            <v>5.3575320842129799E-2</v>
          </cell>
          <cell r="F86">
            <v>3.653985077891922E-2</v>
          </cell>
          <cell r="G86">
            <v>-4.3436024232404169E-3</v>
          </cell>
          <cell r="H86">
            <v>3.8595962824860552E-2</v>
          </cell>
          <cell r="I86">
            <v>-3.1931842833874777E-2</v>
          </cell>
        </row>
        <row r="87">
          <cell r="A87">
            <v>39965</v>
          </cell>
          <cell r="B87">
            <v>-6.5515346036946337E-4</v>
          </cell>
          <cell r="C87">
            <v>2.3766718566967129E-2</v>
          </cell>
          <cell r="F87">
            <v>-9.7813048108637973E-4</v>
          </cell>
          <cell r="G87">
            <v>3.0926709557410309E-2</v>
          </cell>
          <cell r="H87">
            <v>2.1595681978511538E-2</v>
          </cell>
          <cell r="I87">
            <v>-4.3826907261720928E-2</v>
          </cell>
        </row>
        <row r="88">
          <cell r="A88">
            <v>39995</v>
          </cell>
          <cell r="B88">
            <v>7.1953975697299832E-2</v>
          </cell>
          <cell r="C88">
            <v>5.5059796275394278E-2</v>
          </cell>
          <cell r="F88">
            <v>3.3548635272751461E-2</v>
          </cell>
          <cell r="G88">
            <v>2.239829747071214E-2</v>
          </cell>
          <cell r="H88">
            <v>-4.3908050801202997E-2</v>
          </cell>
          <cell r="I88">
            <v>2.3411687946837036E-2</v>
          </cell>
        </row>
        <row r="89">
          <cell r="A89">
            <v>40026</v>
          </cell>
          <cell r="B89">
            <v>3.6273804212503244E-2</v>
          </cell>
          <cell r="C89">
            <v>4.8909073110767309E-2</v>
          </cell>
          <cell r="F89">
            <v>-4.9651334214506999E-3</v>
          </cell>
          <cell r="G89">
            <v>2.9733299099166034E-2</v>
          </cell>
          <cell r="H89">
            <v>2.390030444295372E-2</v>
          </cell>
          <cell r="I89">
            <v>-4.327580822953906E-2</v>
          </cell>
        </row>
        <row r="90">
          <cell r="A90">
            <v>40057</v>
          </cell>
          <cell r="B90">
            <v>3.4842797854699271E-2</v>
          </cell>
          <cell r="C90">
            <v>4.9936506861409422E-2</v>
          </cell>
          <cell r="F90">
            <v>-1.3919254700457517E-2</v>
          </cell>
          <cell r="G90">
            <v>2.5459274108480295E-2</v>
          </cell>
          <cell r="H90">
            <v>4.6736664666109477E-3</v>
          </cell>
          <cell r="I90">
            <v>-1.8372162761097995E-2</v>
          </cell>
        </row>
        <row r="91">
          <cell r="A91">
            <v>40087</v>
          </cell>
          <cell r="B91">
            <v>-1.9411782913633595E-2</v>
          </cell>
          <cell r="C91">
            <v>4.7453294846567455E-2</v>
          </cell>
          <cell r="F91">
            <v>-4.4106576876944373E-2</v>
          </cell>
          <cell r="G91">
            <v>-3.7503702916482813E-3</v>
          </cell>
          <cell r="H91">
            <v>1.9868053007839003E-3</v>
          </cell>
          <cell r="I91">
            <v>8.4731731355965813E-3</v>
          </cell>
        </row>
        <row r="92">
          <cell r="A92">
            <v>40118</v>
          </cell>
          <cell r="B92">
            <v>5.9782943383755421E-2</v>
          </cell>
          <cell r="C92">
            <v>5.8826983518770241E-2</v>
          </cell>
          <cell r="F92">
            <v>4.6498215260903477E-3</v>
          </cell>
          <cell r="G92">
            <v>1.5749377171585151E-2</v>
          </cell>
          <cell r="H92">
            <v>3.3891316938851543E-2</v>
          </cell>
          <cell r="I92">
            <v>-2.2692270289249587E-2</v>
          </cell>
        </row>
        <row r="93">
          <cell r="A93">
            <v>40148</v>
          </cell>
          <cell r="B93">
            <v>1.8920949771908339E-2</v>
          </cell>
          <cell r="C93">
            <v>7.3242798882717841E-2</v>
          </cell>
          <cell r="F93">
            <v>9.8771482780942062E-4</v>
          </cell>
          <cell r="G93">
            <v>-1.0249812146695618E-2</v>
          </cell>
          <cell r="H93">
            <v>8.1530246985003253E-3</v>
          </cell>
          <cell r="I93">
            <v>-3.0173918317881927E-2</v>
          </cell>
        </row>
        <row r="94">
          <cell r="A94">
            <v>40179</v>
          </cell>
          <cell r="B94">
            <v>-3.7019149344959271E-2</v>
          </cell>
          <cell r="C94">
            <v>-3.3725192630316064E-2</v>
          </cell>
          <cell r="F94">
            <v>-2.1920220191200289E-2</v>
          </cell>
          <cell r="G94">
            <v>7.9396683716295279E-3</v>
          </cell>
          <cell r="H94">
            <v>2.7699643178202574E-2</v>
          </cell>
          <cell r="I94">
            <v>-6.6965270499072345E-3</v>
          </cell>
        </row>
        <row r="95">
          <cell r="A95">
            <v>40210</v>
          </cell>
          <cell r="B95">
            <v>3.0718048149783808E-2</v>
          </cell>
          <cell r="C95">
            <v>6.6594822994535133E-2</v>
          </cell>
          <cell r="F95">
            <v>-3.7855505150790692E-3</v>
          </cell>
          <cell r="G95">
            <v>2.8660594151537433E-2</v>
          </cell>
          <cell r="H95">
            <v>-6.8211104954099752E-3</v>
          </cell>
          <cell r="I95">
            <v>-5.5146272291639598E-5</v>
          </cell>
        </row>
        <row r="96">
          <cell r="A96">
            <v>40238</v>
          </cell>
          <cell r="B96">
            <v>5.909822548618765E-2</v>
          </cell>
          <cell r="C96">
            <v>5.1570035638853699E-2</v>
          </cell>
          <cell r="F96">
            <v>8.842323624737046E-3</v>
          </cell>
          <cell r="G96">
            <v>-1.94739712481884E-2</v>
          </cell>
          <cell r="H96">
            <v>3.1203610946212136E-2</v>
          </cell>
          <cell r="I96">
            <v>-1.2221374596437497E-2</v>
          </cell>
        </row>
        <row r="97">
          <cell r="A97">
            <v>40269</v>
          </cell>
          <cell r="B97">
            <v>1.5351467843928393E-2</v>
          </cell>
          <cell r="C97">
            <v>1.9728627815878648E-2</v>
          </cell>
          <cell r="F97">
            <v>-1.8430637828679652E-2</v>
          </cell>
          <cell r="G97">
            <v>1.8625766436423614E-2</v>
          </cell>
          <cell r="H97">
            <v>1.5014859619956678E-2</v>
          </cell>
          <cell r="I97">
            <v>-4.4740134800659711E-3</v>
          </cell>
        </row>
        <row r="98">
          <cell r="A98">
            <v>40299</v>
          </cell>
          <cell r="B98">
            <v>-8.2788827756031969E-2</v>
          </cell>
          <cell r="C98">
            <v>-0.15479273333131618</v>
          </cell>
          <cell r="F98">
            <v>2.3801980914239778E-3</v>
          </cell>
          <cell r="G98">
            <v>-1.9803080916954784E-2</v>
          </cell>
          <cell r="H98">
            <v>-6.5655644081729692E-2</v>
          </cell>
          <cell r="I98">
            <v>4.0241350490839059E-2</v>
          </cell>
        </row>
        <row r="99">
          <cell r="A99">
            <v>40330</v>
          </cell>
          <cell r="B99">
            <v>-5.3127346754694202E-2</v>
          </cell>
          <cell r="C99">
            <v>1.0455843488229056E-2</v>
          </cell>
          <cell r="F99">
            <v>-7.6353994440147149E-2</v>
          </cell>
          <cell r="G99">
            <v>4.3588862174197593E-2</v>
          </cell>
          <cell r="H99">
            <v>-3.6120480229898555E-2</v>
          </cell>
          <cell r="I99">
            <v>2.4303732224755216E-2</v>
          </cell>
        </row>
        <row r="100">
          <cell r="A100">
            <v>40360</v>
          </cell>
          <cell r="B100">
            <v>6.6069227994284135E-2</v>
          </cell>
          <cell r="C100">
            <v>6.4528953593492214E-2</v>
          </cell>
          <cell r="F100">
            <v>7.3731516911021699E-3</v>
          </cell>
          <cell r="G100">
            <v>-3.6757305634966091E-3</v>
          </cell>
          <cell r="H100">
            <v>3.7460486685886106E-2</v>
          </cell>
          <cell r="I100">
            <v>-1.6398782841599815E-2</v>
          </cell>
        </row>
        <row r="101">
          <cell r="A101">
            <v>40391</v>
          </cell>
          <cell r="B101">
            <v>-4.602343801877113E-2</v>
          </cell>
          <cell r="C101">
            <v>-8.2249279696153935E-2</v>
          </cell>
          <cell r="F101">
            <v>-2.0861276025051084E-2</v>
          </cell>
          <cell r="G101">
            <v>2.3487258857520472E-2</v>
          </cell>
          <cell r="H101">
            <v>1.9043057457593913E-2</v>
          </cell>
          <cell r="I101">
            <v>-5.5898549810119887E-4</v>
          </cell>
        </row>
        <row r="102">
          <cell r="A102">
            <v>40422</v>
          </cell>
          <cell r="B102">
            <v>8.5769125249920253E-2</v>
          </cell>
          <cell r="C102">
            <v>0.11362177955830798</v>
          </cell>
          <cell r="F102">
            <v>6.240736642519955E-3</v>
          </cell>
          <cell r="G102">
            <v>8.5666762399880525E-3</v>
          </cell>
          <cell r="H102">
            <v>4.7292186893843326E-2</v>
          </cell>
          <cell r="I102">
            <v>-3.1706809809755807E-2</v>
          </cell>
        </row>
        <row r="103">
          <cell r="A103">
            <v>40452</v>
          </cell>
          <cell r="B103">
            <v>3.7490064254904455E-2</v>
          </cell>
          <cell r="C103">
            <v>7.7385044365241976E-2</v>
          </cell>
          <cell r="F103">
            <v>3.0426703911319722E-3</v>
          </cell>
          <cell r="G103">
            <v>-2.7849417185137771E-3</v>
          </cell>
          <cell r="H103">
            <v>1.5303284473528573E-2</v>
          </cell>
          <cell r="I103">
            <v>-4.1756817289685371E-3</v>
          </cell>
        </row>
        <row r="104">
          <cell r="A104">
            <v>40483</v>
          </cell>
          <cell r="B104">
            <v>6.5052130349130266E-17</v>
          </cell>
          <cell r="C104">
            <v>5.0781011356552067E-2</v>
          </cell>
          <cell r="F104">
            <v>-1.5077008879145756E-2</v>
          </cell>
          <cell r="G104">
            <v>1.8666783578866121E-2</v>
          </cell>
          <cell r="H104">
            <v>3.5076620434392254E-2</v>
          </cell>
          <cell r="I104">
            <v>-2.1416579957927919E-2</v>
          </cell>
        </row>
        <row r="105">
          <cell r="A105">
            <v>40513</v>
          </cell>
          <cell r="B105">
            <v>6.4712799042164357E-2</v>
          </cell>
          <cell r="C105">
            <v>0.10646943777769211</v>
          </cell>
          <cell r="F105">
            <v>2.8669971944770634E-3</v>
          </cell>
          <cell r="G105">
            <v>6.9315945518318755E-3</v>
          </cell>
          <cell r="H105">
            <v>3.5972658271478268E-2</v>
          </cell>
          <cell r="I105">
            <v>-4.0579746542867293E-2</v>
          </cell>
        </row>
        <row r="106">
          <cell r="A106">
            <v>40544</v>
          </cell>
          <cell r="B106">
            <v>2.3032483431824631E-2</v>
          </cell>
          <cell r="C106">
            <v>5.3867286825819503E-2</v>
          </cell>
          <cell r="F106">
            <v>-3.2589175746798212E-3</v>
          </cell>
          <cell r="G106">
            <v>-3.7201022767263097E-3</v>
          </cell>
          <cell r="H106">
            <v>1.0992931250250252E-2</v>
          </cell>
          <cell r="I106">
            <v>-1.8984611662390113E-2</v>
          </cell>
        </row>
        <row r="107">
          <cell r="A107">
            <v>40575</v>
          </cell>
          <cell r="B107">
            <v>3.4147896129455652E-2</v>
          </cell>
          <cell r="C107">
            <v>2.4955819672714742E-2</v>
          </cell>
          <cell r="F107">
            <v>9.9631628237515472E-3</v>
          </cell>
          <cell r="G107">
            <v>1.713858103672319E-2</v>
          </cell>
          <cell r="H107">
            <v>2.5246273405220673E-2</v>
          </cell>
          <cell r="I107">
            <v>-1.8094982092443285E-2</v>
          </cell>
        </row>
        <row r="108">
          <cell r="A108">
            <v>40603</v>
          </cell>
          <cell r="B108">
            <v>1.2004505130044354E-4</v>
          </cell>
          <cell r="C108">
            <v>-3.0332399673355659E-2</v>
          </cell>
          <cell r="F108">
            <v>2.1729271074726723E-2</v>
          </cell>
          <cell r="G108">
            <v>-8.4305377911230092E-3</v>
          </cell>
          <cell r="H108">
            <v>-1.3002218478200513E-2</v>
          </cell>
          <cell r="I108">
            <v>-2.0545886200125804E-2</v>
          </cell>
        </row>
        <row r="109">
          <cell r="A109">
            <v>40634</v>
          </cell>
          <cell r="B109">
            <v>2.8550198825919967E-2</v>
          </cell>
          <cell r="C109">
            <v>-3.5155922672446601E-4</v>
          </cell>
          <cell r="F109">
            <v>1.9615172371777657E-2</v>
          </cell>
          <cell r="G109">
            <v>1.3834555326560119E-2</v>
          </cell>
          <cell r="H109">
            <v>5.4909260099414974E-3</v>
          </cell>
          <cell r="I109">
            <v>-1.5200546732369025E-2</v>
          </cell>
        </row>
        <row r="110">
          <cell r="A110">
            <v>40664</v>
          </cell>
          <cell r="B110">
            <v>-1.1277764128790937E-2</v>
          </cell>
          <cell r="C110">
            <v>-4.0272204820622513E-2</v>
          </cell>
          <cell r="F110">
            <v>9.6088047945949943E-3</v>
          </cell>
          <cell r="G110">
            <v>1.4270795268562422E-2</v>
          </cell>
          <cell r="H110">
            <v>-1.6480593819797634E-2</v>
          </cell>
          <cell r="I110">
            <v>1.6759048487742442E-2</v>
          </cell>
        </row>
        <row r="111">
          <cell r="A111">
            <v>40695</v>
          </cell>
          <cell r="B111">
            <v>-1.7013925060328533E-2</v>
          </cell>
          <cell r="C111">
            <v>-3.890533164843319E-2</v>
          </cell>
          <cell r="F111">
            <v>1.927997340252488E-2</v>
          </cell>
          <cell r="G111">
            <v>-2.6116251818565899E-2</v>
          </cell>
          <cell r="H111">
            <v>-4.5031748679545007E-2</v>
          </cell>
          <cell r="I111">
            <v>-3.0986630731380639E-3</v>
          </cell>
        </row>
        <row r="112">
          <cell r="A112">
            <v>40725</v>
          </cell>
          <cell r="B112">
            <v>-2.0207538717317289E-2</v>
          </cell>
          <cell r="C112">
            <v>-4.3330813625459073E-3</v>
          </cell>
          <cell r="F112">
            <v>-3.979188427792512E-2</v>
          </cell>
          <cell r="G112">
            <v>1.9281706382704929E-2</v>
          </cell>
          <cell r="H112">
            <v>1.8245685977121447E-2</v>
          </cell>
          <cell r="I112">
            <v>1.6811771954745092E-2</v>
          </cell>
        </row>
        <row r="113">
          <cell r="A113">
            <v>40756</v>
          </cell>
          <cell r="B113">
            <v>-5.6544384857879895E-2</v>
          </cell>
          <cell r="C113">
            <v>-0.26867430397222858</v>
          </cell>
          <cell r="F113">
            <v>8.162601999394177E-2</v>
          </cell>
          <cell r="G113">
            <v>-3.8221473300384987E-2</v>
          </cell>
          <cell r="H113">
            <v>-7.4208900453684459E-2</v>
          </cell>
          <cell r="I113">
            <v>4.7278273792321988E-2</v>
          </cell>
        </row>
        <row r="114">
          <cell r="A114">
            <v>40787</v>
          </cell>
          <cell r="B114">
            <v>-7.1948067164102666E-2</v>
          </cell>
          <cell r="C114">
            <v>-0.21757850379320046</v>
          </cell>
          <cell r="F114">
            <v>2.5666604860091757E-3</v>
          </cell>
          <cell r="G114">
            <v>-1.9024245740489446E-2</v>
          </cell>
          <cell r="H114">
            <v>-2.6363096536001364E-2</v>
          </cell>
          <cell r="I114">
            <v>5.2946010994901239E-2</v>
          </cell>
        </row>
        <row r="115">
          <cell r="A115">
            <v>40817</v>
          </cell>
          <cell r="B115">
            <v>0.10359142321300968</v>
          </cell>
          <cell r="C115">
            <v>0.15438671107540722</v>
          </cell>
          <cell r="F115">
            <v>1.2266253356363208E-2</v>
          </cell>
          <cell r="G115">
            <v>2.4017114349233752E-2</v>
          </cell>
          <cell r="H115">
            <v>2.2372794256617923E-2</v>
          </cell>
          <cell r="I115">
            <v>-1.8882671401672109E-2</v>
          </cell>
        </row>
        <row r="116">
          <cell r="A116">
            <v>40848</v>
          </cell>
          <cell r="B116">
            <v>-4.072108220249622E-3</v>
          </cell>
          <cell r="C116">
            <v>-8.558827985879304E-2</v>
          </cell>
          <cell r="F116">
            <v>4.3579189455223197E-2</v>
          </cell>
          <cell r="G116">
            <v>-1.8241588904745618E-2</v>
          </cell>
          <cell r="H116">
            <v>6.0374496991784897E-3</v>
          </cell>
          <cell r="I116">
            <v>1.4081265123699026E-2</v>
          </cell>
        </row>
        <row r="117">
          <cell r="A117">
            <v>40878</v>
          </cell>
          <cell r="B117">
            <v>1.0394239366066014E-2</v>
          </cell>
          <cell r="C117">
            <v>-1.3019924017450286E-2</v>
          </cell>
          <cell r="F117">
            <v>1.0654518659416193E-2</v>
          </cell>
          <cell r="G117">
            <v>2.1109373590297395E-2</v>
          </cell>
          <cell r="H117">
            <v>1.3825319904160062E-2</v>
          </cell>
          <cell r="I117">
            <v>8.5004242264216006E-4</v>
          </cell>
        </row>
        <row r="118">
          <cell r="A118">
            <v>40909</v>
          </cell>
          <cell r="B118">
            <v>4.5331251108184228E-2</v>
          </cell>
          <cell r="C118">
            <v>8.6789695614172074E-2</v>
          </cell>
          <cell r="F118">
            <v>-1.065421663953015E-3</v>
          </cell>
          <cell r="G118">
            <v>3.7088764635217292E-2</v>
          </cell>
          <cell r="H118">
            <v>1.9880556128924105E-2</v>
          </cell>
          <cell r="I118">
            <v>-2.2772392072328458E-2</v>
          </cell>
        </row>
        <row r="119">
          <cell r="A119">
            <v>40940</v>
          </cell>
          <cell r="B119">
            <v>4.2489821219877516E-2</v>
          </cell>
          <cell r="C119">
            <v>6.7445147980817521E-2</v>
          </cell>
          <cell r="F119">
            <v>7.2514587926275475E-3</v>
          </cell>
          <cell r="G119">
            <v>5.89311887905738E-3</v>
          </cell>
          <cell r="H119">
            <v>2.6080853381627578E-2</v>
          </cell>
          <cell r="I119">
            <v>-3.6241142283388358E-2</v>
          </cell>
        </row>
        <row r="120">
          <cell r="A120">
            <v>40969</v>
          </cell>
          <cell r="B120">
            <v>3.1657201195968959E-2</v>
          </cell>
          <cell r="C120">
            <v>7.4331433200827773E-2</v>
          </cell>
          <cell r="F120">
            <v>4.2696125022608136E-3</v>
          </cell>
          <cell r="G120">
            <v>3.661080840336825E-3</v>
          </cell>
          <cell r="H120">
            <v>-9.7543535179439658E-3</v>
          </cell>
          <cell r="I120">
            <v>-2.1616281091293649E-3</v>
          </cell>
        </row>
        <row r="121">
          <cell r="A121">
            <v>41000</v>
          </cell>
          <cell r="B121">
            <v>-6.6975610043536115E-3</v>
          </cell>
          <cell r="C121">
            <v>-8.1276005959366626E-2</v>
          </cell>
          <cell r="F121">
            <v>2.2266788322080872E-2</v>
          </cell>
          <cell r="G121">
            <v>-5.1017262227358012E-3</v>
          </cell>
          <cell r="H121">
            <v>-1.856489592984403E-2</v>
          </cell>
          <cell r="I121">
            <v>3.2008037126986931E-2</v>
          </cell>
        </row>
        <row r="122">
          <cell r="A122">
            <v>41030</v>
          </cell>
          <cell r="B122">
            <v>-6.1934980313862131E-2</v>
          </cell>
          <cell r="C122">
            <v>-0.11544675407236324</v>
          </cell>
          <cell r="F122">
            <v>-3.7958725346883613E-3</v>
          </cell>
          <cell r="G122">
            <v>2.9102305244142909E-2</v>
          </cell>
          <cell r="H122">
            <v>-2.0003078795206145E-2</v>
          </cell>
          <cell r="I122">
            <v>9.5497825615567713E-3</v>
          </cell>
        </row>
        <row r="123">
          <cell r="A123">
            <v>41061</v>
          </cell>
          <cell r="B123">
            <v>3.9779032348415816E-2</v>
          </cell>
          <cell r="C123">
            <v>1.7454644709188637E-2</v>
          </cell>
          <cell r="F123">
            <v>2.7260132793923905E-2</v>
          </cell>
          <cell r="G123">
            <v>-1.1988335207081851E-2</v>
          </cell>
          <cell r="H123">
            <v>4.4016722021644897E-3</v>
          </cell>
          <cell r="I123">
            <v>-1.6604999560539613E-2</v>
          </cell>
        </row>
        <row r="124">
          <cell r="A124">
            <v>41091</v>
          </cell>
          <cell r="B124">
            <v>1.1760430159140101E-2</v>
          </cell>
          <cell r="C124">
            <v>-5.3279894770597469E-2</v>
          </cell>
          <cell r="F124">
            <v>1.9209046741155276E-2</v>
          </cell>
          <cell r="G124">
            <v>-8.3687163696615566E-3</v>
          </cell>
          <cell r="H124">
            <v>-5.7472773109411967E-3</v>
          </cell>
          <cell r="I124">
            <v>2.5673379215753946E-2</v>
          </cell>
        </row>
        <row r="125">
          <cell r="A125">
            <v>41122</v>
          </cell>
          <cell r="B125">
            <v>2.4743700121654916E-2</v>
          </cell>
          <cell r="C125">
            <v>8.4889605268528373E-2</v>
          </cell>
          <cell r="F125">
            <v>-4.2413178444685486E-3</v>
          </cell>
          <cell r="G125">
            <v>4.2627540726792826E-2</v>
          </cell>
          <cell r="H125">
            <v>1.8775498094816039E-2</v>
          </cell>
          <cell r="I125">
            <v>-2.81850807339276E-2</v>
          </cell>
        </row>
        <row r="126">
          <cell r="A126">
            <v>41153</v>
          </cell>
          <cell r="B126">
            <v>2.5035320071267811E-2</v>
          </cell>
          <cell r="C126">
            <v>7.6233389647209854E-2</v>
          </cell>
          <cell r="F126">
            <v>-1.1601137605010026E-2</v>
          </cell>
          <cell r="G126">
            <v>1.3942539917190222E-2</v>
          </cell>
          <cell r="H126">
            <v>1.6510877464287747E-2</v>
          </cell>
          <cell r="I126">
            <v>-2.4768830726444532E-2</v>
          </cell>
        </row>
        <row r="127">
          <cell r="A127">
            <v>41183</v>
          </cell>
          <cell r="B127">
            <v>-1.8366171419647966E-2</v>
          </cell>
          <cell r="C127">
            <v>1.4033698405142916E-2</v>
          </cell>
          <cell r="F127">
            <v>-1.4329111832685686E-2</v>
          </cell>
          <cell r="G127">
            <v>1.32200099464526E-2</v>
          </cell>
          <cell r="H127">
            <v>1.4959708941337522E-2</v>
          </cell>
          <cell r="I127">
            <v>-2.2929085591977691E-2</v>
          </cell>
        </row>
        <row r="128">
          <cell r="A128">
            <v>41214</v>
          </cell>
          <cell r="B128">
            <v>5.6436240375966973E-3</v>
          </cell>
          <cell r="C128">
            <v>-2.1364392975294761E-2</v>
          </cell>
          <cell r="F128">
            <v>1.9176554052706411E-2</v>
          </cell>
          <cell r="G128">
            <v>3.6933538055764388E-3</v>
          </cell>
          <cell r="H128">
            <v>-1.1598737326005268E-2</v>
          </cell>
          <cell r="I128">
            <v>5.1734979782019058E-3</v>
          </cell>
        </row>
        <row r="129">
          <cell r="A129">
            <v>41244</v>
          </cell>
          <cell r="B129">
            <v>8.8949475774528775E-3</v>
          </cell>
          <cell r="C129">
            <v>3.0158788094618787E-2</v>
          </cell>
          <cell r="F129">
            <v>-2.6645609742020418E-3</v>
          </cell>
          <cell r="G129">
            <v>-6.5922084497466657E-3</v>
          </cell>
          <cell r="H129">
            <v>1.827475613518047E-3</v>
          </cell>
          <cell r="I129">
            <v>-9.2406043706672741E-4</v>
          </cell>
        </row>
        <row r="130">
          <cell r="A130">
            <v>41275</v>
          </cell>
          <cell r="B130">
            <v>4.9922956647863635E-2</v>
          </cell>
          <cell r="C130">
            <v>5.6752336255235368E-2</v>
          </cell>
          <cell r="F130">
            <v>2.2065633821715322E-3</v>
          </cell>
          <cell r="G130">
            <v>-2.3336161633466711E-2</v>
          </cell>
          <cell r="H130">
            <v>2.1809195648912344E-2</v>
          </cell>
          <cell r="I130">
            <v>-1.6223186609208844E-2</v>
          </cell>
        </row>
        <row r="131">
          <cell r="A131">
            <v>41306</v>
          </cell>
          <cell r="B131">
            <v>1.2678190377662671E-2</v>
          </cell>
          <cell r="C131">
            <v>1.4779559686182501E-2</v>
          </cell>
          <cell r="F131">
            <v>-1.8452529120968008E-3</v>
          </cell>
          <cell r="G131">
            <v>1.2567078769891262E-2</v>
          </cell>
          <cell r="H131">
            <v>8.3821187481050424E-3</v>
          </cell>
          <cell r="I131">
            <v>-3.3375634364996307E-3</v>
          </cell>
        </row>
        <row r="132">
          <cell r="A132">
            <v>41334</v>
          </cell>
          <cell r="B132">
            <v>3.7267814819473839E-2</v>
          </cell>
          <cell r="C132">
            <v>3.1043190208220332E-2</v>
          </cell>
          <cell r="F132">
            <v>1.4853967495249289E-2</v>
          </cell>
          <cell r="G132">
            <v>4.4263857643941909E-3</v>
          </cell>
          <cell r="H132">
            <v>2.0693186775401946E-2</v>
          </cell>
          <cell r="I132">
            <v>-1.9606992574929406E-2</v>
          </cell>
        </row>
        <row r="133">
          <cell r="A133">
            <v>41365</v>
          </cell>
          <cell r="B133">
            <v>1.9030244935242618E-2</v>
          </cell>
          <cell r="C133">
            <v>-5.194430551878669E-2</v>
          </cell>
          <cell r="F133">
            <v>2.6654525547146174E-2</v>
          </cell>
          <cell r="G133">
            <v>1.4646363612147695E-3</v>
          </cell>
          <cell r="H133">
            <v>-9.6847429248380166E-3</v>
          </cell>
          <cell r="I133">
            <v>4.4238386904684776E-2</v>
          </cell>
        </row>
        <row r="134">
          <cell r="A134">
            <v>41395</v>
          </cell>
          <cell r="B134">
            <v>2.3335496472425946E-2</v>
          </cell>
          <cell r="C134">
            <v>8.6654437978827673E-2</v>
          </cell>
          <cell r="F134">
            <v>-2.2504156813585439E-2</v>
          </cell>
          <cell r="G134">
            <v>-2.9188843619167491E-2</v>
          </cell>
          <cell r="H134">
            <v>1.8121498020384631E-2</v>
          </cell>
          <cell r="I134">
            <v>-2.1317605440437412E-2</v>
          </cell>
        </row>
        <row r="135">
          <cell r="A135">
            <v>41426</v>
          </cell>
          <cell r="B135">
            <v>-1.3434459342048375E-2</v>
          </cell>
          <cell r="C135">
            <v>3.0018815692336921E-2</v>
          </cell>
          <cell r="F135">
            <v>8.4509075095197637E-3</v>
          </cell>
          <cell r="G135">
            <v>1.864379831240106E-2</v>
          </cell>
          <cell r="H135">
            <v>8.2257846729030561E-3</v>
          </cell>
          <cell r="I135">
            <v>-8.9288896184721283E-3</v>
          </cell>
        </row>
        <row r="136">
          <cell r="A136">
            <v>41456</v>
          </cell>
          <cell r="B136">
            <v>5.0386066825862129E-2</v>
          </cell>
          <cell r="C136">
            <v>6.2600037934992706E-2</v>
          </cell>
          <cell r="F136">
            <v>-4.6718772956767327E-3</v>
          </cell>
          <cell r="G136">
            <v>-1.5295859344960876E-2</v>
          </cell>
          <cell r="H136">
            <v>2.1766430283560859E-2</v>
          </cell>
          <cell r="I136">
            <v>-2.6652367865186946E-2</v>
          </cell>
        </row>
        <row r="137">
          <cell r="A137">
            <v>41487</v>
          </cell>
          <cell r="B137">
            <v>-3.0451293131387565E-2</v>
          </cell>
          <cell r="C137">
            <v>2.5687274559438564E-2</v>
          </cell>
          <cell r="F137">
            <v>-5.5454360670213719E-3</v>
          </cell>
          <cell r="G137">
            <v>3.7098944833011585E-2</v>
          </cell>
          <cell r="H137">
            <v>2.7818948816240403E-3</v>
          </cell>
          <cell r="I137">
            <v>-5.8814672931020691E-3</v>
          </cell>
        </row>
        <row r="138">
          <cell r="A138">
            <v>41518</v>
          </cell>
          <cell r="B138">
            <v>3.1156271217842636E-2</v>
          </cell>
          <cell r="C138">
            <v>4.271853352354326E-2</v>
          </cell>
          <cell r="F138">
            <v>-1.1362589132228687E-2</v>
          </cell>
          <cell r="G138">
            <v>6.695969945125127E-3</v>
          </cell>
          <cell r="H138">
            <v>2.4029239055914524E-2</v>
          </cell>
          <cell r="I138">
            <v>-2.5010337846288627E-2</v>
          </cell>
        </row>
        <row r="139">
          <cell r="A139">
            <v>41548</v>
          </cell>
          <cell r="B139">
            <v>4.5265907890214986E-2</v>
          </cell>
          <cell r="C139">
            <v>3.1895853535162097E-2</v>
          </cell>
          <cell r="F139">
            <v>7.9384439573847148E-3</v>
          </cell>
          <cell r="G139">
            <v>8.7705908782456151E-3</v>
          </cell>
          <cell r="H139">
            <v>-3.4585024641157359E-3</v>
          </cell>
          <cell r="I139">
            <v>1.6917837140625804E-4</v>
          </cell>
        </row>
        <row r="140">
          <cell r="A140">
            <v>41579</v>
          </cell>
          <cell r="B140">
            <v>2.920710217632325E-2</v>
          </cell>
          <cell r="C140">
            <v>6.5036453962394089E-2</v>
          </cell>
          <cell r="F140">
            <v>6.0399916583899569E-3</v>
          </cell>
          <cell r="G140">
            <v>1.4464837081395749E-2</v>
          </cell>
          <cell r="H140">
            <v>-4.9038568950418963E-3</v>
          </cell>
          <cell r="I140">
            <v>-1.3050836595594313E-2</v>
          </cell>
        </row>
        <row r="141">
          <cell r="A141">
            <v>41609</v>
          </cell>
          <cell r="B141">
            <v>2.5596487779456702E-2</v>
          </cell>
          <cell r="C141">
            <v>7.4478869860950016E-3</v>
          </cell>
          <cell r="F141">
            <v>1.7092852679268359E-2</v>
          </cell>
          <cell r="G141">
            <v>-1.9929216336758784E-2</v>
          </cell>
          <cell r="H141">
            <v>-3.3168428079503876E-4</v>
          </cell>
          <cell r="I141">
            <v>-1.1783673687023415E-2</v>
          </cell>
        </row>
        <row r="142">
          <cell r="A142">
            <v>41640</v>
          </cell>
          <cell r="B142">
            <v>-3.5884832374277587E-2</v>
          </cell>
          <cell r="C142">
            <v>-5.7606663173614812E-2</v>
          </cell>
          <cell r="F142">
            <v>-2.5543672746040948E-2</v>
          </cell>
          <cell r="G142">
            <v>1.3855692819023779E-2</v>
          </cell>
          <cell r="H142">
            <v>-6.3551146934423533E-3</v>
          </cell>
          <cell r="I142">
            <v>7.0442276873245637E-3</v>
          </cell>
        </row>
        <row r="143">
          <cell r="A143">
            <v>41671</v>
          </cell>
          <cell r="B143">
            <v>4.4510681913880017E-2</v>
          </cell>
          <cell r="C143">
            <v>5.2038071955602172E-2</v>
          </cell>
          <cell r="F143">
            <v>7.43543068712804E-3</v>
          </cell>
          <cell r="G143">
            <v>2.0189452425049874E-2</v>
          </cell>
          <cell r="H143">
            <v>8.3832583804043254E-3</v>
          </cell>
          <cell r="I143">
            <v>-1.1303611344157445E-2</v>
          </cell>
        </row>
        <row r="144">
          <cell r="A144">
            <v>41699</v>
          </cell>
          <cell r="B144">
            <v>8.261260744244877E-3</v>
          </cell>
          <cell r="C144">
            <v>4.6308562504127123E-3</v>
          </cell>
          <cell r="F144">
            <v>4.3409963714916332E-3</v>
          </cell>
          <cell r="G144">
            <v>8.0059352866194301E-3</v>
          </cell>
          <cell r="H144">
            <v>1.0519160187812208E-2</v>
          </cell>
          <cell r="I144">
            <v>-2.2569149314126617E-2</v>
          </cell>
        </row>
        <row r="145">
          <cell r="A145">
            <v>41730</v>
          </cell>
          <cell r="B145">
            <v>6.9271787675743383E-3</v>
          </cell>
          <cell r="C145">
            <v>-9.0872182205124809E-3</v>
          </cell>
          <cell r="F145">
            <v>2.2328598019322244E-3</v>
          </cell>
          <cell r="G145">
            <v>6.95412991192133E-3</v>
          </cell>
          <cell r="H145">
            <v>-1.438041450549481E-2</v>
          </cell>
          <cell r="I145">
            <v>2.6613784614609092E-3</v>
          </cell>
        </row>
        <row r="146">
          <cell r="A146">
            <v>41760</v>
          </cell>
          <cell r="B146">
            <v>2.2940834571251054E-2</v>
          </cell>
          <cell r="C146">
            <v>-8.4663293622192735E-3</v>
          </cell>
          <cell r="F146">
            <v>1.8595814523711462E-2</v>
          </cell>
          <cell r="G146">
            <v>1.6257243407320737E-2</v>
          </cell>
          <cell r="H146">
            <v>-2.2860627922248302E-3</v>
          </cell>
          <cell r="I146">
            <v>1.1206014391874592E-2</v>
          </cell>
        </row>
        <row r="147">
          <cell r="A147">
            <v>41791</v>
          </cell>
          <cell r="B147">
            <v>2.043521183378955E-2</v>
          </cell>
          <cell r="C147">
            <v>3.9341876036557089E-2</v>
          </cell>
          <cell r="F147">
            <v>-1.1232785605316427E-3</v>
          </cell>
          <cell r="G147">
            <v>1.5267166968324891E-2</v>
          </cell>
          <cell r="H147">
            <v>1.3916117027030609E-2</v>
          </cell>
          <cell r="I147">
            <v>-1.9664099111772634E-2</v>
          </cell>
        </row>
        <row r="148">
          <cell r="A148">
            <v>41821</v>
          </cell>
          <cell r="B148">
            <v>-1.3528792451361432E-2</v>
          </cell>
          <cell r="C148">
            <v>-5.8028469728762938E-3</v>
          </cell>
          <cell r="F148">
            <v>-2.6120281980454192E-2</v>
          </cell>
          <cell r="G148">
            <v>-1.1774896057303023E-2</v>
          </cell>
          <cell r="H148">
            <v>2.6530085799202916E-3</v>
          </cell>
          <cell r="I148">
            <v>-4.3185877921053002E-3</v>
          </cell>
        </row>
        <row r="149">
          <cell r="A149">
            <v>41852</v>
          </cell>
          <cell r="B149">
            <v>3.8704364068411844E-2</v>
          </cell>
          <cell r="C149">
            <v>6.9526367160309653E-3</v>
          </cell>
          <cell r="F149">
            <v>6.0468037390451366E-3</v>
          </cell>
          <cell r="G149">
            <v>2.0451193254643462E-2</v>
          </cell>
          <cell r="H149">
            <v>-1.0726187139792566E-2</v>
          </cell>
          <cell r="I149">
            <v>1.8217794169746691E-2</v>
          </cell>
        </row>
        <row r="150">
          <cell r="A150">
            <v>41883</v>
          </cell>
          <cell r="B150">
            <v>-1.3891926239782942E-2</v>
          </cell>
          <cell r="C150">
            <v>3.1456303691018588E-2</v>
          </cell>
          <cell r="F150">
            <v>-1.0752948847443551E-2</v>
          </cell>
          <cell r="G150">
            <v>1.3245867480256876E-2</v>
          </cell>
          <cell r="H150">
            <v>-5.9782044308948935E-4</v>
          </cell>
          <cell r="I150">
            <v>-2.5572545522358669E-2</v>
          </cell>
        </row>
        <row r="151">
          <cell r="A151">
            <v>41913</v>
          </cell>
          <cell r="B151">
            <v>2.3277772503548649E-2</v>
          </cell>
          <cell r="C151">
            <v>-5.3641503951176707E-2</v>
          </cell>
          <cell r="F151">
            <v>3.8364168342994921E-2</v>
          </cell>
          <cell r="G151">
            <v>-1.0759754881652915E-2</v>
          </cell>
          <cell r="H151">
            <v>-1.9269004824749494E-2</v>
          </cell>
          <cell r="I151">
            <v>2.8717355282347038E-2</v>
          </cell>
        </row>
        <row r="152">
          <cell r="A152">
            <v>41944</v>
          </cell>
          <cell r="B152">
            <v>2.7101695451126152E-2</v>
          </cell>
          <cell r="C152">
            <v>1.5051388749237574E-2</v>
          </cell>
          <cell r="F152">
            <v>2.5129710988590682E-3</v>
          </cell>
          <cell r="G152">
            <v>1.9705352742763683E-2</v>
          </cell>
          <cell r="H152">
            <v>8.2962181322684646E-3</v>
          </cell>
          <cell r="I152">
            <v>6.6192653478077254E-3</v>
          </cell>
        </row>
        <row r="153">
          <cell r="A153">
            <v>41974</v>
          </cell>
          <cell r="B153">
            <v>-2.5400820762295131E-3</v>
          </cell>
          <cell r="C153">
            <v>-2.7266995987417945E-2</v>
          </cell>
          <cell r="F153">
            <v>-4.7567984747656725E-3</v>
          </cell>
          <cell r="G153">
            <v>2.5119777857141711E-3</v>
          </cell>
          <cell r="H153">
            <v>3.8531815807434262E-3</v>
          </cell>
          <cell r="I153">
            <v>-9.2316654151431577E-3</v>
          </cell>
        </row>
        <row r="154">
          <cell r="A154">
            <v>42005</v>
          </cell>
          <cell r="B154">
            <v>-3.0077138355879652E-2</v>
          </cell>
          <cell r="C154">
            <v>-7.0699789050467129E-2</v>
          </cell>
          <cell r="F154">
            <v>-2.7300373913802391E-2</v>
          </cell>
          <cell r="G154">
            <v>2.5711127852013214E-2</v>
          </cell>
          <cell r="H154">
            <v>1.7496835100417746E-3</v>
          </cell>
          <cell r="I154">
            <v>2.9191989193135804E-2</v>
          </cell>
        </row>
        <row r="155">
          <cell r="A155">
            <v>42036</v>
          </cell>
          <cell r="B155">
            <v>5.4682108409737744E-2</v>
          </cell>
          <cell r="C155">
            <v>0.13259843447997532</v>
          </cell>
          <cell r="F155">
            <v>-2.6072343328967431E-3</v>
          </cell>
          <cell r="G155">
            <v>1.1961143697534623E-2</v>
          </cell>
          <cell r="H155">
            <v>3.012602647126322E-2</v>
          </cell>
          <cell r="I155">
            <v>-5.2368750151624968E-2</v>
          </cell>
        </row>
        <row r="156">
          <cell r="A156">
            <v>42064</v>
          </cell>
          <cell r="B156">
            <v>-1.5830436461085864E-2</v>
          </cell>
          <cell r="C156">
            <v>-1.3851110603715921E-2</v>
          </cell>
          <cell r="F156">
            <v>-1.9096523008057423E-2</v>
          </cell>
          <cell r="G156">
            <v>-6.2547408141788701E-3</v>
          </cell>
          <cell r="H156">
            <v>-1.5114157304979031E-2</v>
          </cell>
          <cell r="I156">
            <v>-4.5724602445418344E-2</v>
          </cell>
        </row>
        <row r="157">
          <cell r="A157">
            <v>42095</v>
          </cell>
          <cell r="B157">
            <v>9.7858249923448888E-3</v>
          </cell>
          <cell r="C157">
            <v>4.1038420983999575E-2</v>
          </cell>
          <cell r="F157">
            <v>-1.0355893863015015E-2</v>
          </cell>
          <cell r="G157">
            <v>-1.3955240408851044E-2</v>
          </cell>
          <cell r="H157">
            <v>7.4805965369962634E-3</v>
          </cell>
          <cell r="I157">
            <v>5.4520331312920417E-3</v>
          </cell>
        </row>
        <row r="158">
          <cell r="A158">
            <v>42125</v>
          </cell>
          <cell r="B158">
            <v>1.2774392163248202E-2</v>
          </cell>
          <cell r="C158">
            <v>6.7319854623018691E-2</v>
          </cell>
          <cell r="F158">
            <v>-1.111529005607859E-2</v>
          </cell>
          <cell r="G158">
            <v>1.9420032067166186E-2</v>
          </cell>
          <cell r="H158">
            <v>1.9650585500238949E-3</v>
          </cell>
          <cell r="I158">
            <v>-2.8339030536422463E-2</v>
          </cell>
        </row>
        <row r="159">
          <cell r="A159">
            <v>42156</v>
          </cell>
          <cell r="B159">
            <v>-2.0521157444240472E-2</v>
          </cell>
          <cell r="C159">
            <v>3.1163276315692066E-2</v>
          </cell>
          <cell r="F159">
            <v>-2.3809079336050955E-2</v>
          </cell>
          <cell r="G159">
            <v>-1.3697034469442378E-2</v>
          </cell>
          <cell r="H159">
            <v>-6.5098595877133691E-3</v>
          </cell>
          <cell r="I159">
            <v>-4.0381752071421091E-2</v>
          </cell>
        </row>
        <row r="160">
          <cell r="A160">
            <v>42186</v>
          </cell>
          <cell r="B160">
            <v>2.2337821735104964E-2</v>
          </cell>
          <cell r="C160">
            <v>6.2088838354534184E-3</v>
          </cell>
          <cell r="F160">
            <v>-4.1244751796122416E-3</v>
          </cell>
          <cell r="G160">
            <v>2.4203098919391156E-2</v>
          </cell>
          <cell r="H160">
            <v>-6.4332078092742412E-3</v>
          </cell>
          <cell r="I160">
            <v>2.6005983252300129E-2</v>
          </cell>
        </row>
        <row r="161">
          <cell r="A161">
            <v>42217</v>
          </cell>
          <cell r="B161">
            <v>-6.2887021100616863E-2</v>
          </cell>
          <cell r="C161">
            <v>-9.5354494814687524E-2</v>
          </cell>
          <cell r="F161">
            <v>-8.0953972423731917E-4</v>
          </cell>
          <cell r="G161">
            <v>-4.0195584245480739E-2</v>
          </cell>
          <cell r="H161">
            <v>-1.218806252468007E-2</v>
          </cell>
          <cell r="I161">
            <v>1.6845244317525061E-2</v>
          </cell>
        </row>
        <row r="162">
          <cell r="A162">
            <v>42248</v>
          </cell>
          <cell r="B162">
            <v>-2.5846755755736188E-2</v>
          </cell>
          <cell r="C162">
            <v>-1.9148062031934934E-2</v>
          </cell>
          <cell r="F162">
            <v>-1.1827538096814309E-2</v>
          </cell>
          <cell r="G162">
            <v>1.4348772094628426E-2</v>
          </cell>
          <cell r="H162">
            <v>-1.2148979169161432E-3</v>
          </cell>
          <cell r="I162">
            <v>-2.3722182186536999E-3</v>
          </cell>
        </row>
        <row r="163">
          <cell r="A163">
            <v>42278</v>
          </cell>
          <cell r="B163">
            <v>8.1634835094434213E-2</v>
          </cell>
          <cell r="C163">
            <v>4.5764314759900657E-2</v>
          </cell>
          <cell r="F163">
            <v>2.9676485496842271E-2</v>
          </cell>
          <cell r="G163">
            <v>-1.0290644709048386E-2</v>
          </cell>
          <cell r="H163">
            <v>3.9796415105877808E-2</v>
          </cell>
          <cell r="I163">
            <v>-2.3874349834909535E-3</v>
          </cell>
        </row>
        <row r="164">
          <cell r="A164">
            <v>42309</v>
          </cell>
          <cell r="B164">
            <v>3.648361957249417E-3</v>
          </cell>
          <cell r="C164">
            <v>2.3597157568039928E-2</v>
          </cell>
          <cell r="F164">
            <v>-2.9665905124825896E-3</v>
          </cell>
          <cell r="G164">
            <v>8.267848881129353E-3</v>
          </cell>
          <cell r="H164">
            <v>1.0096481605360821E-2</v>
          </cell>
          <cell r="I164">
            <v>-2.9093910193103013E-2</v>
          </cell>
        </row>
        <row r="165">
          <cell r="A165">
            <v>42339</v>
          </cell>
          <cell r="B165">
            <v>-1.743370093820662E-2</v>
          </cell>
          <cell r="C165">
            <v>-4.4707882553118451E-2</v>
          </cell>
          <cell r="F165">
            <v>1.0849372007947153E-2</v>
          </cell>
          <cell r="G165">
            <v>-1.9401296744545181E-2</v>
          </cell>
          <cell r="H165">
            <v>-1.630539501814232E-3</v>
          </cell>
          <cell r="I165">
            <v>4.5852252758560568E-3</v>
          </cell>
        </row>
        <row r="166">
          <cell r="A166">
            <v>42370</v>
          </cell>
          <cell r="B166">
            <v>-5.1068365604597682E-2</v>
          </cell>
          <cell r="C166">
            <v>-0.12708483565857864</v>
          </cell>
          <cell r="F166">
            <v>3.188894838207746E-2</v>
          </cell>
          <cell r="G166">
            <v>1.0105922903692464E-2</v>
          </cell>
          <cell r="H166">
            <v>-6.0403551011066689E-2</v>
          </cell>
          <cell r="I166">
            <v>2.2793802983429749E-2</v>
          </cell>
        </row>
        <row r="167">
          <cell r="A167">
            <v>42401</v>
          </cell>
          <cell r="B167">
            <v>-8.265477497735995E-4</v>
          </cell>
          <cell r="C167">
            <v>-2.4630094461810949E-2</v>
          </cell>
          <cell r="F167">
            <v>-6.2834807253695224E-3</v>
          </cell>
          <cell r="G167">
            <v>3.0568033501985562E-4</v>
          </cell>
          <cell r="H167">
            <v>-3.0237971810202546E-2</v>
          </cell>
          <cell r="I167">
            <v>1.2987459620864941E-2</v>
          </cell>
        </row>
        <row r="168">
          <cell r="A168">
            <v>42430</v>
          </cell>
          <cell r="B168">
            <v>6.5100358621374935E-2</v>
          </cell>
          <cell r="C168">
            <v>8.1528112627579211E-2</v>
          </cell>
          <cell r="F168">
            <v>4.1443983419311662E-3</v>
          </cell>
          <cell r="G168">
            <v>1.9638438478543303E-2</v>
          </cell>
          <cell r="H168">
            <v>3.5675768355258639E-2</v>
          </cell>
          <cell r="I168">
            <v>-1.6753935858302635E-2</v>
          </cell>
        </row>
        <row r="169">
          <cell r="A169">
            <v>42461</v>
          </cell>
          <cell r="B169">
            <v>3.9337100574622988E-3</v>
          </cell>
          <cell r="C169">
            <v>2.9387086846344723E-2</v>
          </cell>
          <cell r="F169">
            <v>-1.2713565067709653E-2</v>
          </cell>
          <cell r="G169">
            <v>5.3476681887368515E-3</v>
          </cell>
          <cell r="H169">
            <v>-7.6686592498916486E-3</v>
          </cell>
          <cell r="I169">
            <v>1.9074627177344435E-2</v>
          </cell>
        </row>
        <row r="170">
          <cell r="A170">
            <v>42491</v>
          </cell>
          <cell r="B170">
            <v>1.6868509998657973E-2</v>
          </cell>
          <cell r="C170">
            <v>-1.2024554832864567E-2</v>
          </cell>
          <cell r="F170">
            <v>2.0948069375832098E-2</v>
          </cell>
          <cell r="G170">
            <v>7.6827314718135899E-5</v>
          </cell>
          <cell r="H170">
            <v>-2.9612319408264189E-3</v>
          </cell>
          <cell r="I170">
            <v>1.0247475125201449E-2</v>
          </cell>
        </row>
        <row r="171">
          <cell r="A171">
            <v>42522</v>
          </cell>
          <cell r="B171">
            <v>3.4697405015064482E-3</v>
          </cell>
          <cell r="C171">
            <v>-2.9197546727335398E-2</v>
          </cell>
          <cell r="F171">
            <v>4.976979285724251E-3</v>
          </cell>
          <cell r="G171">
            <v>3.9352526260214987E-2</v>
          </cell>
          <cell r="H171">
            <v>8.7301279673830338E-3</v>
          </cell>
          <cell r="I171">
            <v>2.0324502796659233E-2</v>
          </cell>
        </row>
        <row r="172">
          <cell r="A172">
            <v>42552</v>
          </cell>
          <cell r="B172">
            <v>3.5821892100057956E-2</v>
          </cell>
          <cell r="C172">
            <v>3.5256291593103631E-2</v>
          </cell>
          <cell r="F172">
            <v>-5.5268728358230418E-4</v>
          </cell>
          <cell r="G172">
            <v>1.9689017932577588E-2</v>
          </cell>
          <cell r="H172">
            <v>1.5018996527943824E-2</v>
          </cell>
          <cell r="I172">
            <v>3.5115431920828666E-2</v>
          </cell>
        </row>
        <row r="173">
          <cell r="A173">
            <v>42583</v>
          </cell>
          <cell r="B173">
            <v>1.1966006816287217E-3</v>
          </cell>
          <cell r="C173">
            <v>2.5032391343864535E-2</v>
          </cell>
          <cell r="F173">
            <v>-5.3220209762647325E-3</v>
          </cell>
          <cell r="G173">
            <v>8.3282518549924311E-3</v>
          </cell>
          <cell r="H173">
            <v>4.8704118484129422E-3</v>
          </cell>
          <cell r="I173">
            <v>-2.3645232989533856E-2</v>
          </cell>
        </row>
        <row r="174">
          <cell r="A174">
            <v>42614</v>
          </cell>
          <cell r="B174">
            <v>5.8191036300418372E-5</v>
          </cell>
          <cell r="C174">
            <v>2.3398742123623018E-2</v>
          </cell>
          <cell r="F174">
            <v>-4.0601919171954588E-3</v>
          </cell>
          <cell r="G174">
            <v>4.0808867090001873E-3</v>
          </cell>
          <cell r="H174">
            <v>5.1849225185599795E-3</v>
          </cell>
          <cell r="I174">
            <v>-1.316546767368266E-2</v>
          </cell>
        </row>
        <row r="175">
          <cell r="A175">
            <v>42644</v>
          </cell>
          <cell r="B175">
            <v>-1.7489130032062299E-2</v>
          </cell>
          <cell r="C175">
            <v>1.843763743408789E-2</v>
          </cell>
          <cell r="F175">
            <v>-6.7053655742064381E-3</v>
          </cell>
          <cell r="G175">
            <v>-1.5573498428369751E-2</v>
          </cell>
          <cell r="H175">
            <v>-5.8423243318304618E-3</v>
          </cell>
          <cell r="I175">
            <v>-2.4656305720586889E-2</v>
          </cell>
        </row>
        <row r="176">
          <cell r="A176">
            <v>42675</v>
          </cell>
          <cell r="B176">
            <v>3.6175994356268053E-2</v>
          </cell>
          <cell r="C176">
            <v>0.11329938214783186</v>
          </cell>
          <cell r="F176">
            <v>1.0441599245473053E-3</v>
          </cell>
          <cell r="G176">
            <v>-7.5402400104568456E-3</v>
          </cell>
          <cell r="H176">
            <v>2.8189828397028917E-3</v>
          </cell>
          <cell r="I176">
            <v>-2.9048933488651837E-3</v>
          </cell>
        </row>
        <row r="177">
          <cell r="A177">
            <v>42705</v>
          </cell>
          <cell r="B177">
            <v>2.0069241756526267E-2</v>
          </cell>
          <cell r="C177">
            <v>4.4029438272317506E-2</v>
          </cell>
          <cell r="F177">
            <v>-9.971155425087027E-3</v>
          </cell>
          <cell r="G177">
            <v>9.3525906063315466E-3</v>
          </cell>
          <cell r="H177">
            <v>1.8967827059699439E-2</v>
          </cell>
          <cell r="I177">
            <v>3.3527236108205506E-3</v>
          </cell>
        </row>
        <row r="178">
          <cell r="A178">
            <v>42736</v>
          </cell>
          <cell r="B178">
            <v>1.7736630525470413E-2</v>
          </cell>
          <cell r="C178">
            <v>8.1874755330735641E-3</v>
          </cell>
          <cell r="F178">
            <v>-3.0726771553304309E-4</v>
          </cell>
          <cell r="G178">
            <v>-1.7469124949815538E-3</v>
          </cell>
          <cell r="H178">
            <v>1.3022385186892627E-2</v>
          </cell>
          <cell r="I178">
            <v>2.2411345145951694E-2</v>
          </cell>
        </row>
        <row r="179">
          <cell r="A179">
            <v>42767</v>
          </cell>
          <cell r="B179">
            <v>3.8538919433910968E-2</v>
          </cell>
          <cell r="C179">
            <v>3.3829412028939944E-2</v>
          </cell>
          <cell r="F179">
            <v>8.0374333251261249E-4</v>
          </cell>
          <cell r="G179">
            <v>1.1815673385502639E-2</v>
          </cell>
          <cell r="H179">
            <v>6.177626594760793E-3</v>
          </cell>
          <cell r="I179">
            <v>6.313412803153901E-3</v>
          </cell>
        </row>
        <row r="180">
          <cell r="A180">
            <v>42795</v>
          </cell>
          <cell r="B180">
            <v>1.2491492693997353E-3</v>
          </cell>
          <cell r="C180">
            <v>3.9922140618984803E-3</v>
          </cell>
          <cell r="F180">
            <v>8.5629368577621219E-3</v>
          </cell>
          <cell r="G180">
            <v>4.7337774498800505E-3</v>
          </cell>
          <cell r="H180">
            <v>2.2389316731830419E-3</v>
          </cell>
          <cell r="I180">
            <v>-2.5725897024647941E-2</v>
          </cell>
        </row>
        <row r="181">
          <cell r="A181">
            <v>42826</v>
          </cell>
          <cell r="B181">
            <v>9.8773929442588729E-3</v>
          </cell>
          <cell r="C181">
            <v>-1.4290845438842705E-2</v>
          </cell>
          <cell r="F181">
            <v>3.8296605534574131E-3</v>
          </cell>
          <cell r="G181">
            <v>-4.7292438397868088E-3</v>
          </cell>
          <cell r="H181">
            <v>-2.2934516881969926E-3</v>
          </cell>
          <cell r="I181">
            <v>2.1143068773714904E-3</v>
          </cell>
        </row>
        <row r="182">
          <cell r="A182">
            <v>42856</v>
          </cell>
          <cell r="B182">
            <v>1.4014317538461586E-2</v>
          </cell>
          <cell r="C182">
            <v>-1.2174791707059551E-2</v>
          </cell>
          <cell r="F182">
            <v>1.3048463036209022E-2</v>
          </cell>
          <cell r="G182">
            <v>5.5622347575965247E-3</v>
          </cell>
          <cell r="H182">
            <v>6.7812919234909548E-3</v>
          </cell>
          <cell r="I182">
            <v>-6.6150014584280652E-3</v>
          </cell>
        </row>
        <row r="183">
          <cell r="A183">
            <v>42887</v>
          </cell>
          <cell r="B183">
            <v>6.3545861267207517E-3</v>
          </cell>
          <cell r="C183">
            <v>-1.6101415999681234E-2</v>
          </cell>
          <cell r="F183">
            <v>-4.7446716389456332E-3</v>
          </cell>
          <cell r="G183">
            <v>-1.931330464486547E-2</v>
          </cell>
          <cell r="H183">
            <v>9.1528318163321392E-3</v>
          </cell>
          <cell r="I183">
            <v>6.2874723135301919E-3</v>
          </cell>
        </row>
        <row r="184">
          <cell r="A184">
            <v>42917</v>
          </cell>
          <cell r="B184">
            <v>2.0345845083848145E-2</v>
          </cell>
          <cell r="C184">
            <v>1.7845544606009206E-2</v>
          </cell>
          <cell r="F184">
            <v>-2.027021590706975E-4</v>
          </cell>
          <cell r="G184">
            <v>-9.3082848650070573E-3</v>
          </cell>
          <cell r="H184">
            <v>2.3545168863634497E-3</v>
          </cell>
          <cell r="I184">
            <v>-1.5838213840254231E-2</v>
          </cell>
        </row>
        <row r="185">
          <cell r="A185">
            <v>42948</v>
          </cell>
          <cell r="B185">
            <v>2.9134528973781262E-3</v>
          </cell>
          <cell r="C185">
            <v>-4.1009972453845592E-2</v>
          </cell>
          <cell r="F185">
            <v>1.8720414788120646E-2</v>
          </cell>
          <cell r="G185">
            <v>8.3160340593675108E-3</v>
          </cell>
          <cell r="H185">
            <v>4.4476018160733407E-3</v>
          </cell>
          <cell r="I185">
            <v>1.0440815111997317E-2</v>
          </cell>
        </row>
        <row r="186">
          <cell r="A186">
            <v>42979</v>
          </cell>
          <cell r="B186">
            <v>1.9949065315565978E-2</v>
          </cell>
          <cell r="C186">
            <v>2.4825683207458794E-2</v>
          </cell>
          <cell r="F186">
            <v>7.1503780901424818E-3</v>
          </cell>
          <cell r="G186">
            <v>-1.1476065359011158E-2</v>
          </cell>
          <cell r="H186">
            <v>-3.6838284491937236E-3</v>
          </cell>
          <cell r="I186">
            <v>9.9175769496123098E-3</v>
          </cell>
        </row>
        <row r="187">
          <cell r="A187">
            <v>43009</v>
          </cell>
          <cell r="B187">
            <v>2.3290794499632155E-2</v>
          </cell>
          <cell r="C187">
            <v>2.7384725407794141E-2</v>
          </cell>
          <cell r="F187">
            <v>1.5569506471131917E-4</v>
          </cell>
          <cell r="G187">
            <v>3.8642134794598494E-3</v>
          </cell>
          <cell r="H187">
            <v>1.2421072327983434E-2</v>
          </cell>
          <cell r="I187">
            <v>-7.4003364513960937E-3</v>
          </cell>
        </row>
        <row r="188">
          <cell r="A188">
            <v>43040</v>
          </cell>
          <cell r="B188">
            <v>3.0108033419569857E-2</v>
          </cell>
          <cell r="C188">
            <v>-9.2851896473847284E-3</v>
          </cell>
          <cell r="F188">
            <v>1.9124491699953942E-2</v>
          </cell>
          <cell r="G188">
            <v>-1.2864800095172853E-2</v>
          </cell>
          <cell r="H188">
            <v>5.8935784243084929E-3</v>
          </cell>
          <cell r="I188">
            <v>1.9478850220005867E-2</v>
          </cell>
        </row>
        <row r="189">
          <cell r="A189">
            <v>43070</v>
          </cell>
          <cell r="B189">
            <v>1.2054926300833912E-2</v>
          </cell>
          <cell r="C189">
            <v>1.4761218569910816E-2</v>
          </cell>
          <cell r="F189">
            <v>-2.6943650722405415E-3</v>
          </cell>
          <cell r="G189">
            <v>1.797561517747976E-2</v>
          </cell>
          <cell r="H189">
            <v>-3.5535092876116834E-3</v>
          </cell>
          <cell r="I189">
            <v>1.4431380571680936E-2</v>
          </cell>
        </row>
        <row r="190">
          <cell r="A190">
            <v>43101</v>
          </cell>
          <cell r="B190">
            <v>5.4828271854461215E-2</v>
          </cell>
          <cell r="C190">
            <v>8.489099216019512E-2</v>
          </cell>
          <cell r="F190">
            <v>-4.9188412320792449E-3</v>
          </cell>
          <cell r="G190">
            <v>-7.953068046105842E-3</v>
          </cell>
          <cell r="H190">
            <v>2.611185060363698E-2</v>
          </cell>
          <cell r="I190">
            <v>-9.7429498527237257E-3</v>
          </cell>
        </row>
        <row r="191">
          <cell r="A191">
            <v>43132</v>
          </cell>
          <cell r="B191">
            <v>-3.7037849864770427E-2</v>
          </cell>
          <cell r="C191">
            <v>3.3142235625002285E-3</v>
          </cell>
          <cell r="F191">
            <v>4.612206093618048E-3</v>
          </cell>
          <cell r="G191">
            <v>1.4077719218767796E-2</v>
          </cell>
          <cell r="H191">
            <v>-5.1797452432327633E-2</v>
          </cell>
          <cell r="I191">
            <v>-3.0297480730135874E-2</v>
          </cell>
        </row>
        <row r="192">
          <cell r="A192">
            <v>43160</v>
          </cell>
          <cell r="B192">
            <v>-2.7793433573292677E-2</v>
          </cell>
          <cell r="C192">
            <v>-5.2935112321216594E-3</v>
          </cell>
          <cell r="F192">
            <v>-2.7289331721891623E-2</v>
          </cell>
          <cell r="G192">
            <v>2.3406021679418101E-2</v>
          </cell>
          <cell r="H192">
            <v>4.1509370241881328E-3</v>
          </cell>
          <cell r="I192">
            <v>-4.2362346869143676E-3</v>
          </cell>
        </row>
        <row r="193">
          <cell r="A193">
            <v>43191</v>
          </cell>
          <cell r="B193">
            <v>5.155135816983761E-3</v>
          </cell>
          <cell r="C193">
            <v>3.9553379733160809E-2</v>
          </cell>
          <cell r="F193">
            <v>-7.907851804735291E-3</v>
          </cell>
          <cell r="G193">
            <v>5.3875995769281076E-3</v>
          </cell>
          <cell r="H193">
            <v>-1.3120120457373973E-2</v>
          </cell>
          <cell r="I193">
            <v>-4.4493660091164625E-3</v>
          </cell>
        </row>
        <row r="194">
          <cell r="A194">
            <v>43221</v>
          </cell>
          <cell r="B194">
            <v>2.4018339830640102E-2</v>
          </cell>
          <cell r="C194">
            <v>4.622878211369133E-2</v>
          </cell>
          <cell r="F194">
            <v>-8.9288138674606353E-3</v>
          </cell>
          <cell r="G194">
            <v>3.3127622359462053E-2</v>
          </cell>
          <cell r="H194">
            <v>9.0696994359868478E-3</v>
          </cell>
          <cell r="I194">
            <v>-3.1973625113052581E-4</v>
          </cell>
        </row>
        <row r="195">
          <cell r="A195">
            <v>43252</v>
          </cell>
          <cell r="B195">
            <v>5.7342135862078081E-3</v>
          </cell>
          <cell r="C195">
            <v>1.9890913306014949E-2</v>
          </cell>
          <cell r="F195">
            <v>-1.0852293153218664E-2</v>
          </cell>
          <cell r="G195">
            <v>9.7416301856381483E-3</v>
          </cell>
          <cell r="H195">
            <v>2.3455087543905965E-2</v>
          </cell>
          <cell r="I195">
            <v>-8.7115890843291292E-3</v>
          </cell>
        </row>
        <row r="196">
          <cell r="A196">
            <v>43282</v>
          </cell>
          <cell r="B196">
            <v>3.6376741452448347E-2</v>
          </cell>
          <cell r="C196">
            <v>5.0424260444974993E-2</v>
          </cell>
          <cell r="F196">
            <v>4.0243726201898361E-3</v>
          </cell>
          <cell r="G196">
            <v>3.5988725289574108E-3</v>
          </cell>
          <cell r="H196">
            <v>2.4109842838069995E-2</v>
          </cell>
          <cell r="I196">
            <v>4.2316357374993256E-3</v>
          </cell>
        </row>
        <row r="197">
          <cell r="A197">
            <v>43313</v>
          </cell>
          <cell r="B197">
            <v>3.1421186958409397E-2</v>
          </cell>
          <cell r="C197">
            <v>1.4811586670283932E-3</v>
          </cell>
          <cell r="F197">
            <v>1.3769505626484929E-2</v>
          </cell>
          <cell r="G197">
            <v>-3.1356211291794739E-3</v>
          </cell>
          <cell r="H197">
            <v>1.499390366819545E-2</v>
          </cell>
          <cell r="I197">
            <v>-6.4092701862888662E-3</v>
          </cell>
        </row>
        <row r="198">
          <cell r="A198">
            <v>43344</v>
          </cell>
          <cell r="B198">
            <v>5.927802348534324E-3</v>
          </cell>
          <cell r="C198">
            <v>4.003650712396669E-2</v>
          </cell>
          <cell r="F198">
            <v>-1.0316341066677899E-3</v>
          </cell>
          <cell r="G198">
            <v>4.0162620680217831E-3</v>
          </cell>
          <cell r="H198">
            <v>-7.6417809972011853E-3</v>
          </cell>
          <cell r="I198">
            <v>-9.638032562270242E-3</v>
          </cell>
        </row>
        <row r="199">
          <cell r="A199">
            <v>43374</v>
          </cell>
          <cell r="B199">
            <v>-7.1608176933506767E-2</v>
          </cell>
          <cell r="C199">
            <v>-2.2454685946034773E-2</v>
          </cell>
          <cell r="F199">
            <v>-2.0553717379581858E-2</v>
          </cell>
          <cell r="G199">
            <v>-1.143701118667192E-3</v>
          </cell>
          <cell r="H199">
            <v>-1.0025517699890484E-2</v>
          </cell>
          <cell r="I199">
            <v>-3.4509257523105241E-2</v>
          </cell>
        </row>
        <row r="200">
          <cell r="A200">
            <v>43405</v>
          </cell>
          <cell r="B200">
            <v>1.8379691391875903E-2</v>
          </cell>
          <cell r="C200">
            <v>-3.5969844062635793E-2</v>
          </cell>
          <cell r="F200">
            <v>3.9326840232530066E-2</v>
          </cell>
          <cell r="G200">
            <v>2.6912111481402364E-3</v>
          </cell>
          <cell r="H200">
            <v>3.7637580457190539E-2</v>
          </cell>
          <cell r="I200">
            <v>-6.9525341384052705E-3</v>
          </cell>
        </row>
        <row r="201">
          <cell r="A201">
            <v>43435</v>
          </cell>
          <cell r="B201">
            <v>-9.2168749331661873E-2</v>
          </cell>
          <cell r="C201">
            <v>-0.21185768769194702</v>
          </cell>
          <cell r="F201">
            <v>6.4367590049125331E-2</v>
          </cell>
          <cell r="G201">
            <v>1.5648958771348532E-3</v>
          </cell>
          <cell r="H201">
            <v>-4.2918108101582725E-2</v>
          </cell>
          <cell r="I201">
            <v>3.2803510581793024E-2</v>
          </cell>
        </row>
        <row r="202">
          <cell r="A202">
            <v>43466</v>
          </cell>
          <cell r="B202">
            <v>7.7021910778385203E-2</v>
          </cell>
          <cell r="C202">
            <v>6.2412897833737845E-2</v>
          </cell>
          <cell r="F202">
            <v>2.4450809983496139E-2</v>
          </cell>
          <cell r="G202">
            <v>1.3620232353698167E-2</v>
          </cell>
          <cell r="H202">
            <v>2.7040014402131642E-2</v>
          </cell>
          <cell r="I202">
            <v>-6.588298738461275E-4</v>
          </cell>
        </row>
        <row r="203">
          <cell r="A203">
            <v>43497</v>
          </cell>
          <cell r="B203">
            <v>3.1901454536871036E-2</v>
          </cell>
          <cell r="C203">
            <v>3.4578791536887671E-2</v>
          </cell>
          <cell r="F203">
            <v>-1.6496818060871888E-3</v>
          </cell>
          <cell r="G203">
            <v>-1.2831582499350359E-2</v>
          </cell>
          <cell r="H203">
            <v>7.7779418502615071E-4</v>
          </cell>
          <cell r="I203">
            <v>1.1087989592116305E-3</v>
          </cell>
        </row>
        <row r="204">
          <cell r="A204">
            <v>43525</v>
          </cell>
          <cell r="B204">
            <v>1.793895013713236E-2</v>
          </cell>
          <cell r="C204">
            <v>-3.5669839480469839E-4</v>
          </cell>
          <cell r="F204">
            <v>-7.9335959042815991E-3</v>
          </cell>
          <cell r="G204">
            <v>2.7990327444829342E-2</v>
          </cell>
          <cell r="H204">
            <v>-1.32564783316515E-2</v>
          </cell>
          <cell r="I204">
            <v>1.0738075946087874E-2</v>
          </cell>
        </row>
        <row r="205">
          <cell r="A205">
            <v>43556</v>
          </cell>
          <cell r="B205">
            <v>4.0039738729214951E-2</v>
          </cell>
          <cell r="C205">
            <v>5.8211696101089103E-2</v>
          </cell>
          <cell r="F205">
            <v>1.2836208250145786E-2</v>
          </cell>
          <cell r="G205">
            <v>1.0896548044421583E-2</v>
          </cell>
          <cell r="H205">
            <v>2.1329952712746219E-2</v>
          </cell>
          <cell r="I205">
            <v>-1.7043418807385507E-2</v>
          </cell>
        </row>
        <row r="206">
          <cell r="A206">
            <v>43586</v>
          </cell>
          <cell r="B206">
            <v>-6.5895104484750014E-2</v>
          </cell>
          <cell r="C206">
            <v>-4.3060739153136685E-2</v>
          </cell>
          <cell r="F206">
            <v>-4.0020836287496545E-2</v>
          </cell>
          <cell r="G206">
            <v>4.8968361084669731E-2</v>
          </cell>
          <cell r="H206">
            <v>-2.0930417113664015E-2</v>
          </cell>
          <cell r="I206">
            <v>1.2555292621467427E-2</v>
          </cell>
        </row>
        <row r="207">
          <cell r="A207">
            <v>43617</v>
          </cell>
          <cell r="B207">
            <v>6.7272022468448489E-2</v>
          </cell>
          <cell r="C207">
            <v>7.1667902578850279E-2</v>
          </cell>
          <cell r="F207">
            <v>-3.4073026851065384E-3</v>
          </cell>
          <cell r="G207">
            <v>1.0444911862299582E-2</v>
          </cell>
          <cell r="H207">
            <v>4.399190773026062E-2</v>
          </cell>
          <cell r="I207">
            <v>1.3671303040833308E-3</v>
          </cell>
        </row>
        <row r="208">
          <cell r="A208">
            <v>43647</v>
          </cell>
          <cell r="B208">
            <v>1.500620137629358E-2</v>
          </cell>
          <cell r="C208">
            <v>2.1197709253571204E-2</v>
          </cell>
          <cell r="F208">
            <v>-1.5790180353129762E-3</v>
          </cell>
          <cell r="G208">
            <v>7.174392460381933E-3</v>
          </cell>
          <cell r="H208">
            <v>1.2953234765340405E-2</v>
          </cell>
          <cell r="I208">
            <v>4.5282474430382831E-4</v>
          </cell>
        </row>
        <row r="209">
          <cell r="A209">
            <v>43678</v>
          </cell>
          <cell r="B209">
            <v>-1.6885378364657398E-2</v>
          </cell>
          <cell r="C209">
            <v>-0.10304671415057169</v>
          </cell>
          <cell r="F209">
            <v>-8.5760391843603401E-17</v>
          </cell>
          <cell r="G209">
            <v>1.8640966382109898E-2</v>
          </cell>
          <cell r="H209">
            <v>-3.2322727118099921E-2</v>
          </cell>
          <cell r="I209">
            <v>5.4323258675608874E-2</v>
          </cell>
        </row>
        <row r="210">
          <cell r="A210">
            <v>43709</v>
          </cell>
          <cell r="B210">
            <v>1.9271248211454543E-2</v>
          </cell>
          <cell r="C210">
            <v>5.9839293231491952E-2</v>
          </cell>
          <cell r="F210">
            <v>-4.8403196492609636E-3</v>
          </cell>
          <cell r="G210">
            <v>8.5631392488743178E-3</v>
          </cell>
          <cell r="H210">
            <v>1.9470701481444874E-2</v>
          </cell>
          <cell r="I210">
            <v>-2.6326017837039459E-2</v>
          </cell>
        </row>
        <row r="211">
          <cell r="A211">
            <v>43739</v>
          </cell>
          <cell r="B211">
            <v>2.1863755855332775E-2</v>
          </cell>
          <cell r="C211">
            <v>4.1360021286653836E-2</v>
          </cell>
          <cell r="F211">
            <v>1.1071934002620127E-2</v>
          </cell>
          <cell r="G211">
            <v>1.9373662194019918E-2</v>
          </cell>
          <cell r="H211">
            <v>-1.2512001002066814E-2</v>
          </cell>
          <cell r="I211">
            <v>1.3560329364563601E-2</v>
          </cell>
        </row>
        <row r="212">
          <cell r="A212">
            <v>43770</v>
          </cell>
          <cell r="B212">
            <v>3.5558706102376735E-2</v>
          </cell>
          <cell r="C212">
            <v>3.1698852310559578E-2</v>
          </cell>
          <cell r="F212">
            <v>1.2936920610405946E-2</v>
          </cell>
          <cell r="G212">
            <v>4.9981935904771166E-3</v>
          </cell>
          <cell r="H212">
            <v>1.5862863522568556E-2</v>
          </cell>
          <cell r="I212">
            <v>-3.9893326980146304E-2</v>
          </cell>
        </row>
        <row r="213">
          <cell r="A213">
            <v>43800</v>
          </cell>
          <cell r="B213">
            <v>2.8641314403768072E-2</v>
          </cell>
          <cell r="C213">
            <v>4.9023676097155258E-2</v>
          </cell>
          <cell r="F213">
            <v>3.5169616754017132E-3</v>
          </cell>
          <cell r="G213">
            <v>-8.598696048661968E-3</v>
          </cell>
          <cell r="H213">
            <v>1.7801957500472544E-3</v>
          </cell>
          <cell r="I213">
            <v>-1.313465865478125E-2</v>
          </cell>
        </row>
        <row r="214">
          <cell r="A214">
            <v>43831</v>
          </cell>
          <cell r="B214">
            <v>-4.039889798689994E-4</v>
          </cell>
          <cell r="C214">
            <v>-9.3355575274019637E-3</v>
          </cell>
          <cell r="F214">
            <v>-3.0578533959365453E-2</v>
          </cell>
          <cell r="G214">
            <v>3.4587267214807121E-2</v>
          </cell>
          <cell r="H214">
            <v>8.0147708123337359E-3</v>
          </cell>
          <cell r="I214">
            <v>9.2572618468068392E-3</v>
          </cell>
        </row>
        <row r="215">
          <cell r="A215">
            <v>43862</v>
          </cell>
          <cell r="B215">
            <v>-8.2475534437916068E-2</v>
          </cell>
          <cell r="C215">
            <v>-2.8896455353091689E-2</v>
          </cell>
          <cell r="F215">
            <v>-8.4617817573889573E-2</v>
          </cell>
          <cell r="G215">
            <v>3.3122523406681939E-2</v>
          </cell>
          <cell r="H215">
            <v>3.2024609406970363E-2</v>
          </cell>
          <cell r="I215">
            <v>-8.4663006108253135E-3</v>
          </cell>
        </row>
        <row r="216">
          <cell r="A216">
            <v>43891</v>
          </cell>
          <cell r="B216">
            <v>-0.13338385101653819</v>
          </cell>
          <cell r="C216">
            <v>-0.28018376553683783</v>
          </cell>
          <cell r="F216">
            <v>0.11914184455184304</v>
          </cell>
          <cell r="G216">
            <v>3.4158472861818862E-2</v>
          </cell>
          <cell r="H216">
            <v>4.0424781829973243E-3</v>
          </cell>
          <cell r="I216">
            <v>7.2668897470410485E-2</v>
          </cell>
        </row>
        <row r="217">
          <cell r="A217">
            <v>43922</v>
          </cell>
          <cell r="B217">
            <v>0.11954483405199261</v>
          </cell>
          <cell r="C217">
            <v>5.0810756795842009E-2</v>
          </cell>
          <cell r="F217">
            <v>3.9964976912821498E-2</v>
          </cell>
          <cell r="G217">
            <v>-1.6652988985195807E-2</v>
          </cell>
          <cell r="H217">
            <v>2.8230113492507286E-2</v>
          </cell>
          <cell r="I217">
            <v>9.4731254942713415E-3</v>
          </cell>
        </row>
        <row r="218">
          <cell r="A218">
            <v>43952</v>
          </cell>
          <cell r="B218">
            <v>4.6544875288220017E-2</v>
          </cell>
          <cell r="C218">
            <v>2.6897857213899284E-2</v>
          </cell>
          <cell r="F218">
            <v>3.1511637601687931E-2</v>
          </cell>
          <cell r="G218">
            <v>-5.912094715439368E-3</v>
          </cell>
          <cell r="H218">
            <v>-9.686525317039155E-3</v>
          </cell>
          <cell r="I218">
            <v>-2.3090651334060804E-3</v>
          </cell>
        </row>
        <row r="219">
          <cell r="A219">
            <v>43983</v>
          </cell>
          <cell r="B219">
            <v>1.7578794828849852E-2</v>
          </cell>
          <cell r="C219">
            <v>2.4563997019679484E-2</v>
          </cell>
          <cell r="F219">
            <v>-9.077189236067415E-4</v>
          </cell>
          <cell r="G219">
            <v>9.4382102108475086E-3</v>
          </cell>
          <cell r="H219">
            <v>4.8176311604839213E-2</v>
          </cell>
          <cell r="I219">
            <v>-4.5517773957081412E-2</v>
          </cell>
        </row>
        <row r="220">
          <cell r="A220">
            <v>44013</v>
          </cell>
          <cell r="B220">
            <v>5.7223117971709883E-2</v>
          </cell>
          <cell r="C220">
            <v>3.381857113333079E-2</v>
          </cell>
          <cell r="F220">
            <v>-1.0409730545889451E-3</v>
          </cell>
          <cell r="G220">
            <v>1.8950940809573213E-2</v>
          </cell>
          <cell r="H220">
            <v>2.5043734133579919E-2</v>
          </cell>
          <cell r="I220">
            <v>4.9474103268462005E-3</v>
          </cell>
        </row>
        <row r="221">
          <cell r="A221">
            <v>44044</v>
          </cell>
          <cell r="B221">
            <v>6.7468973641364963E-2</v>
          </cell>
          <cell r="C221">
            <v>6.6284061528658747E-2</v>
          </cell>
          <cell r="F221">
            <v>2.8544745681194899E-2</v>
          </cell>
          <cell r="G221">
            <v>-2.4423499225942866E-2</v>
          </cell>
          <cell r="H221">
            <v>2.435536138477289E-2</v>
          </cell>
          <cell r="I221">
            <v>-5.4595417744939118E-3</v>
          </cell>
        </row>
        <row r="222">
          <cell r="A222">
            <v>44075</v>
          </cell>
          <cell r="B222">
            <v>-3.8162637604299825E-2</v>
          </cell>
          <cell r="C222">
            <v>-6.5835196447114802E-2</v>
          </cell>
          <cell r="F222">
            <v>1.3801127197242125E-2</v>
          </cell>
          <cell r="G222">
            <v>-6.1671171111852439E-3</v>
          </cell>
          <cell r="H222">
            <v>-4.7187031607900776E-2</v>
          </cell>
          <cell r="I222">
            <v>1.0640009348219716E-2</v>
          </cell>
        </row>
        <row r="223">
          <cell r="A223">
            <v>44105</v>
          </cell>
          <cell r="B223">
            <v>-2.5249895399426077E-2</v>
          </cell>
          <cell r="C223">
            <v>5.0433310915136788E-2</v>
          </cell>
          <cell r="F223">
            <v>-4.8390562265195107E-2</v>
          </cell>
          <cell r="G223">
            <v>-7.1460642012588504E-3</v>
          </cell>
          <cell r="H223">
            <v>1.7376122530387436E-2</v>
          </cell>
          <cell r="I223">
            <v>-2.3770397829058831E-2</v>
          </cell>
        </row>
        <row r="224">
          <cell r="A224">
            <v>44136</v>
          </cell>
          <cell r="B224">
            <v>0.10325725550094472</v>
          </cell>
          <cell r="C224">
            <v>5.8724078336053101E-2</v>
          </cell>
          <cell r="F224">
            <v>1.8762721466198451E-2</v>
          </cell>
          <cell r="G224">
            <v>-9.2682344533405788E-3</v>
          </cell>
          <cell r="H224">
            <v>6.9837669112041478E-2</v>
          </cell>
          <cell r="I224">
            <v>1.2683144314982917E-2</v>
          </cell>
        </row>
        <row r="225">
          <cell r="A225">
            <v>44166</v>
          </cell>
          <cell r="B225">
            <v>3.6378837239044566E-2</v>
          </cell>
          <cell r="C225">
            <v>3.7455498346783508E-2</v>
          </cell>
          <cell r="F225">
            <v>1.6232651290830739E-2</v>
          </cell>
          <cell r="G225">
            <v>4.9572194513811414E-3</v>
          </cell>
          <cell r="H225">
            <v>1.9231100883604513E-2</v>
          </cell>
          <cell r="I225">
            <v>-2.0584412472849062E-2</v>
          </cell>
        </row>
        <row r="226">
          <cell r="A226">
            <v>44197</v>
          </cell>
          <cell r="B226">
            <v>-1.0242863776633608E-2</v>
          </cell>
          <cell r="C226">
            <v>5.3800505606036331E-2</v>
          </cell>
          <cell r="F226">
            <v>-3.7965943621629986E-2</v>
          </cell>
          <cell r="G226">
            <v>-1.0926908059107593E-2</v>
          </cell>
          <cell r="H226">
            <v>1.9546640054376244E-2</v>
          </cell>
          <cell r="I226">
            <v>-4.1488033938793661E-2</v>
          </cell>
        </row>
        <row r="227">
          <cell r="A227">
            <v>44228</v>
          </cell>
          <cell r="B227">
            <v>2.742605383338521E-2</v>
          </cell>
          <cell r="C227">
            <v>0.11043778553510218</v>
          </cell>
          <cell r="F227">
            <v>-1.7384024666514359E-2</v>
          </cell>
          <cell r="G227">
            <v>6.5892914761212194E-3</v>
          </cell>
          <cell r="H227">
            <v>4.6565654072414545E-2</v>
          </cell>
          <cell r="I227">
            <v>-2.5307333706020389E-2</v>
          </cell>
        </row>
        <row r="228">
          <cell r="A228">
            <v>44256</v>
          </cell>
          <cell r="B228">
            <v>4.4398912813180841E-2</v>
          </cell>
          <cell r="C228">
            <v>8.602422644532659E-2</v>
          </cell>
          <cell r="F228">
            <v>1.7434699494535747E-2</v>
          </cell>
          <cell r="G228">
            <v>5.1815325318994637E-3</v>
          </cell>
          <cell r="H228">
            <v>8.5603789557191674E-3</v>
          </cell>
          <cell r="I228">
            <v>-2.8655038580267456E-2</v>
          </cell>
        </row>
        <row r="229">
          <cell r="A229">
            <v>44287</v>
          </cell>
          <cell r="B229">
            <v>5.1558238542363341E-2</v>
          </cell>
          <cell r="C229">
            <v>2.2431054914758015E-3</v>
          </cell>
          <cell r="F229">
            <v>1.2126781256457655E-2</v>
          </cell>
          <cell r="G229">
            <v>-1.2543451851814881E-2</v>
          </cell>
          <cell r="H229">
            <v>3.0293643363770127E-2</v>
          </cell>
          <cell r="I229">
            <v>2.0090355650542794E-2</v>
          </cell>
        </row>
        <row r="230">
          <cell r="A230">
            <v>44317</v>
          </cell>
          <cell r="B230">
            <v>6.5446098984584186E-3</v>
          </cell>
          <cell r="C230">
            <v>-1.151218306930323E-4</v>
          </cell>
          <cell r="F230">
            <v>1.2215842357166922E-2</v>
          </cell>
          <cell r="G230">
            <v>5.5777026221061465E-3</v>
          </cell>
          <cell r="H230">
            <v>1.148423361336148E-2</v>
          </cell>
          <cell r="I230">
            <v>5.7119539558551256E-3</v>
          </cell>
        </row>
        <row r="231">
          <cell r="A231">
            <v>44348</v>
          </cell>
          <cell r="B231">
            <v>2.2179778274440821E-2</v>
          </cell>
          <cell r="C231">
            <v>-3.0655097020226812E-2</v>
          </cell>
          <cell r="F231">
            <v>1.696333741766997E-2</v>
          </cell>
          <cell r="G231">
            <v>7.3711573761226874E-3</v>
          </cell>
          <cell r="H231">
            <v>5.10547761978978E-3</v>
          </cell>
          <cell r="I231">
            <v>8.8507930187924858E-3</v>
          </cell>
        </row>
        <row r="232">
          <cell r="A232">
            <v>44378</v>
          </cell>
          <cell r="B232">
            <v>2.4119266388236284E-2</v>
          </cell>
          <cell r="C232">
            <v>-1.9218809799632017E-2</v>
          </cell>
          <cell r="F232">
            <v>6.9798021718870265E-3</v>
          </cell>
          <cell r="G232">
            <v>1.3392975497376024E-4</v>
          </cell>
          <cell r="H232">
            <v>6.6590971395921635E-3</v>
          </cell>
          <cell r="I232">
            <v>3.0454553422428508E-2</v>
          </cell>
        </row>
        <row r="233">
          <cell r="A233">
            <v>44409</v>
          </cell>
          <cell r="B233">
            <v>2.9325454689421535E-2</v>
          </cell>
          <cell r="C233">
            <v>2.9162464152286509E-3</v>
          </cell>
          <cell r="F233">
            <v>1.8326270727281269E-2</v>
          </cell>
          <cell r="G233">
            <v>-1.1490464061884264E-2</v>
          </cell>
          <cell r="H233">
            <v>9.0350287328493824E-3</v>
          </cell>
          <cell r="I233">
            <v>-1.0487486988141873E-2</v>
          </cell>
        </row>
        <row r="234">
          <cell r="A234">
            <v>44440</v>
          </cell>
          <cell r="B234">
            <v>-4.772644369023616E-2</v>
          </cell>
          <cell r="C234">
            <v>-4.8574503818244685E-2</v>
          </cell>
          <cell r="F234">
            <v>-2.0115820546968352E-2</v>
          </cell>
          <cell r="G234">
            <v>-5.0464856597345863E-2</v>
          </cell>
          <cell r="H234">
            <v>-1.4405299472210753E-3</v>
          </cell>
          <cell r="I234">
            <v>-4.7948403519810535E-3</v>
          </cell>
        </row>
        <row r="235">
          <cell r="A235">
            <v>44470</v>
          </cell>
          <cell r="B235">
            <v>6.7811520185359464E-2</v>
          </cell>
          <cell r="C235">
            <v>6.641177784413213E-2</v>
          </cell>
          <cell r="F235">
            <v>1.2401001113649456E-2</v>
          </cell>
          <cell r="G235">
            <v>3.5352190616262616E-2</v>
          </cell>
          <cell r="H235">
            <v>2.1941322895229948E-2</v>
          </cell>
          <cell r="I235">
            <v>-8.7589070445465121E-3</v>
          </cell>
        </row>
        <row r="236">
          <cell r="A236">
            <v>44501</v>
          </cell>
          <cell r="B236">
            <v>-8.0673554045536805E-3</v>
          </cell>
          <cell r="C236">
            <v>1.4972978925412972E-2</v>
          </cell>
          <cell r="F236">
            <v>-2.8840826497794219E-2</v>
          </cell>
          <cell r="G236">
            <v>2.1537887401986894E-2</v>
          </cell>
          <cell r="H236">
            <v>2.0005490052964581E-2</v>
          </cell>
          <cell r="I236">
            <v>1.2116522201603058E-2</v>
          </cell>
        </row>
        <row r="237">
          <cell r="A237">
            <v>44531</v>
          </cell>
          <cell r="B237">
            <v>4.5210268361061477E-2</v>
          </cell>
          <cell r="C237">
            <v>3.3856448687732785E-2</v>
          </cell>
          <cell r="F237">
            <v>2.5374119839260571E-2</v>
          </cell>
          <cell r="G237">
            <v>-6.323674093309908E-3</v>
          </cell>
          <cell r="H237">
            <v>2.7538990939022526E-2</v>
          </cell>
          <cell r="I237">
            <v>-2.6852351765409531E-3</v>
          </cell>
        </row>
        <row r="238">
          <cell r="A238">
            <v>44562</v>
          </cell>
          <cell r="B238">
            <v>-5.4183147552412894E-2</v>
          </cell>
          <cell r="C238">
            <v>-3.7315541756700842E-2</v>
          </cell>
          <cell r="F238">
            <v>2.2636409234365662E-2</v>
          </cell>
          <cell r="G238">
            <v>-4.2129798501501243E-4</v>
          </cell>
          <cell r="H238">
            <v>-1.8851744402737389E-2</v>
          </cell>
          <cell r="I238">
            <v>-4.0838967133271536E-2</v>
          </cell>
        </row>
        <row r="239">
          <cell r="A239">
            <v>44593</v>
          </cell>
          <cell r="B239">
            <v>-2.9961465282810056E-2</v>
          </cell>
          <cell r="C239">
            <v>-2.0604266682628408E-2</v>
          </cell>
          <cell r="F239">
            <v>1.6301219398284696E-2</v>
          </cell>
          <cell r="G239">
            <v>9.1934973856490493E-3</v>
          </cell>
          <cell r="H239">
            <v>-5.9072520587277015E-3</v>
          </cell>
          <cell r="I239">
            <v>-2.1985102829656576E-2</v>
          </cell>
        </row>
        <row r="240">
          <cell r="A240">
            <v>44621</v>
          </cell>
          <cell r="B240">
            <v>3.6901152909018811E-2</v>
          </cell>
          <cell r="C240">
            <v>8.9885063159876544E-2</v>
          </cell>
          <cell r="F240">
            <v>1.6182762188979259E-2</v>
          </cell>
          <cell r="G240">
            <v>1.3184671065982648E-2</v>
          </cell>
          <cell r="H240">
            <v>-4.0189359076868367E-2</v>
          </cell>
          <cell r="I240">
            <v>-3.6936724875798934E-3</v>
          </cell>
        </row>
        <row r="241">
          <cell r="A241">
            <v>44652</v>
          </cell>
          <cell r="B241">
            <v>-9.1862059431613879E-2</v>
          </cell>
          <cell r="C241">
            <v>3.6116596232121351E-2</v>
          </cell>
          <cell r="F241">
            <v>-3.3509970123769106E-2</v>
          </cell>
          <cell r="G241">
            <v>-4.5106034144923278E-3</v>
          </cell>
          <cell r="H241">
            <v>-6.3748698554428338E-3</v>
          </cell>
          <cell r="I241">
            <v>-4.1713923872158269E-2</v>
          </cell>
        </row>
        <row r="242">
          <cell r="A242">
            <v>44682</v>
          </cell>
          <cell r="B242">
            <v>2.2547708845364368E-3</v>
          </cell>
          <cell r="C242">
            <v>-4.9625936824924513E-2</v>
          </cell>
          <cell r="F242">
            <v>5.8080529031280477E-2</v>
          </cell>
          <cell r="G242">
            <v>-1.6590826960377794E-2</v>
          </cell>
          <cell r="H242">
            <v>-1.6031069070328533E-3</v>
          </cell>
          <cell r="I242">
            <v>-4.7897659323441547E-2</v>
          </cell>
        </row>
        <row r="243">
          <cell r="A243">
            <v>44713</v>
          </cell>
          <cell r="B243">
            <v>-8.6059583848674445E-2</v>
          </cell>
          <cell r="C243">
            <v>-6.6284959335857985E-2</v>
          </cell>
          <cell r="F243">
            <v>7.6098943102592912E-3</v>
          </cell>
          <cell r="G243">
            <v>1.4556806555055089E-2</v>
          </cell>
          <cell r="H243">
            <v>6.7820448430330922E-3</v>
          </cell>
          <cell r="I243">
            <v>-1.0653574469724036E-2</v>
          </cell>
        </row>
        <row r="244">
          <cell r="A244">
            <v>44743</v>
          </cell>
          <cell r="B244">
            <v>8.8091124831144063E-2</v>
          </cell>
          <cell r="C244">
            <v>1.2693886789839605E-2</v>
          </cell>
          <cell r="F244">
            <v>4.1885610161670708E-2</v>
          </cell>
          <cell r="G244">
            <v>-9.4922099550556385E-3</v>
          </cell>
          <cell r="H244">
            <v>2.9822572227213E-2</v>
          </cell>
          <cell r="I244">
            <v>-1.886995706164055E-2</v>
          </cell>
        </row>
        <row r="245">
          <cell r="A245">
            <v>44774</v>
          </cell>
          <cell r="B245">
            <v>-4.1657799857286626E-2</v>
          </cell>
          <cell r="C245">
            <v>6.062324073068464E-2</v>
          </cell>
          <cell r="F245">
            <v>-6.5995677701862043E-2</v>
          </cell>
          <cell r="G245">
            <v>-1.0315013568283377E-2</v>
          </cell>
          <cell r="H245">
            <v>3.5858619216959159E-3</v>
          </cell>
          <cell r="I245">
            <v>-6.3932624235382499E-3</v>
          </cell>
        </row>
        <row r="246">
          <cell r="A246">
            <v>44805</v>
          </cell>
          <cell r="B246">
            <v>-9.7002169996013396E-2</v>
          </cell>
          <cell r="C246">
            <v>8.3886388646190434E-3</v>
          </cell>
          <cell r="F246">
            <v>-4.6603959657814595E-2</v>
          </cell>
          <cell r="G246">
            <v>-2.7153218540924524E-2</v>
          </cell>
          <cell r="H246">
            <v>1.3072733488800007E-2</v>
          </cell>
          <cell r="I246">
            <v>-3.2535810818751787E-2</v>
          </cell>
        </row>
        <row r="247">
          <cell r="A247">
            <v>44835</v>
          </cell>
          <cell r="B247">
            <v>7.8141380151404344E-2</v>
          </cell>
          <cell r="C247">
            <v>0.13935565166982827</v>
          </cell>
          <cell r="F247">
            <v>3.1350248517966972E-2</v>
          </cell>
          <cell r="G247">
            <v>3.1067135403424123E-2</v>
          </cell>
          <cell r="H247">
            <v>1.5584465585531511E-2</v>
          </cell>
          <cell r="I247">
            <v>-1.1968878114308447E-2</v>
          </cell>
        </row>
        <row r="248">
          <cell r="A248">
            <v>44866</v>
          </cell>
          <cell r="B248">
            <v>5.4101386552727962E-2</v>
          </cell>
          <cell r="C248">
            <v>-2.1269418729255508E-2</v>
          </cell>
          <cell r="F248">
            <v>3.2635390949806997E-2</v>
          </cell>
          <cell r="G248">
            <v>2.6334171503575893E-2</v>
          </cell>
          <cell r="H248">
            <v>-1.6341383721180588E-2</v>
          </cell>
          <cell r="I248">
            <v>-2.7428896165786927E-2</v>
          </cell>
        </row>
        <row r="249">
          <cell r="A249">
            <v>44896</v>
          </cell>
          <cell r="B249">
            <v>-5.9355424807020774E-2</v>
          </cell>
          <cell r="C249">
            <v>-6.3660020850272947E-2</v>
          </cell>
          <cell r="F249">
            <v>-9.8873564368634689E-3</v>
          </cell>
          <cell r="G249">
            <v>-4.0741727636447671E-2</v>
          </cell>
          <cell r="H249">
            <v>-3.6265950376248794E-2</v>
          </cell>
          <cell r="I249">
            <v>6.592438389733847E-2</v>
          </cell>
        </row>
        <row r="250">
          <cell r="A250">
            <v>44927</v>
          </cell>
          <cell r="B250">
            <v>6.0989042987148877E-2</v>
          </cell>
          <cell r="C250">
            <v>-2.8703901397100898E-2</v>
          </cell>
          <cell r="F250">
            <v>1.5570332348981508E-2</v>
          </cell>
          <cell r="G250">
            <v>-4.6658610633868586E-4</v>
          </cell>
          <cell r="H250">
            <v>1.4098805850262989E-2</v>
          </cell>
          <cell r="I250">
            <v>6.0223087445092256E-2</v>
          </cell>
        </row>
        <row r="251">
          <cell r="A251">
            <v>44958</v>
          </cell>
          <cell r="B251">
            <v>-2.5464125557989256E-2</v>
          </cell>
          <cell r="C251">
            <v>3.393514641699949E-2</v>
          </cell>
          <cell r="F251">
            <v>-5.7373839170864645E-3</v>
          </cell>
          <cell r="G251">
            <v>3.9404879804261807E-3</v>
          </cell>
          <cell r="H251">
            <v>2.120154946171568E-2</v>
          </cell>
          <cell r="I251">
            <v>-1.7315227024552043E-2</v>
          </cell>
        </row>
        <row r="252">
          <cell r="A252">
            <v>44986</v>
          </cell>
          <cell r="B252">
            <v>3.640694729499569E-2</v>
          </cell>
          <cell r="C252">
            <v>-2.3821380612611725E-2</v>
          </cell>
          <cell r="F252">
            <v>2.5932478440488804E-2</v>
          </cell>
          <cell r="G252">
            <v>1.296305279039766E-2</v>
          </cell>
          <cell r="H252">
            <v>5.0595579084371876E-3</v>
          </cell>
          <cell r="I252">
            <v>2.5590878126626132E-3</v>
          </cell>
        </row>
        <row r="253">
          <cell r="A253">
            <v>45017</v>
          </cell>
          <cell r="B253">
            <v>1.58486521482058E-2</v>
          </cell>
          <cell r="C253">
            <v>1.4416909340226054E-2</v>
          </cell>
          <cell r="F253">
            <v>7.9656680460839097E-3</v>
          </cell>
          <cell r="G253">
            <v>9.9117768762516031E-3</v>
          </cell>
          <cell r="H253">
            <v>5.3723531069235515E-4</v>
          </cell>
          <cell r="I253">
            <v>6.3793332121780538E-3</v>
          </cell>
        </row>
        <row r="254">
          <cell r="A254">
            <v>45047</v>
          </cell>
          <cell r="B254">
            <v>4.6056456231339778E-3</v>
          </cell>
          <cell r="C254">
            <v>5.558518579025535E-2</v>
          </cell>
          <cell r="F254">
            <v>-1.8409776175125152E-3</v>
          </cell>
          <cell r="G254">
            <v>1.8521673682312632E-2</v>
          </cell>
          <cell r="H254">
            <v>-7.9656680460839582E-3</v>
          </cell>
          <cell r="I254">
            <v>-1.233665227295235E-2</v>
          </cell>
        </row>
        <row r="255">
          <cell r="A255">
            <v>45078</v>
          </cell>
          <cell r="B255">
            <v>6.2786786809685191E-2</v>
          </cell>
          <cell r="C255">
            <v>5.1366834277172271E-2</v>
          </cell>
          <cell r="F255">
            <v>1.539028211431351E-2</v>
          </cell>
          <cell r="G255">
            <v>6.1389511311554651E-3</v>
          </cell>
          <cell r="H255">
            <v>2.0607024806775186E-2</v>
          </cell>
          <cell r="I255">
            <v>-1.8046065467901554E-2</v>
          </cell>
        </row>
        <row r="256">
          <cell r="A256">
            <v>45108</v>
          </cell>
          <cell r="B256">
            <v>3.2209042036108075E-2</v>
          </cell>
          <cell r="C256">
            <v>3.7099351628328815E-2</v>
          </cell>
          <cell r="F256">
            <v>7.8730585470919226E-3</v>
          </cell>
          <cell r="G256">
            <v>-1.3008261248185188E-2</v>
          </cell>
          <cell r="H256">
            <v>-8.1998711954159188E-3</v>
          </cell>
          <cell r="I256">
            <v>-3.4203228368274614E-2</v>
          </cell>
        </row>
        <row r="257">
          <cell r="A257">
            <v>45139</v>
          </cell>
          <cell r="B257">
            <v>-1.6385701417559566E-2</v>
          </cell>
          <cell r="C257">
            <v>3.4355888593008435E-2</v>
          </cell>
          <cell r="F257">
            <v>2.4751390414202261E-2</v>
          </cell>
          <cell r="G257">
            <v>4.3567907116918693E-2</v>
          </cell>
          <cell r="H257">
            <v>-1.5586547649061687E-2</v>
          </cell>
          <cell r="I257">
            <v>-4.2954270293844576E-2</v>
          </cell>
        </row>
        <row r="258">
          <cell r="A258">
            <v>45170</v>
          </cell>
          <cell r="B258">
            <v>-4.8596290544066056E-2</v>
          </cell>
          <cell r="C258">
            <v>1.0681884654112257E-2</v>
          </cell>
          <cell r="F258">
            <v>-6.8539573097565684E-3</v>
          </cell>
          <cell r="G258">
            <v>-3.0426348947618843E-2</v>
          </cell>
          <cell r="H258">
            <v>-1.0782916968361523E-2</v>
          </cell>
          <cell r="I258">
            <v>-2.0774505230996245E-2</v>
          </cell>
        </row>
        <row r="259">
          <cell r="A259">
            <v>45200</v>
          </cell>
          <cell r="B259">
            <v>-2.1947724150478545E-2</v>
          </cell>
          <cell r="C259">
            <v>4.5433788607178741E-2</v>
          </cell>
          <cell r="F259">
            <v>-7.1241208321481874E-3</v>
          </cell>
          <cell r="G259">
            <v>4.0761703172671072E-3</v>
          </cell>
          <cell r="H259">
            <v>4.8073716103814489E-3</v>
          </cell>
          <cell r="I259">
            <v>-4.1807514329919145E-2</v>
          </cell>
        </row>
        <row r="260">
          <cell r="A260">
            <v>45231</v>
          </cell>
          <cell r="B260">
            <v>8.7409824483363888E-2</v>
          </cell>
          <cell r="C260">
            <v>-2.9977367869131852E-3</v>
          </cell>
          <cell r="F260">
            <v>6.8817742481404858E-3</v>
          </cell>
          <cell r="G260">
            <v>1.1092712032213549E-2</v>
          </cell>
          <cell r="H260">
            <v>4.3813207279914342E-2</v>
          </cell>
          <cell r="I260">
            <v>5.5642173558489175E-2</v>
          </cell>
        </row>
        <row r="261">
          <cell r="A261">
            <v>45261</v>
          </cell>
          <cell r="B261">
            <v>4.4643772916211313E-2</v>
          </cell>
          <cell r="C261">
            <v>-4.4658325790076607E-2</v>
          </cell>
          <cell r="F261">
            <v>5.5062902406491348E-3</v>
          </cell>
          <cell r="G261">
            <v>-5.0551421704840213E-4</v>
          </cell>
          <cell r="H261">
            <v>4.0016389801776379E-3</v>
          </cell>
          <cell r="I261">
            <v>4.3406286384425376E-2</v>
          </cell>
        </row>
        <row r="262">
          <cell r="A262">
            <v>45292</v>
          </cell>
          <cell r="B262">
            <v>1.5800957516541425E-2</v>
          </cell>
          <cell r="C262">
            <v>7.1569505137652881E-2</v>
          </cell>
          <cell r="F262">
            <v>-4.0919138594321634E-3</v>
          </cell>
          <cell r="G262">
            <v>2.8969369212235873E-2</v>
          </cell>
          <cell r="H262">
            <v>-1.4948636087541312E-3</v>
          </cell>
          <cell r="I262">
            <v>-1.6724934027748946E-2</v>
          </cell>
        </row>
        <row r="263">
          <cell r="A263">
            <v>45323</v>
          </cell>
          <cell r="B263">
            <v>5.0870715521053947E-2</v>
          </cell>
          <cell r="C263">
            <v>8.9102841275943034E-2</v>
          </cell>
          <cell r="F263">
            <v>1.1421240067535665E-3</v>
          </cell>
          <cell r="G263">
            <v>1.6594409000635822E-2</v>
          </cell>
          <cell r="H263">
            <v>3.1032701476210567E-2</v>
          </cell>
          <cell r="I263">
            <v>-1.8435637178925084E-2</v>
          </cell>
        </row>
        <row r="264">
          <cell r="A264">
            <v>45352</v>
          </cell>
          <cell r="B264">
            <v>3.2178750060169029E-2</v>
          </cell>
          <cell r="C264">
            <v>3.901761419476165E-2</v>
          </cell>
          <cell r="F264">
            <v>1.6648253842542285E-3</v>
          </cell>
          <cell r="G264">
            <v>1.6302003058535058E-2</v>
          </cell>
          <cell r="H264">
            <v>1.3159058951112419E-2</v>
          </cell>
          <cell r="I264">
            <v>2.1235647958883171E-2</v>
          </cell>
        </row>
        <row r="265">
          <cell r="A265">
            <v>45383</v>
          </cell>
          <cell r="B265">
            <v>-4.1155041750283824E-2</v>
          </cell>
          <cell r="C265">
            <v>1.4109990981579848E-3</v>
          </cell>
          <cell r="F265">
            <v>1.3679412404378172E-2</v>
          </cell>
          <cell r="G265">
            <v>-1.0486649375916802E-2</v>
          </cell>
          <cell r="H265">
            <v>-8.9104523069123732E-3</v>
          </cell>
          <cell r="I265">
            <v>-3.1429933253891595E-2</v>
          </cell>
        </row>
        <row r="266">
          <cell r="A266">
            <v>45413</v>
          </cell>
          <cell r="B266">
            <v>4.9341926200576133E-2</v>
          </cell>
          <cell r="C266">
            <v>1.5893809749767701E-2</v>
          </cell>
          <cell r="F266">
            <v>-7.5375643514422695E-3</v>
          </cell>
          <cell r="G266">
            <v>-1.2524900429691337E-2</v>
          </cell>
          <cell r="H266">
            <v>2.9753173513714228E-2</v>
          </cell>
          <cell r="I266">
            <v>3.1661917816724595E-2</v>
          </cell>
        </row>
        <row r="267">
          <cell r="A267">
            <v>45444</v>
          </cell>
          <cell r="B267">
            <v>3.4672137981978199E-2</v>
          </cell>
          <cell r="C267">
            <v>-1.3570107312282052E-2</v>
          </cell>
          <cell r="F267">
            <v>2.723190918377312E-3</v>
          </cell>
          <cell r="G267">
            <v>-2.7510876495499673E-2</v>
          </cell>
          <cell r="H267">
            <v>1.2512304391934124E-2</v>
          </cell>
          <cell r="I267">
            <v>1.4952763595864015E-2</v>
          </cell>
        </row>
        <row r="268">
          <cell r="A268">
            <v>45474</v>
          </cell>
          <cell r="B268">
            <v>1.2036422652770377E-2</v>
          </cell>
          <cell r="C268">
            <v>6.3733967610182553E-3</v>
          </cell>
          <cell r="F268">
            <v>-6.9474075330781503E-3</v>
          </cell>
          <cell r="G268">
            <v>2.3045732831310929E-2</v>
          </cell>
          <cell r="H268">
            <v>2.0119043559437007E-2</v>
          </cell>
          <cell r="I268">
            <v>1.37970494602731E-2</v>
          </cell>
        </row>
        <row r="269">
          <cell r="A269">
            <v>45505</v>
          </cell>
          <cell r="B269">
            <v>2.3096674300165244E-2</v>
          </cell>
          <cell r="C269">
            <v>-2.6188565902419116E-2</v>
          </cell>
          <cell r="F269">
            <v>5.4432595171319481E-3</v>
          </cell>
          <cell r="G269">
            <v>-2.2949531899315638E-2</v>
          </cell>
          <cell r="H269">
            <v>-6.0141403170915958E-2</v>
          </cell>
          <cell r="I269">
            <v>1.4863421378237351E-2</v>
          </cell>
        </row>
        <row r="270">
          <cell r="A270">
            <v>45536</v>
          </cell>
          <cell r="B270">
            <v>2.0787250725068776E-2</v>
          </cell>
          <cell r="C270">
            <v>-1.1957683430430775E-2</v>
          </cell>
          <cell r="F270">
            <v>7.1541371203220332E-3</v>
          </cell>
          <cell r="G270">
            <v>-5.7935885191071632E-3</v>
          </cell>
          <cell r="H270">
            <v>-3.1117013644920338E-2</v>
          </cell>
          <cell r="I270">
            <v>3.8879968116322536E-2</v>
          </cell>
        </row>
        <row r="271">
          <cell r="A271">
            <v>45566</v>
          </cell>
          <cell r="B271">
            <v>-8.9637250286328206E-3</v>
          </cell>
          <cell r="C271">
            <v>7.5531379394351394E-2</v>
          </cell>
          <cell r="F271">
            <v>-2.601957976440664E-2</v>
          </cell>
          <cell r="G271">
            <v>2.3824947236706136E-3</v>
          </cell>
          <cell r="H271">
            <v>-1.0442140020132771E-2</v>
          </cell>
          <cell r="I271">
            <v>-3.0675082917408353E-2</v>
          </cell>
        </row>
        <row r="272">
          <cell r="A272">
            <v>45597</v>
          </cell>
          <cell r="B272">
            <v>5.7923013086624189E-2</v>
          </cell>
          <cell r="C272">
            <v>6.2794062589265745E-2</v>
          </cell>
          <cell r="F272">
            <v>1.4846949421476317E-2</v>
          </cell>
          <cell r="G272">
            <v>3.9395219458884141E-2</v>
          </cell>
          <cell r="H272">
            <v>4.6338520008788547E-2</v>
          </cell>
          <cell r="I272">
            <v>-8.818994088863677E-3</v>
          </cell>
        </row>
        <row r="273">
          <cell r="A273">
            <v>45627</v>
          </cell>
          <cell r="B273">
            <v>-2.4354253846920634E-2</v>
          </cell>
          <cell r="C273">
            <v>3.9036998208068344E-2</v>
          </cell>
          <cell r="F273">
            <v>-8.6135309785591897E-3</v>
          </cell>
          <cell r="G273">
            <v>-1.115924717554876E-2</v>
          </cell>
          <cell r="H273">
            <v>8.6917097530328155E-3</v>
          </cell>
          <cell r="I273">
            <v>7.9242570584242746E-3</v>
          </cell>
        </row>
        <row r="274">
          <cell r="A274">
            <v>45658</v>
          </cell>
          <cell r="B274">
            <v>2.6502009567008759E-2</v>
          </cell>
          <cell r="C274">
            <v>3.7929519450425733E-2</v>
          </cell>
          <cell r="F274">
            <v>-1.0167113227328512E-2</v>
          </cell>
          <cell r="G274">
            <v>6.1722234289853725E-3</v>
          </cell>
          <cell r="H274">
            <v>5.8013851190404702E-3</v>
          </cell>
          <cell r="I274">
            <v>-1.499805088929935E-2</v>
          </cell>
        </row>
        <row r="275">
          <cell r="A275">
            <v>45689</v>
          </cell>
          <cell r="B275">
            <v>-1.2776043967811583E-2</v>
          </cell>
          <cell r="C275">
            <v>-3.500936501709119E-2</v>
          </cell>
          <cell r="F275">
            <v>-5.0865333317791379E-3</v>
          </cell>
          <cell r="G275">
            <v>2.8087473180161238E-2</v>
          </cell>
          <cell r="H275">
            <v>-1.7461244313232028E-3</v>
          </cell>
          <cell r="I275">
            <v>2.0621095775060161E-2</v>
          </cell>
        </row>
        <row r="276">
          <cell r="A276">
            <v>45717</v>
          </cell>
          <cell r="B276">
            <v>-5.7331697768171243E-2</v>
          </cell>
          <cell r="C276">
            <v>-3.3407846146737079E-2</v>
          </cell>
          <cell r="F276">
            <v>-8.1718970707223143E-3</v>
          </cell>
          <cell r="G276">
            <v>3.6319127510171141E-3</v>
          </cell>
          <cell r="H276">
            <v>-3.1213501580951396E-2</v>
          </cell>
          <cell r="I276">
            <v>-2.2278008159225978E-2</v>
          </cell>
        </row>
        <row r="277">
          <cell r="A277">
            <v>45748</v>
          </cell>
          <cell r="B277">
            <v>-8.7079434414738428E-3</v>
          </cell>
          <cell r="C277">
            <v>-1.1483725364181536E-2</v>
          </cell>
          <cell r="F277">
            <v>5.0464070106939728E-2</v>
          </cell>
          <cell r="G277">
            <v>3.3990149814473548E-2</v>
          </cell>
          <cell r="H277">
            <v>-0.10351692435420581</v>
          </cell>
          <cell r="I277">
            <v>-7.2364724208488149E-3</v>
          </cell>
        </row>
        <row r="278">
          <cell r="A278">
            <v>45778</v>
          </cell>
          <cell r="B278">
            <v>6.0949225706794605E-2</v>
          </cell>
          <cell r="C278">
            <v>0.10957911041744683</v>
          </cell>
          <cell r="F278">
            <v>1.1141170220970385E-2</v>
          </cell>
          <cell r="G278">
            <v>2.713825197772381E-2</v>
          </cell>
          <cell r="H278">
            <v>1.1849305622369077E-2</v>
          </cell>
          <cell r="I278">
            <v>-1.4030753308767668E-2</v>
          </cell>
        </row>
        <row r="279">
          <cell r="A279">
            <v>45809</v>
          </cell>
          <cell r="B279">
            <v>5.0109422082739628E-2</v>
          </cell>
          <cell r="C279">
            <v>1.1664630776718258E-2</v>
          </cell>
          <cell r="F279">
            <v>2.9066005384365462E-2</v>
          </cell>
          <cell r="G279">
            <v>1.6912792689625568E-2</v>
          </cell>
          <cell r="H279">
            <v>1.6407174187849045E-2</v>
          </cell>
          <cell r="I279">
            <v>-7.1216753098330733E-3</v>
          </cell>
        </row>
        <row r="280">
          <cell r="A280">
            <v>45839</v>
          </cell>
          <cell r="B280">
            <v>2.2770325416294181E-2</v>
          </cell>
          <cell r="C280">
            <v>3.3737406528080702E-2</v>
          </cell>
          <cell r="F280">
            <v>5.1073623354443189E-3</v>
          </cell>
          <cell r="G280">
            <v>4.6125415532246722E-3</v>
          </cell>
          <cell r="H280">
            <v>4.0220880825346979E-3</v>
          </cell>
          <cell r="I280">
            <v>-2.1753909381793265E-2</v>
          </cell>
        </row>
        <row r="281">
          <cell r="A281">
            <v>45870</v>
          </cell>
          <cell r="B281">
            <v>9.4946638684212728E-3</v>
          </cell>
          <cell r="C281">
            <v>6.6001117953861342E-3</v>
          </cell>
          <cell r="F281">
            <v>0</v>
          </cell>
          <cell r="G281">
            <v>0</v>
          </cell>
          <cell r="H281">
            <v>2.6889009812874562E-4</v>
          </cell>
          <cell r="I281">
            <v>1.2406993948444583E-2</v>
          </cell>
        </row>
      </sheetData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D9591-5554-4BDE-9886-FEE242405FF6}" name="Table1" displayName="Table1" ref="A1:Y278" totalsRowShown="0" headerRowDxfId="101" dataDxfId="99" headerRowBorderDxfId="100" tableBorderDxfId="98">
  <autoFilter ref="A1:Y278" xr:uid="{4B9D9591-5554-4BDE-9886-FEE242405FF6}"/>
  <tableColumns count="25">
    <tableColumn id="1" xr3:uid="{C7668784-77D9-4FCC-9379-15FBD3AE767B}" name="ym" dataDxfId="97"/>
    <tableColumn id="2" xr3:uid="{EF60552D-82A6-43B6-90E3-AEFEF2E23EDB}" name="SPY_ret" dataDxfId="96"/>
    <tableColumn id="3" xr3:uid="{B54CB2B5-504B-436D-B59B-0985D3C98AC1}" name="SPY_TLT_som" dataDxfId="95"/>
    <tableColumn id="4" xr3:uid="{23D03FC2-E913-4C44-86C9-C67955056B2E}" name="SPY_ret_eom" dataDxfId="94"/>
    <tableColumn id="5" xr3:uid="{1F02F356-2648-4A53-B5AC-5A6A6F30C63B}" name="TLT_ret_eom" dataDxfId="93"/>
    <tableColumn id="6" xr3:uid="{583C2F00-D768-4236-BC28-5F0359882802}" name="SPY_ret_nsm" dataDxfId="92"/>
    <tableColumn id="7" xr3:uid="{C697D9ED-A67A-4157-864C-F390691E43A9}" name="TLT_ret_nsm" dataDxfId="91"/>
    <tableColumn id="8" xr3:uid="{A9C3E50A-1175-4D76-A5D6-D3B17D8AD8A9}" name="signal_eom" dataDxfId="90"/>
    <tableColumn id="9" xr3:uid="{31480533-B34F-4EB2-B1EB-43EF4BA82783}" name="signal_som" dataDxfId="89"/>
    <tableColumn id="10" xr3:uid="{5943FA0D-646D-4E51-AEA5-3B2FFD2A023E}" name="End_of_Month_SPY_Long_SPY" dataDxfId="88"/>
    <tableColumn id="11" xr3:uid="{ACBA39F5-2F48-424E-875E-744E2642332D}" name="End_of_Month_SPY_Short_SPY" dataDxfId="87"/>
    <tableColumn id="12" xr3:uid="{B725D3E0-38E2-4981-B67E-BF20BC448195}" name="End_of_Month_TLT_Short_TLT" dataDxfId="86"/>
    <tableColumn id="13" xr3:uid="{B5719327-F893-4FE3-88DB-3F3CB9534710}" name="End_of_Month_TLT_Long_TLT" dataDxfId="85"/>
    <tableColumn id="14" xr3:uid="{8D8C8D1F-8ECB-4608-BD10-1E0E55FA795A}" name="Start_of_Month_SPY_Long_SPY" dataDxfId="84"/>
    <tableColumn id="15" xr3:uid="{B597DFC2-B77C-4DBA-8CFD-72F966F8986E}" name="Start_of_Month_SPY_Short_SPY" dataDxfId="83"/>
    <tableColumn id="16" xr3:uid="{A3059B97-C11E-4238-BCCA-EBBE5D1EFB8B}" name="Start_of_Month_TLT_Short_TLT" dataDxfId="82"/>
    <tableColumn id="17" xr3:uid="{A27A63E0-6852-4C50-B02F-C2D45CFB435D}" name="Start_of_Month_TLT_Long_TLT" dataDxfId="81"/>
    <tableColumn id="18" xr3:uid="{B4C172E2-7704-447E-8B24-7783226BE365}" name="cpl_End_of_Month_SPY_Long_SPY" dataDxfId="80"/>
    <tableColumn id="19" xr3:uid="{254E6B17-5935-407B-8F55-F7FC0F50771D}" name="cpl_End_of_Month_SPY_Short_SPY" dataDxfId="79"/>
    <tableColumn id="20" xr3:uid="{B26EFD30-90BE-46D4-B79D-338626024706}" name="cpl_End_of_Month_TLT_Short_TLT" dataDxfId="78"/>
    <tableColumn id="21" xr3:uid="{15B09879-3236-44B5-AD72-F7B6AAE443C1}" name="cpl_End_of_Month_TLT_Long_TLT" dataDxfId="77"/>
    <tableColumn id="22" xr3:uid="{ABA4A154-6528-4FA7-89F6-B2695C7AB93E}" name="cpl_Start_of_Month_SPY_Long_SPY" dataDxfId="76"/>
    <tableColumn id="23" xr3:uid="{14E8F625-A702-4FF4-8E2E-E867973FDDFC}" name="cpl_Start_of_Month_SPY_Short_SPY" dataDxfId="75"/>
    <tableColumn id="24" xr3:uid="{B6010630-982F-491D-87AD-4209B242E0EC}" name="cpl_Start_of_Month_TLT_Short_TLT" dataDxfId="74"/>
    <tableColumn id="25" xr3:uid="{D2E8B57D-62A6-4EC0-9F64-72186B48C16E}" name="cpl_Start_of_Month_TLT_Long_TLT" dataDxfId="7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C6561-6CA1-4FAD-8D0D-D956310B8978}" name="Table2" displayName="Table2" ref="A1:Y280" totalsRowShown="0" headerRowDxfId="72" dataDxfId="70" headerRowBorderDxfId="71" tableBorderDxfId="69">
  <autoFilter ref="A1:Y280" xr:uid="{1B8C6561-6CA1-4FAD-8D0D-D956310B8978}"/>
  <tableColumns count="25">
    <tableColumn id="1" xr3:uid="{3F56B89A-CB8C-4BEF-BCF1-D69DB23E05E8}" name="ym" dataDxfId="68"/>
    <tableColumn id="2" xr3:uid="{A838E6E8-BD16-41B8-A8F6-4BF5060FAFF7}" name="SPY_ret" dataDxfId="67"/>
    <tableColumn id="3" xr3:uid="{38F054A7-F2A6-40E7-AA66-6E07F269F9B1}" name="SPY_TLT_som" dataDxfId="66"/>
    <tableColumn id="4" xr3:uid="{D829CB2C-AEC9-4213-BC53-858594A87733}" name="SPY_ret_eom" dataDxfId="65"/>
    <tableColumn id="5" xr3:uid="{A8662315-FCFC-42CB-8FDA-A2E514ED5A45}" name="TLT_ret_eom" dataDxfId="64"/>
    <tableColumn id="6" xr3:uid="{406E0958-7396-4743-8170-527B5AE5022A}" name="SPY_ret_nsm" dataDxfId="63"/>
    <tableColumn id="7" xr3:uid="{5E7686B1-9C22-4D35-8A31-EB68813E5B54}" name="TLT_ret_nsm" dataDxfId="62"/>
    <tableColumn id="8" xr3:uid="{37FDB19A-7CB5-4950-A998-7BD5EB294BA2}" name="signal_eom" dataDxfId="61">
      <calculatedColumnFormula>IF(C2&gt;0,-1,1)</calculatedColumnFormula>
    </tableColumn>
    <tableColumn id="9" xr3:uid="{97D1DFF7-BDBB-4DA0-A8DA-C1AD73FED2D5}" name="signal_som" dataDxfId="60">
      <calculatedColumnFormula>IF(C1&gt;0,1,-1)</calculatedColumnFormula>
    </tableColumn>
    <tableColumn id="10" xr3:uid="{8CD76B6E-8FD3-4652-AF4F-D4E895B00696}" name="End_of_Month_SPY_Long_SPY" dataDxfId="59">
      <calculatedColumnFormula>IF(H2=1,D2,0)</calculatedColumnFormula>
    </tableColumn>
    <tableColumn id="11" xr3:uid="{F0FF5FCF-833A-404F-85DD-2256A39FBBD9}" name="End_of_Month_SPY_Short_SPY" dataDxfId="58">
      <calculatedColumnFormula>IF(H2=-1,-D2,0)</calculatedColumnFormula>
    </tableColumn>
    <tableColumn id="12" xr3:uid="{11149071-DA34-4FEE-AC54-5B0A21E740DB}" name="End_of_Month_TLT_Short_TLT" dataDxfId="57">
      <calculatedColumnFormula>IF(H2=1,-E2,0)</calculatedColumnFormula>
    </tableColumn>
    <tableColumn id="13" xr3:uid="{EBE57106-E1AB-43E5-894D-23BFF2354F2C}" name="End_of_Month_TLT_Long_TLT" dataDxfId="56">
      <calculatedColumnFormula>IF(H2=-1,E2,0)</calculatedColumnFormula>
    </tableColumn>
    <tableColumn id="14" xr3:uid="{051249ED-7DB5-48DA-9442-F3040EC05E5A}" name="Start_of_Month_SPY_Long_SPY" dataDxfId="55">
      <calculatedColumnFormula>IF(I2=1,F2,0)</calculatedColumnFormula>
    </tableColumn>
    <tableColumn id="15" xr3:uid="{36B8F95B-BDD8-41EF-B039-6233969DC315}" name="Start_of_Month_SPY_Short_SPY" dataDxfId="54">
      <calculatedColumnFormula>IF(I2=-1,-F2,0)</calculatedColumnFormula>
    </tableColumn>
    <tableColumn id="16" xr3:uid="{E57E2A20-5710-4319-A87D-41EB7B8E554E}" name="Start_of_Month_TLT_Short_TLT" dataDxfId="53">
      <calculatedColumnFormula>IF(I2=1,-G2,0)</calculatedColumnFormula>
    </tableColumn>
    <tableColumn id="17" xr3:uid="{4F83F06F-50BC-49CB-AD11-57067DFE5D3A}" name="Start_of_Month_TLT_Long_TLT" dataDxfId="52">
      <calculatedColumnFormula>IF(I2=-1,G2,0)</calculatedColumnFormula>
    </tableColumn>
    <tableColumn id="18" xr3:uid="{9D040986-B0B4-497A-B188-1CEA89221937}" name="cpl_End_of_Month_SPY_Long_SPY" dataDxfId="51">
      <calculatedColumnFormula>J2+R1</calculatedColumnFormula>
    </tableColumn>
    <tableColumn id="19" xr3:uid="{377B3E5D-B31E-44D2-82EC-FC820F50C966}" name="cpl_End_of_Month_SPY_Short_SPY" dataDxfId="50">
      <calculatedColumnFormula>K2+S1</calculatedColumnFormula>
    </tableColumn>
    <tableColumn id="20" xr3:uid="{1651B4F4-42F4-4EE3-A4ED-4532F035236A}" name="cpl_End_of_Month_TLT_Short_TLT" dataDxfId="49">
      <calculatedColumnFormula>L2+T1</calculatedColumnFormula>
    </tableColumn>
    <tableColumn id="21" xr3:uid="{9603C467-6C1D-40A8-9AD4-A4DC528C6B7E}" name="cpl_End_of_Month_TLT_Long_TLT" dataDxfId="48">
      <calculatedColumnFormula>M2+U1</calculatedColumnFormula>
    </tableColumn>
    <tableColumn id="22" xr3:uid="{44305B35-F27F-49D0-B1A8-93FABA99FAD4}" name="cpl_Start_of_Month_SPY_Long_SPY" dataDxfId="47">
      <calculatedColumnFormula>N2+V1</calculatedColumnFormula>
    </tableColumn>
    <tableColumn id="23" xr3:uid="{DBF35C65-02B8-4346-8467-8028582D1C4E}" name="cpl_Start_of_Month_SPY_Short_SPY" dataDxfId="46">
      <calculatedColumnFormula>O2+W1</calculatedColumnFormula>
    </tableColumn>
    <tableColumn id="24" xr3:uid="{52598862-C13D-4EF8-B03A-D3F2B28133BC}" name="cpl_Start_of_Month_TLT_Short_TLT" dataDxfId="45">
      <calculatedColumnFormula>P2+X1</calculatedColumnFormula>
    </tableColumn>
    <tableColumn id="25" xr3:uid="{1540A364-4C2A-41B3-B3EE-A13CD5E911D9}" name="cpl_Start_of_Month_TLT_Long_TLT" dataDxfId="44">
      <calculatedColumnFormula>Q2+Y1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0082F0-8442-4E91-B122-4F572FEA292B}" name="Table14" displayName="Table14" ref="A1:K278" totalsRowShown="0" headerRowDxfId="43" dataDxfId="41" headerRowBorderDxfId="42" tableBorderDxfId="40">
  <autoFilter ref="A1:K278" xr:uid="{4B9D9591-5554-4BDE-9886-FEE242405FF6}"/>
  <tableColumns count="11">
    <tableColumn id="1" xr3:uid="{DF0A2731-6A54-4C84-98B1-46A62F373FD9}" name="ym" dataDxfId="39"/>
    <tableColumn id="8" xr3:uid="{164995CE-A5B8-4D3E-A472-269C93AFEF72}" name="signal_eom" dataDxfId="38"/>
    <tableColumn id="9" xr3:uid="{7943FA9B-CEA5-4E89-BD69-E6DDC404A258}" name="signal_som" dataDxfId="37"/>
    <tableColumn id="18" xr3:uid="{A95A1283-1136-49D7-92BC-F9E0A3835EAA}" name="cpl_End_of_Month_SPY_Long_SPY" dataDxfId="36"/>
    <tableColumn id="19" xr3:uid="{1C0E7078-F452-4F5F-9419-07ACD6D4FB13}" name="cpl_End_of_Month_SPY_Short_SPY" dataDxfId="35"/>
    <tableColumn id="20" xr3:uid="{4B1C36F1-48DD-460B-8656-07D0FA00E3F7}" name="cpl_End_of_Month_TLT_Short_TLT" dataDxfId="34"/>
    <tableColumn id="21" xr3:uid="{E07875FE-2B16-4184-A94A-EAF8C93D2AB6}" name="cpl_End_of_Month_TLT_Long_TLT" dataDxfId="33"/>
    <tableColumn id="22" xr3:uid="{86B60F5E-73E9-4DB7-B0FB-3B060C53C022}" name="cpl_Start_of_Month_SPY_Long_SPY" dataDxfId="32"/>
    <tableColumn id="23" xr3:uid="{D6B24AE2-7539-490D-B4AA-B1F6C911B78C}" name="cpl_Start_of_Month_SPY_Short_SPY" dataDxfId="31"/>
    <tableColumn id="24" xr3:uid="{07F36B2B-BB91-48A9-A720-73A9F900889D}" name="cpl_Start_of_Month_TLT_Short_TLT" dataDxfId="30"/>
    <tableColumn id="25" xr3:uid="{67A3BD9B-498B-45CF-B86D-C3D6D9F5A4DC}" name="cpl_Start_of_Month_TLT_Long_TLT" dataDxfId="2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2E1295-D750-408A-B085-09CC34DF588A}" name="Table25" displayName="Table25" ref="A1:K280" totalsRowShown="0" headerRowDxfId="28" dataDxfId="26" headerRowBorderDxfId="27" tableBorderDxfId="25">
  <autoFilter ref="A1:K280" xr:uid="{1B8C6561-6CA1-4FAD-8D0D-D956310B8978}"/>
  <tableColumns count="11">
    <tableColumn id="1" xr3:uid="{FE059BC9-115B-43EA-B832-2884A714F83F}" name="ym" dataDxfId="24"/>
    <tableColumn id="8" xr3:uid="{EE9DEACC-67B0-497C-82EA-5F91E73AC2BC}" name="signal_eom" dataDxfId="23"/>
    <tableColumn id="9" xr3:uid="{13D89071-418E-4F0C-AE87-04E95DCAF5BA}" name="signal_som" dataDxfId="22"/>
    <tableColumn id="18" xr3:uid="{2ED77CD2-B392-4845-A145-A72704C56650}" name="cpl_End_of_Month_SPY_Long_SPY" dataDxfId="21"/>
    <tableColumn id="19" xr3:uid="{89F04A79-9C9D-453F-869D-A5391400CEC3}" name="cpl_End_of_Month_SPY_Short_SPY" dataDxfId="20"/>
    <tableColumn id="20" xr3:uid="{49246A4C-71B0-4546-B01E-AC5453C837F9}" name="cpl_End_of_Month_TLT_Short_TLT" dataDxfId="19"/>
    <tableColumn id="21" xr3:uid="{AE25B826-BEEC-4C0B-BA98-2E25FCEF677E}" name="cpl_End_of_Month_TLT_Long_TLT" dataDxfId="18"/>
    <tableColumn id="22" xr3:uid="{97E03343-9F16-4E84-8660-39BE506811C4}" name="cpl_Start_of_Month_SPY_Long_SPY" dataDxfId="17"/>
    <tableColumn id="23" xr3:uid="{D3084563-70C4-49E4-9D99-18949CFD899C}" name="cpl_Start_of_Month_SPY_Short_SPY" dataDxfId="16"/>
    <tableColumn id="24" xr3:uid="{E5021834-9DD9-4CA4-B9FF-2E20E23F53AF}" name="cpl_Start_of_Month_TLT_Short_TLT" dataDxfId="15"/>
    <tableColumn id="25" xr3:uid="{2A9FC1B0-E8BB-4BF7-AE47-B0E96187A9C3}" name="cpl_Start_of_Month_TLT_Long_TLT" dataDxfId="1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D4B2D3-3C52-4F11-9F2F-5E77D24B5609}" name="Table256" displayName="Table256" ref="A1:E279" totalsRowCount="1" headerRowDxfId="13" dataDxfId="11" headerRowBorderDxfId="12" tableBorderDxfId="10">
  <autoFilter ref="A1:E278" xr:uid="{1B8C6561-6CA1-4FAD-8D0D-D956310B8978}"/>
  <tableColumns count="5">
    <tableColumn id="1" xr3:uid="{747AB9FD-0EE2-4709-B786-3204994CC767}" name="ym" totalsRowLabel="Total" dataDxfId="9" totalsRowDxfId="4"/>
    <tableColumn id="8" xr3:uid="{32FB6510-BC6B-40A1-B761-B4FB3A3F9B33}" name="signal_eom (xl)" totalsRowFunction="sum" dataDxfId="8" totalsRowDxfId="3"/>
    <tableColumn id="9" xr3:uid="{4F8CE64D-94F9-4AE6-A151-A1FCA0AB09A1}" name="signal_som (xl)" totalsRowFunction="sum" dataDxfId="7" totalsRowDxfId="2"/>
    <tableColumn id="26" xr3:uid="{25A2E740-701C-4D82-B633-55E5B3A4702A}" name="signal_eom (py)" totalsRowFunction="sum" dataDxfId="6" totalsRowDxfId="1"/>
    <tableColumn id="27" xr3:uid="{FA80A5FC-507B-4CA9-99BC-4353CE5127E2}" name="signal_som (py)" totalsRowFunction="sum" dataDxfId="5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8"/>
  <sheetViews>
    <sheetView topLeftCell="A125" workbookViewId="0">
      <selection activeCell="H227" sqref="H227:I227"/>
    </sheetView>
  </sheetViews>
  <sheetFormatPr defaultRowHeight="15" x14ac:dyDescent="0.25"/>
  <cols>
    <col min="1" max="1" width="18.28515625" bestFit="1" customWidth="1"/>
    <col min="2" max="2" width="12.7109375" bestFit="1" customWidth="1"/>
    <col min="3" max="4" width="17.42578125" bestFit="1" customWidth="1"/>
    <col min="5" max="5" width="17" bestFit="1" customWidth="1"/>
    <col min="6" max="6" width="17.140625" bestFit="1" customWidth="1"/>
    <col min="7" max="7" width="16.7109375" bestFit="1" customWidth="1"/>
    <col min="8" max="8" width="15.7109375" bestFit="1" customWidth="1"/>
    <col min="9" max="9" width="15.42578125" bestFit="1" customWidth="1"/>
    <col min="10" max="10" width="33" bestFit="1" customWidth="1"/>
    <col min="11" max="11" width="33.5703125" bestFit="1" customWidth="1"/>
    <col min="12" max="12" width="32.7109375" bestFit="1" customWidth="1"/>
    <col min="13" max="13" width="32.140625" bestFit="1" customWidth="1"/>
    <col min="14" max="14" width="33.85546875" bestFit="1" customWidth="1"/>
    <col min="15" max="15" width="34.5703125" bestFit="1" customWidth="1"/>
    <col min="16" max="16" width="33.5703125" bestFit="1" customWidth="1"/>
    <col min="17" max="17" width="33" bestFit="1" customWidth="1"/>
    <col min="18" max="18" width="36.7109375" bestFit="1" customWidth="1"/>
    <col min="19" max="19" width="37.28515625" bestFit="1" customWidth="1"/>
    <col min="20" max="20" width="36.42578125" bestFit="1" customWidth="1"/>
    <col min="21" max="21" width="35.85546875" bestFit="1" customWidth="1"/>
    <col min="22" max="22" width="37.5703125" bestFit="1" customWidth="1"/>
    <col min="23" max="23" width="38.140625" bestFit="1" customWidth="1"/>
    <col min="24" max="24" width="37.28515625" bestFit="1" customWidth="1"/>
    <col min="25" max="25" width="36.7109375" bestFit="1" customWidth="1"/>
  </cols>
  <sheetData>
    <row r="1" spans="1:25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37499</v>
      </c>
      <c r="B2" s="3">
        <v>1.1222031784698491E-2</v>
      </c>
      <c r="C2" s="3">
        <v>1.347181504199557E-2</v>
      </c>
      <c r="D2" s="3">
        <v>-4.1722424222282228E-2</v>
      </c>
      <c r="E2" s="3">
        <v>1.486168362453011E-2</v>
      </c>
      <c r="F2" s="3">
        <v>-3.2217731658956139E-2</v>
      </c>
      <c r="G2" s="3">
        <v>1.41940487299751E-2</v>
      </c>
      <c r="H2" s="3">
        <v>-1</v>
      </c>
      <c r="I2" s="3">
        <v>0</v>
      </c>
      <c r="J2" s="3">
        <v>0</v>
      </c>
      <c r="K2" s="3">
        <v>4.1722424222282228E-2</v>
      </c>
      <c r="L2" s="3">
        <v>0</v>
      </c>
      <c r="M2" s="3">
        <v>1.486168362453011E-2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4.1722424222282228E-2</v>
      </c>
      <c r="T2" s="3">
        <v>0</v>
      </c>
      <c r="U2" s="3">
        <v>1.486168362453011E-2</v>
      </c>
      <c r="V2" s="3">
        <v>0</v>
      </c>
      <c r="W2" s="3">
        <v>0</v>
      </c>
      <c r="X2" s="3">
        <v>0</v>
      </c>
      <c r="Y2" s="3">
        <v>0</v>
      </c>
    </row>
    <row r="3" spans="1:25" x14ac:dyDescent="0.25">
      <c r="A3" s="2">
        <v>37529</v>
      </c>
      <c r="B3" s="3">
        <v>-0.1075560312730699</v>
      </c>
      <c r="C3" s="3">
        <v>-0.12496506337790721</v>
      </c>
      <c r="D3" s="3">
        <v>-2.135314322155701E-2</v>
      </c>
      <c r="E3" s="3">
        <v>3.4572338190952401E-3</v>
      </c>
      <c r="F3" s="3">
        <v>-1.127440398555957E-2</v>
      </c>
      <c r="G3" s="3">
        <v>7.3616378364121937E-3</v>
      </c>
      <c r="H3" s="3">
        <v>1</v>
      </c>
      <c r="I3" s="3">
        <v>-1</v>
      </c>
      <c r="J3" s="3">
        <v>-2.135314322155701E-2</v>
      </c>
      <c r="K3" s="3">
        <v>0</v>
      </c>
      <c r="L3" s="3">
        <v>-3.4572338190952401E-3</v>
      </c>
      <c r="M3" s="3">
        <v>0</v>
      </c>
      <c r="N3" s="3">
        <v>0</v>
      </c>
      <c r="O3" s="3">
        <v>1.127440398555957E-2</v>
      </c>
      <c r="P3" s="3">
        <v>0</v>
      </c>
      <c r="Q3" s="3">
        <v>7.3616378364121937E-3</v>
      </c>
      <c r="R3" s="3">
        <v>-2.135314322155701E-2</v>
      </c>
      <c r="S3" s="3">
        <v>4.1722424222282228E-2</v>
      </c>
      <c r="T3" s="3">
        <v>-3.4572338190952401E-3</v>
      </c>
      <c r="U3" s="3">
        <v>1.486168362453011E-2</v>
      </c>
      <c r="V3" s="3">
        <v>0</v>
      </c>
      <c r="W3" s="3">
        <v>1.1274403985559459E-2</v>
      </c>
      <c r="X3" s="3">
        <v>0</v>
      </c>
      <c r="Y3" s="3">
        <v>7.3616378364120827E-3</v>
      </c>
    </row>
    <row r="4" spans="1:25" x14ac:dyDescent="0.25">
      <c r="A4" s="2">
        <v>37560</v>
      </c>
      <c r="B4" s="3">
        <v>8.5515680429710139E-2</v>
      </c>
      <c r="C4" s="3">
        <v>0.16590427775758379</v>
      </c>
      <c r="D4" s="3">
        <v>-1.7800473339559919E-2</v>
      </c>
      <c r="E4" s="3">
        <v>2.572110476772194E-2</v>
      </c>
      <c r="F4" s="3">
        <v>-3.1047478521914029E-2</v>
      </c>
      <c r="G4" s="3">
        <v>-4.3144156392858068E-3</v>
      </c>
      <c r="H4" s="3">
        <v>-1</v>
      </c>
      <c r="I4" s="3">
        <v>1</v>
      </c>
      <c r="J4" s="3">
        <v>0</v>
      </c>
      <c r="K4" s="3">
        <v>1.7800473339559919E-2</v>
      </c>
      <c r="L4" s="3">
        <v>0</v>
      </c>
      <c r="M4" s="3">
        <v>2.572110476772194E-2</v>
      </c>
      <c r="N4" s="3">
        <v>-3.1047478521914029E-2</v>
      </c>
      <c r="O4" s="3">
        <v>0</v>
      </c>
      <c r="P4" s="3">
        <v>4.3144156392858068E-3</v>
      </c>
      <c r="Q4" s="3">
        <v>0</v>
      </c>
      <c r="R4" s="3">
        <v>-2.135314322155701E-2</v>
      </c>
      <c r="S4" s="3">
        <v>6.0265576461872472E-2</v>
      </c>
      <c r="T4" s="3">
        <v>-3.4572338190952401E-3</v>
      </c>
      <c r="U4" s="3">
        <v>4.0965047313783247E-2</v>
      </c>
      <c r="V4" s="3">
        <v>-3.1047478521914029E-2</v>
      </c>
      <c r="W4" s="3">
        <v>1.1274403985559459E-2</v>
      </c>
      <c r="X4" s="3">
        <v>4.3144156392858068E-3</v>
      </c>
      <c r="Y4" s="3">
        <v>7.3616378364120827E-3</v>
      </c>
    </row>
    <row r="5" spans="1:25" x14ac:dyDescent="0.25">
      <c r="A5" s="2">
        <v>37590</v>
      </c>
      <c r="B5" s="3">
        <v>6.2012297931764659E-2</v>
      </c>
      <c r="C5" s="3">
        <v>6.4402234332341823E-2</v>
      </c>
      <c r="D5" s="3">
        <v>-5.6688042694508223E-4</v>
      </c>
      <c r="E5" s="3">
        <v>-6.2821825625629657E-3</v>
      </c>
      <c r="F5" s="3">
        <v>2.5647332969464309E-2</v>
      </c>
      <c r="G5" s="3">
        <v>1.6293962780553839E-2</v>
      </c>
      <c r="H5" s="3">
        <v>-1</v>
      </c>
      <c r="I5" s="3">
        <v>1</v>
      </c>
      <c r="J5" s="3">
        <v>0</v>
      </c>
      <c r="K5" s="3">
        <v>5.6688042694508223E-4</v>
      </c>
      <c r="L5" s="3">
        <v>0</v>
      </c>
      <c r="M5" s="3">
        <v>-6.2821825625629657E-3</v>
      </c>
      <c r="N5" s="3">
        <v>2.5647332969464309E-2</v>
      </c>
      <c r="O5" s="3">
        <v>0</v>
      </c>
      <c r="P5" s="3">
        <v>-1.6293962780553839E-2</v>
      </c>
      <c r="Q5" s="3">
        <v>0</v>
      </c>
      <c r="R5" s="3">
        <v>-2.135314322155701E-2</v>
      </c>
      <c r="S5" s="3">
        <v>6.0866620264532489E-2</v>
      </c>
      <c r="T5" s="3">
        <v>-3.4572338190952401E-3</v>
      </c>
      <c r="U5" s="3">
        <v>3.4425514845310978E-2</v>
      </c>
      <c r="V5" s="3">
        <v>-6.1964305719636181E-3</v>
      </c>
      <c r="W5" s="3">
        <v>1.1274403985559459E-2</v>
      </c>
      <c r="X5" s="3">
        <v>-1.204984606911441E-2</v>
      </c>
      <c r="Y5" s="3">
        <v>7.3616378364120827E-3</v>
      </c>
    </row>
    <row r="6" spans="1:25" x14ac:dyDescent="0.25">
      <c r="A6" s="2">
        <v>37621</v>
      </c>
      <c r="B6" s="3">
        <v>-5.6567784293243162E-2</v>
      </c>
      <c r="C6" s="3">
        <v>-6.306584734620968E-2</v>
      </c>
      <c r="D6" s="3">
        <v>-1.9431922934326051E-2</v>
      </c>
      <c r="E6" s="3">
        <v>1.8619701375307659E-2</v>
      </c>
      <c r="F6" s="3">
        <v>-2.0782462114470209E-2</v>
      </c>
      <c r="G6" s="3">
        <v>1.17978873123108E-2</v>
      </c>
      <c r="H6" s="3">
        <v>1</v>
      </c>
      <c r="I6" s="3">
        <v>-1</v>
      </c>
      <c r="J6" s="3">
        <v>-1.9431922934326051E-2</v>
      </c>
      <c r="K6" s="3">
        <v>0</v>
      </c>
      <c r="L6" s="3">
        <v>-1.8619701375307659E-2</v>
      </c>
      <c r="M6" s="3">
        <v>0</v>
      </c>
      <c r="N6" s="3">
        <v>0</v>
      </c>
      <c r="O6" s="3">
        <v>2.0782462114470209E-2</v>
      </c>
      <c r="P6" s="3">
        <v>0</v>
      </c>
      <c r="Q6" s="3">
        <v>1.17978873123108E-2</v>
      </c>
      <c r="R6" s="3">
        <v>-4.0370133522396157E-2</v>
      </c>
      <c r="S6" s="3">
        <v>6.0866620264532489E-2</v>
      </c>
      <c r="T6" s="3">
        <v>-2.201256253310668E-2</v>
      </c>
      <c r="U6" s="3">
        <v>3.4425514845310978E-2</v>
      </c>
      <c r="V6" s="3">
        <v>-6.1964305719636181E-3</v>
      </c>
      <c r="W6" s="3">
        <v>3.2291175973723003E-2</v>
      </c>
      <c r="X6" s="3">
        <v>-1.204984606911441E-2</v>
      </c>
      <c r="Y6" s="3">
        <v>1.9246376922350979E-2</v>
      </c>
    </row>
    <row r="7" spans="1:25" x14ac:dyDescent="0.25">
      <c r="A7" s="2">
        <v>37652</v>
      </c>
      <c r="B7" s="3">
        <v>-2.2646033478139201E-2</v>
      </c>
      <c r="C7" s="3">
        <v>1.8808789134057591E-2</v>
      </c>
      <c r="D7" s="3">
        <v>-2.9357518265043511E-2</v>
      </c>
      <c r="E7" s="3">
        <v>7.0233598846778378E-3</v>
      </c>
      <c r="F7" s="3">
        <v>3.5962905112254313E-2</v>
      </c>
      <c r="G7" s="3">
        <v>-1.763441145183153E-2</v>
      </c>
      <c r="H7" s="3">
        <v>-1</v>
      </c>
      <c r="I7" s="3">
        <v>1</v>
      </c>
      <c r="J7" s="3">
        <v>0</v>
      </c>
      <c r="K7" s="3">
        <v>2.9357518265043511E-2</v>
      </c>
      <c r="L7" s="3">
        <v>0</v>
      </c>
      <c r="M7" s="3">
        <v>7.0233598846778378E-3</v>
      </c>
      <c r="N7" s="3">
        <v>3.5962905112254313E-2</v>
      </c>
      <c r="O7" s="3">
        <v>0</v>
      </c>
      <c r="P7" s="3">
        <v>1.763441145183153E-2</v>
      </c>
      <c r="Q7" s="3">
        <v>0</v>
      </c>
      <c r="R7" s="3">
        <v>-4.0370133522396157E-2</v>
      </c>
      <c r="S7" s="3">
        <v>9.2011031445723424E-2</v>
      </c>
      <c r="T7" s="3">
        <v>-2.201256253310668E-2</v>
      </c>
      <c r="U7" s="3">
        <v>4.1690657509962703E-2</v>
      </c>
      <c r="V7" s="3">
        <v>2.9543632895596469E-2</v>
      </c>
      <c r="W7" s="3">
        <v>3.2291175973723003E-2</v>
      </c>
      <c r="X7" s="3">
        <v>5.3720734392030964E-3</v>
      </c>
      <c r="Y7" s="3">
        <v>1.9246376922350979E-2</v>
      </c>
    </row>
    <row r="8" spans="1:25" x14ac:dyDescent="0.25">
      <c r="A8" s="2">
        <v>37680</v>
      </c>
      <c r="B8" s="3">
        <v>-1.234923659557907E-2</v>
      </c>
      <c r="C8" s="3">
        <v>-3.6832208398142718E-2</v>
      </c>
      <c r="D8" s="3">
        <v>1.328856999095485E-2</v>
      </c>
      <c r="E8" s="3">
        <v>1.958897451222508E-2</v>
      </c>
      <c r="F8" s="3">
        <v>-3.099984324363669E-2</v>
      </c>
      <c r="G8" s="3">
        <v>7.6660608193896973E-3</v>
      </c>
      <c r="H8" s="3">
        <v>1</v>
      </c>
      <c r="I8" s="3">
        <v>-1</v>
      </c>
      <c r="J8" s="3">
        <v>1.328856999095485E-2</v>
      </c>
      <c r="K8" s="3">
        <v>0</v>
      </c>
      <c r="L8" s="3">
        <v>-1.958897451222508E-2</v>
      </c>
      <c r="M8" s="3">
        <v>0</v>
      </c>
      <c r="N8" s="3">
        <v>0</v>
      </c>
      <c r="O8" s="3">
        <v>3.099984324363669E-2</v>
      </c>
      <c r="P8" s="3">
        <v>0</v>
      </c>
      <c r="Q8" s="3">
        <v>7.6660608193896973E-3</v>
      </c>
      <c r="R8" s="3">
        <v>-2.7618024876297831E-2</v>
      </c>
      <c r="S8" s="3">
        <v>9.2011031445723424E-2</v>
      </c>
      <c r="T8" s="3">
        <v>-4.1170333518921957E-2</v>
      </c>
      <c r="U8" s="3">
        <v>4.1690657509962703E-2</v>
      </c>
      <c r="V8" s="3">
        <v>2.9543632895596469E-2</v>
      </c>
      <c r="W8" s="3">
        <v>6.4292040610697709E-2</v>
      </c>
      <c r="X8" s="3">
        <v>5.3720734392030964E-3</v>
      </c>
      <c r="Y8" s="3">
        <v>2.7059981637780339E-2</v>
      </c>
    </row>
    <row r="9" spans="1:25" x14ac:dyDescent="0.25">
      <c r="A9" s="2">
        <v>37711</v>
      </c>
      <c r="B9" s="3">
        <v>5.015677813172581E-3</v>
      </c>
      <c r="C9" s="3">
        <v>0.1065245360179071</v>
      </c>
      <c r="D9" s="3">
        <v>-5.5650749983481407E-2</v>
      </c>
      <c r="E9" s="3">
        <v>3.2799007247309553E-2</v>
      </c>
      <c r="F9" s="3">
        <v>-1.8516805232259629E-2</v>
      </c>
      <c r="G9" s="3">
        <v>4.7792901103688168E-3</v>
      </c>
      <c r="H9" s="3">
        <v>-1</v>
      </c>
      <c r="I9" s="3">
        <v>1</v>
      </c>
      <c r="J9" s="3">
        <v>0</v>
      </c>
      <c r="K9" s="3">
        <v>5.5650749983481407E-2</v>
      </c>
      <c r="L9" s="3">
        <v>0</v>
      </c>
      <c r="M9" s="3">
        <v>3.2799007247309553E-2</v>
      </c>
      <c r="N9" s="3">
        <v>-1.8516805232259629E-2</v>
      </c>
      <c r="O9" s="3">
        <v>0</v>
      </c>
      <c r="P9" s="3">
        <v>-4.7792901103688168E-3</v>
      </c>
      <c r="Q9" s="3">
        <v>0</v>
      </c>
      <c r="R9" s="3">
        <v>-2.7618024876297831E-2</v>
      </c>
      <c r="S9" s="3">
        <v>0.1527822643359131</v>
      </c>
      <c r="T9" s="3">
        <v>-4.1170333518921957E-2</v>
      </c>
      <c r="U9" s="3">
        <v>7.5857076935086809E-2</v>
      </c>
      <c r="V9" s="3">
        <v>1.04797739671556E-2</v>
      </c>
      <c r="W9" s="3">
        <v>6.4292040610697709E-2</v>
      </c>
      <c r="X9" s="3">
        <v>5.671086313741025E-4</v>
      </c>
      <c r="Y9" s="3">
        <v>2.7059981637780339E-2</v>
      </c>
    </row>
    <row r="10" spans="1:25" x14ac:dyDescent="0.25">
      <c r="A10" s="2">
        <v>37741</v>
      </c>
      <c r="B10" s="3">
        <v>8.2769804555617887E-2</v>
      </c>
      <c r="C10" s="3">
        <v>8.4848513933425962E-2</v>
      </c>
      <c r="D10" s="3">
        <v>6.5362082547639746E-3</v>
      </c>
      <c r="E10" s="3">
        <v>1.927769263376666E-2</v>
      </c>
      <c r="F10" s="3">
        <v>3.8752457331685863E-2</v>
      </c>
      <c r="G10" s="3">
        <v>-1.900362087068674E-2</v>
      </c>
      <c r="H10" s="3">
        <v>-1</v>
      </c>
      <c r="I10" s="3">
        <v>1</v>
      </c>
      <c r="J10" s="3">
        <v>0</v>
      </c>
      <c r="K10" s="3">
        <v>-6.5362082547639746E-3</v>
      </c>
      <c r="L10" s="3">
        <v>0</v>
      </c>
      <c r="M10" s="3">
        <v>1.927769263376666E-2</v>
      </c>
      <c r="N10" s="3">
        <v>3.8752457331685863E-2</v>
      </c>
      <c r="O10" s="3">
        <v>0</v>
      </c>
      <c r="P10" s="3">
        <v>1.900362087068674E-2</v>
      </c>
      <c r="Q10" s="3">
        <v>0</v>
      </c>
      <c r="R10" s="3">
        <v>-2.7618024876297831E-2</v>
      </c>
      <c r="S10" s="3">
        <v>0.14524743938381521</v>
      </c>
      <c r="T10" s="3">
        <v>-4.1170333518921957E-2</v>
      </c>
      <c r="U10" s="3">
        <v>9.6597118982103991E-2</v>
      </c>
      <c r="V10" s="3">
        <v>4.9638348292349477E-2</v>
      </c>
      <c r="W10" s="3">
        <v>6.4292040610697709E-2</v>
      </c>
      <c r="X10" s="3">
        <v>1.958150661948399E-2</v>
      </c>
      <c r="Y10" s="3">
        <v>2.7059981637780339E-2</v>
      </c>
    </row>
    <row r="11" spans="1:25" x14ac:dyDescent="0.25">
      <c r="A11" s="2">
        <v>37772</v>
      </c>
      <c r="B11" s="3">
        <v>5.4415066867017137E-2</v>
      </c>
      <c r="C11" s="3">
        <v>-5.4774675973746967E-2</v>
      </c>
      <c r="D11" s="3">
        <v>4.5702783412110648E-2</v>
      </c>
      <c r="E11" s="3">
        <v>-1.5462749284537169E-3</v>
      </c>
      <c r="F11" s="3">
        <v>1.613700860928691E-2</v>
      </c>
      <c r="G11" s="3">
        <v>1.4552859125762979E-2</v>
      </c>
      <c r="H11" s="3">
        <v>1</v>
      </c>
      <c r="I11" s="3">
        <v>-1</v>
      </c>
      <c r="J11" s="3">
        <v>4.5702783412110648E-2</v>
      </c>
      <c r="K11" s="3">
        <v>0</v>
      </c>
      <c r="L11" s="3">
        <v>1.5462749284537169E-3</v>
      </c>
      <c r="M11" s="3">
        <v>0</v>
      </c>
      <c r="N11" s="3">
        <v>0</v>
      </c>
      <c r="O11" s="3">
        <v>-1.613700860928691E-2</v>
      </c>
      <c r="P11" s="3">
        <v>0</v>
      </c>
      <c r="Q11" s="3">
        <v>1.4552859125762979E-2</v>
      </c>
      <c r="R11" s="3">
        <v>1.6822537926621139E-2</v>
      </c>
      <c r="S11" s="3">
        <v>0.14524743938381521</v>
      </c>
      <c r="T11" s="3">
        <v>-3.9687719244984709E-2</v>
      </c>
      <c r="U11" s="3">
        <v>9.6597118982103991E-2</v>
      </c>
      <c r="V11" s="3">
        <v>4.9638348292349477E-2</v>
      </c>
      <c r="W11" s="3">
        <v>4.7117550788567282E-2</v>
      </c>
      <c r="X11" s="3">
        <v>1.958150661948399E-2</v>
      </c>
      <c r="Y11" s="3">
        <v>4.2006640864263867E-2</v>
      </c>
    </row>
    <row r="12" spans="1:25" x14ac:dyDescent="0.25">
      <c r="A12" s="2">
        <v>37802</v>
      </c>
      <c r="B12" s="3">
        <v>1.154912377418349E-2</v>
      </c>
      <c r="C12" s="3">
        <v>3.4058452556649743E-2</v>
      </c>
      <c r="D12" s="3">
        <v>-1.8114361199767611E-2</v>
      </c>
      <c r="E12" s="3">
        <v>-1.312544349634925E-2</v>
      </c>
      <c r="F12" s="3">
        <v>2.3687438814004261E-2</v>
      </c>
      <c r="G12" s="3">
        <v>-5.578571220307138E-4</v>
      </c>
      <c r="H12" s="3">
        <v>-1</v>
      </c>
      <c r="I12" s="3">
        <v>1</v>
      </c>
      <c r="J12" s="3">
        <v>0</v>
      </c>
      <c r="K12" s="3">
        <v>1.8114361199767611E-2</v>
      </c>
      <c r="L12" s="3">
        <v>0</v>
      </c>
      <c r="M12" s="3">
        <v>-1.312544349634925E-2</v>
      </c>
      <c r="N12" s="3">
        <v>2.3687438814004261E-2</v>
      </c>
      <c r="O12" s="3">
        <v>0</v>
      </c>
      <c r="P12" s="3">
        <v>5.578571220307138E-4</v>
      </c>
      <c r="Q12" s="3">
        <v>0</v>
      </c>
      <c r="R12" s="3">
        <v>1.6822537926621139E-2</v>
      </c>
      <c r="S12" s="3">
        <v>0.16599286516392259</v>
      </c>
      <c r="T12" s="3">
        <v>-3.9687719244984709E-2</v>
      </c>
      <c r="U12" s="3">
        <v>8.2203795458644979E-2</v>
      </c>
      <c r="V12" s="3">
        <v>7.4501592444357057E-2</v>
      </c>
      <c r="W12" s="3">
        <v>4.7117550788567282E-2</v>
      </c>
      <c r="X12" s="3">
        <v>2.0150287424442581E-2</v>
      </c>
      <c r="Y12" s="3">
        <v>4.2006640864263867E-2</v>
      </c>
    </row>
    <row r="13" spans="1:25" x14ac:dyDescent="0.25">
      <c r="A13" s="2">
        <v>37833</v>
      </c>
      <c r="B13" s="3">
        <v>1.8897193957269302E-2</v>
      </c>
      <c r="C13" s="3">
        <v>8.1730359860763935E-2</v>
      </c>
      <c r="D13" s="3">
        <v>2.4217238442219009E-3</v>
      </c>
      <c r="E13" s="3">
        <v>-3.8721092613354102E-2</v>
      </c>
      <c r="F13" s="3">
        <v>3.5798869800326538E-2</v>
      </c>
      <c r="G13" s="3">
        <v>-2.2324679371589221E-2</v>
      </c>
      <c r="H13" s="3">
        <v>-1</v>
      </c>
      <c r="I13" s="3">
        <v>1</v>
      </c>
      <c r="J13" s="3">
        <v>0</v>
      </c>
      <c r="K13" s="3">
        <v>-2.4217238442219009E-3</v>
      </c>
      <c r="L13" s="3">
        <v>0</v>
      </c>
      <c r="M13" s="3">
        <v>-3.8721092613354102E-2</v>
      </c>
      <c r="N13" s="3">
        <v>3.5798869800326538E-2</v>
      </c>
      <c r="O13" s="3">
        <v>0</v>
      </c>
      <c r="P13" s="3">
        <v>2.2324679371589221E-2</v>
      </c>
      <c r="Q13" s="3">
        <v>0</v>
      </c>
      <c r="R13" s="3">
        <v>1.6822537926621139E-2</v>
      </c>
      <c r="S13" s="3">
        <v>0.16316915244016261</v>
      </c>
      <c r="T13" s="3">
        <v>-3.9687719244984709E-2</v>
      </c>
      <c r="U13" s="3">
        <v>4.0299682068167357E-2</v>
      </c>
      <c r="V13" s="3">
        <v>0.1129675350525163</v>
      </c>
      <c r="W13" s="3">
        <v>4.7117550788567282E-2</v>
      </c>
      <c r="X13" s="3">
        <v>4.2924815502027869E-2</v>
      </c>
      <c r="Y13" s="3">
        <v>4.2006640864263867E-2</v>
      </c>
    </row>
    <row r="14" spans="1:25" x14ac:dyDescent="0.25">
      <c r="A14" s="2">
        <v>37864</v>
      </c>
      <c r="B14" s="3">
        <v>2.0981911592384939E-2</v>
      </c>
      <c r="C14" s="3">
        <v>8.3336116690708728E-3</v>
      </c>
      <c r="D14" s="3">
        <v>6.7217209615590967E-3</v>
      </c>
      <c r="E14" s="3">
        <v>7.9390338871155874E-3</v>
      </c>
      <c r="F14" s="3">
        <v>-1.374429303287272E-2</v>
      </c>
      <c r="G14" s="3">
        <v>1.7487824320675079E-2</v>
      </c>
      <c r="H14" s="3">
        <v>-1</v>
      </c>
      <c r="I14" s="3">
        <v>1</v>
      </c>
      <c r="J14" s="3">
        <v>0</v>
      </c>
      <c r="K14" s="3">
        <v>-6.7217209615590967E-3</v>
      </c>
      <c r="L14" s="3">
        <v>0</v>
      </c>
      <c r="M14" s="3">
        <v>7.9390338871155874E-3</v>
      </c>
      <c r="N14" s="3">
        <v>-1.374429303287272E-2</v>
      </c>
      <c r="O14" s="3">
        <v>0</v>
      </c>
      <c r="P14" s="3">
        <v>-1.7487824320675079E-2</v>
      </c>
      <c r="Q14" s="3">
        <v>0</v>
      </c>
      <c r="R14" s="3">
        <v>1.6822537926621139E-2</v>
      </c>
      <c r="S14" s="3">
        <v>0.15535065396636669</v>
      </c>
      <c r="T14" s="3">
        <v>-3.9687719244984709E-2</v>
      </c>
      <c r="U14" s="3">
        <v>4.8558656496862307E-2</v>
      </c>
      <c r="V14" s="3">
        <v>9.7670583114680465E-2</v>
      </c>
      <c r="W14" s="3">
        <v>4.7117550788567282E-2</v>
      </c>
      <c r="X14" s="3">
        <v>2.4686329548855971E-2</v>
      </c>
      <c r="Y14" s="3">
        <v>4.2006640864263867E-2</v>
      </c>
    </row>
    <row r="15" spans="1:25" x14ac:dyDescent="0.25">
      <c r="A15" s="2">
        <v>37894</v>
      </c>
      <c r="B15" s="3">
        <v>-1.017690941427085E-2</v>
      </c>
      <c r="C15" s="3">
        <v>-5.2341415950690751E-3</v>
      </c>
      <c r="D15" s="3">
        <v>-2.5378688802372599E-2</v>
      </c>
      <c r="E15" s="3">
        <v>3.8052348814136112E-2</v>
      </c>
      <c r="F15" s="3">
        <v>2.199538497060638E-2</v>
      </c>
      <c r="G15" s="3">
        <v>-6.1281916513655776E-4</v>
      </c>
      <c r="H15" s="3">
        <v>1</v>
      </c>
      <c r="I15" s="3">
        <v>-1</v>
      </c>
      <c r="J15" s="3">
        <v>-2.5378688802372599E-2</v>
      </c>
      <c r="K15" s="3">
        <v>0</v>
      </c>
      <c r="L15" s="3">
        <v>-3.8052348814136112E-2</v>
      </c>
      <c r="M15" s="3">
        <v>0</v>
      </c>
      <c r="N15" s="3">
        <v>0</v>
      </c>
      <c r="O15" s="3">
        <v>-2.199538497060638E-2</v>
      </c>
      <c r="P15" s="3">
        <v>0</v>
      </c>
      <c r="Q15" s="3">
        <v>-6.1281916513655776E-4</v>
      </c>
      <c r="R15" s="3">
        <v>-8.9830848306572397E-3</v>
      </c>
      <c r="S15" s="3">
        <v>0.15535065396636669</v>
      </c>
      <c r="T15" s="3">
        <v>-7.6229857122773192E-2</v>
      </c>
      <c r="U15" s="3">
        <v>4.8558656496862307E-2</v>
      </c>
      <c r="V15" s="3">
        <v>9.7670583114680465E-2</v>
      </c>
      <c r="W15" s="3">
        <v>2.4085797149494329E-2</v>
      </c>
      <c r="X15" s="3">
        <v>2.4686329548855971E-2</v>
      </c>
      <c r="Y15" s="3">
        <v>4.1368079224542782E-2</v>
      </c>
    </row>
    <row r="16" spans="1:25" x14ac:dyDescent="0.25">
      <c r="A16" s="2">
        <v>37925</v>
      </c>
      <c r="B16" s="3">
        <v>5.273519213826261E-2</v>
      </c>
      <c r="C16" s="3">
        <v>9.1216175087056262E-2</v>
      </c>
      <c r="D16" s="3">
        <v>4.3663932606876621E-3</v>
      </c>
      <c r="E16" s="3">
        <v>1.276711763920502E-2</v>
      </c>
      <c r="F16" s="3">
        <v>4.2507152723462838E-2</v>
      </c>
      <c r="G16" s="3">
        <v>-3.6584725594476231E-2</v>
      </c>
      <c r="H16" s="3">
        <v>-1</v>
      </c>
      <c r="I16" s="3">
        <v>1</v>
      </c>
      <c r="J16" s="3">
        <v>0</v>
      </c>
      <c r="K16" s="3">
        <v>-4.3663932606876621E-3</v>
      </c>
      <c r="L16" s="3">
        <v>0</v>
      </c>
      <c r="M16" s="3">
        <v>1.276711763920502E-2</v>
      </c>
      <c r="N16" s="3">
        <v>4.2507152723462838E-2</v>
      </c>
      <c r="O16" s="3">
        <v>0</v>
      </c>
      <c r="P16" s="3">
        <v>3.6584725594476231E-2</v>
      </c>
      <c r="Q16" s="3">
        <v>0</v>
      </c>
      <c r="R16" s="3">
        <v>-8.9830848306572397E-3</v>
      </c>
      <c r="S16" s="3">
        <v>0.1503059386571568</v>
      </c>
      <c r="T16" s="3">
        <v>-7.6229857122773192E-2</v>
      </c>
      <c r="U16" s="3">
        <v>6.1945728215964557E-2</v>
      </c>
      <c r="V16" s="3">
        <v>0.14432943423118871</v>
      </c>
      <c r="W16" s="3">
        <v>2.4085797149494329E-2</v>
      </c>
      <c r="X16" s="3">
        <v>6.2174197735811898E-2</v>
      </c>
      <c r="Y16" s="3">
        <v>4.1368079224542782E-2</v>
      </c>
    </row>
    <row r="17" spans="1:25" x14ac:dyDescent="0.25">
      <c r="A17" s="2">
        <v>37955</v>
      </c>
      <c r="B17" s="3">
        <v>1.128654297236042E-2</v>
      </c>
      <c r="C17" s="3">
        <v>-2.9826360860150669E-2</v>
      </c>
      <c r="D17" s="3">
        <v>2.1367971000018301E-2</v>
      </c>
      <c r="E17" s="3">
        <v>-1.5867315392958829E-2</v>
      </c>
      <c r="F17" s="3">
        <v>3.0053579202761189E-3</v>
      </c>
      <c r="G17" s="3">
        <v>-1.584938816476367E-2</v>
      </c>
      <c r="H17" s="3">
        <v>1</v>
      </c>
      <c r="I17" s="3">
        <v>-1</v>
      </c>
      <c r="J17" s="3">
        <v>2.1367971000018301E-2</v>
      </c>
      <c r="K17" s="3">
        <v>0</v>
      </c>
      <c r="L17" s="3">
        <v>1.5867315392958829E-2</v>
      </c>
      <c r="M17" s="3">
        <v>0</v>
      </c>
      <c r="N17" s="3">
        <v>0</v>
      </c>
      <c r="O17" s="3">
        <v>-3.0053579202761189E-3</v>
      </c>
      <c r="P17" s="3">
        <v>0</v>
      </c>
      <c r="Q17" s="3">
        <v>-1.584938816476367E-2</v>
      </c>
      <c r="R17" s="3">
        <v>1.219293587320891E-2</v>
      </c>
      <c r="S17" s="3">
        <v>0.1503059386571568</v>
      </c>
      <c r="T17" s="3">
        <v>-6.1572104915141528E-2</v>
      </c>
      <c r="U17" s="3">
        <v>6.1945728215964557E-2</v>
      </c>
      <c r="V17" s="3">
        <v>0.14432943423118871</v>
      </c>
      <c r="W17" s="3">
        <v>2.1008052787988781E-2</v>
      </c>
      <c r="X17" s="3">
        <v>6.2174197735811898E-2</v>
      </c>
      <c r="Y17" s="3">
        <v>2.4863032314518699E-2</v>
      </c>
    </row>
    <row r="18" spans="1:25" x14ac:dyDescent="0.25">
      <c r="A18" s="2">
        <v>37986</v>
      </c>
      <c r="B18" s="3">
        <v>4.9511948085732893E-2</v>
      </c>
      <c r="C18" s="3">
        <v>1.3426557710194411E-5</v>
      </c>
      <c r="D18" s="3">
        <v>2.1733387140041579E-2</v>
      </c>
      <c r="E18" s="3">
        <v>-1.394313214977061E-2</v>
      </c>
      <c r="F18" s="3">
        <v>3.8462406333178429E-3</v>
      </c>
      <c r="G18" s="3">
        <v>1.292454080983285E-2</v>
      </c>
      <c r="H18" s="3">
        <v>-1</v>
      </c>
      <c r="I18" s="3">
        <v>1</v>
      </c>
      <c r="J18" s="3">
        <v>0</v>
      </c>
      <c r="K18" s="3">
        <v>-2.1733387140041579E-2</v>
      </c>
      <c r="L18" s="3">
        <v>0</v>
      </c>
      <c r="M18" s="3">
        <v>-1.394313214977061E-2</v>
      </c>
      <c r="N18" s="3">
        <v>3.8462406333178429E-3</v>
      </c>
      <c r="O18" s="3">
        <v>0</v>
      </c>
      <c r="P18" s="3">
        <v>-1.292454080983285E-2</v>
      </c>
      <c r="Q18" s="3">
        <v>0</v>
      </c>
      <c r="R18" s="3">
        <v>1.219293587320891E-2</v>
      </c>
      <c r="S18" s="3">
        <v>0.12530589436283179</v>
      </c>
      <c r="T18" s="3">
        <v>-6.1572104915141528E-2</v>
      </c>
      <c r="U18" s="3">
        <v>4.7138878591564959E-2</v>
      </c>
      <c r="V18" s="3">
        <v>0.1487308005990304</v>
      </c>
      <c r="W18" s="3">
        <v>2.1008052787988781E-2</v>
      </c>
      <c r="X18" s="3">
        <v>4.8446083970024027E-2</v>
      </c>
      <c r="Y18" s="3">
        <v>2.4863032314518699E-2</v>
      </c>
    </row>
    <row r="19" spans="1:25" x14ac:dyDescent="0.25">
      <c r="A19" s="2">
        <v>38017</v>
      </c>
      <c r="B19" s="3">
        <v>2.001524925037446E-2</v>
      </c>
      <c r="C19" s="3">
        <v>5.3577276817713404E-3</v>
      </c>
      <c r="D19" s="3">
        <v>-8.1388025954682863E-3</v>
      </c>
      <c r="E19" s="3">
        <v>-3.795007410717588E-3</v>
      </c>
      <c r="F19" s="3">
        <v>1.8768116937867171E-2</v>
      </c>
      <c r="G19" s="3">
        <v>2.5935216815886619E-4</v>
      </c>
      <c r="H19" s="3">
        <v>-1</v>
      </c>
      <c r="I19" s="3">
        <v>1</v>
      </c>
      <c r="J19" s="3">
        <v>0</v>
      </c>
      <c r="K19" s="3">
        <v>8.1388025954682863E-3</v>
      </c>
      <c r="L19" s="3">
        <v>0</v>
      </c>
      <c r="M19" s="3">
        <v>-3.795007410717588E-3</v>
      </c>
      <c r="N19" s="3">
        <v>1.8768116937867171E-2</v>
      </c>
      <c r="O19" s="3">
        <v>0</v>
      </c>
      <c r="P19" s="3">
        <v>-2.5935216815886619E-4</v>
      </c>
      <c r="Q19" s="3">
        <v>0</v>
      </c>
      <c r="R19" s="3">
        <v>1.219293587320891E-2</v>
      </c>
      <c r="S19" s="3">
        <v>0.13446453689656779</v>
      </c>
      <c r="T19" s="3">
        <v>-6.1572104915141528E-2</v>
      </c>
      <c r="U19" s="3">
        <v>4.3164978787259438E-2</v>
      </c>
      <c r="V19" s="3">
        <v>0.17029031459480271</v>
      </c>
      <c r="W19" s="3">
        <v>2.1008052787988781E-2</v>
      </c>
      <c r="X19" s="3">
        <v>4.8174167204948708E-2</v>
      </c>
      <c r="Y19" s="3">
        <v>2.4863032314518699E-2</v>
      </c>
    </row>
    <row r="20" spans="1:25" x14ac:dyDescent="0.25">
      <c r="A20" s="2">
        <v>38046</v>
      </c>
      <c r="B20" s="3">
        <v>1.374426807921947E-2</v>
      </c>
      <c r="C20" s="3">
        <v>-3.93343473116603E-3</v>
      </c>
      <c r="D20" s="3">
        <v>3.756601820672945E-3</v>
      </c>
      <c r="E20" s="3">
        <v>8.8820927544687178E-3</v>
      </c>
      <c r="F20" s="3">
        <v>8.6224429744555797E-3</v>
      </c>
      <c r="G20" s="3">
        <v>8.1039936950793034E-3</v>
      </c>
      <c r="H20" s="3">
        <v>1</v>
      </c>
      <c r="I20" s="3">
        <v>-1</v>
      </c>
      <c r="J20" s="3">
        <v>3.756601820672945E-3</v>
      </c>
      <c r="K20" s="3">
        <v>0</v>
      </c>
      <c r="L20" s="3">
        <v>-8.8820927544687178E-3</v>
      </c>
      <c r="M20" s="3">
        <v>0</v>
      </c>
      <c r="N20" s="3">
        <v>0</v>
      </c>
      <c r="O20" s="3">
        <v>-8.6224429744555797E-3</v>
      </c>
      <c r="P20" s="3">
        <v>0</v>
      </c>
      <c r="Q20" s="3">
        <v>8.1039936950793034E-3</v>
      </c>
      <c r="R20" s="3">
        <v>1.599534169898242E-2</v>
      </c>
      <c r="S20" s="3">
        <v>0.13446453689656779</v>
      </c>
      <c r="T20" s="3">
        <v>-6.9907308522666134E-2</v>
      </c>
      <c r="U20" s="3">
        <v>4.3164978787259438E-2</v>
      </c>
      <c r="V20" s="3">
        <v>0.17029031459480271</v>
      </c>
      <c r="W20" s="3">
        <v>1.220446907636452E-2</v>
      </c>
      <c r="X20" s="3">
        <v>4.8174167204948708E-2</v>
      </c>
      <c r="Y20" s="3">
        <v>3.3168515866715431E-2</v>
      </c>
    </row>
    <row r="21" spans="1:25" x14ac:dyDescent="0.25">
      <c r="A21" s="2">
        <v>38077</v>
      </c>
      <c r="B21" s="3">
        <v>-1.233205583507291E-2</v>
      </c>
      <c r="C21" s="3">
        <v>-5.4925668288622893E-2</v>
      </c>
      <c r="D21" s="3">
        <v>1.847617258382139E-2</v>
      </c>
      <c r="E21" s="3">
        <v>-9.6603109387709551E-3</v>
      </c>
      <c r="F21" s="3">
        <v>1.1830875039394281E-2</v>
      </c>
      <c r="G21" s="3">
        <v>1.523209561446648E-2</v>
      </c>
      <c r="H21" s="3">
        <v>1</v>
      </c>
      <c r="I21" s="3">
        <v>-1</v>
      </c>
      <c r="J21" s="3">
        <v>1.847617258382139E-2</v>
      </c>
      <c r="K21" s="3">
        <v>0</v>
      </c>
      <c r="L21" s="3">
        <v>9.6603109387709551E-3</v>
      </c>
      <c r="M21" s="3">
        <v>0</v>
      </c>
      <c r="N21" s="3">
        <v>0</v>
      </c>
      <c r="O21" s="3">
        <v>-1.1830875039394281E-2</v>
      </c>
      <c r="P21" s="3">
        <v>0</v>
      </c>
      <c r="Q21" s="3">
        <v>1.523209561446648E-2</v>
      </c>
      <c r="R21" s="3">
        <v>3.4767046976571507E-2</v>
      </c>
      <c r="S21" s="3">
        <v>0.13446453689656779</v>
      </c>
      <c r="T21" s="3">
        <v>-6.0922323921116739E-2</v>
      </c>
      <c r="U21" s="3">
        <v>4.3164978787259438E-2</v>
      </c>
      <c r="V21" s="3">
        <v>0.17029031459480271</v>
      </c>
      <c r="W21" s="3">
        <v>2.2920448840557661E-4</v>
      </c>
      <c r="X21" s="3">
        <v>4.8174167204948708E-2</v>
      </c>
      <c r="Y21" s="3">
        <v>4.8905837486253663E-2</v>
      </c>
    </row>
    <row r="22" spans="1:25" x14ac:dyDescent="0.25">
      <c r="A22" s="2">
        <v>38107</v>
      </c>
      <c r="B22" s="3">
        <v>-1.8468315180704908E-2</v>
      </c>
      <c r="C22" s="3">
        <v>6.3977568209764302E-2</v>
      </c>
      <c r="D22" s="3">
        <v>-2.9064192836258051E-2</v>
      </c>
      <c r="E22" s="3">
        <v>-1.0377138166158709E-2</v>
      </c>
      <c r="F22" s="3">
        <v>1.350637896415008E-2</v>
      </c>
      <c r="G22" s="3">
        <v>-3.2708381968628353E-2</v>
      </c>
      <c r="H22" s="3">
        <v>-1</v>
      </c>
      <c r="I22" s="3">
        <v>1</v>
      </c>
      <c r="J22" s="3">
        <v>0</v>
      </c>
      <c r="K22" s="3">
        <v>2.9064192836258051E-2</v>
      </c>
      <c r="L22" s="3">
        <v>0</v>
      </c>
      <c r="M22" s="3">
        <v>-1.0377138166158709E-2</v>
      </c>
      <c r="N22" s="3">
        <v>1.350637896415008E-2</v>
      </c>
      <c r="O22" s="3">
        <v>0</v>
      </c>
      <c r="P22" s="3">
        <v>3.2708381968628353E-2</v>
      </c>
      <c r="Q22" s="3">
        <v>0</v>
      </c>
      <c r="R22" s="3">
        <v>3.4767046976571507E-2</v>
      </c>
      <c r="S22" s="3">
        <v>0.16743683296282569</v>
      </c>
      <c r="T22" s="3">
        <v>-6.0922323921116739E-2</v>
      </c>
      <c r="U22" s="3">
        <v>3.2339911672285997E-2</v>
      </c>
      <c r="V22" s="3">
        <v>0.18609669908179449</v>
      </c>
      <c r="W22" s="3">
        <v>2.2920448840557661E-4</v>
      </c>
      <c r="X22" s="3">
        <v>8.2458248235536935E-2</v>
      </c>
      <c r="Y22" s="3">
        <v>4.8905837486253663E-2</v>
      </c>
    </row>
    <row r="23" spans="1:25" x14ac:dyDescent="0.25">
      <c r="A23" s="2">
        <v>38138</v>
      </c>
      <c r="B23" s="3">
        <v>1.754404085423145E-2</v>
      </c>
      <c r="C23" s="3">
        <v>8.8154874990811205E-3</v>
      </c>
      <c r="D23" s="3">
        <v>2.752864841992286E-2</v>
      </c>
      <c r="E23" s="3">
        <v>1.6559002054039151E-2</v>
      </c>
      <c r="F23" s="3">
        <v>-8.7999211784564046E-3</v>
      </c>
      <c r="G23" s="3">
        <v>-2.4117944822595331E-2</v>
      </c>
      <c r="H23" s="3">
        <v>-1</v>
      </c>
      <c r="I23" s="3">
        <v>1</v>
      </c>
      <c r="J23" s="3">
        <v>0</v>
      </c>
      <c r="K23" s="3">
        <v>-2.752864841992286E-2</v>
      </c>
      <c r="L23" s="3">
        <v>0</v>
      </c>
      <c r="M23" s="3">
        <v>1.6559002054039151E-2</v>
      </c>
      <c r="N23" s="3">
        <v>-8.7999211784564046E-3</v>
      </c>
      <c r="O23" s="3">
        <v>0</v>
      </c>
      <c r="P23" s="3">
        <v>2.4117944822595331E-2</v>
      </c>
      <c r="Q23" s="3">
        <v>0</v>
      </c>
      <c r="R23" s="3">
        <v>3.4767046976571507E-2</v>
      </c>
      <c r="S23" s="3">
        <v>0.135298874835724</v>
      </c>
      <c r="T23" s="3">
        <v>-6.0922323921116739E-2</v>
      </c>
      <c r="U23" s="3">
        <v>4.9434430390133947E-2</v>
      </c>
      <c r="V23" s="3">
        <v>0.17565914161984739</v>
      </c>
      <c r="W23" s="3">
        <v>2.2920448840557661E-4</v>
      </c>
      <c r="X23" s="3">
        <v>0.1085649165392446</v>
      </c>
      <c r="Y23" s="3">
        <v>4.8905837486253663E-2</v>
      </c>
    </row>
    <row r="24" spans="1:25" x14ac:dyDescent="0.25">
      <c r="A24" s="2">
        <v>38168</v>
      </c>
      <c r="B24" s="3">
        <v>1.876408004271712E-2</v>
      </c>
      <c r="C24" s="3">
        <v>1.635548227174299E-2</v>
      </c>
      <c r="D24" s="3">
        <v>6.7402806278281657E-3</v>
      </c>
      <c r="E24" s="3">
        <v>1.5322495213965561E-2</v>
      </c>
      <c r="F24" s="3">
        <v>1.6368210852963361E-2</v>
      </c>
      <c r="G24" s="3">
        <v>-1.525029072814754E-2</v>
      </c>
      <c r="H24" s="3">
        <v>-1</v>
      </c>
      <c r="I24" s="3">
        <v>1</v>
      </c>
      <c r="J24" s="3">
        <v>0</v>
      </c>
      <c r="K24" s="3">
        <v>-6.7402806278281657E-3</v>
      </c>
      <c r="L24" s="3">
        <v>0</v>
      </c>
      <c r="M24" s="3">
        <v>1.5322495213965561E-2</v>
      </c>
      <c r="N24" s="3">
        <v>1.6368210852963361E-2</v>
      </c>
      <c r="O24" s="3">
        <v>0</v>
      </c>
      <c r="P24" s="3">
        <v>1.525029072814754E-2</v>
      </c>
      <c r="Q24" s="3">
        <v>0</v>
      </c>
      <c r="R24" s="3">
        <v>3.4767046976571507E-2</v>
      </c>
      <c r="S24" s="3">
        <v>0.12764664182287369</v>
      </c>
      <c r="T24" s="3">
        <v>-6.0922323921116739E-2</v>
      </c>
      <c r="U24" s="3">
        <v>6.5514384427157513E-2</v>
      </c>
      <c r="V24" s="3">
        <v>0.19490257834109509</v>
      </c>
      <c r="W24" s="3">
        <v>2.2920448840557661E-4</v>
      </c>
      <c r="X24" s="3">
        <v>0.1254708538074927</v>
      </c>
      <c r="Y24" s="3">
        <v>4.8905837486253663E-2</v>
      </c>
    </row>
    <row r="25" spans="1:25" x14ac:dyDescent="0.25">
      <c r="A25" s="2">
        <v>38199</v>
      </c>
      <c r="B25" s="3">
        <v>-3.2192371449354502E-2</v>
      </c>
      <c r="C25" s="3">
        <v>-5.7332014851928292E-2</v>
      </c>
      <c r="D25" s="3">
        <v>8.7966131046833818E-3</v>
      </c>
      <c r="E25" s="3">
        <v>-7.6654250176599881E-4</v>
      </c>
      <c r="F25" s="3">
        <v>-2.718564433335768E-2</v>
      </c>
      <c r="G25" s="3">
        <v>1.17056118761858E-2</v>
      </c>
      <c r="H25" s="3">
        <v>1</v>
      </c>
      <c r="I25" s="3">
        <v>-1</v>
      </c>
      <c r="J25" s="3">
        <v>8.7966131046833818E-3</v>
      </c>
      <c r="K25" s="3">
        <v>0</v>
      </c>
      <c r="L25" s="3">
        <v>7.6654250176599881E-4</v>
      </c>
      <c r="M25" s="3">
        <v>0</v>
      </c>
      <c r="N25" s="3">
        <v>0</v>
      </c>
      <c r="O25" s="3">
        <v>2.718564433335768E-2</v>
      </c>
      <c r="P25" s="3">
        <v>0</v>
      </c>
      <c r="Q25" s="3">
        <v>1.17056118761858E-2</v>
      </c>
      <c r="R25" s="3">
        <v>4.3869492342299983E-2</v>
      </c>
      <c r="S25" s="3">
        <v>0.12764664182287369</v>
      </c>
      <c r="T25" s="3">
        <v>-6.0202480969942629E-2</v>
      </c>
      <c r="U25" s="3">
        <v>6.5514384427157513E-2</v>
      </c>
      <c r="V25" s="3">
        <v>0.19490257834109509</v>
      </c>
      <c r="W25" s="3">
        <v>2.742107989346465E-2</v>
      </c>
      <c r="X25" s="3">
        <v>0.1254708538074927</v>
      </c>
      <c r="Y25" s="3">
        <v>6.1183922114533378E-2</v>
      </c>
    </row>
    <row r="26" spans="1:25" x14ac:dyDescent="0.25">
      <c r="A26" s="2">
        <v>38230</v>
      </c>
      <c r="B26" s="3">
        <v>3.0813773348820068E-3</v>
      </c>
      <c r="C26" s="3">
        <v>-2.9604409049959091E-2</v>
      </c>
      <c r="D26" s="3">
        <v>5.7663219866974647E-3</v>
      </c>
      <c r="E26" s="3">
        <v>1.418204988174732E-2</v>
      </c>
      <c r="F26" s="3">
        <v>-3.6391162412038443E-2</v>
      </c>
      <c r="G26" s="3">
        <v>2.5464355002135401E-2</v>
      </c>
      <c r="H26" s="3">
        <v>1</v>
      </c>
      <c r="I26" s="3">
        <v>-1</v>
      </c>
      <c r="J26" s="3">
        <v>5.7663219866974647E-3</v>
      </c>
      <c r="K26" s="3">
        <v>0</v>
      </c>
      <c r="L26" s="3">
        <v>-1.418204988174732E-2</v>
      </c>
      <c r="M26" s="3">
        <v>0</v>
      </c>
      <c r="N26" s="3">
        <v>0</v>
      </c>
      <c r="O26" s="3">
        <v>3.6391162412038443E-2</v>
      </c>
      <c r="P26" s="3">
        <v>0</v>
      </c>
      <c r="Q26" s="3">
        <v>2.5464355002135401E-2</v>
      </c>
      <c r="R26" s="3">
        <v>4.9888779947236062E-2</v>
      </c>
      <c r="S26" s="3">
        <v>0.12764664182287369</v>
      </c>
      <c r="T26" s="3">
        <v>-7.3530736263569318E-2</v>
      </c>
      <c r="U26" s="3">
        <v>6.5514384427157513E-2</v>
      </c>
      <c r="V26" s="3">
        <v>0.19490257834109509</v>
      </c>
      <c r="W26" s="3">
        <v>6.4810127277419749E-2</v>
      </c>
      <c r="X26" s="3">
        <v>0.1254708538074927</v>
      </c>
      <c r="Y26" s="3">
        <v>8.82062862298163E-2</v>
      </c>
    </row>
    <row r="27" spans="1:25" x14ac:dyDescent="0.25">
      <c r="A27" s="2">
        <v>38260</v>
      </c>
      <c r="B27" s="3">
        <v>1.03244850193146E-2</v>
      </c>
      <c r="C27" s="3">
        <v>-1.7410567394826382E-2</v>
      </c>
      <c r="D27" s="3">
        <v>1.950019802532621E-3</v>
      </c>
      <c r="E27" s="3">
        <v>-1.599279900092088E-2</v>
      </c>
      <c r="F27" s="3">
        <v>1.3241314369333511E-2</v>
      </c>
      <c r="G27" s="3">
        <v>-1.2891398323061629E-3</v>
      </c>
      <c r="H27" s="3">
        <v>1</v>
      </c>
      <c r="I27" s="3">
        <v>-1</v>
      </c>
      <c r="J27" s="3">
        <v>1.950019802532621E-3</v>
      </c>
      <c r="K27" s="3">
        <v>0</v>
      </c>
      <c r="L27" s="3">
        <v>1.599279900092088E-2</v>
      </c>
      <c r="M27" s="3">
        <v>0</v>
      </c>
      <c r="N27" s="3">
        <v>0</v>
      </c>
      <c r="O27" s="3">
        <v>-1.3241314369333511E-2</v>
      </c>
      <c r="P27" s="3">
        <v>0</v>
      </c>
      <c r="Q27" s="3">
        <v>-1.2891398323061629E-3</v>
      </c>
      <c r="R27" s="3">
        <v>5.1936083858590047E-2</v>
      </c>
      <c r="S27" s="3">
        <v>0.12764664182287369</v>
      </c>
      <c r="T27" s="3">
        <v>-5.8713899548101578E-2</v>
      </c>
      <c r="U27" s="3">
        <v>6.5514384427157513E-2</v>
      </c>
      <c r="V27" s="3">
        <v>0.19490257834109509</v>
      </c>
      <c r="W27" s="3">
        <v>5.0710641638489477E-2</v>
      </c>
      <c r="X27" s="3">
        <v>0.1254708538074927</v>
      </c>
      <c r="Y27" s="3">
        <v>8.6803436160471481E-2</v>
      </c>
    </row>
    <row r="28" spans="1:25" x14ac:dyDescent="0.25">
      <c r="A28" s="2">
        <v>38291</v>
      </c>
      <c r="B28" s="3">
        <v>1.348644722098624E-2</v>
      </c>
      <c r="C28" s="3">
        <v>-2.3802100189840081E-2</v>
      </c>
      <c r="D28" s="3">
        <v>1.772201729628009E-2</v>
      </c>
      <c r="E28" s="3">
        <v>-1.827167801613405E-3</v>
      </c>
      <c r="F28" s="3">
        <v>1.52330510779588E-2</v>
      </c>
      <c r="G28" s="3">
        <v>-1.2435035650256941E-2</v>
      </c>
      <c r="H28" s="3">
        <v>1</v>
      </c>
      <c r="I28" s="3">
        <v>-1</v>
      </c>
      <c r="J28" s="3">
        <v>1.772201729628009E-2</v>
      </c>
      <c r="K28" s="3">
        <v>0</v>
      </c>
      <c r="L28" s="3">
        <v>1.827167801613405E-3</v>
      </c>
      <c r="M28" s="3">
        <v>0</v>
      </c>
      <c r="N28" s="3">
        <v>0</v>
      </c>
      <c r="O28" s="3">
        <v>-1.52330510779588E-2</v>
      </c>
      <c r="P28" s="3">
        <v>0</v>
      </c>
      <c r="Q28" s="3">
        <v>-1.2435035650256941E-2</v>
      </c>
      <c r="R28" s="3">
        <v>7.0578513331313042E-2</v>
      </c>
      <c r="S28" s="3">
        <v>0.12764664182287369</v>
      </c>
      <c r="T28" s="3">
        <v>-5.6994011893249492E-2</v>
      </c>
      <c r="U28" s="3">
        <v>6.5514384427157513E-2</v>
      </c>
      <c r="V28" s="3">
        <v>0.19490257834109509</v>
      </c>
      <c r="W28" s="3">
        <v>3.470511276625543E-2</v>
      </c>
      <c r="X28" s="3">
        <v>0.1254708538074927</v>
      </c>
      <c r="Y28" s="3">
        <v>7.328899668699429E-2</v>
      </c>
    </row>
    <row r="29" spans="1:25" x14ac:dyDescent="0.25">
      <c r="A29" s="2">
        <v>38321</v>
      </c>
      <c r="B29" s="3">
        <v>4.3948116741355792E-2</v>
      </c>
      <c r="C29" s="3">
        <v>4.887771812231112E-2</v>
      </c>
      <c r="D29" s="3">
        <v>4.0207474993871886E-3</v>
      </c>
      <c r="E29" s="3">
        <v>-1.496759540639603E-2</v>
      </c>
      <c r="F29" s="3">
        <v>3.5602415112968133E-2</v>
      </c>
      <c r="G29" s="3">
        <v>-1.421030743092333E-2</v>
      </c>
      <c r="H29" s="3">
        <v>-1</v>
      </c>
      <c r="I29" s="3">
        <v>1</v>
      </c>
      <c r="J29" s="3">
        <v>0</v>
      </c>
      <c r="K29" s="3">
        <v>-4.0207474993871886E-3</v>
      </c>
      <c r="L29" s="3">
        <v>0</v>
      </c>
      <c r="M29" s="3">
        <v>-1.496759540639603E-2</v>
      </c>
      <c r="N29" s="3">
        <v>3.5602415112968133E-2</v>
      </c>
      <c r="O29" s="3">
        <v>0</v>
      </c>
      <c r="P29" s="3">
        <v>1.421030743092333E-2</v>
      </c>
      <c r="Q29" s="3">
        <v>0</v>
      </c>
      <c r="R29" s="3">
        <v>7.0578513331313042E-2</v>
      </c>
      <c r="S29" s="3">
        <v>0.123112659407572</v>
      </c>
      <c r="T29" s="3">
        <v>-5.6994011893249492E-2</v>
      </c>
      <c r="U29" s="3">
        <v>4.9566196221356718E-2</v>
      </c>
      <c r="V29" s="3">
        <v>0.23744399595475069</v>
      </c>
      <c r="W29" s="3">
        <v>3.470511276625543E-2</v>
      </c>
      <c r="X29" s="3">
        <v>0.14146414064464091</v>
      </c>
      <c r="Y29" s="3">
        <v>7.328899668699429E-2</v>
      </c>
    </row>
    <row r="30" spans="1:25" x14ac:dyDescent="0.25">
      <c r="A30" s="2">
        <v>38352</v>
      </c>
      <c r="B30" s="3">
        <v>2.9930386458228871E-2</v>
      </c>
      <c r="C30" s="3">
        <v>-4.0538508246892313E-3</v>
      </c>
      <c r="D30" s="3">
        <v>4.0049090344974614E-3</v>
      </c>
      <c r="E30" s="3">
        <v>-3.2056275859272398E-3</v>
      </c>
      <c r="F30" s="3">
        <v>1.888400187103678E-3</v>
      </c>
      <c r="G30" s="3">
        <v>1.4640037231195561E-2</v>
      </c>
      <c r="H30" s="3">
        <v>1</v>
      </c>
      <c r="I30" s="3">
        <v>-1</v>
      </c>
      <c r="J30" s="3">
        <v>4.0049090344974614E-3</v>
      </c>
      <c r="K30" s="3">
        <v>0</v>
      </c>
      <c r="L30" s="3">
        <v>3.2056275859272398E-3</v>
      </c>
      <c r="M30" s="3">
        <v>0</v>
      </c>
      <c r="N30" s="3">
        <v>0</v>
      </c>
      <c r="O30" s="3">
        <v>-1.888400187103678E-3</v>
      </c>
      <c r="P30" s="3">
        <v>0</v>
      </c>
      <c r="Q30" s="3">
        <v>1.4640037231195561E-2</v>
      </c>
      <c r="R30" s="3">
        <v>7.4866082891492658E-2</v>
      </c>
      <c r="S30" s="3">
        <v>0.123112659407572</v>
      </c>
      <c r="T30" s="3">
        <v>-5.3971085884080061E-2</v>
      </c>
      <c r="U30" s="3">
        <v>4.9566196221356718E-2</v>
      </c>
      <c r="V30" s="3">
        <v>0.23744399595475069</v>
      </c>
      <c r="W30" s="3">
        <v>3.2751175437710563E-2</v>
      </c>
      <c r="X30" s="3">
        <v>0.14146414064464091</v>
      </c>
      <c r="Y30" s="3">
        <v>8.9001987558324336E-2</v>
      </c>
    </row>
    <row r="31" spans="1:25" x14ac:dyDescent="0.25">
      <c r="A31" s="2">
        <v>38383</v>
      </c>
      <c r="B31" s="3">
        <v>-2.2288197175619921E-2</v>
      </c>
      <c r="C31" s="3">
        <v>-6.78768185779558E-2</v>
      </c>
      <c r="D31" s="3">
        <v>1.3748323243456101E-2</v>
      </c>
      <c r="E31" s="3">
        <v>3.4879779184630029E-3</v>
      </c>
      <c r="F31" s="3">
        <v>-2.0185058515465041E-2</v>
      </c>
      <c r="G31" s="3">
        <v>-3.7773946526376001E-5</v>
      </c>
      <c r="H31" s="3">
        <v>1</v>
      </c>
      <c r="I31" s="3">
        <v>-1</v>
      </c>
      <c r="J31" s="3">
        <v>1.3748323243456101E-2</v>
      </c>
      <c r="K31" s="3">
        <v>0</v>
      </c>
      <c r="L31" s="3">
        <v>-3.4879779184630029E-3</v>
      </c>
      <c r="M31" s="3">
        <v>0</v>
      </c>
      <c r="N31" s="3">
        <v>0</v>
      </c>
      <c r="O31" s="3">
        <v>2.0185058515465041E-2</v>
      </c>
      <c r="P31" s="3">
        <v>0</v>
      </c>
      <c r="Q31" s="3">
        <v>-3.7773946526376001E-5</v>
      </c>
      <c r="R31" s="3">
        <v>8.9643689242512314E-2</v>
      </c>
      <c r="S31" s="3">
        <v>0.123112659407572</v>
      </c>
      <c r="T31" s="3">
        <v>-5.7270813846743929E-2</v>
      </c>
      <c r="U31" s="3">
        <v>4.9566196221356718E-2</v>
      </c>
      <c r="V31" s="3">
        <v>0.23744399595475069</v>
      </c>
      <c r="W31" s="3">
        <v>5.3597318345836031E-2</v>
      </c>
      <c r="X31" s="3">
        <v>0.14146414064464091</v>
      </c>
      <c r="Y31" s="3">
        <v>8.8960851655479178E-2</v>
      </c>
    </row>
    <row r="32" spans="1:25" x14ac:dyDescent="0.25">
      <c r="A32" s="2">
        <v>38411</v>
      </c>
      <c r="B32" s="3">
        <v>2.1116813459587939E-2</v>
      </c>
      <c r="C32" s="3">
        <v>1.364870411903618E-2</v>
      </c>
      <c r="D32" s="3">
        <v>1.7089394377075681E-2</v>
      </c>
      <c r="E32" s="3">
        <v>-4.7976565568591534E-3</v>
      </c>
      <c r="F32" s="3">
        <v>1.6120946254679192E-2</v>
      </c>
      <c r="G32" s="3">
        <v>2.1513567763251199E-2</v>
      </c>
      <c r="H32" s="3">
        <v>-1</v>
      </c>
      <c r="I32" s="3">
        <v>1</v>
      </c>
      <c r="J32" s="3">
        <v>0</v>
      </c>
      <c r="K32" s="3">
        <v>-1.7089394377075681E-2</v>
      </c>
      <c r="L32" s="3">
        <v>0</v>
      </c>
      <c r="M32" s="3">
        <v>-4.7976565568591534E-3</v>
      </c>
      <c r="N32" s="3">
        <v>1.6120946254679192E-2</v>
      </c>
      <c r="O32" s="3">
        <v>0</v>
      </c>
      <c r="P32" s="3">
        <v>-2.1513567763251199E-2</v>
      </c>
      <c r="Q32" s="3">
        <v>0</v>
      </c>
      <c r="R32" s="3">
        <v>8.9643689242512314E-2</v>
      </c>
      <c r="S32" s="3">
        <v>0.1039193442410697</v>
      </c>
      <c r="T32" s="3">
        <v>-5.7270813846743929E-2</v>
      </c>
      <c r="U32" s="3">
        <v>4.4530738078197629E-2</v>
      </c>
      <c r="V32" s="3">
        <v>0.25739276410671258</v>
      </c>
      <c r="W32" s="3">
        <v>5.3597318345836031E-2</v>
      </c>
      <c r="X32" s="3">
        <v>0.116907174505561</v>
      </c>
      <c r="Y32" s="3">
        <v>8.8960851655479178E-2</v>
      </c>
    </row>
    <row r="33" spans="1:25" x14ac:dyDescent="0.25">
      <c r="A33" s="2">
        <v>38442</v>
      </c>
      <c r="B33" s="3">
        <v>-1.7995857919046569E-2</v>
      </c>
      <c r="C33" s="3">
        <v>-2.5688193155753991E-3</v>
      </c>
      <c r="D33" s="3">
        <v>-1.00883147917219E-3</v>
      </c>
      <c r="E33" s="3">
        <v>1.036332624703085E-2</v>
      </c>
      <c r="F33" s="3">
        <v>1.783726461715374E-2</v>
      </c>
      <c r="G33" s="3">
        <v>1.260258828898086E-2</v>
      </c>
      <c r="H33" s="3">
        <v>1</v>
      </c>
      <c r="I33" s="3">
        <v>-1</v>
      </c>
      <c r="J33" s="3">
        <v>-1.00883147917219E-3</v>
      </c>
      <c r="K33" s="3">
        <v>0</v>
      </c>
      <c r="L33" s="3">
        <v>-1.036332624703085E-2</v>
      </c>
      <c r="M33" s="3">
        <v>0</v>
      </c>
      <c r="N33" s="3">
        <v>0</v>
      </c>
      <c r="O33" s="3">
        <v>-1.783726461715374E-2</v>
      </c>
      <c r="P33" s="3">
        <v>0</v>
      </c>
      <c r="Q33" s="3">
        <v>1.260258828898086E-2</v>
      </c>
      <c r="R33" s="3">
        <v>8.8544422387723198E-2</v>
      </c>
      <c r="S33" s="3">
        <v>0.1039193442410697</v>
      </c>
      <c r="T33" s="3">
        <v>-6.7040623965447965E-2</v>
      </c>
      <c r="U33" s="3">
        <v>4.4530738078197629E-2</v>
      </c>
      <c r="V33" s="3">
        <v>0.25739276410671258</v>
      </c>
      <c r="W33" s="3">
        <v>3.4804024178577857E-2</v>
      </c>
      <c r="X33" s="3">
        <v>0.116907174505561</v>
      </c>
      <c r="Y33" s="3">
        <v>0.1026845769317111</v>
      </c>
    </row>
    <row r="34" spans="1:25" x14ac:dyDescent="0.25">
      <c r="A34" s="2">
        <v>38472</v>
      </c>
      <c r="B34" s="3">
        <v>-1.7971466513449719E-2</v>
      </c>
      <c r="C34" s="3">
        <v>-3.5319784474897808E-2</v>
      </c>
      <c r="D34" s="3">
        <v>-1.98941993260715E-3</v>
      </c>
      <c r="E34" s="3">
        <v>1.89679715038551E-2</v>
      </c>
      <c r="F34" s="3">
        <v>1.083620154985443E-2</v>
      </c>
      <c r="G34" s="3">
        <v>-4.0053845132211876E-3</v>
      </c>
      <c r="H34" s="3">
        <v>1</v>
      </c>
      <c r="I34" s="3">
        <v>-1</v>
      </c>
      <c r="J34" s="3">
        <v>-1.98941993260715E-3</v>
      </c>
      <c r="K34" s="3">
        <v>0</v>
      </c>
      <c r="L34" s="3">
        <v>-1.89679715038551E-2</v>
      </c>
      <c r="M34" s="3">
        <v>0</v>
      </c>
      <c r="N34" s="3">
        <v>0</v>
      </c>
      <c r="O34" s="3">
        <v>-1.083620154985443E-2</v>
      </c>
      <c r="P34" s="3">
        <v>0</v>
      </c>
      <c r="Q34" s="3">
        <v>-4.0053845132211876E-3</v>
      </c>
      <c r="R34" s="3">
        <v>8.6378850416296782E-2</v>
      </c>
      <c r="S34" s="3">
        <v>0.1039193442410697</v>
      </c>
      <c r="T34" s="3">
        <v>-8.4736970824325741E-2</v>
      </c>
      <c r="U34" s="3">
        <v>4.4530738078197629E-2</v>
      </c>
      <c r="V34" s="3">
        <v>0.25739276410671258</v>
      </c>
      <c r="W34" s="3">
        <v>2.3590679207978301E-2</v>
      </c>
      <c r="X34" s="3">
        <v>0.116907174505561</v>
      </c>
      <c r="Y34" s="3">
        <v>9.8267901204300845E-2</v>
      </c>
    </row>
    <row r="35" spans="1:25" x14ac:dyDescent="0.25">
      <c r="A35" s="2">
        <v>38503</v>
      </c>
      <c r="B35" s="3">
        <v>3.2101976359086959E-2</v>
      </c>
      <c r="C35" s="3">
        <v>1.4544844357066039E-2</v>
      </c>
      <c r="D35" s="3">
        <v>3.0719722516627801E-3</v>
      </c>
      <c r="E35" s="3">
        <v>1.6691964979237191E-2</v>
      </c>
      <c r="F35" s="3">
        <v>1.156172794261068E-2</v>
      </c>
      <c r="G35" s="3">
        <v>-1.1391690400708089E-2</v>
      </c>
      <c r="H35" s="3">
        <v>-1</v>
      </c>
      <c r="I35" s="3">
        <v>1</v>
      </c>
      <c r="J35" s="3">
        <v>0</v>
      </c>
      <c r="K35" s="3">
        <v>-3.0719722516627801E-3</v>
      </c>
      <c r="L35" s="3">
        <v>0</v>
      </c>
      <c r="M35" s="3">
        <v>1.6691964979237191E-2</v>
      </c>
      <c r="N35" s="3">
        <v>1.156172794261068E-2</v>
      </c>
      <c r="O35" s="3">
        <v>0</v>
      </c>
      <c r="P35" s="3">
        <v>1.1391690400708089E-2</v>
      </c>
      <c r="Q35" s="3">
        <v>0</v>
      </c>
      <c r="R35" s="3">
        <v>8.6378850416296782E-2</v>
      </c>
      <c r="S35" s="3">
        <v>0.1005281346474873</v>
      </c>
      <c r="T35" s="3">
        <v>-8.4736970824325741E-2</v>
      </c>
      <c r="U35" s="3">
        <v>6.1966008577935661E-2</v>
      </c>
      <c r="V35" s="3">
        <v>0.27193039716232148</v>
      </c>
      <c r="W35" s="3">
        <v>2.3590679207978301E-2</v>
      </c>
      <c r="X35" s="3">
        <v>0.1296306352438579</v>
      </c>
      <c r="Y35" s="3">
        <v>9.8267901204300845E-2</v>
      </c>
    </row>
    <row r="36" spans="1:25" x14ac:dyDescent="0.25">
      <c r="A36" s="2">
        <v>38533</v>
      </c>
      <c r="B36" s="3">
        <v>1.7827154203274851E-3</v>
      </c>
      <c r="C36" s="3">
        <v>1.8113407491264999E-2</v>
      </c>
      <c r="D36" s="3">
        <v>-1.88511343199812E-2</v>
      </c>
      <c r="E36" s="3">
        <v>1.936501161891457E-2</v>
      </c>
      <c r="F36" s="3">
        <v>5.477178325563492E-3</v>
      </c>
      <c r="G36" s="3">
        <v>1.9607161641917999E-2</v>
      </c>
      <c r="H36" s="3">
        <v>-1</v>
      </c>
      <c r="I36" s="3">
        <v>1</v>
      </c>
      <c r="J36" s="3">
        <v>0</v>
      </c>
      <c r="K36" s="3">
        <v>1.88511343199812E-2</v>
      </c>
      <c r="L36" s="3">
        <v>0</v>
      </c>
      <c r="M36" s="3">
        <v>1.936501161891457E-2</v>
      </c>
      <c r="N36" s="3">
        <v>5.477178325563492E-3</v>
      </c>
      <c r="O36" s="3">
        <v>0</v>
      </c>
      <c r="P36" s="3">
        <v>-1.9607161641917999E-2</v>
      </c>
      <c r="Q36" s="3">
        <v>0</v>
      </c>
      <c r="R36" s="3">
        <v>8.6378850416296782E-2</v>
      </c>
      <c r="S36" s="3">
        <v>0.12127433833664519</v>
      </c>
      <c r="T36" s="3">
        <v>-8.4736970824325741E-2</v>
      </c>
      <c r="U36" s="3">
        <v>8.2530992672939618E-2</v>
      </c>
      <c r="V36" s="3">
        <v>0.2788969867652844</v>
      </c>
      <c r="W36" s="3">
        <v>2.3590679207978301E-2</v>
      </c>
      <c r="X36" s="3">
        <v>0.10748178478296901</v>
      </c>
      <c r="Y36" s="3">
        <v>9.8267901204300845E-2</v>
      </c>
    </row>
    <row r="37" spans="1:25" x14ac:dyDescent="0.25">
      <c r="A37" s="2">
        <v>38564</v>
      </c>
      <c r="B37" s="3">
        <v>3.7838976572198368E-2</v>
      </c>
      <c r="C37" s="3">
        <v>6.5504126604833512E-2</v>
      </c>
      <c r="D37" s="3">
        <v>1.671288612384636E-3</v>
      </c>
      <c r="E37" s="3">
        <v>-4.617445695672906E-3</v>
      </c>
      <c r="F37" s="3">
        <v>1.7941136119030369E-2</v>
      </c>
      <c r="G37" s="3">
        <v>-1.8055094463919841E-2</v>
      </c>
      <c r="H37" s="3">
        <v>-1</v>
      </c>
      <c r="I37" s="3">
        <v>1</v>
      </c>
      <c r="J37" s="3">
        <v>0</v>
      </c>
      <c r="K37" s="3">
        <v>-1.671288612384636E-3</v>
      </c>
      <c r="L37" s="3">
        <v>0</v>
      </c>
      <c r="M37" s="3">
        <v>-4.617445695672906E-3</v>
      </c>
      <c r="N37" s="3">
        <v>1.7941136119030369E-2</v>
      </c>
      <c r="O37" s="3">
        <v>0</v>
      </c>
      <c r="P37" s="3">
        <v>1.8055094463919841E-2</v>
      </c>
      <c r="Q37" s="3">
        <v>0</v>
      </c>
      <c r="R37" s="3">
        <v>8.6378850416296782E-2</v>
      </c>
      <c r="S37" s="3">
        <v>0.1194003653036242</v>
      </c>
      <c r="T37" s="3">
        <v>-8.4736970824325741E-2</v>
      </c>
      <c r="U37" s="3">
        <v>7.7532464600389428E-2</v>
      </c>
      <c r="V37" s="3">
        <v>0.30184185168705802</v>
      </c>
      <c r="W37" s="3">
        <v>2.3590679207978301E-2</v>
      </c>
      <c r="X37" s="3">
        <v>0.12747747302429599</v>
      </c>
      <c r="Y37" s="3">
        <v>9.8267901204300845E-2</v>
      </c>
    </row>
    <row r="38" spans="1:25" x14ac:dyDescent="0.25">
      <c r="A38" s="2">
        <v>38595</v>
      </c>
      <c r="B38" s="3">
        <v>-8.9939369032360217E-3</v>
      </c>
      <c r="C38" s="3">
        <v>-2.118687094710792E-2</v>
      </c>
      <c r="D38" s="3">
        <v>1.0921336592493169E-3</v>
      </c>
      <c r="E38" s="3">
        <v>2.3364596693604241E-2</v>
      </c>
      <c r="F38" s="3">
        <v>-6.8975701089103447E-3</v>
      </c>
      <c r="G38" s="3">
        <v>-1.192598829289415E-2</v>
      </c>
      <c r="H38" s="3">
        <v>1</v>
      </c>
      <c r="I38" s="3">
        <v>-1</v>
      </c>
      <c r="J38" s="3">
        <v>1.0921336592493169E-3</v>
      </c>
      <c r="K38" s="3">
        <v>0</v>
      </c>
      <c r="L38" s="3">
        <v>-2.3364596693604241E-2</v>
      </c>
      <c r="M38" s="3">
        <v>0</v>
      </c>
      <c r="N38" s="3">
        <v>0</v>
      </c>
      <c r="O38" s="3">
        <v>6.8975701089103447E-3</v>
      </c>
      <c r="P38" s="3">
        <v>0</v>
      </c>
      <c r="Q38" s="3">
        <v>-1.192598829289415E-2</v>
      </c>
      <c r="R38" s="3">
        <v>8.7565321325532963E-2</v>
      </c>
      <c r="S38" s="3">
        <v>0.1194003653036242</v>
      </c>
      <c r="T38" s="3">
        <v>-0.10612172236958201</v>
      </c>
      <c r="U38" s="3">
        <v>7.7532464600389428E-2</v>
      </c>
      <c r="V38" s="3">
        <v>0.30184185168705802</v>
      </c>
      <c r="W38" s="3">
        <v>3.0650967680642349E-2</v>
      </c>
      <c r="X38" s="3">
        <v>0.12747747302429599</v>
      </c>
      <c r="Y38" s="3">
        <v>8.5169971072077022E-2</v>
      </c>
    </row>
    <row r="39" spans="1:25" x14ac:dyDescent="0.25">
      <c r="A39" s="2">
        <v>38625</v>
      </c>
      <c r="B39" s="3">
        <v>8.2900543077799593E-3</v>
      </c>
      <c r="C39" s="3">
        <v>1.892457483269017E-2</v>
      </c>
      <c r="D39" s="3">
        <v>1.3952734654649629E-2</v>
      </c>
      <c r="E39" s="3">
        <v>-1.1888295164790841E-2</v>
      </c>
      <c r="F39" s="3">
        <v>7.5544394877177226E-3</v>
      </c>
      <c r="G39" s="3">
        <v>-2.0571278151573339E-2</v>
      </c>
      <c r="H39" s="3">
        <v>-1</v>
      </c>
      <c r="I39" s="3">
        <v>1</v>
      </c>
      <c r="J39" s="3">
        <v>0</v>
      </c>
      <c r="K39" s="3">
        <v>-1.3952734654649629E-2</v>
      </c>
      <c r="L39" s="3">
        <v>0</v>
      </c>
      <c r="M39" s="3">
        <v>-1.1888295164790841E-2</v>
      </c>
      <c r="N39" s="3">
        <v>7.5544394877177226E-3</v>
      </c>
      <c r="O39" s="3">
        <v>0</v>
      </c>
      <c r="P39" s="3">
        <v>2.0571278151573339E-2</v>
      </c>
      <c r="Q39" s="3">
        <v>0</v>
      </c>
      <c r="R39" s="3">
        <v>8.7565321325532963E-2</v>
      </c>
      <c r="S39" s="3">
        <v>0.1037816690342248</v>
      </c>
      <c r="T39" s="3">
        <v>-0.10612172236958201</v>
      </c>
      <c r="U39" s="3">
        <v>6.4722440611575394E-2</v>
      </c>
      <c r="V39" s="3">
        <v>0.3116765371782062</v>
      </c>
      <c r="W39" s="3">
        <v>3.0650967680642349E-2</v>
      </c>
      <c r="X39" s="3">
        <v>0.15067112573151159</v>
      </c>
      <c r="Y39" s="3">
        <v>8.5169971072077022E-2</v>
      </c>
    </row>
    <row r="40" spans="1:25" x14ac:dyDescent="0.25">
      <c r="A40" s="2">
        <v>38656</v>
      </c>
      <c r="B40" s="3">
        <v>-2.2987114502256208E-2</v>
      </c>
      <c r="C40" s="3">
        <v>-3.5776976887382912E-2</v>
      </c>
      <c r="D40" s="3">
        <v>1.707665192714403E-2</v>
      </c>
      <c r="E40" s="3">
        <v>-1.8108334626291689E-2</v>
      </c>
      <c r="F40" s="3">
        <v>-2.8104041468304919E-2</v>
      </c>
      <c r="G40" s="3">
        <v>8.2813010909510432E-5</v>
      </c>
      <c r="H40" s="3">
        <v>1</v>
      </c>
      <c r="I40" s="3">
        <v>-1</v>
      </c>
      <c r="J40" s="3">
        <v>1.707665192714403E-2</v>
      </c>
      <c r="K40" s="3">
        <v>0</v>
      </c>
      <c r="L40" s="3">
        <v>1.8108334626291689E-2</v>
      </c>
      <c r="M40" s="3">
        <v>0</v>
      </c>
      <c r="N40" s="3">
        <v>0</v>
      </c>
      <c r="O40" s="3">
        <v>2.8104041468304919E-2</v>
      </c>
      <c r="P40" s="3">
        <v>0</v>
      </c>
      <c r="Q40" s="3">
        <v>8.2813010909510432E-5</v>
      </c>
      <c r="R40" s="3">
        <v>0.1061372957658417</v>
      </c>
      <c r="S40" s="3">
        <v>0.1037816690342248</v>
      </c>
      <c r="T40" s="3">
        <v>-8.9935075403076992E-2</v>
      </c>
      <c r="U40" s="3">
        <v>6.4722440611575394E-2</v>
      </c>
      <c r="V40" s="3">
        <v>0.3116765371782062</v>
      </c>
      <c r="W40" s="3">
        <v>5.9616425215687663E-2</v>
      </c>
      <c r="X40" s="3">
        <v>0.15067112573151159</v>
      </c>
      <c r="Y40" s="3">
        <v>8.5259837264730187E-2</v>
      </c>
    </row>
    <row r="41" spans="1:25" x14ac:dyDescent="0.25">
      <c r="A41" s="2">
        <v>38686</v>
      </c>
      <c r="B41" s="3">
        <v>4.3258851141571457E-2</v>
      </c>
      <c r="C41" s="3">
        <v>3.4216184017779483E-2</v>
      </c>
      <c r="D41" s="3">
        <v>-2.7207327209122219E-3</v>
      </c>
      <c r="E41" s="3">
        <v>-4.4729625454870137E-3</v>
      </c>
      <c r="F41" s="3">
        <v>1.7399762933677509E-2</v>
      </c>
      <c r="G41" s="3">
        <v>-1.079105471232533E-2</v>
      </c>
      <c r="H41" s="3">
        <v>-1</v>
      </c>
      <c r="I41" s="3">
        <v>1</v>
      </c>
      <c r="J41" s="3">
        <v>0</v>
      </c>
      <c r="K41" s="3">
        <v>2.7207327209122219E-3</v>
      </c>
      <c r="L41" s="3">
        <v>0</v>
      </c>
      <c r="M41" s="3">
        <v>-4.4729625454870137E-3</v>
      </c>
      <c r="N41" s="3">
        <v>1.7399762933677509E-2</v>
      </c>
      <c r="O41" s="3">
        <v>0</v>
      </c>
      <c r="P41" s="3">
        <v>1.079105471232533E-2</v>
      </c>
      <c r="Q41" s="3">
        <v>0</v>
      </c>
      <c r="R41" s="3">
        <v>0.1061372957658417</v>
      </c>
      <c r="S41" s="3">
        <v>0.10678476393790939</v>
      </c>
      <c r="T41" s="3">
        <v>-8.9935075403076992E-2</v>
      </c>
      <c r="U41" s="3">
        <v>5.9959977013380288E-2</v>
      </c>
      <c r="V41" s="3">
        <v>0.33449939797077399</v>
      </c>
      <c r="W41" s="3">
        <v>5.9616425215687663E-2</v>
      </c>
      <c r="X41" s="3">
        <v>0.16308808080517331</v>
      </c>
      <c r="Y41" s="3">
        <v>8.5259837264730187E-2</v>
      </c>
    </row>
    <row r="42" spans="1:25" x14ac:dyDescent="0.25">
      <c r="A42" s="2">
        <v>38717</v>
      </c>
      <c r="B42" s="3">
        <v>-1.6890743788089411E-3</v>
      </c>
      <c r="C42" s="3">
        <v>5.2696518473283049E-5</v>
      </c>
      <c r="D42" s="3">
        <v>-1.204083254686816E-2</v>
      </c>
      <c r="E42" s="3">
        <v>1.9369171439298501E-2</v>
      </c>
      <c r="F42" s="3">
        <v>5.4018554441911393E-3</v>
      </c>
      <c r="G42" s="3">
        <v>7.3959394856148997E-4</v>
      </c>
      <c r="H42" s="3">
        <v>-1</v>
      </c>
      <c r="I42" s="3">
        <v>1</v>
      </c>
      <c r="J42" s="3">
        <v>0</v>
      </c>
      <c r="K42" s="3">
        <v>1.204083254686816E-2</v>
      </c>
      <c r="L42" s="3">
        <v>0</v>
      </c>
      <c r="M42" s="3">
        <v>1.9369171439298501E-2</v>
      </c>
      <c r="N42" s="3">
        <v>5.4018554441911393E-3</v>
      </c>
      <c r="O42" s="3">
        <v>0</v>
      </c>
      <c r="P42" s="3">
        <v>-7.3959394856148997E-4</v>
      </c>
      <c r="Q42" s="3">
        <v>0</v>
      </c>
      <c r="R42" s="3">
        <v>0.1061372957658417</v>
      </c>
      <c r="S42" s="3">
        <v>0.1201113739459108</v>
      </c>
      <c r="T42" s="3">
        <v>-8.9935075403076992E-2</v>
      </c>
      <c r="U42" s="3">
        <v>8.04905235269473E-2</v>
      </c>
      <c r="V42" s="3">
        <v>0.34170817080897198</v>
      </c>
      <c r="W42" s="3">
        <v>5.9616425215687663E-2</v>
      </c>
      <c r="X42" s="3">
        <v>0.1622278678989659</v>
      </c>
      <c r="Y42" s="3">
        <v>8.5259837264730187E-2</v>
      </c>
    </row>
    <row r="43" spans="1:25" x14ac:dyDescent="0.25">
      <c r="A43" s="2">
        <v>38748</v>
      </c>
      <c r="B43" s="3">
        <v>2.4225635784428271E-2</v>
      </c>
      <c r="C43" s="3">
        <v>1.6552200295301019E-2</v>
      </c>
      <c r="D43" s="3">
        <v>7.564323560994346E-3</v>
      </c>
      <c r="E43" s="3">
        <v>-1.3401687146297751E-2</v>
      </c>
      <c r="F43" s="3">
        <v>3.3843959725805783E-2</v>
      </c>
      <c r="G43" s="3">
        <v>-1.3005036683254589E-3</v>
      </c>
      <c r="H43" s="3">
        <v>-1</v>
      </c>
      <c r="I43" s="3">
        <v>1</v>
      </c>
      <c r="J43" s="3">
        <v>0</v>
      </c>
      <c r="K43" s="3">
        <v>-7.564323560994346E-3</v>
      </c>
      <c r="L43" s="3">
        <v>0</v>
      </c>
      <c r="M43" s="3">
        <v>-1.3401687146297751E-2</v>
      </c>
      <c r="N43" s="3">
        <v>3.3843959725805783E-2</v>
      </c>
      <c r="O43" s="3">
        <v>0</v>
      </c>
      <c r="P43" s="3">
        <v>1.3005036683254589E-3</v>
      </c>
      <c r="Q43" s="3">
        <v>0</v>
      </c>
      <c r="R43" s="3">
        <v>0.1061372957658417</v>
      </c>
      <c r="S43" s="3">
        <v>0.11163848908903409</v>
      </c>
      <c r="T43" s="3">
        <v>-8.9935075403076992E-2</v>
      </c>
      <c r="U43" s="3">
        <v>6.6010127566099586E-2</v>
      </c>
      <c r="V43" s="3">
        <v>0.38711688810561529</v>
      </c>
      <c r="W43" s="3">
        <v>5.9616425215687663E-2</v>
      </c>
      <c r="X43" s="3">
        <v>0.16373934950459851</v>
      </c>
      <c r="Y43" s="3">
        <v>8.5259837264730187E-2</v>
      </c>
    </row>
    <row r="44" spans="1:25" x14ac:dyDescent="0.25">
      <c r="A44" s="2">
        <v>38776</v>
      </c>
      <c r="B44" s="3">
        <v>6.0670813762511164E-3</v>
      </c>
      <c r="C44" s="3">
        <v>2.1710154717131669E-3</v>
      </c>
      <c r="D44" s="3">
        <v>-8.0279047673980086E-3</v>
      </c>
      <c r="E44" s="3">
        <v>-7.4773799335370317E-4</v>
      </c>
      <c r="F44" s="3">
        <v>-1.5822520935005139E-2</v>
      </c>
      <c r="G44" s="3">
        <v>2.819836527581443E-3</v>
      </c>
      <c r="H44" s="3">
        <v>-1</v>
      </c>
      <c r="I44" s="3">
        <v>1</v>
      </c>
      <c r="J44" s="3">
        <v>0</v>
      </c>
      <c r="K44" s="3">
        <v>8.0279047673980086E-3</v>
      </c>
      <c r="L44" s="3">
        <v>0</v>
      </c>
      <c r="M44" s="3">
        <v>-7.4773799335370317E-4</v>
      </c>
      <c r="N44" s="3">
        <v>-1.5822520935005139E-2</v>
      </c>
      <c r="O44" s="3">
        <v>0</v>
      </c>
      <c r="P44" s="3">
        <v>-2.819836527581443E-3</v>
      </c>
      <c r="Q44" s="3">
        <v>0</v>
      </c>
      <c r="R44" s="3">
        <v>0.1061372957658417</v>
      </c>
      <c r="S44" s="3">
        <v>0.1205626170152152</v>
      </c>
      <c r="T44" s="3">
        <v>-8.9935075403076992E-2</v>
      </c>
      <c r="U44" s="3">
        <v>6.5213031292418622E-2</v>
      </c>
      <c r="V44" s="3">
        <v>0.36516920210426501</v>
      </c>
      <c r="W44" s="3">
        <v>5.9616425215687663E-2</v>
      </c>
      <c r="X44" s="3">
        <v>0.16045779477828151</v>
      </c>
      <c r="Y44" s="3">
        <v>8.5259837264730187E-2</v>
      </c>
    </row>
    <row r="45" spans="1:25" x14ac:dyDescent="0.25">
      <c r="A45" s="2">
        <v>38807</v>
      </c>
      <c r="B45" s="3">
        <v>1.665236528060321E-2</v>
      </c>
      <c r="C45" s="3">
        <v>4.238537799130182E-2</v>
      </c>
      <c r="D45" s="3">
        <v>1.9124397354870479E-3</v>
      </c>
      <c r="E45" s="3">
        <v>-1.8807921199006761E-2</v>
      </c>
      <c r="F45" s="3">
        <v>-1.968129565991461E-3</v>
      </c>
      <c r="G45" s="3">
        <v>-2.6846877951379411E-2</v>
      </c>
      <c r="H45" s="3">
        <v>-1</v>
      </c>
      <c r="I45" s="3">
        <v>1</v>
      </c>
      <c r="J45" s="3">
        <v>0</v>
      </c>
      <c r="K45" s="3">
        <v>-1.9124397354870479E-3</v>
      </c>
      <c r="L45" s="3">
        <v>0</v>
      </c>
      <c r="M45" s="3">
        <v>-1.8807921199006761E-2</v>
      </c>
      <c r="N45" s="3">
        <v>-1.968129565991461E-3</v>
      </c>
      <c r="O45" s="3">
        <v>0</v>
      </c>
      <c r="P45" s="3">
        <v>2.6846877951379411E-2</v>
      </c>
      <c r="Q45" s="3">
        <v>0</v>
      </c>
      <c r="R45" s="3">
        <v>0.1061372957658417</v>
      </c>
      <c r="S45" s="3">
        <v>0.118419608540334</v>
      </c>
      <c r="T45" s="3">
        <v>-8.9935075403076992E-2</v>
      </c>
      <c r="U45" s="3">
        <v>4.5178588539715792E-2</v>
      </c>
      <c r="V45" s="3">
        <v>0.36248237223502261</v>
      </c>
      <c r="W45" s="3">
        <v>5.9616425215687663E-2</v>
      </c>
      <c r="X45" s="3">
        <v>0.19161246356242101</v>
      </c>
      <c r="Y45" s="3">
        <v>8.5259837264730187E-2</v>
      </c>
    </row>
    <row r="46" spans="1:25" x14ac:dyDescent="0.25">
      <c r="A46" s="2">
        <v>38837</v>
      </c>
      <c r="B46" s="3">
        <v>1.2826743733233229E-2</v>
      </c>
      <c r="C46" s="3">
        <v>2.4682523568904321E-2</v>
      </c>
      <c r="D46" s="3">
        <v>4.294243958027355E-3</v>
      </c>
      <c r="E46" s="3">
        <v>-1.150443276014812E-2</v>
      </c>
      <c r="F46" s="3">
        <v>-2.1567917757882031E-3</v>
      </c>
      <c r="G46" s="3">
        <v>-1.6723937855271379E-2</v>
      </c>
      <c r="H46" s="3">
        <v>-1</v>
      </c>
      <c r="I46" s="3">
        <v>1</v>
      </c>
      <c r="J46" s="3">
        <v>0</v>
      </c>
      <c r="K46" s="3">
        <v>-4.294243958027355E-3</v>
      </c>
      <c r="L46" s="3">
        <v>0</v>
      </c>
      <c r="M46" s="3">
        <v>-1.150443276014812E-2</v>
      </c>
      <c r="N46" s="3">
        <v>-2.1567917757882031E-3</v>
      </c>
      <c r="O46" s="3">
        <v>0</v>
      </c>
      <c r="P46" s="3">
        <v>1.6723937855271379E-2</v>
      </c>
      <c r="Q46" s="3">
        <v>0</v>
      </c>
      <c r="R46" s="3">
        <v>0.1061372957658417</v>
      </c>
      <c r="S46" s="3">
        <v>0.1136168418938204</v>
      </c>
      <c r="T46" s="3">
        <v>-8.9935075403076992E-2</v>
      </c>
      <c r="U46" s="3">
        <v>3.3154401745514088E-2</v>
      </c>
      <c r="V46" s="3">
        <v>0.3595437814599296</v>
      </c>
      <c r="W46" s="3">
        <v>5.9616425215687663E-2</v>
      </c>
      <c r="X46" s="3">
        <v>0.2115409163506059</v>
      </c>
      <c r="Y46" s="3">
        <v>8.5259837264730187E-2</v>
      </c>
    </row>
    <row r="47" spans="1:25" x14ac:dyDescent="0.25">
      <c r="A47" s="2">
        <v>38868</v>
      </c>
      <c r="B47" s="3">
        <v>-2.9683520871581881E-2</v>
      </c>
      <c r="C47" s="3">
        <v>-4.0688705129135361E-2</v>
      </c>
      <c r="D47" s="3">
        <v>3.6214577868757258E-3</v>
      </c>
      <c r="E47" s="3">
        <v>-9.0139111020108853E-3</v>
      </c>
      <c r="F47" s="3">
        <v>8.0688700767590493E-3</v>
      </c>
      <c r="G47" s="3">
        <v>-2.693588352437049E-3</v>
      </c>
      <c r="H47" s="3">
        <v>1</v>
      </c>
      <c r="I47" s="3">
        <v>-1</v>
      </c>
      <c r="J47" s="3">
        <v>3.6214577868757258E-3</v>
      </c>
      <c r="K47" s="3">
        <v>0</v>
      </c>
      <c r="L47" s="3">
        <v>9.0139111020108853E-3</v>
      </c>
      <c r="M47" s="3">
        <v>0</v>
      </c>
      <c r="N47" s="3">
        <v>0</v>
      </c>
      <c r="O47" s="3">
        <v>-8.0688700767590493E-3</v>
      </c>
      <c r="P47" s="3">
        <v>0</v>
      </c>
      <c r="Q47" s="3">
        <v>-2.693588352437049E-3</v>
      </c>
      <c r="R47" s="3">
        <v>0.11014312528894669</v>
      </c>
      <c r="S47" s="3">
        <v>0.1136168418938204</v>
      </c>
      <c r="T47" s="3">
        <v>-8.1731831075702033E-2</v>
      </c>
      <c r="U47" s="3">
        <v>3.3154401745514088E-2</v>
      </c>
      <c r="V47" s="3">
        <v>0.3595437814599296</v>
      </c>
      <c r="W47" s="3">
        <v>5.1066517949422519E-2</v>
      </c>
      <c r="X47" s="3">
        <v>0.2115409163506059</v>
      </c>
      <c r="Y47" s="3">
        <v>8.2336594007706099E-2</v>
      </c>
    </row>
    <row r="48" spans="1:25" x14ac:dyDescent="0.25">
      <c r="A48" s="2">
        <v>38898</v>
      </c>
      <c r="B48" s="3">
        <v>3.5474188729718299E-3</v>
      </c>
      <c r="C48" s="3">
        <v>-2.366789497670518E-2</v>
      </c>
      <c r="D48" s="3">
        <v>1.82768726589051E-2</v>
      </c>
      <c r="E48" s="3">
        <v>3.0688168447706721E-3</v>
      </c>
      <c r="F48" s="3">
        <v>-1.283862230166344E-2</v>
      </c>
      <c r="G48" s="3">
        <v>2.1027477456258992E-2</v>
      </c>
      <c r="H48" s="3">
        <v>1</v>
      </c>
      <c r="I48" s="3">
        <v>-1</v>
      </c>
      <c r="J48" s="3">
        <v>1.82768726589051E-2</v>
      </c>
      <c r="K48" s="3">
        <v>0</v>
      </c>
      <c r="L48" s="3">
        <v>-3.0688168447706721E-3</v>
      </c>
      <c r="M48" s="3">
        <v>0</v>
      </c>
      <c r="N48" s="3">
        <v>0</v>
      </c>
      <c r="O48" s="3">
        <v>1.283862230166344E-2</v>
      </c>
      <c r="P48" s="3">
        <v>0</v>
      </c>
      <c r="Q48" s="3">
        <v>2.1027477456258992E-2</v>
      </c>
      <c r="R48" s="3">
        <v>0.13043306982301159</v>
      </c>
      <c r="S48" s="3">
        <v>0.1136168418938204</v>
      </c>
      <c r="T48" s="3">
        <v>-8.4549827900513685E-2</v>
      </c>
      <c r="U48" s="3">
        <v>3.3154401745514088E-2</v>
      </c>
      <c r="V48" s="3">
        <v>0.3595437814599296</v>
      </c>
      <c r="W48" s="3">
        <v>6.4560763987299818E-2</v>
      </c>
      <c r="X48" s="3">
        <v>0.2115409163506059</v>
      </c>
      <c r="Y48" s="3">
        <v>0.10509540233828731</v>
      </c>
    </row>
    <row r="49" spans="1:25" x14ac:dyDescent="0.25">
      <c r="A49" s="2">
        <v>38929</v>
      </c>
      <c r="B49" s="3">
        <v>5.1087225848435169E-3</v>
      </c>
      <c r="C49" s="3">
        <v>-2.323981509848971E-2</v>
      </c>
      <c r="D49" s="3">
        <v>1.2968174781978981E-2</v>
      </c>
      <c r="E49" s="3">
        <v>6.2251390174834498E-3</v>
      </c>
      <c r="F49" s="3">
        <v>-3.3319652039537351E-3</v>
      </c>
      <c r="G49" s="3">
        <v>4.5497597311815463E-3</v>
      </c>
      <c r="H49" s="3">
        <v>1</v>
      </c>
      <c r="I49" s="3">
        <v>-1</v>
      </c>
      <c r="J49" s="3">
        <v>1.2968174781978981E-2</v>
      </c>
      <c r="K49" s="3">
        <v>0</v>
      </c>
      <c r="L49" s="3">
        <v>-6.2251390174834498E-3</v>
      </c>
      <c r="M49" s="3">
        <v>0</v>
      </c>
      <c r="N49" s="3">
        <v>0</v>
      </c>
      <c r="O49" s="3">
        <v>3.3319652039537351E-3</v>
      </c>
      <c r="P49" s="3">
        <v>0</v>
      </c>
      <c r="Q49" s="3">
        <v>4.5497597311815463E-3</v>
      </c>
      <c r="R49" s="3">
        <v>0.1450927234518056</v>
      </c>
      <c r="S49" s="3">
        <v>0.1136168418938204</v>
      </c>
      <c r="T49" s="3">
        <v>-9.024863248541215E-2</v>
      </c>
      <c r="U49" s="3">
        <v>3.3154401745514088E-2</v>
      </c>
      <c r="V49" s="3">
        <v>0.3595437814599296</v>
      </c>
      <c r="W49" s="3">
        <v>6.8107843410400104E-2</v>
      </c>
      <c r="X49" s="3">
        <v>0.2115409163506059</v>
      </c>
      <c r="Y49" s="3">
        <v>0.11012332089895981</v>
      </c>
    </row>
    <row r="50" spans="1:25" x14ac:dyDescent="0.25">
      <c r="A50" s="2">
        <v>38960</v>
      </c>
      <c r="B50" s="3">
        <v>2.1800940023598451E-2</v>
      </c>
      <c r="C50" s="3">
        <v>-9.2751875466079436E-4</v>
      </c>
      <c r="D50" s="3">
        <v>3.929163861501106E-3</v>
      </c>
      <c r="E50" s="3">
        <v>1.142850522504957E-2</v>
      </c>
      <c r="F50" s="3">
        <v>4.3386896460018137E-4</v>
      </c>
      <c r="G50" s="3">
        <v>1.0523787702865991E-2</v>
      </c>
      <c r="H50" s="3">
        <v>1</v>
      </c>
      <c r="I50" s="3">
        <v>-1</v>
      </c>
      <c r="J50" s="3">
        <v>3.929163861501106E-3</v>
      </c>
      <c r="K50" s="3">
        <v>0</v>
      </c>
      <c r="L50" s="3">
        <v>-1.142850522504957E-2</v>
      </c>
      <c r="M50" s="3">
        <v>0</v>
      </c>
      <c r="N50" s="3">
        <v>0</v>
      </c>
      <c r="O50" s="3">
        <v>-4.3386896460018137E-4</v>
      </c>
      <c r="P50" s="3">
        <v>0</v>
      </c>
      <c r="Q50" s="3">
        <v>1.0523787702865991E-2</v>
      </c>
      <c r="R50" s="3">
        <v>0.14959198039886029</v>
      </c>
      <c r="S50" s="3">
        <v>0.1136168418938204</v>
      </c>
      <c r="T50" s="3">
        <v>-0.10064573074254859</v>
      </c>
      <c r="U50" s="3">
        <v>3.3154401745514088E-2</v>
      </c>
      <c r="V50" s="3">
        <v>0.3595437814599296</v>
      </c>
      <c r="W50" s="3">
        <v>6.7644424566298378E-2</v>
      </c>
      <c r="X50" s="3">
        <v>0.2115409163506059</v>
      </c>
      <c r="Y50" s="3">
        <v>0.1218060230521012</v>
      </c>
    </row>
    <row r="51" spans="1:25" x14ac:dyDescent="0.25">
      <c r="A51" s="2">
        <v>38990</v>
      </c>
      <c r="B51" s="3">
        <v>2.687487480405237E-2</v>
      </c>
      <c r="C51" s="3">
        <v>-1.1253582413524921E-2</v>
      </c>
      <c r="D51" s="3">
        <v>1.598694475574047E-2</v>
      </c>
      <c r="E51" s="3">
        <v>-2.9761322181943721E-3</v>
      </c>
      <c r="F51" s="3">
        <v>-2.6867775077843441E-3</v>
      </c>
      <c r="G51" s="3">
        <v>-4.5474355101589037E-3</v>
      </c>
      <c r="H51" s="3">
        <v>1</v>
      </c>
      <c r="I51" s="3">
        <v>-1</v>
      </c>
      <c r="J51" s="3">
        <v>1.598694475574047E-2</v>
      </c>
      <c r="K51" s="3">
        <v>0</v>
      </c>
      <c r="L51" s="3">
        <v>2.9761322181943721E-3</v>
      </c>
      <c r="M51" s="3">
        <v>0</v>
      </c>
      <c r="N51" s="3">
        <v>0</v>
      </c>
      <c r="O51" s="3">
        <v>2.6867775077843441E-3</v>
      </c>
      <c r="P51" s="3">
        <v>0</v>
      </c>
      <c r="Q51" s="3">
        <v>-4.5474355101589037E-3</v>
      </c>
      <c r="R51" s="3">
        <v>0.16797044388113941</v>
      </c>
      <c r="S51" s="3">
        <v>0.1136168418938204</v>
      </c>
      <c r="T51" s="3">
        <v>-9.7969133526240704E-2</v>
      </c>
      <c r="U51" s="3">
        <v>3.3154401745514088E-2</v>
      </c>
      <c r="V51" s="3">
        <v>0.3595437814599296</v>
      </c>
      <c r="W51" s="3">
        <v>7.0512947592534569E-2</v>
      </c>
      <c r="X51" s="3">
        <v>0.2115409163506059</v>
      </c>
      <c r="Y51" s="3">
        <v>0.1167046825073639</v>
      </c>
    </row>
    <row r="52" spans="1:25" x14ac:dyDescent="0.25">
      <c r="A52" s="2">
        <v>39021</v>
      </c>
      <c r="B52" s="3">
        <v>3.1205403274978009E-2</v>
      </c>
      <c r="C52" s="3">
        <v>4.1119927567749848E-2</v>
      </c>
      <c r="D52" s="3">
        <v>6.9633436925158332E-3</v>
      </c>
      <c r="E52" s="3">
        <v>2.559149992292897E-2</v>
      </c>
      <c r="F52" s="3">
        <v>1.072797814551241E-2</v>
      </c>
      <c r="G52" s="3">
        <v>-8.7540661284570831E-3</v>
      </c>
      <c r="H52" s="3">
        <v>-1</v>
      </c>
      <c r="I52" s="3">
        <v>1</v>
      </c>
      <c r="J52" s="3">
        <v>0</v>
      </c>
      <c r="K52" s="3">
        <v>-6.9633436925158332E-3</v>
      </c>
      <c r="L52" s="3">
        <v>0</v>
      </c>
      <c r="M52" s="3">
        <v>2.559149992292897E-2</v>
      </c>
      <c r="N52" s="3">
        <v>1.072797814551241E-2</v>
      </c>
      <c r="O52" s="3">
        <v>0</v>
      </c>
      <c r="P52" s="3">
        <v>8.7540661284570831E-3</v>
      </c>
      <c r="Q52" s="3">
        <v>0</v>
      </c>
      <c r="R52" s="3">
        <v>0.16797044388113941</v>
      </c>
      <c r="S52" s="3">
        <v>0.1058623450819396</v>
      </c>
      <c r="T52" s="3">
        <v>-9.7969133526240704E-2</v>
      </c>
      <c r="U52" s="3">
        <v>5.9594372538158247E-2</v>
      </c>
      <c r="V52" s="3">
        <v>0.37412893743529901</v>
      </c>
      <c r="W52" s="3">
        <v>7.0512947592534569E-2</v>
      </c>
      <c r="X52" s="3">
        <v>0.22214682564967059</v>
      </c>
      <c r="Y52" s="3">
        <v>0.1167046825073639</v>
      </c>
    </row>
    <row r="53" spans="1:25" x14ac:dyDescent="0.25">
      <c r="A53" s="2">
        <v>39051</v>
      </c>
      <c r="B53" s="3">
        <v>2.0010373903029729E-2</v>
      </c>
      <c r="C53" s="3">
        <v>1.1052622373783129E-2</v>
      </c>
      <c r="D53" s="3">
        <v>-6.1346805527151549E-4</v>
      </c>
      <c r="E53" s="3">
        <v>1.345395785351E-2</v>
      </c>
      <c r="F53" s="3">
        <v>6.0293710798338118E-3</v>
      </c>
      <c r="G53" s="3">
        <v>-2.8576824476647111E-3</v>
      </c>
      <c r="H53" s="3">
        <v>-1</v>
      </c>
      <c r="I53" s="3">
        <v>1</v>
      </c>
      <c r="J53" s="3">
        <v>0</v>
      </c>
      <c r="K53" s="3">
        <v>6.1346805527151549E-4</v>
      </c>
      <c r="L53" s="3">
        <v>0</v>
      </c>
      <c r="M53" s="3">
        <v>1.345395785351E-2</v>
      </c>
      <c r="N53" s="3">
        <v>6.0293710798338118E-3</v>
      </c>
      <c r="O53" s="3">
        <v>0</v>
      </c>
      <c r="P53" s="3">
        <v>2.8576824476647111E-3</v>
      </c>
      <c r="Q53" s="3">
        <v>0</v>
      </c>
      <c r="R53" s="3">
        <v>0.16797044388113941</v>
      </c>
      <c r="S53" s="3">
        <v>0.10654075630417489</v>
      </c>
      <c r="T53" s="3">
        <v>-9.7969133526240704E-2</v>
      </c>
      <c r="U53" s="3">
        <v>7.3850110568103089E-2</v>
      </c>
      <c r="V53" s="3">
        <v>0.38241407071063399</v>
      </c>
      <c r="W53" s="3">
        <v>7.0512947592534569E-2</v>
      </c>
      <c r="X53" s="3">
        <v>0.22563933318179871</v>
      </c>
      <c r="Y53" s="3">
        <v>0.1167046825073639</v>
      </c>
    </row>
    <row r="54" spans="1:25" x14ac:dyDescent="0.25">
      <c r="A54" s="2">
        <v>39082</v>
      </c>
      <c r="B54" s="3">
        <v>1.345969957586024E-2</v>
      </c>
      <c r="C54" s="3">
        <v>2.5498820849473081E-2</v>
      </c>
      <c r="D54" s="3">
        <v>6.8596824570499315E-5</v>
      </c>
      <c r="E54" s="3">
        <v>-1.5037552843166661E-2</v>
      </c>
      <c r="F54" s="3">
        <v>4.5234769486552917E-3</v>
      </c>
      <c r="G54" s="3">
        <v>-3.1439449589116819E-3</v>
      </c>
      <c r="H54" s="3">
        <v>-1</v>
      </c>
      <c r="I54" s="3">
        <v>1</v>
      </c>
      <c r="J54" s="3">
        <v>0</v>
      </c>
      <c r="K54" s="3">
        <v>-6.8596824570499315E-5</v>
      </c>
      <c r="L54" s="3">
        <v>0</v>
      </c>
      <c r="M54" s="3">
        <v>-1.5037552843166661E-2</v>
      </c>
      <c r="N54" s="3">
        <v>4.5234769486552917E-3</v>
      </c>
      <c r="O54" s="3">
        <v>0</v>
      </c>
      <c r="P54" s="3">
        <v>3.1439449589116819E-3</v>
      </c>
      <c r="Q54" s="3">
        <v>0</v>
      </c>
      <c r="R54" s="3">
        <v>0.16797044388113941</v>
      </c>
      <c r="S54" s="3">
        <v>0.10646485112203451</v>
      </c>
      <c r="T54" s="3">
        <v>-9.7969133526240704E-2</v>
      </c>
      <c r="U54" s="3">
        <v>5.7702032784794799E-2</v>
      </c>
      <c r="V54" s="3">
        <v>0.38866738889299041</v>
      </c>
      <c r="W54" s="3">
        <v>7.0512947592534569E-2</v>
      </c>
      <c r="X54" s="3">
        <v>0.22949267578479951</v>
      </c>
      <c r="Y54" s="3">
        <v>0.1167046825073639</v>
      </c>
    </row>
    <row r="55" spans="1:25" x14ac:dyDescent="0.25">
      <c r="A55" s="2">
        <v>39113</v>
      </c>
      <c r="B55" s="3">
        <v>1.517586632438273E-2</v>
      </c>
      <c r="C55" s="3">
        <v>2.5643032029647569E-2</v>
      </c>
      <c r="D55" s="3">
        <v>-1.2840997359915281E-3</v>
      </c>
      <c r="E55" s="3">
        <v>-6.2176033207883563E-4</v>
      </c>
      <c r="F55" s="3">
        <v>-3.8445451048537689E-3</v>
      </c>
      <c r="G55" s="3">
        <v>1.0628054106722519E-2</v>
      </c>
      <c r="H55" s="3">
        <v>-1</v>
      </c>
      <c r="I55" s="3">
        <v>1</v>
      </c>
      <c r="J55" s="3">
        <v>0</v>
      </c>
      <c r="K55" s="3">
        <v>1.2840997359915281E-3</v>
      </c>
      <c r="L55" s="3">
        <v>0</v>
      </c>
      <c r="M55" s="3">
        <v>-6.2176033207883563E-4</v>
      </c>
      <c r="N55" s="3">
        <v>-3.8445451048537689E-3</v>
      </c>
      <c r="O55" s="3">
        <v>0</v>
      </c>
      <c r="P55" s="3">
        <v>-1.0628054106722519E-2</v>
      </c>
      <c r="Q55" s="3">
        <v>0</v>
      </c>
      <c r="R55" s="3">
        <v>0.16797044388113941</v>
      </c>
      <c r="S55" s="3">
        <v>0.1078856623452442</v>
      </c>
      <c r="T55" s="3">
        <v>-9.7969133526240704E-2</v>
      </c>
      <c r="U55" s="3">
        <v>5.7044395617650068E-2</v>
      </c>
      <c r="V55" s="3">
        <v>0.38332859448075179</v>
      </c>
      <c r="W55" s="3">
        <v>7.0512947592534569E-2</v>
      </c>
      <c r="X55" s="3">
        <v>0.21642556110273969</v>
      </c>
      <c r="Y55" s="3">
        <v>0.1167046825073639</v>
      </c>
    </row>
    <row r="56" spans="1:25" x14ac:dyDescent="0.25">
      <c r="A56" s="2">
        <v>39141</v>
      </c>
      <c r="B56" s="3">
        <v>-1.8852743597293831E-2</v>
      </c>
      <c r="C56" s="3">
        <v>3.0653318070462681E-3</v>
      </c>
      <c r="D56" s="3">
        <v>-3.3609147996006117E-2</v>
      </c>
      <c r="E56" s="3">
        <v>2.189132291863027E-2</v>
      </c>
      <c r="F56" s="3">
        <v>1.012664026238363E-2</v>
      </c>
      <c r="G56" s="3">
        <v>9.8940366338770014E-3</v>
      </c>
      <c r="H56" s="3">
        <v>-1</v>
      </c>
      <c r="I56" s="3">
        <v>1</v>
      </c>
      <c r="J56" s="3">
        <v>0</v>
      </c>
      <c r="K56" s="3">
        <v>3.3609147996006117E-2</v>
      </c>
      <c r="L56" s="3">
        <v>0</v>
      </c>
      <c r="M56" s="3">
        <v>2.189132291863027E-2</v>
      </c>
      <c r="N56" s="3">
        <v>1.012664026238363E-2</v>
      </c>
      <c r="O56" s="3">
        <v>0</v>
      </c>
      <c r="P56" s="3">
        <v>-9.8940366338770014E-3</v>
      </c>
      <c r="Q56" s="3">
        <v>0</v>
      </c>
      <c r="R56" s="3">
        <v>0.16797044388113941</v>
      </c>
      <c r="S56" s="3">
        <v>0.14512075553365891</v>
      </c>
      <c r="T56" s="3">
        <v>-9.7969133526240704E-2</v>
      </c>
      <c r="U56" s="3">
        <v>8.0184495821444379E-2</v>
      </c>
      <c r="V56" s="3">
        <v>0.39733706552172721</v>
      </c>
      <c r="W56" s="3">
        <v>7.0512947592534569E-2</v>
      </c>
      <c r="X56" s="3">
        <v>0.2043902020388049</v>
      </c>
      <c r="Y56" s="3">
        <v>0.1167046825073639</v>
      </c>
    </row>
    <row r="57" spans="1:25" x14ac:dyDescent="0.25">
      <c r="A57" s="2">
        <v>39172</v>
      </c>
      <c r="B57" s="3">
        <v>1.231788248686783E-2</v>
      </c>
      <c r="C57" s="3">
        <v>2.184279604679407E-2</v>
      </c>
      <c r="D57" s="3">
        <v>-9.0109443413043389E-3</v>
      </c>
      <c r="E57" s="3">
        <v>-1.6471992179545421E-2</v>
      </c>
      <c r="F57" s="3">
        <v>-9.4872508712976478E-3</v>
      </c>
      <c r="G57" s="3">
        <v>6.9389618353838936E-3</v>
      </c>
      <c r="H57" s="3">
        <v>-1</v>
      </c>
      <c r="I57" s="3">
        <v>1</v>
      </c>
      <c r="J57" s="3">
        <v>0</v>
      </c>
      <c r="K57" s="3">
        <v>9.0109443413043389E-3</v>
      </c>
      <c r="L57" s="3">
        <v>0</v>
      </c>
      <c r="M57" s="3">
        <v>-1.6471992179545421E-2</v>
      </c>
      <c r="N57" s="3">
        <v>-9.4872508712976478E-3</v>
      </c>
      <c r="O57" s="3">
        <v>0</v>
      </c>
      <c r="P57" s="3">
        <v>-6.9389618353838936E-3</v>
      </c>
      <c r="Q57" s="3">
        <v>0</v>
      </c>
      <c r="R57" s="3">
        <v>0.16797044388113941</v>
      </c>
      <c r="S57" s="3">
        <v>0.15543937492584489</v>
      </c>
      <c r="T57" s="3">
        <v>-9.7969133526240704E-2</v>
      </c>
      <c r="U57" s="3">
        <v>6.2391705253807439E-2</v>
      </c>
      <c r="V57" s="3">
        <v>0.38408017822935969</v>
      </c>
      <c r="W57" s="3">
        <v>7.0512947592534569E-2</v>
      </c>
      <c r="X57" s="3">
        <v>0.1960329843919473</v>
      </c>
      <c r="Y57" s="3">
        <v>0.1167046825073639</v>
      </c>
    </row>
    <row r="58" spans="1:25" x14ac:dyDescent="0.25">
      <c r="A58" s="2">
        <v>39202</v>
      </c>
      <c r="B58" s="3">
        <v>4.3613533769573998E-2</v>
      </c>
      <c r="C58" s="3">
        <v>3.6038596832208669E-2</v>
      </c>
      <c r="D58" s="3">
        <v>1.6297025820760651E-3</v>
      </c>
      <c r="E58" s="3">
        <v>3.2535967729601101E-3</v>
      </c>
      <c r="F58" s="3">
        <v>1.7100373633021752E-2</v>
      </c>
      <c r="G58" s="3">
        <v>-8.922451398889697E-3</v>
      </c>
      <c r="H58" s="3">
        <v>-1</v>
      </c>
      <c r="I58" s="3">
        <v>1</v>
      </c>
      <c r="J58" s="3">
        <v>0</v>
      </c>
      <c r="K58" s="3">
        <v>-1.6297025820760651E-3</v>
      </c>
      <c r="L58" s="3">
        <v>0</v>
      </c>
      <c r="M58" s="3">
        <v>3.2535967729601101E-3</v>
      </c>
      <c r="N58" s="3">
        <v>1.7100373633021752E-2</v>
      </c>
      <c r="O58" s="3">
        <v>0</v>
      </c>
      <c r="P58" s="3">
        <v>8.922451398889697E-3</v>
      </c>
      <c r="Q58" s="3">
        <v>0</v>
      </c>
      <c r="R58" s="3">
        <v>0.16797044388113941</v>
      </c>
      <c r="S58" s="3">
        <v>0.15355635239309581</v>
      </c>
      <c r="T58" s="3">
        <v>-9.7969133526240704E-2</v>
      </c>
      <c r="U58" s="3">
        <v>6.5848299477640815E-2</v>
      </c>
      <c r="V58" s="3">
        <v>0.40774846641514118</v>
      </c>
      <c r="W58" s="3">
        <v>7.0512947592534569E-2</v>
      </c>
      <c r="X58" s="3">
        <v>0.2067045305666535</v>
      </c>
      <c r="Y58" s="3">
        <v>0.1167046825073639</v>
      </c>
    </row>
    <row r="59" spans="1:25" x14ac:dyDescent="0.25">
      <c r="A59" s="2">
        <v>39233</v>
      </c>
      <c r="B59" s="3">
        <v>3.3651351542437258E-2</v>
      </c>
      <c r="C59" s="3">
        <v>4.246404710952123E-2</v>
      </c>
      <c r="D59" s="3">
        <v>5.1906235097193276E-3</v>
      </c>
      <c r="E59" s="3">
        <v>-9.3090249343031894E-3</v>
      </c>
      <c r="F59" s="3">
        <v>1.7821004067593241E-2</v>
      </c>
      <c r="G59" s="3">
        <v>4.6855164150956252E-3</v>
      </c>
      <c r="H59" s="3">
        <v>-1</v>
      </c>
      <c r="I59" s="3">
        <v>1</v>
      </c>
      <c r="J59" s="3">
        <v>0</v>
      </c>
      <c r="K59" s="3">
        <v>-5.1906235097193276E-3</v>
      </c>
      <c r="L59" s="3">
        <v>0</v>
      </c>
      <c r="M59" s="3">
        <v>-9.3090249343031894E-3</v>
      </c>
      <c r="N59" s="3">
        <v>1.7821004067593241E-2</v>
      </c>
      <c r="O59" s="3">
        <v>0</v>
      </c>
      <c r="P59" s="3">
        <v>-4.6855164150956252E-3</v>
      </c>
      <c r="Q59" s="3">
        <v>0</v>
      </c>
      <c r="R59" s="3">
        <v>0.16797044388113941</v>
      </c>
      <c r="S59" s="3">
        <v>0.1475686756705781</v>
      </c>
      <c r="T59" s="3">
        <v>-9.7969133526240704E-2</v>
      </c>
      <c r="U59" s="3">
        <v>5.5926291081618729E-2</v>
      </c>
      <c r="V59" s="3">
        <v>0.43283595756127352</v>
      </c>
      <c r="W59" s="3">
        <v>7.0512947592534569E-2</v>
      </c>
      <c r="X59" s="3">
        <v>0.20105049668051311</v>
      </c>
      <c r="Y59" s="3">
        <v>0.1167046825073639</v>
      </c>
    </row>
    <row r="60" spans="1:25" x14ac:dyDescent="0.25">
      <c r="A60" s="2">
        <v>39263</v>
      </c>
      <c r="B60" s="3">
        <v>-1.3866464947871471E-2</v>
      </c>
      <c r="C60" s="3">
        <v>2.901919401371611E-2</v>
      </c>
      <c r="D60" s="3">
        <v>-1.004140084607219E-2</v>
      </c>
      <c r="E60" s="3">
        <v>2.3250798576259672E-2</v>
      </c>
      <c r="F60" s="3">
        <v>-2.766687534266643E-2</v>
      </c>
      <c r="G60" s="3">
        <v>-2.5360381094025049E-2</v>
      </c>
      <c r="H60" s="3">
        <v>-1</v>
      </c>
      <c r="I60" s="3">
        <v>1</v>
      </c>
      <c r="J60" s="3">
        <v>0</v>
      </c>
      <c r="K60" s="3">
        <v>1.004140084607219E-2</v>
      </c>
      <c r="L60" s="3">
        <v>0</v>
      </c>
      <c r="M60" s="3">
        <v>2.3250798576259672E-2</v>
      </c>
      <c r="N60" s="3">
        <v>-2.766687534266643E-2</v>
      </c>
      <c r="O60" s="3">
        <v>0</v>
      </c>
      <c r="P60" s="3">
        <v>2.5360381094025049E-2</v>
      </c>
      <c r="Q60" s="3">
        <v>0</v>
      </c>
      <c r="R60" s="3">
        <v>0.16797044388113941</v>
      </c>
      <c r="S60" s="3">
        <v>0.1590918727413824</v>
      </c>
      <c r="T60" s="3">
        <v>-9.7969133526240704E-2</v>
      </c>
      <c r="U60" s="3">
        <v>8.0477420586934523E-2</v>
      </c>
      <c r="V60" s="3">
        <v>0.39319386373693571</v>
      </c>
      <c r="W60" s="3">
        <v>7.0512947592534569E-2</v>
      </c>
      <c r="X60" s="3">
        <v>0.231509594989499</v>
      </c>
      <c r="Y60" s="3">
        <v>0.1167046825073639</v>
      </c>
    </row>
    <row r="61" spans="1:25" x14ac:dyDescent="0.25">
      <c r="A61" s="2">
        <v>39294</v>
      </c>
      <c r="B61" s="3">
        <v>-3.060877707743026E-2</v>
      </c>
      <c r="C61" s="3">
        <v>1.1791186635771609E-2</v>
      </c>
      <c r="D61" s="3">
        <v>-5.4251414325754199E-2</v>
      </c>
      <c r="E61" s="3">
        <v>2.1291386873765861E-2</v>
      </c>
      <c r="F61" s="3">
        <v>1.7655425786004649E-2</v>
      </c>
      <c r="G61" s="3">
        <v>-1.251005652992432E-2</v>
      </c>
      <c r="H61" s="3">
        <v>-1</v>
      </c>
      <c r="I61" s="3">
        <v>1</v>
      </c>
      <c r="J61" s="3">
        <v>0</v>
      </c>
      <c r="K61" s="3">
        <v>5.4251414325754199E-2</v>
      </c>
      <c r="L61" s="3">
        <v>0</v>
      </c>
      <c r="M61" s="3">
        <v>2.1291386873765861E-2</v>
      </c>
      <c r="N61" s="3">
        <v>1.7655425786004649E-2</v>
      </c>
      <c r="O61" s="3">
        <v>0</v>
      </c>
      <c r="P61" s="3">
        <v>1.251005652992432E-2</v>
      </c>
      <c r="Q61" s="3">
        <v>0</v>
      </c>
      <c r="R61" s="3">
        <v>0.16797044388113941</v>
      </c>
      <c r="S61" s="3">
        <v>0.22197424617108941</v>
      </c>
      <c r="T61" s="3">
        <v>-9.7969133526240704E-2</v>
      </c>
      <c r="U61" s="3">
        <v>0.10348228335701951</v>
      </c>
      <c r="V61" s="3">
        <v>0.41779129460366021</v>
      </c>
      <c r="W61" s="3">
        <v>7.0512947592534569E-2</v>
      </c>
      <c r="X61" s="3">
        <v>0.24691584963996169</v>
      </c>
      <c r="Y61" s="3">
        <v>0.1167046825073639</v>
      </c>
    </row>
    <row r="62" spans="1:25" x14ac:dyDescent="0.25">
      <c r="A62" s="2">
        <v>39325</v>
      </c>
      <c r="B62" s="3">
        <v>1.497633234794893E-2</v>
      </c>
      <c r="C62" s="3">
        <v>-3.4307729880644899E-3</v>
      </c>
      <c r="D62" s="3">
        <v>1.886364730774193E-2</v>
      </c>
      <c r="E62" s="3">
        <v>1.8455198294134001E-2</v>
      </c>
      <c r="F62" s="3">
        <v>1.454643276347389E-2</v>
      </c>
      <c r="G62" s="3">
        <v>-1.081083809569394E-3</v>
      </c>
      <c r="H62" s="3">
        <v>1</v>
      </c>
      <c r="I62" s="3">
        <v>-1</v>
      </c>
      <c r="J62" s="3">
        <v>1.886364730774193E-2</v>
      </c>
      <c r="K62" s="3">
        <v>0</v>
      </c>
      <c r="L62" s="3">
        <v>-1.8455198294134001E-2</v>
      </c>
      <c r="M62" s="3">
        <v>0</v>
      </c>
      <c r="N62" s="3">
        <v>0</v>
      </c>
      <c r="O62" s="3">
        <v>-1.454643276347389E-2</v>
      </c>
      <c r="P62" s="3">
        <v>0</v>
      </c>
      <c r="Q62" s="3">
        <v>-1.081083809569394E-3</v>
      </c>
      <c r="R62" s="3">
        <v>0.19000262640037999</v>
      </c>
      <c r="S62" s="3">
        <v>0.22197424617108941</v>
      </c>
      <c r="T62" s="3">
        <v>-0.1146162920344435</v>
      </c>
      <c r="U62" s="3">
        <v>0.10348228335701951</v>
      </c>
      <c r="V62" s="3">
        <v>0.41779129460366021</v>
      </c>
      <c r="W62" s="3">
        <v>5.4940802977951453E-2</v>
      </c>
      <c r="X62" s="3">
        <v>0.24691584963996169</v>
      </c>
      <c r="Y62" s="3">
        <v>0.1154974311550347</v>
      </c>
    </row>
    <row r="63" spans="1:25" x14ac:dyDescent="0.25">
      <c r="A63" s="2">
        <v>39355</v>
      </c>
      <c r="B63" s="3">
        <v>3.8795570319487098E-2</v>
      </c>
      <c r="C63" s="3">
        <v>3.6669591256518592E-2</v>
      </c>
      <c r="D63" s="3">
        <v>5.8887475977650316E-3</v>
      </c>
      <c r="E63" s="3">
        <v>6.5926226221184603E-3</v>
      </c>
      <c r="F63" s="3">
        <v>-1.208027114359189E-2</v>
      </c>
      <c r="G63" s="3">
        <v>2.781749946867218E-2</v>
      </c>
      <c r="H63" s="3">
        <v>-1</v>
      </c>
      <c r="I63" s="3">
        <v>1</v>
      </c>
      <c r="J63" s="3">
        <v>0</v>
      </c>
      <c r="K63" s="3">
        <v>-5.8887475977650316E-3</v>
      </c>
      <c r="L63" s="3">
        <v>0</v>
      </c>
      <c r="M63" s="3">
        <v>6.5926226221184603E-3</v>
      </c>
      <c r="N63" s="3">
        <v>-1.208027114359189E-2</v>
      </c>
      <c r="O63" s="3">
        <v>0</v>
      </c>
      <c r="P63" s="3">
        <v>-2.781749946867218E-2</v>
      </c>
      <c r="Q63" s="3">
        <v>0</v>
      </c>
      <c r="R63" s="3">
        <v>0.19000262640037999</v>
      </c>
      <c r="S63" s="3">
        <v>0.2147783482644188</v>
      </c>
      <c r="T63" s="3">
        <v>-0.1146162920344435</v>
      </c>
      <c r="U63" s="3">
        <v>0.110757125621386</v>
      </c>
      <c r="V63" s="3">
        <v>0.40066399133982378</v>
      </c>
      <c r="W63" s="3">
        <v>5.4940802977951453E-2</v>
      </c>
      <c r="X63" s="3">
        <v>0.21222976865512311</v>
      </c>
      <c r="Y63" s="3">
        <v>0.1154974311550347</v>
      </c>
    </row>
    <row r="64" spans="1:25" x14ac:dyDescent="0.25">
      <c r="A64" s="2">
        <v>39386</v>
      </c>
      <c r="B64" s="3">
        <v>1.433131807542354E-2</v>
      </c>
      <c r="C64" s="3">
        <v>-4.2214439566361062E-2</v>
      </c>
      <c r="D64" s="3">
        <v>3.2936703641610721E-2</v>
      </c>
      <c r="E64" s="3">
        <v>-5.2362975777596743E-3</v>
      </c>
      <c r="F64" s="3">
        <v>2.1342488457323561E-2</v>
      </c>
      <c r="G64" s="3">
        <v>-9.8499161444087768E-4</v>
      </c>
      <c r="H64" s="3">
        <v>1</v>
      </c>
      <c r="I64" s="3">
        <v>-1</v>
      </c>
      <c r="J64" s="3">
        <v>3.2936703641610721E-2</v>
      </c>
      <c r="K64" s="3">
        <v>0</v>
      </c>
      <c r="L64" s="3">
        <v>5.2362975777596743E-3</v>
      </c>
      <c r="M64" s="3">
        <v>0</v>
      </c>
      <c r="N64" s="3">
        <v>0</v>
      </c>
      <c r="O64" s="3">
        <v>-2.1342488457323561E-2</v>
      </c>
      <c r="P64" s="3">
        <v>0</v>
      </c>
      <c r="Q64" s="3">
        <v>-9.8499161444087768E-4</v>
      </c>
      <c r="R64" s="3">
        <v>0.22919739023886751</v>
      </c>
      <c r="S64" s="3">
        <v>0.2147783482644188</v>
      </c>
      <c r="T64" s="3">
        <v>-0.1099801594690354</v>
      </c>
      <c r="U64" s="3">
        <v>0.110757125621386</v>
      </c>
      <c r="V64" s="3">
        <v>0.40066399133982378</v>
      </c>
      <c r="W64" s="3">
        <v>3.2425741067234837E-2</v>
      </c>
      <c r="X64" s="3">
        <v>0.21222976865512311</v>
      </c>
      <c r="Y64" s="3">
        <v>0.1143986755394166</v>
      </c>
    </row>
    <row r="65" spans="1:25" x14ac:dyDescent="0.25">
      <c r="A65" s="2">
        <v>39416</v>
      </c>
      <c r="B65" s="3">
        <v>-3.6660302605505242E-2</v>
      </c>
      <c r="C65" s="3">
        <v>-0.12822678274616461</v>
      </c>
      <c r="D65" s="3">
        <v>4.9101805912020069E-2</v>
      </c>
      <c r="E65" s="3">
        <v>1.0216967956825579E-2</v>
      </c>
      <c r="F65" s="3">
        <v>-4.3781167709221469E-2</v>
      </c>
      <c r="G65" s="3">
        <v>1.2681475110837609E-2</v>
      </c>
      <c r="H65" s="3">
        <v>1</v>
      </c>
      <c r="I65" s="3">
        <v>-1</v>
      </c>
      <c r="J65" s="3">
        <v>4.9101805912020069E-2</v>
      </c>
      <c r="K65" s="3">
        <v>0</v>
      </c>
      <c r="L65" s="3">
        <v>-1.0216967956825579E-2</v>
      </c>
      <c r="M65" s="3">
        <v>0</v>
      </c>
      <c r="N65" s="3">
        <v>0</v>
      </c>
      <c r="O65" s="3">
        <v>4.3781167709221469E-2</v>
      </c>
      <c r="P65" s="3">
        <v>0</v>
      </c>
      <c r="Q65" s="3">
        <v>1.2681475110837609E-2</v>
      </c>
      <c r="R65" s="3">
        <v>0.28955320192193801</v>
      </c>
      <c r="S65" s="3">
        <v>0.2147783482644188</v>
      </c>
      <c r="T65" s="3">
        <v>-0.11907346366067929</v>
      </c>
      <c r="U65" s="3">
        <v>0.110757125621386</v>
      </c>
      <c r="V65" s="3">
        <v>0.40066399133982378</v>
      </c>
      <c r="W65" s="3">
        <v>7.7626545584216666E-2</v>
      </c>
      <c r="X65" s="3">
        <v>0.21222976865512311</v>
      </c>
      <c r="Y65" s="3">
        <v>0.12853089460681999</v>
      </c>
    </row>
    <row r="66" spans="1:25" x14ac:dyDescent="0.25">
      <c r="A66" s="2">
        <v>39447</v>
      </c>
      <c r="B66" s="3">
        <v>-1.0096938640896891E-2</v>
      </c>
      <c r="C66" s="3">
        <v>2.7156880527242969E-2</v>
      </c>
      <c r="D66" s="3">
        <v>-1.290665475680597E-2</v>
      </c>
      <c r="E66" s="3">
        <v>1.909241937197537E-2</v>
      </c>
      <c r="F66" s="3">
        <v>1.5324372277929601E-2</v>
      </c>
      <c r="G66" s="3">
        <v>-2.4065107831023891E-2</v>
      </c>
      <c r="H66" s="3">
        <v>-1</v>
      </c>
      <c r="I66" s="3">
        <v>1</v>
      </c>
      <c r="J66" s="3">
        <v>0</v>
      </c>
      <c r="K66" s="3">
        <v>1.290665475680597E-2</v>
      </c>
      <c r="L66" s="3">
        <v>0</v>
      </c>
      <c r="M66" s="3">
        <v>1.909241937197537E-2</v>
      </c>
      <c r="N66" s="3">
        <v>1.5324372277929601E-2</v>
      </c>
      <c r="O66" s="3">
        <v>0</v>
      </c>
      <c r="P66" s="3">
        <v>2.4065107831023891E-2</v>
      </c>
      <c r="Q66" s="3">
        <v>0</v>
      </c>
      <c r="R66" s="3">
        <v>0.28955320192193801</v>
      </c>
      <c r="S66" s="3">
        <v>0.2304570730115105</v>
      </c>
      <c r="T66" s="3">
        <v>-0.11907346366067929</v>
      </c>
      <c r="U66" s="3">
        <v>0.13196416648415951</v>
      </c>
      <c r="V66" s="3">
        <v>0.42212828777940592</v>
      </c>
      <c r="W66" s="3">
        <v>7.7626545584216666E-2</v>
      </c>
      <c r="X66" s="3">
        <v>0.24140220875378571</v>
      </c>
      <c r="Y66" s="3">
        <v>0.12853089460681999</v>
      </c>
    </row>
    <row r="67" spans="1:25" x14ac:dyDescent="0.25">
      <c r="A67" s="2">
        <v>39478</v>
      </c>
      <c r="B67" s="3">
        <v>-6.0254864694886827E-2</v>
      </c>
      <c r="C67" s="3">
        <v>-0.1214519786103663</v>
      </c>
      <c r="D67" s="3">
        <v>2.636316413619855E-2</v>
      </c>
      <c r="E67" s="3">
        <v>-1.31722158344888E-2</v>
      </c>
      <c r="F67" s="3">
        <v>-5.0741369794192533E-2</v>
      </c>
      <c r="G67" s="3">
        <v>1.6424573136379791E-2</v>
      </c>
      <c r="H67" s="3">
        <v>1</v>
      </c>
      <c r="I67" s="3">
        <v>-1</v>
      </c>
      <c r="J67" s="3">
        <v>2.636316413619855E-2</v>
      </c>
      <c r="K67" s="3">
        <v>0</v>
      </c>
      <c r="L67" s="3">
        <v>1.31722158344888E-2</v>
      </c>
      <c r="M67" s="3">
        <v>0</v>
      </c>
      <c r="N67" s="3">
        <v>0</v>
      </c>
      <c r="O67" s="3">
        <v>5.0741369794192533E-2</v>
      </c>
      <c r="P67" s="3">
        <v>0</v>
      </c>
      <c r="Q67" s="3">
        <v>1.6424573136379791E-2</v>
      </c>
      <c r="R67" s="3">
        <v>0.32354990464656641</v>
      </c>
      <c r="S67" s="3">
        <v>0.2304570730115105</v>
      </c>
      <c r="T67" s="3">
        <v>-0.107469709189689</v>
      </c>
      <c r="U67" s="3">
        <v>0.13196416648415951</v>
      </c>
      <c r="V67" s="3">
        <v>0.42212828777940592</v>
      </c>
      <c r="W67" s="3">
        <v>0.13230679263374359</v>
      </c>
      <c r="X67" s="3">
        <v>0.24140220875378571</v>
      </c>
      <c r="Y67" s="3">
        <v>0.147066532821954</v>
      </c>
    </row>
    <row r="68" spans="1:25" x14ac:dyDescent="0.25">
      <c r="A68" s="2">
        <v>39507</v>
      </c>
      <c r="B68" s="3">
        <v>-2.4918234330132741E-2</v>
      </c>
      <c r="C68" s="3">
        <v>1.5557107980596171E-2</v>
      </c>
      <c r="D68" s="3">
        <v>-1.29537603214519E-2</v>
      </c>
      <c r="E68" s="3">
        <v>2.4057769985869171E-2</v>
      </c>
      <c r="F68" s="3">
        <v>-2.4732823631616552E-2</v>
      </c>
      <c r="G68" s="3">
        <v>-2.123970153534149E-2</v>
      </c>
      <c r="H68" s="3">
        <v>-1</v>
      </c>
      <c r="I68" s="3">
        <v>1</v>
      </c>
      <c r="J68" s="3">
        <v>0</v>
      </c>
      <c r="K68" s="3">
        <v>1.29537603214519E-2</v>
      </c>
      <c r="L68" s="3">
        <v>0</v>
      </c>
      <c r="M68" s="3">
        <v>2.4057769985869171E-2</v>
      </c>
      <c r="N68" s="3">
        <v>-2.4732823631616552E-2</v>
      </c>
      <c r="O68" s="3">
        <v>0</v>
      </c>
      <c r="P68" s="3">
        <v>2.123970153534149E-2</v>
      </c>
      <c r="Q68" s="3">
        <v>0</v>
      </c>
      <c r="R68" s="3">
        <v>0.32354990464656641</v>
      </c>
      <c r="S68" s="3">
        <v>0.24639611902113701</v>
      </c>
      <c r="T68" s="3">
        <v>-0.107469709189689</v>
      </c>
      <c r="U68" s="3">
        <v>0.15919670003368161</v>
      </c>
      <c r="V68" s="3">
        <v>0.38695503965622507</v>
      </c>
      <c r="W68" s="3">
        <v>0.13230679263374359</v>
      </c>
      <c r="X68" s="3">
        <v>0.26776922115302959</v>
      </c>
      <c r="Y68" s="3">
        <v>0.147066532821954</v>
      </c>
    </row>
    <row r="69" spans="1:25" x14ac:dyDescent="0.25">
      <c r="A69" s="2">
        <v>39538</v>
      </c>
      <c r="B69" s="3">
        <v>-6.0931616615653716E-3</v>
      </c>
      <c r="C69" s="3">
        <v>-1.531203892204513E-3</v>
      </c>
      <c r="D69" s="3">
        <v>-2.049127284296581E-2</v>
      </c>
      <c r="E69" s="3">
        <v>6.2675457999420434E-3</v>
      </c>
      <c r="F69" s="3">
        <v>-3.0893888869266809E-2</v>
      </c>
      <c r="G69" s="3">
        <v>-1.761487234657055E-2</v>
      </c>
      <c r="H69" s="3">
        <v>1</v>
      </c>
      <c r="I69" s="3">
        <v>-1</v>
      </c>
      <c r="J69" s="3">
        <v>-2.049127284296581E-2</v>
      </c>
      <c r="K69" s="3">
        <v>0</v>
      </c>
      <c r="L69" s="3">
        <v>-6.2675457999420434E-3</v>
      </c>
      <c r="M69" s="3">
        <v>0</v>
      </c>
      <c r="N69" s="3">
        <v>0</v>
      </c>
      <c r="O69" s="3">
        <v>3.0893888869266809E-2</v>
      </c>
      <c r="P69" s="3">
        <v>0</v>
      </c>
      <c r="Q69" s="3">
        <v>-1.761487234657055E-2</v>
      </c>
      <c r="R69" s="3">
        <v>0.2964286824291722</v>
      </c>
      <c r="S69" s="3">
        <v>0.24639611902113701</v>
      </c>
      <c r="T69" s="3">
        <v>-0.1130636836651783</v>
      </c>
      <c r="U69" s="3">
        <v>0.15919670003368161</v>
      </c>
      <c r="V69" s="3">
        <v>0.38695503965622507</v>
      </c>
      <c r="W69" s="3">
        <v>0.1672881528512864</v>
      </c>
      <c r="X69" s="3">
        <v>0.26776922115302959</v>
      </c>
      <c r="Y69" s="3">
        <v>0.12686110227327199</v>
      </c>
    </row>
    <row r="70" spans="1:25" x14ac:dyDescent="0.25">
      <c r="A70" s="2">
        <v>39568</v>
      </c>
      <c r="B70" s="3">
        <v>4.7900840108866423E-2</v>
      </c>
      <c r="C70" s="3">
        <v>7.4328877703117358E-2</v>
      </c>
      <c r="D70" s="3">
        <v>-2.0072978126874919E-3</v>
      </c>
      <c r="E70" s="3">
        <v>-2.2076720327879329E-4</v>
      </c>
      <c r="F70" s="3">
        <v>3.7722521143646708E-2</v>
      </c>
      <c r="G70" s="3">
        <v>-8.0509931229577614E-3</v>
      </c>
      <c r="H70" s="3">
        <v>-1</v>
      </c>
      <c r="I70" s="3">
        <v>1</v>
      </c>
      <c r="J70" s="3">
        <v>0</v>
      </c>
      <c r="K70" s="3">
        <v>2.0072978126874919E-3</v>
      </c>
      <c r="L70" s="3">
        <v>0</v>
      </c>
      <c r="M70" s="3">
        <v>-2.2076720327879329E-4</v>
      </c>
      <c r="N70" s="3">
        <v>3.7722521143646708E-2</v>
      </c>
      <c r="O70" s="3">
        <v>0</v>
      </c>
      <c r="P70" s="3">
        <v>8.0509931229577614E-3</v>
      </c>
      <c r="Q70" s="3">
        <v>0</v>
      </c>
      <c r="R70" s="3">
        <v>0.2964286824291722</v>
      </c>
      <c r="S70" s="3">
        <v>0.2488980072245903</v>
      </c>
      <c r="T70" s="3">
        <v>-0.1130636836651783</v>
      </c>
      <c r="U70" s="3">
        <v>0.15894078742016521</v>
      </c>
      <c r="V70" s="3">
        <v>0.43927448046494438</v>
      </c>
      <c r="W70" s="3">
        <v>0.1672881528512864</v>
      </c>
      <c r="X70" s="3">
        <v>0.27797602243403019</v>
      </c>
      <c r="Y70" s="3">
        <v>0.12686110227327199</v>
      </c>
    </row>
    <row r="71" spans="1:25" x14ac:dyDescent="0.25">
      <c r="A71" s="2">
        <v>39599</v>
      </c>
      <c r="B71" s="3">
        <v>1.5901057766588681E-2</v>
      </c>
      <c r="C71" s="3">
        <v>1.271174465287794E-2</v>
      </c>
      <c r="D71" s="3">
        <v>6.2910893337727591E-3</v>
      </c>
      <c r="E71" s="3">
        <v>-2.3669976291192611E-2</v>
      </c>
      <c r="F71" s="3">
        <v>9.4961644936036871E-3</v>
      </c>
      <c r="G71" s="3">
        <v>-1.54611723436433E-2</v>
      </c>
      <c r="H71" s="3">
        <v>-1</v>
      </c>
      <c r="I71" s="3">
        <v>1</v>
      </c>
      <c r="J71" s="3">
        <v>0</v>
      </c>
      <c r="K71" s="3">
        <v>-6.2910893337727591E-3</v>
      </c>
      <c r="L71" s="3">
        <v>0</v>
      </c>
      <c r="M71" s="3">
        <v>-2.3669976291192611E-2</v>
      </c>
      <c r="N71" s="3">
        <v>9.4961644936036871E-3</v>
      </c>
      <c r="O71" s="3">
        <v>0</v>
      </c>
      <c r="P71" s="3">
        <v>1.54611723436433E-2</v>
      </c>
      <c r="Q71" s="3">
        <v>0</v>
      </c>
      <c r="R71" s="3">
        <v>0.2964286824291722</v>
      </c>
      <c r="S71" s="3">
        <v>0.24104107829236979</v>
      </c>
      <c r="T71" s="3">
        <v>-0.1130636836651783</v>
      </c>
      <c r="U71" s="3">
        <v>0.1315086864590338</v>
      </c>
      <c r="V71" s="3">
        <v>0.45294206768288547</v>
      </c>
      <c r="W71" s="3">
        <v>0.1672881528512864</v>
      </c>
      <c r="X71" s="3">
        <v>0.29773502996792639</v>
      </c>
      <c r="Y71" s="3">
        <v>0.12686110227327199</v>
      </c>
    </row>
    <row r="72" spans="1:25" x14ac:dyDescent="0.25">
      <c r="A72" s="2">
        <v>39629</v>
      </c>
      <c r="B72" s="3">
        <v>-8.5672809422014717E-2</v>
      </c>
      <c r="C72" s="3">
        <v>-5.7072858104435187E-2</v>
      </c>
      <c r="D72" s="3">
        <v>-2.7330640258473201E-2</v>
      </c>
      <c r="E72" s="3">
        <v>2.7895691103313251E-2</v>
      </c>
      <c r="F72" s="3">
        <v>-2.8566679661084948E-2</v>
      </c>
      <c r="G72" s="3">
        <v>9.1046617721622924E-3</v>
      </c>
      <c r="H72" s="3">
        <v>1</v>
      </c>
      <c r="I72" s="3">
        <v>-1</v>
      </c>
      <c r="J72" s="3">
        <v>-2.7330640258473201E-2</v>
      </c>
      <c r="K72" s="3">
        <v>0</v>
      </c>
      <c r="L72" s="3">
        <v>-2.7895691103313251E-2</v>
      </c>
      <c r="M72" s="3">
        <v>0</v>
      </c>
      <c r="N72" s="3">
        <v>0</v>
      </c>
      <c r="O72" s="3">
        <v>2.8566679661084948E-2</v>
      </c>
      <c r="P72" s="3">
        <v>0</v>
      </c>
      <c r="Q72" s="3">
        <v>9.1046617721622924E-3</v>
      </c>
      <c r="R72" s="3">
        <v>0.26099645648893399</v>
      </c>
      <c r="S72" s="3">
        <v>0.24104107829236979</v>
      </c>
      <c r="T72" s="3">
        <v>-0.13780538517396501</v>
      </c>
      <c r="U72" s="3">
        <v>0.1315086864590338</v>
      </c>
      <c r="V72" s="3">
        <v>0.45294206768288547</v>
      </c>
      <c r="W72" s="3">
        <v>0.20063369958596861</v>
      </c>
      <c r="X72" s="3">
        <v>0.29773502996792639</v>
      </c>
      <c r="Y72" s="3">
        <v>0.13712079147367609</v>
      </c>
    </row>
    <row r="73" spans="1:25" x14ac:dyDescent="0.25">
      <c r="A73" s="2">
        <v>39660</v>
      </c>
      <c r="B73" s="3">
        <v>-7.0170660634690796E-3</v>
      </c>
      <c r="C73" s="3">
        <v>1.5061720540032519E-2</v>
      </c>
      <c r="D73" s="3">
        <v>-4.3003671558028422E-3</v>
      </c>
      <c r="E73" s="3">
        <v>1.4711852013012731E-2</v>
      </c>
      <c r="F73" s="3">
        <v>-5.4367531680324932E-3</v>
      </c>
      <c r="G73" s="3">
        <v>1.174153260748223E-2</v>
      </c>
      <c r="H73" s="3">
        <v>-1</v>
      </c>
      <c r="I73" s="3">
        <v>1</v>
      </c>
      <c r="J73" s="3">
        <v>0</v>
      </c>
      <c r="K73" s="3">
        <v>4.3003671558028422E-3</v>
      </c>
      <c r="L73" s="3">
        <v>0</v>
      </c>
      <c r="M73" s="3">
        <v>1.4711852013012731E-2</v>
      </c>
      <c r="N73" s="3">
        <v>-5.4367531680324932E-3</v>
      </c>
      <c r="O73" s="3">
        <v>0</v>
      </c>
      <c r="P73" s="3">
        <v>-1.174153260748223E-2</v>
      </c>
      <c r="Q73" s="3">
        <v>0</v>
      </c>
      <c r="R73" s="3">
        <v>0.26099645648893399</v>
      </c>
      <c r="S73" s="3">
        <v>0.24637801058446041</v>
      </c>
      <c r="T73" s="3">
        <v>-0.13780538517396501</v>
      </c>
      <c r="U73" s="3">
        <v>0.1481552748056576</v>
      </c>
      <c r="V73" s="3">
        <v>0.44504278029344291</v>
      </c>
      <c r="W73" s="3">
        <v>0.20063369958596861</v>
      </c>
      <c r="X73" s="3">
        <v>0.28249763179768622</v>
      </c>
      <c r="Y73" s="3">
        <v>0.13712079147367609</v>
      </c>
    </row>
    <row r="74" spans="1:25" x14ac:dyDescent="0.25">
      <c r="A74" s="2">
        <v>39691</v>
      </c>
      <c r="B74" s="3">
        <v>1.6869453812236031E-2</v>
      </c>
      <c r="C74" s="3">
        <v>-1.122963447815184E-2</v>
      </c>
      <c r="D74" s="3">
        <v>8.2110609921641764E-3</v>
      </c>
      <c r="E74" s="3">
        <v>7.5481242788517644E-3</v>
      </c>
      <c r="F74" s="3">
        <v>1.9543243918804798E-3</v>
      </c>
      <c r="G74" s="3">
        <v>4.6741205325983026E-3</v>
      </c>
      <c r="H74" s="3">
        <v>1</v>
      </c>
      <c r="I74" s="3">
        <v>-1</v>
      </c>
      <c r="J74" s="3">
        <v>8.2110609921641764E-3</v>
      </c>
      <c r="K74" s="3">
        <v>0</v>
      </c>
      <c r="L74" s="3">
        <v>-7.5481242788517644E-3</v>
      </c>
      <c r="M74" s="3">
        <v>0</v>
      </c>
      <c r="N74" s="3">
        <v>0</v>
      </c>
      <c r="O74" s="3">
        <v>-1.9543243918804798E-3</v>
      </c>
      <c r="P74" s="3">
        <v>0</v>
      </c>
      <c r="Q74" s="3">
        <v>4.6741205325983026E-3</v>
      </c>
      <c r="R74" s="3">
        <v>0.27135057530406748</v>
      </c>
      <c r="S74" s="3">
        <v>0.24637801058446041</v>
      </c>
      <c r="T74" s="3">
        <v>-0.14431333727922871</v>
      </c>
      <c r="U74" s="3">
        <v>0.1481552748056576</v>
      </c>
      <c r="V74" s="3">
        <v>0.44504278029344291</v>
      </c>
      <c r="W74" s="3">
        <v>0.19828727186115391</v>
      </c>
      <c r="X74" s="3">
        <v>0.28249763179768622</v>
      </c>
      <c r="Y74" s="3">
        <v>0.1424358311131475</v>
      </c>
    </row>
    <row r="75" spans="1:25" x14ac:dyDescent="0.25">
      <c r="A75" s="2">
        <v>39721</v>
      </c>
      <c r="B75" s="3">
        <v>-8.9363831366758406E-2</v>
      </c>
      <c r="C75" s="3">
        <v>-5.5285750775666331E-2</v>
      </c>
      <c r="D75" s="3">
        <v>-4.038158191110619E-2</v>
      </c>
      <c r="E75" s="3">
        <v>1.050571440401993E-2</v>
      </c>
      <c r="F75" s="3">
        <v>-1.337687681556443E-2</v>
      </c>
      <c r="G75" s="3">
        <v>2.5229236092793369E-2</v>
      </c>
      <c r="H75" s="3">
        <v>1</v>
      </c>
      <c r="I75" s="3">
        <v>-1</v>
      </c>
      <c r="J75" s="3">
        <v>-4.038158191110619E-2</v>
      </c>
      <c r="K75" s="3">
        <v>0</v>
      </c>
      <c r="L75" s="3">
        <v>-1.050571440401993E-2</v>
      </c>
      <c r="M75" s="3">
        <v>0</v>
      </c>
      <c r="N75" s="3">
        <v>0</v>
      </c>
      <c r="O75" s="3">
        <v>1.337687681556443E-2</v>
      </c>
      <c r="P75" s="3">
        <v>0</v>
      </c>
      <c r="Q75" s="3">
        <v>2.5229236092793369E-2</v>
      </c>
      <c r="R75" s="3">
        <v>0.2200114279096943</v>
      </c>
      <c r="S75" s="3">
        <v>0.24637801058446041</v>
      </c>
      <c r="T75" s="3">
        <v>-0.15330293697710209</v>
      </c>
      <c r="U75" s="3">
        <v>0.1481552748056576</v>
      </c>
      <c r="V75" s="3">
        <v>0.44504278029344291</v>
      </c>
      <c r="W75" s="3">
        <v>0.2143166130864993</v>
      </c>
      <c r="X75" s="3">
        <v>0.28249763179768622</v>
      </c>
      <c r="Y75" s="3">
        <v>0.1712586144171675</v>
      </c>
    </row>
    <row r="76" spans="1:25" x14ac:dyDescent="0.25">
      <c r="A76" s="2">
        <v>39752</v>
      </c>
      <c r="B76" s="3">
        <v>-0.14570367895034189</v>
      </c>
      <c r="C76" s="3">
        <v>-0.17261946086373789</v>
      </c>
      <c r="D76" s="3">
        <v>2.061484033758143E-2</v>
      </c>
      <c r="E76" s="3">
        <v>-2.3835308083160811E-2</v>
      </c>
      <c r="F76" s="3">
        <v>-0.1448906923986476</v>
      </c>
      <c r="G76" s="3">
        <v>4.457156783547378E-2</v>
      </c>
      <c r="H76" s="3">
        <v>1</v>
      </c>
      <c r="I76" s="3">
        <v>-1</v>
      </c>
      <c r="J76" s="3">
        <v>2.061484033758143E-2</v>
      </c>
      <c r="K76" s="3">
        <v>0</v>
      </c>
      <c r="L76" s="3">
        <v>2.3835308083160811E-2</v>
      </c>
      <c r="M76" s="3">
        <v>0</v>
      </c>
      <c r="N76" s="3">
        <v>0</v>
      </c>
      <c r="O76" s="3">
        <v>0.1448906923986476</v>
      </c>
      <c r="P76" s="3">
        <v>0</v>
      </c>
      <c r="Q76" s="3">
        <v>4.457156783547378E-2</v>
      </c>
      <c r="R76" s="3">
        <v>0.24516176870607739</v>
      </c>
      <c r="S76" s="3">
        <v>0.24637801058446041</v>
      </c>
      <c r="T76" s="3">
        <v>-0.13312165162684389</v>
      </c>
      <c r="U76" s="3">
        <v>0.1481552748056576</v>
      </c>
      <c r="V76" s="3">
        <v>0.44504278029344291</v>
      </c>
      <c r="W76" s="3">
        <v>0.39025978794778271</v>
      </c>
      <c r="X76" s="3">
        <v>0.28249763179768622</v>
      </c>
      <c r="Y76" s="3">
        <v>0.22346344720254521</v>
      </c>
    </row>
    <row r="77" spans="1:25" x14ac:dyDescent="0.25">
      <c r="A77" s="2">
        <v>39782</v>
      </c>
      <c r="B77" s="3">
        <v>-5.3974885433300757E-2</v>
      </c>
      <c r="C77" s="3">
        <v>-0.29170801469906987</v>
      </c>
      <c r="D77" s="3">
        <v>0.1279290762445591</v>
      </c>
      <c r="E77" s="3">
        <v>2.7466358939051361E-2</v>
      </c>
      <c r="F77" s="3">
        <v>-2.7547284046790521E-2</v>
      </c>
      <c r="G77" s="3">
        <v>1.9575258784127691E-2</v>
      </c>
      <c r="H77" s="3">
        <v>1</v>
      </c>
      <c r="I77" s="3">
        <v>-1</v>
      </c>
      <c r="J77" s="3">
        <v>0.1279290762445591</v>
      </c>
      <c r="K77" s="3">
        <v>0</v>
      </c>
      <c r="L77" s="3">
        <v>-2.7466358939051361E-2</v>
      </c>
      <c r="M77" s="3">
        <v>0</v>
      </c>
      <c r="N77" s="3">
        <v>0</v>
      </c>
      <c r="O77" s="3">
        <v>2.7547284046790521E-2</v>
      </c>
      <c r="P77" s="3">
        <v>0</v>
      </c>
      <c r="Q77" s="3">
        <v>1.9575258784127691E-2</v>
      </c>
      <c r="R77" s="3">
        <v>0.40445416355168717</v>
      </c>
      <c r="S77" s="3">
        <v>0.24637801058446041</v>
      </c>
      <c r="T77" s="3">
        <v>-0.156931643499753</v>
      </c>
      <c r="U77" s="3">
        <v>0.1481552748056576</v>
      </c>
      <c r="V77" s="3">
        <v>0.44504278029344291</v>
      </c>
      <c r="W77" s="3">
        <v>0.4285576692252111</v>
      </c>
      <c r="X77" s="3">
        <v>0.28249763179768622</v>
      </c>
      <c r="Y77" s="3">
        <v>0.2474130607944558</v>
      </c>
    </row>
    <row r="78" spans="1:25" x14ac:dyDescent="0.25">
      <c r="A78" s="2">
        <v>39813</v>
      </c>
      <c r="B78" s="3">
        <v>1.874268236320964E-2</v>
      </c>
      <c r="C78" s="3">
        <v>-0.1557022736064412</v>
      </c>
      <c r="D78" s="3">
        <v>2.353131221174742E-2</v>
      </c>
      <c r="E78" s="3">
        <v>-2.043875670463358E-2</v>
      </c>
      <c r="F78" s="3">
        <v>-1.8352594006723399E-2</v>
      </c>
      <c r="G78" s="3">
        <v>4.8454344674847993E-2</v>
      </c>
      <c r="H78" s="3">
        <v>1</v>
      </c>
      <c r="I78" s="3">
        <v>-1</v>
      </c>
      <c r="J78" s="3">
        <v>2.353131221174742E-2</v>
      </c>
      <c r="K78" s="3">
        <v>0</v>
      </c>
      <c r="L78" s="3">
        <v>2.043875670463358E-2</v>
      </c>
      <c r="M78" s="3">
        <v>0</v>
      </c>
      <c r="N78" s="3">
        <v>0</v>
      </c>
      <c r="O78" s="3">
        <v>1.8352594006723399E-2</v>
      </c>
      <c r="P78" s="3">
        <v>0</v>
      </c>
      <c r="Q78" s="3">
        <v>4.8454344674847993E-2</v>
      </c>
      <c r="R78" s="3">
        <v>0.43750281296131027</v>
      </c>
      <c r="S78" s="3">
        <v>0.24637801058446041</v>
      </c>
      <c r="T78" s="3">
        <v>-0.13970037447586911</v>
      </c>
      <c r="U78" s="3">
        <v>0.1481552748056576</v>
      </c>
      <c r="V78" s="3">
        <v>0.44504278029344291</v>
      </c>
      <c r="W78" s="3">
        <v>0.45477540814369249</v>
      </c>
      <c r="X78" s="3">
        <v>0.28249763179768622</v>
      </c>
      <c r="Y78" s="3">
        <v>0.30785564319409747</v>
      </c>
    </row>
    <row r="79" spans="1:25" x14ac:dyDescent="0.25">
      <c r="A79" s="2">
        <v>39844</v>
      </c>
      <c r="B79" s="3">
        <v>-7.9819587839560557E-2</v>
      </c>
      <c r="C79" s="3">
        <v>2.3216508531612941E-2</v>
      </c>
      <c r="D79" s="3">
        <v>-1.9906534851582558E-3</v>
      </c>
      <c r="E79" s="3">
        <v>-3.6371448318395783E-2</v>
      </c>
      <c r="F79" s="3">
        <v>9.7606042211854094E-3</v>
      </c>
      <c r="G79" s="3">
        <v>-5.7855976553978339E-2</v>
      </c>
      <c r="H79" s="3">
        <v>-1</v>
      </c>
      <c r="I79" s="3">
        <v>1</v>
      </c>
      <c r="J79" s="3">
        <v>0</v>
      </c>
      <c r="K79" s="3">
        <v>1.9906534851582558E-3</v>
      </c>
      <c r="L79" s="3">
        <v>0</v>
      </c>
      <c r="M79" s="3">
        <v>-3.6371448318395783E-2</v>
      </c>
      <c r="N79" s="3">
        <v>9.7606042211854094E-3</v>
      </c>
      <c r="O79" s="3">
        <v>0</v>
      </c>
      <c r="P79" s="3">
        <v>5.7855976553978339E-2</v>
      </c>
      <c r="Q79" s="3">
        <v>0</v>
      </c>
      <c r="R79" s="3">
        <v>0.43750281296131027</v>
      </c>
      <c r="S79" s="3">
        <v>0.24885911731505489</v>
      </c>
      <c r="T79" s="3">
        <v>-0.13970037447586911</v>
      </c>
      <c r="U79" s="3">
        <v>0.1063952045665701</v>
      </c>
      <c r="V79" s="3">
        <v>0.45914727095456881</v>
      </c>
      <c r="W79" s="3">
        <v>0.45477540814369249</v>
      </c>
      <c r="X79" s="3">
        <v>0.35669778471350583</v>
      </c>
      <c r="Y79" s="3">
        <v>0.30785564319409747</v>
      </c>
    </row>
    <row r="80" spans="1:25" x14ac:dyDescent="0.25">
      <c r="A80" s="2">
        <v>39872</v>
      </c>
      <c r="B80" s="3">
        <v>-0.1090643616718162</v>
      </c>
      <c r="C80" s="3">
        <v>-0.1160190478514066</v>
      </c>
      <c r="D80" s="3">
        <v>-8.5727339443852912E-3</v>
      </c>
      <c r="E80" s="3">
        <v>-2.8879747880538039E-2</v>
      </c>
      <c r="F80" s="3">
        <v>4.9510340386493268E-2</v>
      </c>
      <c r="G80" s="3">
        <v>-1.095062925672163E-2</v>
      </c>
      <c r="H80" s="3">
        <v>1</v>
      </c>
      <c r="I80" s="3">
        <v>-1</v>
      </c>
      <c r="J80" s="3">
        <v>-8.5727339443852912E-3</v>
      </c>
      <c r="K80" s="3">
        <v>0</v>
      </c>
      <c r="L80" s="3">
        <v>2.8879747880538039E-2</v>
      </c>
      <c r="M80" s="3">
        <v>0</v>
      </c>
      <c r="N80" s="3">
        <v>0</v>
      </c>
      <c r="O80" s="3">
        <v>-4.9510340386493268E-2</v>
      </c>
      <c r="P80" s="3">
        <v>0</v>
      </c>
      <c r="Q80" s="3">
        <v>-1.095062925672163E-2</v>
      </c>
      <c r="R80" s="3">
        <v>0.42517948380148751</v>
      </c>
      <c r="S80" s="3">
        <v>0.24885911731505489</v>
      </c>
      <c r="T80" s="3">
        <v>-0.1148551381890109</v>
      </c>
      <c r="U80" s="3">
        <v>0.1063952045665701</v>
      </c>
      <c r="V80" s="3">
        <v>0.45914727095456881</v>
      </c>
      <c r="W80" s="3">
        <v>0.38274898250059869</v>
      </c>
      <c r="X80" s="3">
        <v>0.35669778471350583</v>
      </c>
      <c r="Y80" s="3">
        <v>0.2935338009241677</v>
      </c>
    </row>
    <row r="81" spans="1:25" x14ac:dyDescent="0.25">
      <c r="A81" s="2">
        <v>39903</v>
      </c>
      <c r="B81" s="3">
        <v>8.9571935571874151E-2</v>
      </c>
      <c r="C81" s="3">
        <v>2.5548582649084439E-2</v>
      </c>
      <c r="D81" s="3">
        <v>3.9714308571441537E-2</v>
      </c>
      <c r="E81" s="3">
        <v>1.7380317635329878E-2</v>
      </c>
      <c r="F81" s="3">
        <v>-6.7962576850493339E-2</v>
      </c>
      <c r="G81" s="3">
        <v>2.6433550240879011E-2</v>
      </c>
      <c r="H81" s="3">
        <v>-1</v>
      </c>
      <c r="I81" s="3">
        <v>1</v>
      </c>
      <c r="J81" s="3">
        <v>0</v>
      </c>
      <c r="K81" s="3">
        <v>-3.9714308571441537E-2</v>
      </c>
      <c r="L81" s="3">
        <v>0</v>
      </c>
      <c r="M81" s="3">
        <v>1.7380317635329878E-2</v>
      </c>
      <c r="N81" s="3">
        <v>-6.7962576850493339E-2</v>
      </c>
      <c r="O81" s="3">
        <v>0</v>
      </c>
      <c r="P81" s="3">
        <v>-2.6433550240879011E-2</v>
      </c>
      <c r="Q81" s="3">
        <v>0</v>
      </c>
      <c r="R81" s="3">
        <v>0.42517948380148751</v>
      </c>
      <c r="S81" s="3">
        <v>0.1992615409677467</v>
      </c>
      <c r="T81" s="3">
        <v>-0.1148551381890109</v>
      </c>
      <c r="U81" s="3">
        <v>0.12562470465214279</v>
      </c>
      <c r="V81" s="3">
        <v>0.35997986241613122</v>
      </c>
      <c r="W81" s="3">
        <v>0.38274898250059869</v>
      </c>
      <c r="X81" s="3">
        <v>0.3208354456595921</v>
      </c>
      <c r="Y81" s="3">
        <v>0.2935338009241677</v>
      </c>
    </row>
    <row r="82" spans="1:25" x14ac:dyDescent="0.25">
      <c r="A82" s="2">
        <v>39933</v>
      </c>
      <c r="B82" s="3">
        <v>9.8384240153427505E-2</v>
      </c>
      <c r="C82" s="3">
        <v>0.1004562308300259</v>
      </c>
      <c r="D82" s="3">
        <v>3.3933178251632563E-2</v>
      </c>
      <c r="E82" s="3">
        <v>-3.5018287766123368E-2</v>
      </c>
      <c r="F82" s="3">
        <v>2.7394462145799992E-2</v>
      </c>
      <c r="G82" s="3">
        <v>-2.529610463271437E-2</v>
      </c>
      <c r="H82" s="3">
        <v>-1</v>
      </c>
      <c r="I82" s="3">
        <v>1</v>
      </c>
      <c r="J82" s="3">
        <v>0</v>
      </c>
      <c r="K82" s="3">
        <v>-3.3933178251632563E-2</v>
      </c>
      <c r="L82" s="3">
        <v>0</v>
      </c>
      <c r="M82" s="3">
        <v>-3.5018287766123368E-2</v>
      </c>
      <c r="N82" s="3">
        <v>2.7394462145799992E-2</v>
      </c>
      <c r="O82" s="3">
        <v>0</v>
      </c>
      <c r="P82" s="3">
        <v>2.529610463271437E-2</v>
      </c>
      <c r="Q82" s="3">
        <v>0</v>
      </c>
      <c r="R82" s="3">
        <v>0.42517948380148751</v>
      </c>
      <c r="S82" s="3">
        <v>0.15856678532776061</v>
      </c>
      <c r="T82" s="3">
        <v>-0.1148551381890109</v>
      </c>
      <c r="U82" s="3">
        <v>8.6207254827976421E-2</v>
      </c>
      <c r="V82" s="3">
        <v>0.39723577927614029</v>
      </c>
      <c r="W82" s="3">
        <v>0.38274898250059869</v>
      </c>
      <c r="X82" s="3">
        <v>0.35424743729559532</v>
      </c>
      <c r="Y82" s="3">
        <v>0.2935338009241677</v>
      </c>
    </row>
    <row r="83" spans="1:25" x14ac:dyDescent="0.25">
      <c r="A83" s="2">
        <v>39964</v>
      </c>
      <c r="B83" s="3">
        <v>5.9743368970572197E-2</v>
      </c>
      <c r="C83" s="3">
        <v>5.4747388211682457E-2</v>
      </c>
      <c r="D83" s="3">
        <v>3.7276758691769829E-2</v>
      </c>
      <c r="E83" s="3">
        <v>-3.5782114642530778E-3</v>
      </c>
      <c r="F83" s="3">
        <v>3.9428095562151433E-2</v>
      </c>
      <c r="G83" s="3">
        <v>-3.1595671290962753E-2</v>
      </c>
      <c r="H83" s="3">
        <v>-1</v>
      </c>
      <c r="I83" s="3">
        <v>1</v>
      </c>
      <c r="J83" s="3">
        <v>0</v>
      </c>
      <c r="K83" s="3">
        <v>-3.7276758691769829E-2</v>
      </c>
      <c r="L83" s="3">
        <v>0</v>
      </c>
      <c r="M83" s="3">
        <v>-3.5782114642530778E-3</v>
      </c>
      <c r="N83" s="3">
        <v>3.9428095562151433E-2</v>
      </c>
      <c r="O83" s="3">
        <v>0</v>
      </c>
      <c r="P83" s="3">
        <v>3.1595671290962753E-2</v>
      </c>
      <c r="Q83" s="3">
        <v>0</v>
      </c>
      <c r="R83" s="3">
        <v>0.42517948380148751</v>
      </c>
      <c r="S83" s="3">
        <v>0.11537917084279831</v>
      </c>
      <c r="T83" s="3">
        <v>-0.1148551381890109</v>
      </c>
      <c r="U83" s="3">
        <v>8.2320575576195987E-2</v>
      </c>
      <c r="V83" s="3">
        <v>0.45232612510429709</v>
      </c>
      <c r="W83" s="3">
        <v>0.38274898250059869</v>
      </c>
      <c r="X83" s="3">
        <v>0.39703579417101542</v>
      </c>
      <c r="Y83" s="3">
        <v>0.2935338009241677</v>
      </c>
    </row>
    <row r="84" spans="1:25" x14ac:dyDescent="0.25">
      <c r="A84" s="2">
        <v>39994</v>
      </c>
      <c r="B84" s="3">
        <v>9.9995393135055011E-4</v>
      </c>
      <c r="C84" s="3">
        <v>2.321883480650222E-2</v>
      </c>
      <c r="D84" s="3">
        <v>-1.6900301156896891E-4</v>
      </c>
      <c r="E84" s="3">
        <v>3.1263276318920341E-2</v>
      </c>
      <c r="F84" s="3">
        <v>2.2008883695896819E-2</v>
      </c>
      <c r="G84" s="3">
        <v>-4.3077276621147798E-2</v>
      </c>
      <c r="H84" s="3">
        <v>-1</v>
      </c>
      <c r="I84" s="3">
        <v>1</v>
      </c>
      <c r="J84" s="3">
        <v>0</v>
      </c>
      <c r="K84" s="3">
        <v>1.6900301156896891E-4</v>
      </c>
      <c r="L84" s="3">
        <v>0</v>
      </c>
      <c r="M84" s="3">
        <v>3.1263276318920341E-2</v>
      </c>
      <c r="N84" s="3">
        <v>2.2008883695896819E-2</v>
      </c>
      <c r="O84" s="3">
        <v>0</v>
      </c>
      <c r="P84" s="3">
        <v>4.3077276621147798E-2</v>
      </c>
      <c r="Q84" s="3">
        <v>0</v>
      </c>
      <c r="R84" s="3">
        <v>0.42517948380148751</v>
      </c>
      <c r="S84" s="3">
        <v>0.1155676732817119</v>
      </c>
      <c r="T84" s="3">
        <v>-0.1148551381890109</v>
      </c>
      <c r="U84" s="3">
        <v>0.1161574627960873</v>
      </c>
      <c r="V84" s="3">
        <v>0.4842902018802302</v>
      </c>
      <c r="W84" s="3">
        <v>0.38274898250059869</v>
      </c>
      <c r="X84" s="3">
        <v>0.45721629152616511</v>
      </c>
      <c r="Y84" s="3">
        <v>0.2935338009241677</v>
      </c>
    </row>
    <row r="85" spans="1:25" x14ac:dyDescent="0.25">
      <c r="A85" s="2">
        <v>40025</v>
      </c>
      <c r="B85" s="3">
        <v>7.3712987320647017E-2</v>
      </c>
      <c r="C85" s="3">
        <v>5.5264900338710343E-2</v>
      </c>
      <c r="D85" s="3">
        <v>3.3871072448578447E-2</v>
      </c>
      <c r="E85" s="3">
        <v>2.298683583490824E-2</v>
      </c>
      <c r="F85" s="3">
        <v>-4.3330565618581063E-2</v>
      </c>
      <c r="G85" s="3">
        <v>2.360934452748709E-2</v>
      </c>
      <c r="H85" s="3">
        <v>-1</v>
      </c>
      <c r="I85" s="3">
        <v>1</v>
      </c>
      <c r="J85" s="3">
        <v>0</v>
      </c>
      <c r="K85" s="3">
        <v>-3.3871072448578447E-2</v>
      </c>
      <c r="L85" s="3">
        <v>0</v>
      </c>
      <c r="M85" s="3">
        <v>2.298683583490824E-2</v>
      </c>
      <c r="N85" s="3">
        <v>-4.3330565618581063E-2</v>
      </c>
      <c r="O85" s="3">
        <v>0</v>
      </c>
      <c r="P85" s="3">
        <v>-2.360934452748709E-2</v>
      </c>
      <c r="Q85" s="3">
        <v>0</v>
      </c>
      <c r="R85" s="3">
        <v>0.42517948380148751</v>
      </c>
      <c r="S85" s="3">
        <v>7.778219979869494E-2</v>
      </c>
      <c r="T85" s="3">
        <v>-0.1148551381890109</v>
      </c>
      <c r="U85" s="3">
        <v>0.14181439115928879</v>
      </c>
      <c r="V85" s="3">
        <v>0.41997506789064198</v>
      </c>
      <c r="W85" s="3">
        <v>0.38274898250059869</v>
      </c>
      <c r="X85" s="3">
        <v>0.42281237004845668</v>
      </c>
      <c r="Y85" s="3">
        <v>0.2935338009241677</v>
      </c>
    </row>
    <row r="86" spans="1:25" x14ac:dyDescent="0.25">
      <c r="A86" s="2">
        <v>40056</v>
      </c>
      <c r="B86" s="3">
        <v>3.7374834707081687E-2</v>
      </c>
      <c r="C86" s="3">
        <v>4.8948634912004851E-2</v>
      </c>
      <c r="D86" s="3">
        <v>-4.9209099285136837E-3</v>
      </c>
      <c r="E86" s="3">
        <v>2.9941421417940869E-2</v>
      </c>
      <c r="F86" s="3">
        <v>2.4140471611239889E-2</v>
      </c>
      <c r="G86" s="3">
        <v>-4.2973704426215183E-2</v>
      </c>
      <c r="H86" s="3">
        <v>-1</v>
      </c>
      <c r="I86" s="3">
        <v>1</v>
      </c>
      <c r="J86" s="3">
        <v>0</v>
      </c>
      <c r="K86" s="3">
        <v>4.9209099285136837E-3</v>
      </c>
      <c r="L86" s="3">
        <v>0</v>
      </c>
      <c r="M86" s="3">
        <v>2.9941421417940869E-2</v>
      </c>
      <c r="N86" s="3">
        <v>2.4140471611239889E-2</v>
      </c>
      <c r="O86" s="3">
        <v>0</v>
      </c>
      <c r="P86" s="3">
        <v>4.2973704426215183E-2</v>
      </c>
      <c r="Q86" s="3">
        <v>0</v>
      </c>
      <c r="R86" s="3">
        <v>0.42517948380148751</v>
      </c>
      <c r="S86" s="3">
        <v>8.3085868926459749E-2</v>
      </c>
      <c r="T86" s="3">
        <v>-0.1148551381890109</v>
      </c>
      <c r="U86" s="3">
        <v>0.17600193702605879</v>
      </c>
      <c r="V86" s="3">
        <v>0.45425393570572448</v>
      </c>
      <c r="W86" s="3">
        <v>0.38274898250059869</v>
      </c>
      <c r="X86" s="3">
        <v>0.48395588829288161</v>
      </c>
      <c r="Y86" s="3">
        <v>0.2935338009241677</v>
      </c>
    </row>
    <row r="87" spans="1:25" x14ac:dyDescent="0.25">
      <c r="A87" s="2">
        <v>40086</v>
      </c>
      <c r="B87" s="3">
        <v>3.5782415681818953E-2</v>
      </c>
      <c r="C87" s="3">
        <v>4.992583739396228E-2</v>
      </c>
      <c r="D87" s="3">
        <v>-1.3639288840546099E-2</v>
      </c>
      <c r="E87" s="3">
        <v>2.5585845244044721E-2</v>
      </c>
      <c r="F87" s="3">
        <v>5.0962283169685429E-3</v>
      </c>
      <c r="G87" s="3">
        <v>-1.8074126212696991E-2</v>
      </c>
      <c r="H87" s="3">
        <v>-1</v>
      </c>
      <c r="I87" s="3">
        <v>1</v>
      </c>
      <c r="J87" s="3">
        <v>0</v>
      </c>
      <c r="K87" s="3">
        <v>1.3639288840546099E-2</v>
      </c>
      <c r="L87" s="3">
        <v>0</v>
      </c>
      <c r="M87" s="3">
        <v>2.5585845244044721E-2</v>
      </c>
      <c r="N87" s="3">
        <v>5.0962283169685429E-3</v>
      </c>
      <c r="O87" s="3">
        <v>0</v>
      </c>
      <c r="P87" s="3">
        <v>1.8074126212696991E-2</v>
      </c>
      <c r="Q87" s="3">
        <v>0</v>
      </c>
      <c r="R87" s="3">
        <v>0.42517948380148751</v>
      </c>
      <c r="S87" s="3">
        <v>9.7858389931861689E-2</v>
      </c>
      <c r="T87" s="3">
        <v>-0.1148551381890109</v>
      </c>
      <c r="U87" s="3">
        <v>0.2060909405935043</v>
      </c>
      <c r="V87" s="3">
        <v>0.46166514579293078</v>
      </c>
      <c r="W87" s="3">
        <v>0.38274898250059869</v>
      </c>
      <c r="X87" s="3">
        <v>0.51077709431196228</v>
      </c>
      <c r="Y87" s="3">
        <v>0.2935338009241677</v>
      </c>
    </row>
    <row r="88" spans="1:25" x14ac:dyDescent="0.25">
      <c r="A88" s="2">
        <v>40117</v>
      </c>
      <c r="B88" s="3">
        <v>-1.7523040727880131E-2</v>
      </c>
      <c r="C88" s="3">
        <v>4.7530654738552447E-2</v>
      </c>
      <c r="D88" s="3">
        <v>-4.3085200776805443E-2</v>
      </c>
      <c r="E88" s="3">
        <v>-3.3582023564945329E-3</v>
      </c>
      <c r="F88" s="3">
        <v>2.5270419630867291E-3</v>
      </c>
      <c r="G88" s="3">
        <v>8.708957580459864E-3</v>
      </c>
      <c r="H88" s="3">
        <v>-1</v>
      </c>
      <c r="I88" s="3">
        <v>1</v>
      </c>
      <c r="J88" s="3">
        <v>0</v>
      </c>
      <c r="K88" s="3">
        <v>4.3085200776805443E-2</v>
      </c>
      <c r="L88" s="3">
        <v>0</v>
      </c>
      <c r="M88" s="3">
        <v>-3.3582023564945329E-3</v>
      </c>
      <c r="N88" s="3">
        <v>2.5270419630867291E-3</v>
      </c>
      <c r="O88" s="3">
        <v>0</v>
      </c>
      <c r="P88" s="3">
        <v>-8.708957580459864E-3</v>
      </c>
      <c r="Q88" s="3">
        <v>0</v>
      </c>
      <c r="R88" s="3">
        <v>0.42517948380148751</v>
      </c>
      <c r="S88" s="3">
        <v>0.14515983908657629</v>
      </c>
      <c r="T88" s="3">
        <v>-0.1148551381890109</v>
      </c>
      <c r="U88" s="3">
        <v>0.20204064315465639</v>
      </c>
      <c r="V88" s="3">
        <v>0.46535883495233082</v>
      </c>
      <c r="W88" s="3">
        <v>0.38274898250059869</v>
      </c>
      <c r="X88" s="3">
        <v>0.49761980068406908</v>
      </c>
      <c r="Y88" s="3">
        <v>0.2935338009241677</v>
      </c>
    </row>
    <row r="89" spans="1:25" x14ac:dyDescent="0.25">
      <c r="A89" s="2">
        <v>40147</v>
      </c>
      <c r="B89" s="3">
        <v>6.0748238484364947E-2</v>
      </c>
      <c r="C89" s="3">
        <v>5.9337779271891773E-2</v>
      </c>
      <c r="D89" s="3">
        <v>4.8765917830093652E-3</v>
      </c>
      <c r="E89" s="3">
        <v>1.579007960546042E-2</v>
      </c>
      <c r="F89" s="3">
        <v>3.4097490681105791E-2</v>
      </c>
      <c r="G89" s="3">
        <v>-2.2589426920756051E-2</v>
      </c>
      <c r="H89" s="3">
        <v>-1</v>
      </c>
      <c r="I89" s="3">
        <v>1</v>
      </c>
      <c r="J89" s="3">
        <v>0</v>
      </c>
      <c r="K89" s="3">
        <v>-4.8765917830093652E-3</v>
      </c>
      <c r="L89" s="3">
        <v>0</v>
      </c>
      <c r="M89" s="3">
        <v>1.579007960546042E-2</v>
      </c>
      <c r="N89" s="3">
        <v>3.4097490681105791E-2</v>
      </c>
      <c r="O89" s="3">
        <v>0</v>
      </c>
      <c r="P89" s="3">
        <v>2.2589426920756051E-2</v>
      </c>
      <c r="Q89" s="3">
        <v>0</v>
      </c>
      <c r="R89" s="3">
        <v>0.42517948380148751</v>
      </c>
      <c r="S89" s="3">
        <v>0.13957536202505441</v>
      </c>
      <c r="T89" s="3">
        <v>-0.1148551381890109</v>
      </c>
      <c r="U89" s="3">
        <v>0.2210209605990672</v>
      </c>
      <c r="V89" s="3">
        <v>0.51532389417159385</v>
      </c>
      <c r="W89" s="3">
        <v>0.38274898250059869</v>
      </c>
      <c r="X89" s="3">
        <v>0.531450173726699</v>
      </c>
      <c r="Y89" s="3">
        <v>0.2935338009241677</v>
      </c>
    </row>
    <row r="90" spans="1:25" x14ac:dyDescent="0.25">
      <c r="A90" s="2">
        <v>40178</v>
      </c>
      <c r="B90" s="3">
        <v>1.9383436719370931E-2</v>
      </c>
      <c r="C90" s="3">
        <v>7.3068918783489423E-2</v>
      </c>
      <c r="D90" s="3">
        <v>1.0576984484760299E-3</v>
      </c>
      <c r="E90" s="3">
        <v>-1.01204422107869E-2</v>
      </c>
      <c r="F90" s="3">
        <v>8.2766593517392684E-3</v>
      </c>
      <c r="G90" s="3">
        <v>-2.9998335057943581E-2</v>
      </c>
      <c r="H90" s="3">
        <v>-1</v>
      </c>
      <c r="I90" s="3">
        <v>1</v>
      </c>
      <c r="J90" s="3">
        <v>0</v>
      </c>
      <c r="K90" s="3">
        <v>-1.0576984484760299E-3</v>
      </c>
      <c r="L90" s="3">
        <v>0</v>
      </c>
      <c r="M90" s="3">
        <v>-1.01204422107869E-2</v>
      </c>
      <c r="N90" s="3">
        <v>8.2766593517392684E-3</v>
      </c>
      <c r="O90" s="3">
        <v>0</v>
      </c>
      <c r="P90" s="3">
        <v>2.9998335057943581E-2</v>
      </c>
      <c r="Q90" s="3">
        <v>0</v>
      </c>
      <c r="R90" s="3">
        <v>0.42517948380148751</v>
      </c>
      <c r="S90" s="3">
        <v>0.13837003493271899</v>
      </c>
      <c r="T90" s="3">
        <v>-0.1148551381890109</v>
      </c>
      <c r="U90" s="3">
        <v>0.20866368852916481</v>
      </c>
      <c r="V90" s="3">
        <v>0.52786571385120329</v>
      </c>
      <c r="W90" s="3">
        <v>0.38274898250059869</v>
      </c>
      <c r="X90" s="3">
        <v>0.57739112916269852</v>
      </c>
      <c r="Y90" s="3">
        <v>0.2935338009241677</v>
      </c>
    </row>
    <row r="91" spans="1:25" x14ac:dyDescent="0.25">
      <c r="A91" s="2">
        <v>40209</v>
      </c>
      <c r="B91" s="3">
        <v>-3.5983832622079708E-2</v>
      </c>
      <c r="C91" s="3">
        <v>-3.3371151747016548E-2</v>
      </c>
      <c r="D91" s="3">
        <v>-2.177421657438838E-2</v>
      </c>
      <c r="E91" s="3">
        <v>7.9781022227477516E-3</v>
      </c>
      <c r="F91" s="3">
        <v>2.7859627705320911E-2</v>
      </c>
      <c r="G91" s="3">
        <v>-6.5840030536216121E-3</v>
      </c>
      <c r="H91" s="3">
        <v>1</v>
      </c>
      <c r="I91" s="3">
        <v>-1</v>
      </c>
      <c r="J91" s="3">
        <v>-2.177421657438838E-2</v>
      </c>
      <c r="K91" s="3">
        <v>0</v>
      </c>
      <c r="L91" s="3">
        <v>-7.9781022227477516E-3</v>
      </c>
      <c r="M91" s="3">
        <v>0</v>
      </c>
      <c r="N91" s="3">
        <v>0</v>
      </c>
      <c r="O91" s="3">
        <v>-2.7859627705320911E-2</v>
      </c>
      <c r="P91" s="3">
        <v>0</v>
      </c>
      <c r="Q91" s="3">
        <v>-6.5840030536216121E-3</v>
      </c>
      <c r="R91" s="3">
        <v>0.39414731706381878</v>
      </c>
      <c r="S91" s="3">
        <v>0.13837003493271899</v>
      </c>
      <c r="T91" s="3">
        <v>-0.121916914378479</v>
      </c>
      <c r="U91" s="3">
        <v>0.20866368852916481</v>
      </c>
      <c r="V91" s="3">
        <v>0.52786571385120329</v>
      </c>
      <c r="W91" s="3">
        <v>0.34422611063822067</v>
      </c>
      <c r="X91" s="3">
        <v>0.57739112916269852</v>
      </c>
      <c r="Y91" s="3">
        <v>0.28501717042892022</v>
      </c>
    </row>
    <row r="92" spans="1:25" x14ac:dyDescent="0.25">
      <c r="A92" s="2">
        <v>40237</v>
      </c>
      <c r="B92" s="3">
        <v>3.1842906193519593E-2</v>
      </c>
      <c r="C92" s="3">
        <v>6.7144361917797601E-2</v>
      </c>
      <c r="D92" s="3">
        <v>-3.6682054710515111E-3</v>
      </c>
      <c r="E92" s="3">
        <v>2.8812565692437401E-2</v>
      </c>
      <c r="F92" s="3">
        <v>-6.127775015364989E-3</v>
      </c>
      <c r="G92" s="3">
        <v>1.8450496975330741E-4</v>
      </c>
      <c r="H92" s="3">
        <v>-1</v>
      </c>
      <c r="I92" s="3">
        <v>1</v>
      </c>
      <c r="J92" s="3">
        <v>0</v>
      </c>
      <c r="K92" s="3">
        <v>3.6682054710515111E-3</v>
      </c>
      <c r="L92" s="3">
        <v>0</v>
      </c>
      <c r="M92" s="3">
        <v>2.8812565692437401E-2</v>
      </c>
      <c r="N92" s="3">
        <v>-6.127775015364989E-3</v>
      </c>
      <c r="O92" s="3">
        <v>0</v>
      </c>
      <c r="P92" s="3">
        <v>-1.8450496975330741E-4</v>
      </c>
      <c r="Q92" s="3">
        <v>0</v>
      </c>
      <c r="R92" s="3">
        <v>0.39414731706381878</v>
      </c>
      <c r="S92" s="3">
        <v>0.1425458101229404</v>
      </c>
      <c r="T92" s="3">
        <v>-0.121916914378479</v>
      </c>
      <c r="U92" s="3">
        <v>0.2434883904549752</v>
      </c>
      <c r="V92" s="3">
        <v>0.51850329650303317</v>
      </c>
      <c r="W92" s="3">
        <v>0.34422611063822067</v>
      </c>
      <c r="X92" s="3">
        <v>0.5771000926601233</v>
      </c>
      <c r="Y92" s="3">
        <v>0.28501717042892022</v>
      </c>
    </row>
    <row r="93" spans="1:25" x14ac:dyDescent="0.25">
      <c r="A93" s="2">
        <v>40268</v>
      </c>
      <c r="B93" s="3">
        <v>5.9422440900326327E-2</v>
      </c>
      <c r="C93" s="3">
        <v>5.1620834413726453E-2</v>
      </c>
      <c r="D93" s="3">
        <v>8.9206041581919582E-3</v>
      </c>
      <c r="E93" s="3">
        <v>-1.923237661550747E-2</v>
      </c>
      <c r="F93" s="3">
        <v>3.1367401908981567E-2</v>
      </c>
      <c r="G93" s="3">
        <v>-1.211600970927007E-2</v>
      </c>
      <c r="H93" s="3">
        <v>-1</v>
      </c>
      <c r="I93" s="3">
        <v>1</v>
      </c>
      <c r="J93" s="3">
        <v>0</v>
      </c>
      <c r="K93" s="3">
        <v>-8.9206041581919582E-3</v>
      </c>
      <c r="L93" s="3">
        <v>0</v>
      </c>
      <c r="M93" s="3">
        <v>-1.923237661550747E-2</v>
      </c>
      <c r="N93" s="3">
        <v>3.1367401908981567E-2</v>
      </c>
      <c r="O93" s="3">
        <v>0</v>
      </c>
      <c r="P93" s="3">
        <v>1.211600970927007E-2</v>
      </c>
      <c r="Q93" s="3">
        <v>0</v>
      </c>
      <c r="R93" s="3">
        <v>0.39414731706381878</v>
      </c>
      <c r="S93" s="3">
        <v>0.13235361121823291</v>
      </c>
      <c r="T93" s="3">
        <v>-0.121916914378479</v>
      </c>
      <c r="U93" s="3">
        <v>0.2195731534127339</v>
      </c>
      <c r="V93" s="3">
        <v>0.56613479970455716</v>
      </c>
      <c r="W93" s="3">
        <v>0.34422611063822067</v>
      </c>
      <c r="X93" s="3">
        <v>0.5962082526952841</v>
      </c>
      <c r="Y93" s="3">
        <v>0.28501717042892022</v>
      </c>
    </row>
    <row r="94" spans="1:25" x14ac:dyDescent="0.25">
      <c r="A94" s="2">
        <v>40298</v>
      </c>
      <c r="B94" s="3">
        <v>1.6264008462187781E-2</v>
      </c>
      <c r="C94" s="3">
        <v>1.973144533590121E-2</v>
      </c>
      <c r="D94" s="3">
        <v>-1.7867171204687948E-2</v>
      </c>
      <c r="E94" s="3">
        <v>1.8841112848977489E-2</v>
      </c>
      <c r="F94" s="3">
        <v>1.5096033715645831E-2</v>
      </c>
      <c r="G94" s="3">
        <v>-4.2478831309803464E-3</v>
      </c>
      <c r="H94" s="3">
        <v>-1</v>
      </c>
      <c r="I94" s="3">
        <v>1</v>
      </c>
      <c r="J94" s="3">
        <v>0</v>
      </c>
      <c r="K94" s="3">
        <v>1.7867171204687948E-2</v>
      </c>
      <c r="L94" s="3">
        <v>0</v>
      </c>
      <c r="M94" s="3">
        <v>1.8841112848977489E-2</v>
      </c>
      <c r="N94" s="3">
        <v>1.5096033715645831E-2</v>
      </c>
      <c r="O94" s="3">
        <v>0</v>
      </c>
      <c r="P94" s="3">
        <v>4.2478831309803464E-3</v>
      </c>
      <c r="Q94" s="3">
        <v>0</v>
      </c>
      <c r="R94" s="3">
        <v>0.39414731706381878</v>
      </c>
      <c r="S94" s="3">
        <v>0.15258556705411591</v>
      </c>
      <c r="T94" s="3">
        <v>-0.121916914378479</v>
      </c>
      <c r="U94" s="3">
        <v>0.24255126882376629</v>
      </c>
      <c r="V94" s="3">
        <v>0.58977722344414341</v>
      </c>
      <c r="W94" s="3">
        <v>0.34422611063822067</v>
      </c>
      <c r="X94" s="3">
        <v>0.6029887588054399</v>
      </c>
      <c r="Y94" s="3">
        <v>0.28501717042892022</v>
      </c>
    </row>
    <row r="95" spans="1:25" x14ac:dyDescent="0.25">
      <c r="A95" s="2">
        <v>40329</v>
      </c>
      <c r="B95" s="3">
        <v>-7.8767648935510914E-2</v>
      </c>
      <c r="C95" s="3">
        <v>-0.15299577382417881</v>
      </c>
      <c r="D95" s="3">
        <v>3.1098342602571272E-3</v>
      </c>
      <c r="E95" s="3">
        <v>-1.9508952288987521E-2</v>
      </c>
      <c r="F95" s="3">
        <v>-6.4598008766471371E-2</v>
      </c>
      <c r="G95" s="3">
        <v>4.0966768816755213E-2</v>
      </c>
      <c r="H95" s="3">
        <v>1</v>
      </c>
      <c r="I95" s="3">
        <v>-1</v>
      </c>
      <c r="J95" s="3">
        <v>3.1098342602571272E-3</v>
      </c>
      <c r="K95" s="3">
        <v>0</v>
      </c>
      <c r="L95" s="3">
        <v>1.9508952288987521E-2</v>
      </c>
      <c r="M95" s="3">
        <v>0</v>
      </c>
      <c r="N95" s="3">
        <v>0</v>
      </c>
      <c r="O95" s="3">
        <v>6.4598008766471371E-2</v>
      </c>
      <c r="P95" s="3">
        <v>0</v>
      </c>
      <c r="Q95" s="3">
        <v>4.0966768816755213E-2</v>
      </c>
      <c r="R95" s="3">
        <v>0.39848288415426941</v>
      </c>
      <c r="S95" s="3">
        <v>0.15258556705411591</v>
      </c>
      <c r="T95" s="3">
        <v>-0.1047864333553218</v>
      </c>
      <c r="U95" s="3">
        <v>0.24255126882376629</v>
      </c>
      <c r="V95" s="3">
        <v>0.58977722344414341</v>
      </c>
      <c r="W95" s="3">
        <v>0.43106044071734823</v>
      </c>
      <c r="X95" s="3">
        <v>0.6029887588054399</v>
      </c>
      <c r="Y95" s="3">
        <v>0.33766017177544261</v>
      </c>
    </row>
    <row r="96" spans="1:25" x14ac:dyDescent="0.25">
      <c r="A96" s="2">
        <v>40359</v>
      </c>
      <c r="B96" s="3">
        <v>-5.0343654910357638E-2</v>
      </c>
      <c r="C96" s="3">
        <v>1.160273041271709E-2</v>
      </c>
      <c r="D96" s="3">
        <v>-7.5527311825180354E-2</v>
      </c>
      <c r="E96" s="3">
        <v>4.3834848830870632E-2</v>
      </c>
      <c r="F96" s="3">
        <v>-3.4928003651084727E-2</v>
      </c>
      <c r="G96" s="3">
        <v>2.478395961567403E-2</v>
      </c>
      <c r="H96" s="3">
        <v>-1</v>
      </c>
      <c r="I96" s="3">
        <v>1</v>
      </c>
      <c r="J96" s="3">
        <v>0</v>
      </c>
      <c r="K96" s="3">
        <v>7.5527311825180354E-2</v>
      </c>
      <c r="L96" s="3">
        <v>0</v>
      </c>
      <c r="M96" s="3">
        <v>4.3834848830870632E-2</v>
      </c>
      <c r="N96" s="3">
        <v>-3.4928003651084727E-2</v>
      </c>
      <c r="O96" s="3">
        <v>0</v>
      </c>
      <c r="P96" s="3">
        <v>-2.478395961567403E-2</v>
      </c>
      <c r="Q96" s="3">
        <v>0</v>
      </c>
      <c r="R96" s="3">
        <v>0.39848288415426941</v>
      </c>
      <c r="S96" s="3">
        <v>0.23963725658221449</v>
      </c>
      <c r="T96" s="3">
        <v>-0.1047864333553218</v>
      </c>
      <c r="U96" s="3">
        <v>0.29701831585726263</v>
      </c>
      <c r="V96" s="3">
        <v>0.53424947877927509</v>
      </c>
      <c r="W96" s="3">
        <v>0.43106044071734823</v>
      </c>
      <c r="X96" s="3">
        <v>0.56326035014282638</v>
      </c>
      <c r="Y96" s="3">
        <v>0.33766017177544261</v>
      </c>
    </row>
    <row r="97" spans="1:25" x14ac:dyDescent="0.25">
      <c r="A97" s="2">
        <v>40390</v>
      </c>
      <c r="B97" s="3">
        <v>6.7710417958073754E-2</v>
      </c>
      <c r="C97" s="3">
        <v>6.5495743832695519E-2</v>
      </c>
      <c r="D97" s="3">
        <v>7.4967192667974034E-3</v>
      </c>
      <c r="E97" s="3">
        <v>-3.445876560522088E-3</v>
      </c>
      <c r="F97" s="3">
        <v>3.8041507743096559E-2</v>
      </c>
      <c r="G97" s="3">
        <v>-1.6243211002767041E-2</v>
      </c>
      <c r="H97" s="3">
        <v>-1</v>
      </c>
      <c r="I97" s="3">
        <v>1</v>
      </c>
      <c r="J97" s="3">
        <v>0</v>
      </c>
      <c r="K97" s="3">
        <v>-7.4967192667974034E-3</v>
      </c>
      <c r="L97" s="3">
        <v>0</v>
      </c>
      <c r="M97" s="3">
        <v>-3.445876560522088E-3</v>
      </c>
      <c r="N97" s="3">
        <v>3.8041507743096559E-2</v>
      </c>
      <c r="O97" s="3">
        <v>0</v>
      </c>
      <c r="P97" s="3">
        <v>1.6243211002767041E-2</v>
      </c>
      <c r="Q97" s="3">
        <v>0</v>
      </c>
      <c r="R97" s="3">
        <v>0.39848288415426941</v>
      </c>
      <c r="S97" s="3">
        <v>0.23034404407695461</v>
      </c>
      <c r="T97" s="3">
        <v>-0.1047864333553218</v>
      </c>
      <c r="U97" s="3">
        <v>0.29254895084408222</v>
      </c>
      <c r="V97" s="3">
        <v>0.59261464220609894</v>
      </c>
      <c r="W97" s="3">
        <v>0.43106044071734823</v>
      </c>
      <c r="X97" s="3">
        <v>0.58865271786245588</v>
      </c>
      <c r="Y97" s="3">
        <v>0.33766017177544261</v>
      </c>
    </row>
    <row r="98" spans="1:25" x14ac:dyDescent="0.25">
      <c r="A98" s="2">
        <v>40421</v>
      </c>
      <c r="B98" s="3">
        <v>-4.4686548862853281E-2</v>
      </c>
      <c r="C98" s="3">
        <v>-8.2128796261132675E-2</v>
      </c>
      <c r="D98" s="3">
        <v>-2.048800156989183E-2</v>
      </c>
      <c r="E98" s="3">
        <v>2.4313847806604061E-2</v>
      </c>
      <c r="F98" s="3">
        <v>1.9336937184678101E-2</v>
      </c>
      <c r="G98" s="3">
        <v>-3.4371271809296999E-4</v>
      </c>
      <c r="H98" s="3">
        <v>1</v>
      </c>
      <c r="I98" s="3">
        <v>-1</v>
      </c>
      <c r="J98" s="3">
        <v>-2.048800156989183E-2</v>
      </c>
      <c r="K98" s="3">
        <v>0</v>
      </c>
      <c r="L98" s="3">
        <v>-2.4313847806604061E-2</v>
      </c>
      <c r="M98" s="3">
        <v>0</v>
      </c>
      <c r="N98" s="3">
        <v>0</v>
      </c>
      <c r="O98" s="3">
        <v>-1.9336937184678101E-2</v>
      </c>
      <c r="P98" s="3">
        <v>0</v>
      </c>
      <c r="Q98" s="3">
        <v>-3.4371271809296999E-4</v>
      </c>
      <c r="R98" s="3">
        <v>0.36983076462824988</v>
      </c>
      <c r="S98" s="3">
        <v>0.23034404407695461</v>
      </c>
      <c r="T98" s="3">
        <v>-0.12655251976912771</v>
      </c>
      <c r="U98" s="3">
        <v>0.29254895084408222</v>
      </c>
      <c r="V98" s="3">
        <v>0.59261464220609894</v>
      </c>
      <c r="W98" s="3">
        <v>0.40338811486771903</v>
      </c>
      <c r="X98" s="3">
        <v>0.58865271786245588</v>
      </c>
      <c r="Y98" s="3">
        <v>0.33720040096191689</v>
      </c>
    </row>
    <row r="99" spans="1:25" x14ac:dyDescent="0.25">
      <c r="A99" s="2">
        <v>40451</v>
      </c>
      <c r="B99" s="3">
        <v>8.6911316967261842E-2</v>
      </c>
      <c r="C99" s="3">
        <v>0.1133220111814988</v>
      </c>
      <c r="D99" s="3">
        <v>6.5069557370650566E-3</v>
      </c>
      <c r="E99" s="3">
        <v>8.8431990937027916E-3</v>
      </c>
      <c r="F99" s="3">
        <v>4.794644611768295E-2</v>
      </c>
      <c r="G99" s="3">
        <v>-3.111722701504371E-2</v>
      </c>
      <c r="H99" s="3">
        <v>-1</v>
      </c>
      <c r="I99" s="3">
        <v>1</v>
      </c>
      <c r="J99" s="3">
        <v>0</v>
      </c>
      <c r="K99" s="3">
        <v>-6.5069557370650566E-3</v>
      </c>
      <c r="L99" s="3">
        <v>0</v>
      </c>
      <c r="M99" s="3">
        <v>8.8431990937027916E-3</v>
      </c>
      <c r="N99" s="3">
        <v>4.794644611768295E-2</v>
      </c>
      <c r="O99" s="3">
        <v>0</v>
      </c>
      <c r="P99" s="3">
        <v>3.111722701504371E-2</v>
      </c>
      <c r="Q99" s="3">
        <v>0</v>
      </c>
      <c r="R99" s="3">
        <v>0.36983076462824988</v>
      </c>
      <c r="S99" s="3">
        <v>0.22233824984078421</v>
      </c>
      <c r="T99" s="3">
        <v>-0.12655251976912771</v>
      </c>
      <c r="U99" s="3">
        <v>0.30397921855475302</v>
      </c>
      <c r="V99" s="3">
        <v>0.66897485433486636</v>
      </c>
      <c r="W99" s="3">
        <v>0.40338811486771903</v>
      </c>
      <c r="X99" s="3">
        <v>0.63808718513224805</v>
      </c>
      <c r="Y99" s="3">
        <v>0.33720040096191689</v>
      </c>
    </row>
    <row r="100" spans="1:25" x14ac:dyDescent="0.25">
      <c r="A100" s="2">
        <v>40482</v>
      </c>
      <c r="B100" s="3">
        <v>3.7947807251664467E-2</v>
      </c>
      <c r="C100" s="3">
        <v>7.7314170388157355E-2</v>
      </c>
      <c r="D100" s="3">
        <v>3.0530936022977739E-3</v>
      </c>
      <c r="E100" s="3">
        <v>-2.5503665556736439E-3</v>
      </c>
      <c r="F100" s="3">
        <v>1.5541117341477889E-2</v>
      </c>
      <c r="G100" s="3">
        <v>-4.0289499784142979E-3</v>
      </c>
      <c r="H100" s="3">
        <v>-1</v>
      </c>
      <c r="I100" s="3">
        <v>1</v>
      </c>
      <c r="J100" s="3">
        <v>0</v>
      </c>
      <c r="K100" s="3">
        <v>-3.0530936022977739E-3</v>
      </c>
      <c r="L100" s="3">
        <v>0</v>
      </c>
      <c r="M100" s="3">
        <v>-2.5503665556736439E-3</v>
      </c>
      <c r="N100" s="3">
        <v>1.5541117341477889E-2</v>
      </c>
      <c r="O100" s="3">
        <v>0</v>
      </c>
      <c r="P100" s="3">
        <v>4.0289499784142979E-3</v>
      </c>
      <c r="Q100" s="3">
        <v>0</v>
      </c>
      <c r="R100" s="3">
        <v>0.36983076462824988</v>
      </c>
      <c r="S100" s="3">
        <v>0.21860633675035149</v>
      </c>
      <c r="T100" s="3">
        <v>-0.12655251976912771</v>
      </c>
      <c r="U100" s="3">
        <v>0.30065359356645738</v>
      </c>
      <c r="V100" s="3">
        <v>0.69491258838606051</v>
      </c>
      <c r="W100" s="3">
        <v>0.40338811486771903</v>
      </c>
      <c r="X100" s="3">
        <v>0.64468695646142726</v>
      </c>
      <c r="Y100" s="3">
        <v>0.33720040096191689</v>
      </c>
    </row>
    <row r="101" spans="1:25" x14ac:dyDescent="0.25">
      <c r="A101" s="2">
        <v>40512</v>
      </c>
      <c r="B101" s="3">
        <v>8.8091519784616601E-4</v>
      </c>
      <c r="C101" s="3">
        <v>5.003658033337377E-2</v>
      </c>
      <c r="D101" s="3">
        <v>-1.477424327149846E-2</v>
      </c>
      <c r="E101" s="3">
        <v>1.8995685521828509E-2</v>
      </c>
      <c r="F101" s="3">
        <v>3.5306670941053893E-2</v>
      </c>
      <c r="G101" s="3">
        <v>-2.0931981713849801E-2</v>
      </c>
      <c r="H101" s="3">
        <v>-1</v>
      </c>
      <c r="I101" s="3">
        <v>1</v>
      </c>
      <c r="J101" s="3">
        <v>0</v>
      </c>
      <c r="K101" s="3">
        <v>1.477424327149846E-2</v>
      </c>
      <c r="L101" s="3">
        <v>0</v>
      </c>
      <c r="M101" s="3">
        <v>1.8995685521828509E-2</v>
      </c>
      <c r="N101" s="3">
        <v>3.5306670941053893E-2</v>
      </c>
      <c r="O101" s="3">
        <v>0</v>
      </c>
      <c r="P101" s="3">
        <v>2.0931981713849801E-2</v>
      </c>
      <c r="Q101" s="3">
        <v>0</v>
      </c>
      <c r="R101" s="3">
        <v>0.36983076462824988</v>
      </c>
      <c r="S101" s="3">
        <v>0.23661032322169101</v>
      </c>
      <c r="T101" s="3">
        <v>-0.12655251976912771</v>
      </c>
      <c r="U101" s="3">
        <v>0.32536040020268198</v>
      </c>
      <c r="V101" s="3">
        <v>0.7547543094180571</v>
      </c>
      <c r="W101" s="3">
        <v>0.40338811486771903</v>
      </c>
      <c r="X101" s="3">
        <v>0.67911351375908513</v>
      </c>
      <c r="Y101" s="3">
        <v>0.33720040096191689</v>
      </c>
    </row>
    <row r="102" spans="1:25" x14ac:dyDescent="0.25">
      <c r="A102" s="2">
        <v>40543</v>
      </c>
      <c r="B102" s="3">
        <v>6.5112843517056485E-2</v>
      </c>
      <c r="C102" s="3">
        <v>0.1057539250921422</v>
      </c>
      <c r="D102" s="3">
        <v>2.8758454745115851E-3</v>
      </c>
      <c r="E102" s="3">
        <v>7.3953066932150868E-3</v>
      </c>
      <c r="F102" s="3">
        <v>3.6281732297392399E-2</v>
      </c>
      <c r="G102" s="3">
        <v>-3.9963388562924473E-2</v>
      </c>
      <c r="H102" s="3">
        <v>-1</v>
      </c>
      <c r="I102" s="3">
        <v>1</v>
      </c>
      <c r="J102" s="3">
        <v>0</v>
      </c>
      <c r="K102" s="3">
        <v>-2.8758454745115851E-3</v>
      </c>
      <c r="L102" s="3">
        <v>0</v>
      </c>
      <c r="M102" s="3">
        <v>7.3953066932150868E-3</v>
      </c>
      <c r="N102" s="3">
        <v>3.6281732297392399E-2</v>
      </c>
      <c r="O102" s="3">
        <v>0</v>
      </c>
      <c r="P102" s="3">
        <v>3.9963388562924473E-2</v>
      </c>
      <c r="Q102" s="3">
        <v>0</v>
      </c>
      <c r="R102" s="3">
        <v>0.36983076462824988</v>
      </c>
      <c r="S102" s="3">
        <v>0.23305402301991959</v>
      </c>
      <c r="T102" s="3">
        <v>-0.12655251976912771</v>
      </c>
      <c r="U102" s="3">
        <v>0.33516184684122319</v>
      </c>
      <c r="V102" s="3">
        <v>0.81841983552005848</v>
      </c>
      <c r="W102" s="3">
        <v>0.40338811486771903</v>
      </c>
      <c r="X102" s="3">
        <v>0.74621657955069698</v>
      </c>
      <c r="Y102" s="3">
        <v>0.33720040096191689</v>
      </c>
    </row>
    <row r="103" spans="1:25" x14ac:dyDescent="0.25">
      <c r="A103" s="2">
        <v>40574</v>
      </c>
      <c r="B103" s="3">
        <v>2.3440417133957839E-2</v>
      </c>
      <c r="C103" s="3">
        <v>5.3497238948387198E-2</v>
      </c>
      <c r="D103" s="3">
        <v>-3.0654925996792541E-3</v>
      </c>
      <c r="E103" s="3">
        <v>-3.5066050867728071E-3</v>
      </c>
      <c r="F103" s="3">
        <v>1.1062954741164919E-2</v>
      </c>
      <c r="G103" s="3">
        <v>-1.8685475430794799E-2</v>
      </c>
      <c r="H103" s="3">
        <v>-1</v>
      </c>
      <c r="I103" s="3">
        <v>1</v>
      </c>
      <c r="J103" s="3">
        <v>0</v>
      </c>
      <c r="K103" s="3">
        <v>3.0654925996792541E-3</v>
      </c>
      <c r="L103" s="3">
        <v>0</v>
      </c>
      <c r="M103" s="3">
        <v>-3.5066050867728071E-3</v>
      </c>
      <c r="N103" s="3">
        <v>1.1062954741164919E-2</v>
      </c>
      <c r="O103" s="3">
        <v>0</v>
      </c>
      <c r="P103" s="3">
        <v>1.8685475430794799E-2</v>
      </c>
      <c r="Q103" s="3">
        <v>0</v>
      </c>
      <c r="R103" s="3">
        <v>0.36983076462824988</v>
      </c>
      <c r="S103" s="3">
        <v>0.2368339410024918</v>
      </c>
      <c r="T103" s="3">
        <v>-0.12655251976912771</v>
      </c>
      <c r="U103" s="3">
        <v>0.33047996151742481</v>
      </c>
      <c r="V103" s="3">
        <v>0.83853693186085354</v>
      </c>
      <c r="W103" s="3">
        <v>0.40338811486771903</v>
      </c>
      <c r="X103" s="3">
        <v>0.77884546654473796</v>
      </c>
      <c r="Y103" s="3">
        <v>0.33720040096191689</v>
      </c>
    </row>
    <row r="104" spans="1:25" x14ac:dyDescent="0.25">
      <c r="A104" s="2">
        <v>40602</v>
      </c>
      <c r="B104" s="3">
        <v>3.4666315390162072E-2</v>
      </c>
      <c r="C104" s="3">
        <v>2.4883468704491759E-2</v>
      </c>
      <c r="D104" s="3">
        <v>1.0058015002696759E-2</v>
      </c>
      <c r="E104" s="3">
        <v>1.7181797321206949E-2</v>
      </c>
      <c r="F104" s="3">
        <v>2.5400307831916599E-2</v>
      </c>
      <c r="G104" s="3">
        <v>-1.79825470253967E-2</v>
      </c>
      <c r="H104" s="3">
        <v>-1</v>
      </c>
      <c r="I104" s="3">
        <v>1</v>
      </c>
      <c r="J104" s="3">
        <v>0</v>
      </c>
      <c r="K104" s="3">
        <v>-1.0058015002696759E-2</v>
      </c>
      <c r="L104" s="3">
        <v>0</v>
      </c>
      <c r="M104" s="3">
        <v>1.7181797321206949E-2</v>
      </c>
      <c r="N104" s="3">
        <v>2.5400307831916599E-2</v>
      </c>
      <c r="O104" s="3">
        <v>0</v>
      </c>
      <c r="P104" s="3">
        <v>1.79825470253967E-2</v>
      </c>
      <c r="Q104" s="3">
        <v>0</v>
      </c>
      <c r="R104" s="3">
        <v>0.36983076462824988</v>
      </c>
      <c r="S104" s="3">
        <v>0.22439384666804421</v>
      </c>
      <c r="T104" s="3">
        <v>-0.12655251976912771</v>
      </c>
      <c r="U104" s="3">
        <v>0.35333999855614429</v>
      </c>
      <c r="V104" s="3">
        <v>0.88523633589046691</v>
      </c>
      <c r="W104" s="3">
        <v>0.40338811486771903</v>
      </c>
      <c r="X104" s="3">
        <v>0.81083363879779236</v>
      </c>
      <c r="Y104" s="3">
        <v>0.33720040096191689</v>
      </c>
    </row>
    <row r="105" spans="1:25" x14ac:dyDescent="0.25">
      <c r="A105" s="2">
        <v>40633</v>
      </c>
      <c r="B105" s="3">
        <v>1.2854791089004221E-3</v>
      </c>
      <c r="C105" s="3">
        <v>-2.9950283648666361E-2</v>
      </c>
      <c r="D105" s="3">
        <v>2.1839339918260921E-2</v>
      </c>
      <c r="E105" s="3">
        <v>-8.3283941069578482E-3</v>
      </c>
      <c r="F105" s="3">
        <v>-1.2652887420439461E-2</v>
      </c>
      <c r="G105" s="3">
        <v>-2.0319037710555651E-2</v>
      </c>
      <c r="H105" s="3">
        <v>1</v>
      </c>
      <c r="I105" s="3">
        <v>-1</v>
      </c>
      <c r="J105" s="3">
        <v>2.1839339918260921E-2</v>
      </c>
      <c r="K105" s="3">
        <v>0</v>
      </c>
      <c r="L105" s="3">
        <v>8.3283941069578482E-3</v>
      </c>
      <c r="M105" s="3">
        <v>0</v>
      </c>
      <c r="N105" s="3">
        <v>0</v>
      </c>
      <c r="O105" s="3">
        <v>1.2652887420439461E-2</v>
      </c>
      <c r="P105" s="3">
        <v>0</v>
      </c>
      <c r="Q105" s="3">
        <v>-2.0319037710555651E-2</v>
      </c>
      <c r="R105" s="3">
        <v>0.3997469643274576</v>
      </c>
      <c r="S105" s="3">
        <v>0.22439384666804421</v>
      </c>
      <c r="T105" s="3">
        <v>-0.11927810492203569</v>
      </c>
      <c r="U105" s="3">
        <v>0.35333999855614429</v>
      </c>
      <c r="V105" s="3">
        <v>0.88523633589046691</v>
      </c>
      <c r="W105" s="3">
        <v>0.4211450266923229</v>
      </c>
      <c r="X105" s="3">
        <v>0.81083363879779236</v>
      </c>
      <c r="Y105" s="3">
        <v>0.31002977558820161</v>
      </c>
    </row>
    <row r="106" spans="1:25" x14ac:dyDescent="0.25">
      <c r="A106" s="2">
        <v>40663</v>
      </c>
      <c r="B106" s="3">
        <v>2.8864298493596952E-2</v>
      </c>
      <c r="C106" s="3">
        <v>-4.558710315473169E-4</v>
      </c>
      <c r="D106" s="3">
        <v>1.9681405435359119E-2</v>
      </c>
      <c r="E106" s="3">
        <v>1.397561243922762E-2</v>
      </c>
      <c r="F106" s="3">
        <v>5.5084795378548268E-3</v>
      </c>
      <c r="G106" s="3">
        <v>-1.5064337362032609E-2</v>
      </c>
      <c r="H106" s="3">
        <v>1</v>
      </c>
      <c r="I106" s="3">
        <v>-1</v>
      </c>
      <c r="J106" s="3">
        <v>1.9681405435359119E-2</v>
      </c>
      <c r="K106" s="3">
        <v>0</v>
      </c>
      <c r="L106" s="3">
        <v>-1.397561243922762E-2</v>
      </c>
      <c r="M106" s="3">
        <v>0</v>
      </c>
      <c r="N106" s="3">
        <v>0</v>
      </c>
      <c r="O106" s="3">
        <v>-5.5084795378548268E-3</v>
      </c>
      <c r="P106" s="3">
        <v>0</v>
      </c>
      <c r="Q106" s="3">
        <v>-1.5064337362032609E-2</v>
      </c>
      <c r="R106" s="3">
        <v>0.42729595183929941</v>
      </c>
      <c r="S106" s="3">
        <v>0.22439384666804421</v>
      </c>
      <c r="T106" s="3">
        <v>-0.13158673279438751</v>
      </c>
      <c r="U106" s="3">
        <v>0.35333999855614429</v>
      </c>
      <c r="V106" s="3">
        <v>0.88523633589046691</v>
      </c>
      <c r="W106" s="3">
        <v>0.413316678392464</v>
      </c>
      <c r="X106" s="3">
        <v>0.81083363879779236</v>
      </c>
      <c r="Y106" s="3">
        <v>0.29029504509443299</v>
      </c>
    </row>
    <row r="107" spans="1:25" x14ac:dyDescent="0.25">
      <c r="A107" s="2">
        <v>40694</v>
      </c>
      <c r="B107" s="3">
        <v>-1.0816384299011109E-2</v>
      </c>
      <c r="C107" s="3">
        <v>-4.0297037463738923E-2</v>
      </c>
      <c r="D107" s="3">
        <v>9.7542720245101799E-3</v>
      </c>
      <c r="E107" s="3">
        <v>1.43401101276196E-2</v>
      </c>
      <c r="F107" s="3">
        <v>-1.639938589455037E-2</v>
      </c>
      <c r="G107" s="3">
        <v>1.6840669114757349E-2</v>
      </c>
      <c r="H107" s="3">
        <v>1</v>
      </c>
      <c r="I107" s="3">
        <v>-1</v>
      </c>
      <c r="J107" s="3">
        <v>9.7542720245101799E-3</v>
      </c>
      <c r="K107" s="3">
        <v>0</v>
      </c>
      <c r="L107" s="3">
        <v>-1.43401101276196E-2</v>
      </c>
      <c r="M107" s="3">
        <v>0</v>
      </c>
      <c r="N107" s="3">
        <v>0</v>
      </c>
      <c r="O107" s="3">
        <v>1.639938589455037E-2</v>
      </c>
      <c r="P107" s="3">
        <v>0</v>
      </c>
      <c r="Q107" s="3">
        <v>1.6840669114757349E-2</v>
      </c>
      <c r="R107" s="3">
        <v>0.44121818481302189</v>
      </c>
      <c r="S107" s="3">
        <v>0.22439384666804421</v>
      </c>
      <c r="T107" s="3">
        <v>-0.1440398746824019</v>
      </c>
      <c r="U107" s="3">
        <v>0.35333999855614429</v>
      </c>
      <c r="V107" s="3">
        <v>0.88523633589046691</v>
      </c>
      <c r="W107" s="3">
        <v>0.43649420399262612</v>
      </c>
      <c r="X107" s="3">
        <v>0.81083363879779236</v>
      </c>
      <c r="Y107" s="3">
        <v>0.31202447700927932</v>
      </c>
    </row>
    <row r="108" spans="1:25" x14ac:dyDescent="0.25">
      <c r="A108" s="2">
        <v>40724</v>
      </c>
      <c r="B108" s="3">
        <v>-1.5866342396270942E-2</v>
      </c>
      <c r="C108" s="3">
        <v>-3.8774698089715121E-2</v>
      </c>
      <c r="D108" s="3">
        <v>1.9575684779288172E-2</v>
      </c>
      <c r="E108" s="3">
        <v>-2.592739457432414E-2</v>
      </c>
      <c r="F108" s="3">
        <v>-4.4668630653617043E-2</v>
      </c>
      <c r="G108" s="3">
        <v>-2.7695128029996412E-3</v>
      </c>
      <c r="H108" s="3">
        <v>1</v>
      </c>
      <c r="I108" s="3">
        <v>-1</v>
      </c>
      <c r="J108" s="3">
        <v>1.9575684779288172E-2</v>
      </c>
      <c r="K108" s="3">
        <v>0</v>
      </c>
      <c r="L108" s="3">
        <v>2.592739457432414E-2</v>
      </c>
      <c r="M108" s="3">
        <v>0</v>
      </c>
      <c r="N108" s="3">
        <v>0</v>
      </c>
      <c r="O108" s="3">
        <v>4.4668630653617043E-2</v>
      </c>
      <c r="P108" s="3">
        <v>0</v>
      </c>
      <c r="Q108" s="3">
        <v>-2.7695128029996412E-3</v>
      </c>
      <c r="R108" s="3">
        <v>0.46943101769709927</v>
      </c>
      <c r="S108" s="3">
        <v>0.22439384666804421</v>
      </c>
      <c r="T108" s="3">
        <v>-0.1218470587734045</v>
      </c>
      <c r="U108" s="3">
        <v>0.35333999855614429</v>
      </c>
      <c r="V108" s="3">
        <v>0.88523633589046691</v>
      </c>
      <c r="W108" s="3">
        <v>0.50066043302683427</v>
      </c>
      <c r="X108" s="3">
        <v>0.81083363879779236</v>
      </c>
      <c r="Y108" s="3">
        <v>0.30839080842235322</v>
      </c>
    </row>
    <row r="109" spans="1:25" x14ac:dyDescent="0.25">
      <c r="A109" s="2">
        <v>40755</v>
      </c>
      <c r="B109" s="3">
        <v>-1.9275459882457598E-2</v>
      </c>
      <c r="C109" s="3">
        <v>-4.3981463100691842E-3</v>
      </c>
      <c r="D109" s="3">
        <v>-3.9528802084915597E-2</v>
      </c>
      <c r="E109" s="3">
        <v>1.956556709360446E-2</v>
      </c>
      <c r="F109" s="3">
        <v>1.8433937496516339E-2</v>
      </c>
      <c r="G109" s="3">
        <v>1.6932383626717121E-2</v>
      </c>
      <c r="H109" s="3">
        <v>1</v>
      </c>
      <c r="I109" s="3">
        <v>-1</v>
      </c>
      <c r="J109" s="3">
        <v>-3.9528802084915597E-2</v>
      </c>
      <c r="K109" s="3">
        <v>0</v>
      </c>
      <c r="L109" s="3">
        <v>-1.956556709360446E-2</v>
      </c>
      <c r="M109" s="3">
        <v>0</v>
      </c>
      <c r="N109" s="3">
        <v>0</v>
      </c>
      <c r="O109" s="3">
        <v>-1.8433937496516339E-2</v>
      </c>
      <c r="P109" s="3">
        <v>0</v>
      </c>
      <c r="Q109" s="3">
        <v>1.6932383626717121E-2</v>
      </c>
      <c r="R109" s="3">
        <v>0.41134616982111449</v>
      </c>
      <c r="S109" s="3">
        <v>0.22439384666804421</v>
      </c>
      <c r="T109" s="3">
        <v>-0.1390286190634196</v>
      </c>
      <c r="U109" s="3">
        <v>0.35333999855614429</v>
      </c>
      <c r="V109" s="3">
        <v>0.88523633589046691</v>
      </c>
      <c r="W109" s="3">
        <v>0.47299735240092261</v>
      </c>
      <c r="X109" s="3">
        <v>0.81083363879779236</v>
      </c>
      <c r="Y109" s="3">
        <v>0.33054498352423112</v>
      </c>
    </row>
    <row r="110" spans="1:25" x14ac:dyDescent="0.25">
      <c r="A110" s="2">
        <v>40786</v>
      </c>
      <c r="B110" s="3">
        <v>-4.7164034457418347E-2</v>
      </c>
      <c r="C110" s="3">
        <v>-0.26511569482263109</v>
      </c>
      <c r="D110" s="3">
        <v>8.2894880946911997E-2</v>
      </c>
      <c r="E110" s="3">
        <v>-3.7258150407997292E-2</v>
      </c>
      <c r="F110" s="3">
        <v>-7.2719575517119495E-2</v>
      </c>
      <c r="G110" s="3">
        <v>4.8815895679274357E-2</v>
      </c>
      <c r="H110" s="3">
        <v>1</v>
      </c>
      <c r="I110" s="3">
        <v>-1</v>
      </c>
      <c r="J110" s="3">
        <v>8.2894880946911997E-2</v>
      </c>
      <c r="K110" s="3">
        <v>0</v>
      </c>
      <c r="L110" s="3">
        <v>3.7258150407997292E-2</v>
      </c>
      <c r="M110" s="3">
        <v>0</v>
      </c>
      <c r="N110" s="3">
        <v>0</v>
      </c>
      <c r="O110" s="3">
        <v>7.2719575517119495E-2</v>
      </c>
      <c r="P110" s="3">
        <v>0</v>
      </c>
      <c r="Q110" s="3">
        <v>4.8815895679274357E-2</v>
      </c>
      <c r="R110" s="3">
        <v>0.52833954254331594</v>
      </c>
      <c r="S110" s="3">
        <v>0.22439384666804421</v>
      </c>
      <c r="T110" s="3">
        <v>-0.1069504178555034</v>
      </c>
      <c r="U110" s="3">
        <v>0.35333999855614429</v>
      </c>
      <c r="V110" s="3">
        <v>0.88523633589046691</v>
      </c>
      <c r="W110" s="3">
        <v>0.58011309460535854</v>
      </c>
      <c r="X110" s="3">
        <v>0.81083363879779236</v>
      </c>
      <c r="Y110" s="3">
        <v>0.39549672863653179</v>
      </c>
    </row>
    <row r="111" spans="1:25" x14ac:dyDescent="0.25">
      <c r="A111" s="2">
        <v>40816</v>
      </c>
      <c r="B111" s="3">
        <v>-6.8471691284311853E-2</v>
      </c>
      <c r="C111" s="3">
        <v>-0.2177885214933506</v>
      </c>
      <c r="D111" s="3">
        <v>3.48458371059801E-3</v>
      </c>
      <c r="E111" s="3">
        <v>-1.8265786822075469E-2</v>
      </c>
      <c r="F111" s="3">
        <v>-2.550409981956625E-2</v>
      </c>
      <c r="G111" s="3">
        <v>5.3962664757753798E-2</v>
      </c>
      <c r="H111" s="3">
        <v>1</v>
      </c>
      <c r="I111" s="3">
        <v>-1</v>
      </c>
      <c r="J111" s="3">
        <v>3.48458371059801E-3</v>
      </c>
      <c r="K111" s="3">
        <v>0</v>
      </c>
      <c r="L111" s="3">
        <v>1.8265786822075469E-2</v>
      </c>
      <c r="M111" s="3">
        <v>0</v>
      </c>
      <c r="N111" s="3">
        <v>0</v>
      </c>
      <c r="O111" s="3">
        <v>2.550409981956625E-2</v>
      </c>
      <c r="P111" s="3">
        <v>0</v>
      </c>
      <c r="Q111" s="3">
        <v>5.3962664757753798E-2</v>
      </c>
      <c r="R111" s="3">
        <v>0.53366516961752497</v>
      </c>
      <c r="S111" s="3">
        <v>0.22439384666804421</v>
      </c>
      <c r="T111" s="3">
        <v>-9.0638164566508417E-2</v>
      </c>
      <c r="U111" s="3">
        <v>0.35333999855614429</v>
      </c>
      <c r="V111" s="3">
        <v>0.88523633589046691</v>
      </c>
      <c r="W111" s="3">
        <v>0.62041245669637712</v>
      </c>
      <c r="X111" s="3">
        <v>0.81083363879779236</v>
      </c>
      <c r="Y111" s="3">
        <v>0.4708014507744871</v>
      </c>
    </row>
    <row r="112" spans="1:25" x14ac:dyDescent="0.25">
      <c r="A112" s="2">
        <v>40847</v>
      </c>
      <c r="B112" s="3">
        <v>0.107163640654844</v>
      </c>
      <c r="C112" s="3">
        <v>0.15545714605069891</v>
      </c>
      <c r="D112" s="3">
        <v>1.347158731448816E-2</v>
      </c>
      <c r="E112" s="3">
        <v>2.5899325508746629E-2</v>
      </c>
      <c r="F112" s="3">
        <v>2.3375565943419829E-2</v>
      </c>
      <c r="G112" s="3">
        <v>-1.82047690917293E-2</v>
      </c>
      <c r="H112" s="3">
        <v>-1</v>
      </c>
      <c r="I112" s="3">
        <v>1</v>
      </c>
      <c r="J112" s="3">
        <v>0</v>
      </c>
      <c r="K112" s="3">
        <v>-1.347158731448816E-2</v>
      </c>
      <c r="L112" s="3">
        <v>0</v>
      </c>
      <c r="M112" s="3">
        <v>2.5899325508746629E-2</v>
      </c>
      <c r="N112" s="3">
        <v>2.3375565943419829E-2</v>
      </c>
      <c r="O112" s="3">
        <v>0</v>
      </c>
      <c r="P112" s="3">
        <v>1.82047690917293E-2</v>
      </c>
      <c r="Q112" s="3">
        <v>0</v>
      </c>
      <c r="R112" s="3">
        <v>0.53366516961752497</v>
      </c>
      <c r="S112" s="3">
        <v>0.20789931805533371</v>
      </c>
      <c r="T112" s="3">
        <v>-9.0638164566508417E-2</v>
      </c>
      <c r="U112" s="3">
        <v>0.38839059170275642</v>
      </c>
      <c r="V112" s="3">
        <v>0.9293048021790058</v>
      </c>
      <c r="W112" s="3">
        <v>0.62041245669637712</v>
      </c>
      <c r="X112" s="3">
        <v>0.84379944705564203</v>
      </c>
      <c r="Y112" s="3">
        <v>0.4708014507744871</v>
      </c>
    </row>
    <row r="113" spans="1:25" x14ac:dyDescent="0.25">
      <c r="A113" s="2">
        <v>40877</v>
      </c>
      <c r="B113" s="3">
        <v>-3.5078375680075441E-4</v>
      </c>
      <c r="C113" s="3">
        <v>-8.4751631810281447E-2</v>
      </c>
      <c r="D113" s="3">
        <v>4.5075753032794097E-2</v>
      </c>
      <c r="E113" s="3">
        <v>-1.7868416400877329E-2</v>
      </c>
      <c r="F113" s="3">
        <v>6.7676645489760379E-3</v>
      </c>
      <c r="G113" s="3">
        <v>1.482402835914187E-2</v>
      </c>
      <c r="H113" s="3">
        <v>1</v>
      </c>
      <c r="I113" s="3">
        <v>-1</v>
      </c>
      <c r="J113" s="3">
        <v>4.5075753032794097E-2</v>
      </c>
      <c r="K113" s="3">
        <v>0</v>
      </c>
      <c r="L113" s="3">
        <v>1.7868416400877329E-2</v>
      </c>
      <c r="M113" s="3">
        <v>0</v>
      </c>
      <c r="N113" s="3">
        <v>0</v>
      </c>
      <c r="O113" s="3">
        <v>-6.7676645489760379E-3</v>
      </c>
      <c r="P113" s="3">
        <v>0</v>
      </c>
      <c r="Q113" s="3">
        <v>1.482402835914187E-2</v>
      </c>
      <c r="R113" s="3">
        <v>0.6027962820382029</v>
      </c>
      <c r="S113" s="3">
        <v>0.20789931805533371</v>
      </c>
      <c r="T113" s="3">
        <v>-7.4389308631916728E-2</v>
      </c>
      <c r="U113" s="3">
        <v>0.38839059170275642</v>
      </c>
      <c r="V113" s="3">
        <v>0.9293048021790058</v>
      </c>
      <c r="W113" s="3">
        <v>0.60944604875847386</v>
      </c>
      <c r="X113" s="3">
        <v>0.84379944705564203</v>
      </c>
      <c r="Y113" s="3">
        <v>0.4926046531914352</v>
      </c>
    </row>
    <row r="114" spans="1:25" x14ac:dyDescent="0.25">
      <c r="A114" s="2">
        <v>40908</v>
      </c>
      <c r="B114" s="3">
        <v>1.180194383668298E-2</v>
      </c>
      <c r="C114" s="3">
        <v>-1.314867534482567E-2</v>
      </c>
      <c r="D114" s="3">
        <v>1.088533206227804E-2</v>
      </c>
      <c r="E114" s="3">
        <v>2.1367134664927678E-2</v>
      </c>
      <c r="F114" s="3">
        <v>1.3890814259616019E-2</v>
      </c>
      <c r="G114" s="3">
        <v>1.015134365780823E-3</v>
      </c>
      <c r="H114" s="3">
        <v>1</v>
      </c>
      <c r="I114" s="3">
        <v>-1</v>
      </c>
      <c r="J114" s="3">
        <v>1.088533206227804E-2</v>
      </c>
      <c r="K114" s="3">
        <v>0</v>
      </c>
      <c r="L114" s="3">
        <v>-2.1367134664927678E-2</v>
      </c>
      <c r="M114" s="3">
        <v>0</v>
      </c>
      <c r="N114" s="3">
        <v>0</v>
      </c>
      <c r="O114" s="3">
        <v>-1.3890814259616019E-2</v>
      </c>
      <c r="P114" s="3">
        <v>0</v>
      </c>
      <c r="Q114" s="3">
        <v>1.015134365780823E-3</v>
      </c>
      <c r="R114" s="3">
        <v>0.62024325179637363</v>
      </c>
      <c r="S114" s="3">
        <v>0.20789931805533371</v>
      </c>
      <c r="T114" s="3">
        <v>-9.4166956921675427E-2</v>
      </c>
      <c r="U114" s="3">
        <v>0.38839059170275642</v>
      </c>
      <c r="V114" s="3">
        <v>0.9293048021790058</v>
      </c>
      <c r="W114" s="3">
        <v>0.58708953263429708</v>
      </c>
      <c r="X114" s="3">
        <v>0.84379944705564203</v>
      </c>
      <c r="Y114" s="3">
        <v>0.4941198474694144</v>
      </c>
    </row>
    <row r="115" spans="1:25" x14ac:dyDescent="0.25">
      <c r="A115" s="2">
        <v>40939</v>
      </c>
      <c r="B115" s="3">
        <v>4.5669094726066062E-2</v>
      </c>
      <c r="C115" s="3">
        <v>8.6452792946649426E-2</v>
      </c>
      <c r="D115" s="3">
        <v>-1.0113812772195589E-3</v>
      </c>
      <c r="E115" s="3">
        <v>3.7318382745143992E-2</v>
      </c>
      <c r="F115" s="3">
        <v>2.0017109211334701E-2</v>
      </c>
      <c r="G115" s="3">
        <v>-2.2554000680424569E-2</v>
      </c>
      <c r="H115" s="3">
        <v>-1</v>
      </c>
      <c r="I115" s="3">
        <v>1</v>
      </c>
      <c r="J115" s="3">
        <v>0</v>
      </c>
      <c r="K115" s="3">
        <v>1.0113812772195589E-3</v>
      </c>
      <c r="L115" s="3">
        <v>0</v>
      </c>
      <c r="M115" s="3">
        <v>3.7318382745143992E-2</v>
      </c>
      <c r="N115" s="3">
        <v>2.0017109211334701E-2</v>
      </c>
      <c r="O115" s="3">
        <v>0</v>
      </c>
      <c r="P115" s="3">
        <v>2.2554000680424569E-2</v>
      </c>
      <c r="Q115" s="3">
        <v>0</v>
      </c>
      <c r="R115" s="3">
        <v>0.62024325179637363</v>
      </c>
      <c r="S115" s="3">
        <v>0.20912096481038131</v>
      </c>
      <c r="T115" s="3">
        <v>-9.4166956921675427E-2</v>
      </c>
      <c r="U115" s="3">
        <v>0.44020308320367668</v>
      </c>
      <c r="V115" s="3">
        <v>0.9679239071061756</v>
      </c>
      <c r="W115" s="3">
        <v>0.58708953263429708</v>
      </c>
      <c r="X115" s="3">
        <v>0.88538450103910149</v>
      </c>
      <c r="Y115" s="3">
        <v>0.4941198474694144</v>
      </c>
    </row>
    <row r="116" spans="1:25" x14ac:dyDescent="0.25">
      <c r="A116" s="2">
        <v>40968</v>
      </c>
      <c r="B116" s="3">
        <v>4.2796778352417568E-2</v>
      </c>
      <c r="C116" s="3">
        <v>6.6997812665639422E-2</v>
      </c>
      <c r="D116" s="3">
        <v>7.277357924039829E-3</v>
      </c>
      <c r="E116" s="3">
        <v>5.977297592793529E-3</v>
      </c>
      <c r="F116" s="3">
        <v>2.62204673782237E-2</v>
      </c>
      <c r="G116" s="3">
        <v>-3.5813584384199133E-2</v>
      </c>
      <c r="H116" s="3">
        <v>-1</v>
      </c>
      <c r="I116" s="3">
        <v>1</v>
      </c>
      <c r="J116" s="3">
        <v>0</v>
      </c>
      <c r="K116" s="3">
        <v>-7.277357924039829E-3</v>
      </c>
      <c r="L116" s="3">
        <v>0</v>
      </c>
      <c r="M116" s="3">
        <v>5.977297592793529E-3</v>
      </c>
      <c r="N116" s="3">
        <v>2.62204673782237E-2</v>
      </c>
      <c r="O116" s="3">
        <v>0</v>
      </c>
      <c r="P116" s="3">
        <v>3.5813584384199133E-2</v>
      </c>
      <c r="Q116" s="3">
        <v>0</v>
      </c>
      <c r="R116" s="3">
        <v>0.62024325179637363</v>
      </c>
      <c r="S116" s="3">
        <v>0.20032175877599581</v>
      </c>
      <c r="T116" s="3">
        <v>-9.4166956921675427E-2</v>
      </c>
      <c r="U116" s="3">
        <v>0.44881160562604411</v>
      </c>
      <c r="V116" s="3">
        <v>1.01952379171528</v>
      </c>
      <c r="W116" s="3">
        <v>0.58708953263429708</v>
      </c>
      <c r="X116" s="3">
        <v>0.95290687796372642</v>
      </c>
      <c r="Y116" s="3">
        <v>0.4941198474694144</v>
      </c>
    </row>
    <row r="117" spans="1:25" x14ac:dyDescent="0.25">
      <c r="A117" s="2">
        <v>40999</v>
      </c>
      <c r="B117" s="3">
        <v>3.2220365810694429E-2</v>
      </c>
      <c r="C117" s="3">
        <v>7.3848683075361965E-2</v>
      </c>
      <c r="D117" s="3">
        <v>4.426226909826525E-3</v>
      </c>
      <c r="E117" s="3">
        <v>3.9236266618012383E-3</v>
      </c>
      <c r="F117" s="3">
        <v>-9.5955144133913484E-3</v>
      </c>
      <c r="G117" s="3">
        <v>-1.950002840898635E-3</v>
      </c>
      <c r="H117" s="3">
        <v>-1</v>
      </c>
      <c r="I117" s="3">
        <v>1</v>
      </c>
      <c r="J117" s="3">
        <v>0</v>
      </c>
      <c r="K117" s="3">
        <v>-4.426226909826525E-3</v>
      </c>
      <c r="L117" s="3">
        <v>0</v>
      </c>
      <c r="M117" s="3">
        <v>3.9236266618012383E-3</v>
      </c>
      <c r="N117" s="3">
        <v>-9.5955144133913484E-3</v>
      </c>
      <c r="O117" s="3">
        <v>0</v>
      </c>
      <c r="P117" s="3">
        <v>1.950002840898635E-3</v>
      </c>
      <c r="Q117" s="3">
        <v>0</v>
      </c>
      <c r="R117" s="3">
        <v>0.62024325179637363</v>
      </c>
      <c r="S117" s="3">
        <v>0.19500886230685111</v>
      </c>
      <c r="T117" s="3">
        <v>-9.4166956921675427E-2</v>
      </c>
      <c r="U117" s="3">
        <v>0.45449620146980552</v>
      </c>
      <c r="V117" s="3">
        <v>1.0001454220636889</v>
      </c>
      <c r="W117" s="3">
        <v>0.58708953263429708</v>
      </c>
      <c r="X117" s="3">
        <v>0.95671505192376594</v>
      </c>
      <c r="Y117" s="3">
        <v>0.4941198474694144</v>
      </c>
    </row>
    <row r="118" spans="1:25" x14ac:dyDescent="0.25">
      <c r="A118" s="2">
        <v>41029</v>
      </c>
      <c r="B118" s="3">
        <v>-5.914192060633483E-3</v>
      </c>
      <c r="C118" s="3">
        <v>-8.1486264916269202E-2</v>
      </c>
      <c r="D118" s="3">
        <v>2.2398821196239701E-2</v>
      </c>
      <c r="E118" s="3">
        <v>-5.0442724353834123E-3</v>
      </c>
      <c r="F118" s="3">
        <v>-1.8416535204451741E-2</v>
      </c>
      <c r="G118" s="3">
        <v>3.2564236881177711E-2</v>
      </c>
      <c r="H118" s="3">
        <v>1</v>
      </c>
      <c r="I118" s="3">
        <v>-1</v>
      </c>
      <c r="J118" s="3">
        <v>2.2398821196239701E-2</v>
      </c>
      <c r="K118" s="3">
        <v>0</v>
      </c>
      <c r="L118" s="3">
        <v>5.0442724353834123E-3</v>
      </c>
      <c r="M118" s="3">
        <v>0</v>
      </c>
      <c r="N118" s="3">
        <v>0</v>
      </c>
      <c r="O118" s="3">
        <v>1.8416535204451741E-2</v>
      </c>
      <c r="P118" s="3">
        <v>0</v>
      </c>
      <c r="Q118" s="3">
        <v>3.2564236881177711E-2</v>
      </c>
      <c r="R118" s="3">
        <v>0.65653479068777476</v>
      </c>
      <c r="S118" s="3">
        <v>0.19500886230685111</v>
      </c>
      <c r="T118" s="3">
        <v>-8.9597688271416009E-2</v>
      </c>
      <c r="U118" s="3">
        <v>0.45449620146980552</v>
      </c>
      <c r="V118" s="3">
        <v>1.0001454220636889</v>
      </c>
      <c r="W118" s="3">
        <v>0.61631822288467331</v>
      </c>
      <c r="X118" s="3">
        <v>0.95671505192376594</v>
      </c>
      <c r="Y118" s="3">
        <v>0.54277472011127736</v>
      </c>
    </row>
    <row r="119" spans="1:25" x14ac:dyDescent="0.25">
      <c r="A119" s="2">
        <v>41060</v>
      </c>
      <c r="B119" s="3">
        <v>-6.114719619904907E-2</v>
      </c>
      <c r="C119" s="3">
        <v>-0.1152371051603058</v>
      </c>
      <c r="D119" s="3">
        <v>-3.605296892739029E-3</v>
      </c>
      <c r="E119" s="3">
        <v>2.9591021264739888E-2</v>
      </c>
      <c r="F119" s="3">
        <v>-1.9817829561929571E-2</v>
      </c>
      <c r="G119" s="3">
        <v>9.6179515092538193E-3</v>
      </c>
      <c r="H119" s="3">
        <v>1</v>
      </c>
      <c r="I119" s="3">
        <v>-1</v>
      </c>
      <c r="J119" s="3">
        <v>-3.605296892739029E-3</v>
      </c>
      <c r="K119" s="3">
        <v>0</v>
      </c>
      <c r="L119" s="3">
        <v>-2.9591021264739888E-2</v>
      </c>
      <c r="M119" s="3">
        <v>0</v>
      </c>
      <c r="N119" s="3">
        <v>0</v>
      </c>
      <c r="O119" s="3">
        <v>1.9817829561929571E-2</v>
      </c>
      <c r="P119" s="3">
        <v>0</v>
      </c>
      <c r="Q119" s="3">
        <v>9.6179515092538193E-3</v>
      </c>
      <c r="R119" s="3">
        <v>0.65056249095419405</v>
      </c>
      <c r="S119" s="3">
        <v>0.19500886230685111</v>
      </c>
      <c r="T119" s="3">
        <v>-0.11653742243724489</v>
      </c>
      <c r="U119" s="3">
        <v>0.45449620146980552</v>
      </c>
      <c r="V119" s="3">
        <v>1.0001454220636889</v>
      </c>
      <c r="W119" s="3">
        <v>0.6483501419436426</v>
      </c>
      <c r="X119" s="3">
        <v>0.95671505192376594</v>
      </c>
      <c r="Y119" s="3">
        <v>0.55761305255901017</v>
      </c>
    </row>
    <row r="120" spans="1:25" x14ac:dyDescent="0.25">
      <c r="A120" s="2">
        <v>41090</v>
      </c>
      <c r="B120" s="3">
        <v>4.1513124560503267E-2</v>
      </c>
      <c r="C120" s="3">
        <v>1.782073737984324E-2</v>
      </c>
      <c r="D120" s="3">
        <v>2.7782596707836449E-2</v>
      </c>
      <c r="E120" s="3">
        <v>-1.1696003884671961E-2</v>
      </c>
      <c r="F120" s="3">
        <v>5.0016812632243113E-3</v>
      </c>
      <c r="G120" s="3">
        <v>-1.600277585425924E-2</v>
      </c>
      <c r="H120" s="3">
        <v>-1</v>
      </c>
      <c r="I120" s="3">
        <v>1</v>
      </c>
      <c r="J120" s="3">
        <v>0</v>
      </c>
      <c r="K120" s="3">
        <v>-2.7782596707836449E-2</v>
      </c>
      <c r="L120" s="3">
        <v>0</v>
      </c>
      <c r="M120" s="3">
        <v>-1.1696003884671961E-2</v>
      </c>
      <c r="N120" s="3">
        <v>5.0016812632243113E-3</v>
      </c>
      <c r="O120" s="3">
        <v>0</v>
      </c>
      <c r="P120" s="3">
        <v>1.600277585425924E-2</v>
      </c>
      <c r="Q120" s="3">
        <v>0</v>
      </c>
      <c r="R120" s="3">
        <v>0.65056249095419405</v>
      </c>
      <c r="S120" s="3">
        <v>0.16180841302308949</v>
      </c>
      <c r="T120" s="3">
        <v>-0.11653742243724489</v>
      </c>
      <c r="U120" s="3">
        <v>0.43748440824717411</v>
      </c>
      <c r="V120" s="3">
        <v>1.010149511944948</v>
      </c>
      <c r="W120" s="3">
        <v>0.6483501419436426</v>
      </c>
      <c r="X120" s="3">
        <v>0.98802792431035735</v>
      </c>
      <c r="Y120" s="3">
        <v>0.55761305255901017</v>
      </c>
    </row>
    <row r="121" spans="1:25" x14ac:dyDescent="0.25">
      <c r="A121" s="2">
        <v>41121</v>
      </c>
      <c r="B121" s="3">
        <v>1.2546341696131219E-2</v>
      </c>
      <c r="C121" s="3">
        <v>-5.3200840097746498E-2</v>
      </c>
      <c r="D121" s="3">
        <v>1.9572797302480741E-2</v>
      </c>
      <c r="E121" s="3">
        <v>-8.0827115445336606E-3</v>
      </c>
      <c r="F121" s="3">
        <v>-5.6650998422927978E-3</v>
      </c>
      <c r="G121" s="3">
        <v>2.5850845331159111E-2</v>
      </c>
      <c r="H121" s="3">
        <v>1</v>
      </c>
      <c r="I121" s="3">
        <v>-1</v>
      </c>
      <c r="J121" s="3">
        <v>1.9572797302480741E-2</v>
      </c>
      <c r="K121" s="3">
        <v>0</v>
      </c>
      <c r="L121" s="3">
        <v>8.0827115445336606E-3</v>
      </c>
      <c r="M121" s="3">
        <v>0</v>
      </c>
      <c r="N121" s="3">
        <v>0</v>
      </c>
      <c r="O121" s="3">
        <v>5.6650998422927978E-3</v>
      </c>
      <c r="P121" s="3">
        <v>0</v>
      </c>
      <c r="Q121" s="3">
        <v>2.5850845331159111E-2</v>
      </c>
      <c r="R121" s="3">
        <v>0.68286861602471793</v>
      </c>
      <c r="S121" s="3">
        <v>0.16180841302308949</v>
      </c>
      <c r="T121" s="3">
        <v>-0.10939664926241489</v>
      </c>
      <c r="U121" s="3">
        <v>0.43748440824717411</v>
      </c>
      <c r="V121" s="3">
        <v>1.010149511944948</v>
      </c>
      <c r="W121" s="3">
        <v>0.65768821007281075</v>
      </c>
      <c r="X121" s="3">
        <v>0.98802792431035735</v>
      </c>
      <c r="Y121" s="3">
        <v>0.59787866666650769</v>
      </c>
    </row>
    <row r="122" spans="1:25" x14ac:dyDescent="0.25">
      <c r="A122" s="2">
        <v>41152</v>
      </c>
      <c r="B122" s="3">
        <v>2.5102661811052581E-2</v>
      </c>
      <c r="C122" s="3">
        <v>8.4632700088317248E-2</v>
      </c>
      <c r="D122" s="3">
        <v>-4.1511851849033174E-3</v>
      </c>
      <c r="E122" s="3">
        <v>4.2913283694288817E-2</v>
      </c>
      <c r="F122" s="3">
        <v>1.900855805033197E-2</v>
      </c>
      <c r="G122" s="3">
        <v>-2.794128276359575E-2</v>
      </c>
      <c r="H122" s="3">
        <v>-1</v>
      </c>
      <c r="I122" s="3">
        <v>1</v>
      </c>
      <c r="J122" s="3">
        <v>0</v>
      </c>
      <c r="K122" s="3">
        <v>4.1511851849033174E-3</v>
      </c>
      <c r="L122" s="3">
        <v>0</v>
      </c>
      <c r="M122" s="3">
        <v>4.2913283694288817E-2</v>
      </c>
      <c r="N122" s="3">
        <v>1.900855805033197E-2</v>
      </c>
      <c r="O122" s="3">
        <v>0</v>
      </c>
      <c r="P122" s="3">
        <v>2.794128276359575E-2</v>
      </c>
      <c r="Q122" s="3">
        <v>0</v>
      </c>
      <c r="R122" s="3">
        <v>0.68286861602471793</v>
      </c>
      <c r="S122" s="3">
        <v>0.1666312948949269</v>
      </c>
      <c r="T122" s="3">
        <v>-0.10939664926241489</v>
      </c>
      <c r="U122" s="3">
        <v>0.49917158446440202</v>
      </c>
      <c r="V122" s="3">
        <v>1.0483595556326011</v>
      </c>
      <c r="W122" s="3">
        <v>0.65768821007281075</v>
      </c>
      <c r="X122" s="3">
        <v>1.0435759746854369</v>
      </c>
      <c r="Y122" s="3">
        <v>0.59787866666650769</v>
      </c>
    </row>
    <row r="123" spans="1:25" x14ac:dyDescent="0.25">
      <c r="A123" s="2">
        <v>41182</v>
      </c>
      <c r="B123" s="3">
        <v>2.553231788191079E-2</v>
      </c>
      <c r="C123" s="3">
        <v>7.5833269889739596E-2</v>
      </c>
      <c r="D123" s="3">
        <v>-1.147380272043785E-2</v>
      </c>
      <c r="E123" s="3">
        <v>1.407506052885776E-2</v>
      </c>
      <c r="F123" s="3">
        <v>1.6738618184470869E-2</v>
      </c>
      <c r="G123" s="3">
        <v>-2.4603309814307691E-2</v>
      </c>
      <c r="H123" s="3">
        <v>-1</v>
      </c>
      <c r="I123" s="3">
        <v>1</v>
      </c>
      <c r="J123" s="3">
        <v>0</v>
      </c>
      <c r="K123" s="3">
        <v>1.147380272043785E-2</v>
      </c>
      <c r="L123" s="3">
        <v>0</v>
      </c>
      <c r="M123" s="3">
        <v>1.407506052885776E-2</v>
      </c>
      <c r="N123" s="3">
        <v>1.6738618184470869E-2</v>
      </c>
      <c r="O123" s="3">
        <v>0</v>
      </c>
      <c r="P123" s="3">
        <v>2.4603309814307691E-2</v>
      </c>
      <c r="Q123" s="3">
        <v>0</v>
      </c>
      <c r="R123" s="3">
        <v>0.68286861602471793</v>
      </c>
      <c r="S123" s="3">
        <v>0.18001699222004011</v>
      </c>
      <c r="T123" s="3">
        <v>-0.10939664926241489</v>
      </c>
      <c r="U123" s="3">
        <v>0.52027251525888207</v>
      </c>
      <c r="V123" s="3">
        <v>1.082646264138847</v>
      </c>
      <c r="W123" s="3">
        <v>0.65768821007281075</v>
      </c>
      <c r="X123" s="3">
        <v>1.0938547075196989</v>
      </c>
      <c r="Y123" s="3">
        <v>0.59787866666650769</v>
      </c>
    </row>
    <row r="124" spans="1:25" x14ac:dyDescent="0.25">
      <c r="A124" s="2">
        <v>41213</v>
      </c>
      <c r="B124" s="3">
        <v>-1.7901778969337648E-2</v>
      </c>
      <c r="C124" s="3">
        <v>1.388131811040616E-2</v>
      </c>
      <c r="D124" s="3">
        <v>-1.4223297509410201E-2</v>
      </c>
      <c r="E124" s="3">
        <v>1.3527572611922389E-2</v>
      </c>
      <c r="F124" s="3">
        <v>1.49977387352882E-2</v>
      </c>
      <c r="G124" s="3">
        <v>-2.275893419040553E-2</v>
      </c>
      <c r="H124" s="3">
        <v>-1</v>
      </c>
      <c r="I124" s="3">
        <v>1</v>
      </c>
      <c r="J124" s="3">
        <v>0</v>
      </c>
      <c r="K124" s="3">
        <v>1.4223297509410201E-2</v>
      </c>
      <c r="L124" s="3">
        <v>0</v>
      </c>
      <c r="M124" s="3">
        <v>1.3527572611922389E-2</v>
      </c>
      <c r="N124" s="3">
        <v>1.49977387352882E-2</v>
      </c>
      <c r="O124" s="3">
        <v>0</v>
      </c>
      <c r="P124" s="3">
        <v>2.275893419040553E-2</v>
      </c>
      <c r="Q124" s="3">
        <v>0</v>
      </c>
      <c r="R124" s="3">
        <v>0.68286861602471793</v>
      </c>
      <c r="S124" s="3">
        <v>0.1968007249665453</v>
      </c>
      <c r="T124" s="3">
        <v>-0.10939664926241489</v>
      </c>
      <c r="U124" s="3">
        <v>0.54083811209895649</v>
      </c>
      <c r="V124" s="3">
        <v>1.113881248686426</v>
      </c>
      <c r="W124" s="3">
        <v>0.65768821007281075</v>
      </c>
      <c r="X124" s="3">
        <v>1.1415086090124109</v>
      </c>
      <c r="Y124" s="3">
        <v>0.59787866666650769</v>
      </c>
    </row>
    <row r="125" spans="1:25" x14ac:dyDescent="0.25">
      <c r="A125" s="2">
        <v>41243</v>
      </c>
      <c r="B125" s="3">
        <v>6.5703640433089072E-3</v>
      </c>
      <c r="C125" s="3">
        <v>-2.1033112998441239E-2</v>
      </c>
      <c r="D125" s="3">
        <v>1.932720215024886E-2</v>
      </c>
      <c r="E125" s="3">
        <v>3.7164275777423761E-3</v>
      </c>
      <c r="F125" s="3">
        <v>-1.1211079075729709E-2</v>
      </c>
      <c r="G125" s="3">
        <v>5.4322112050200211E-3</v>
      </c>
      <c r="H125" s="3">
        <v>1</v>
      </c>
      <c r="I125" s="3">
        <v>-1</v>
      </c>
      <c r="J125" s="3">
        <v>1.932720215024886E-2</v>
      </c>
      <c r="K125" s="3">
        <v>0</v>
      </c>
      <c r="L125" s="3">
        <v>-3.7164275777423761E-3</v>
      </c>
      <c r="M125" s="3">
        <v>0</v>
      </c>
      <c r="N125" s="3">
        <v>0</v>
      </c>
      <c r="O125" s="3">
        <v>1.1211079075729709E-2</v>
      </c>
      <c r="P125" s="3">
        <v>0</v>
      </c>
      <c r="Q125" s="3">
        <v>5.4322112050200211E-3</v>
      </c>
      <c r="R125" s="3">
        <v>0.71539375795893712</v>
      </c>
      <c r="S125" s="3">
        <v>0.1968007249665453</v>
      </c>
      <c r="T125" s="3">
        <v>-0.1127065121159259</v>
      </c>
      <c r="U125" s="3">
        <v>0.54083811209895649</v>
      </c>
      <c r="V125" s="3">
        <v>1.113881248686426</v>
      </c>
      <c r="W125" s="3">
        <v>0.67627268367884197</v>
      </c>
      <c r="X125" s="3">
        <v>1.1415086090124109</v>
      </c>
      <c r="Y125" s="3">
        <v>0.60655868106383592</v>
      </c>
    </row>
    <row r="126" spans="1:25" x14ac:dyDescent="0.25">
      <c r="A126" s="2">
        <v>41274</v>
      </c>
      <c r="B126" s="3">
        <v>9.400941085582093E-3</v>
      </c>
      <c r="C126" s="3">
        <v>3.0020941280008762E-2</v>
      </c>
      <c r="D126" s="3">
        <v>-2.4485150259216941E-3</v>
      </c>
      <c r="E126" s="3">
        <v>-6.4117452482019832E-3</v>
      </c>
      <c r="F126" s="3">
        <v>1.8525306041050631E-3</v>
      </c>
      <c r="G126" s="3">
        <v>-8.6112808530114382E-4</v>
      </c>
      <c r="H126" s="3">
        <v>-1</v>
      </c>
      <c r="I126" s="3">
        <v>1</v>
      </c>
      <c r="J126" s="3">
        <v>0</v>
      </c>
      <c r="K126" s="3">
        <v>2.4485150259216941E-3</v>
      </c>
      <c r="L126" s="3">
        <v>0</v>
      </c>
      <c r="M126" s="3">
        <v>-6.4117452482019832E-3</v>
      </c>
      <c r="N126" s="3">
        <v>1.8525306041050631E-3</v>
      </c>
      <c r="O126" s="3">
        <v>0</v>
      </c>
      <c r="P126" s="3">
        <v>8.6112808530114382E-4</v>
      </c>
      <c r="Q126" s="3">
        <v>0</v>
      </c>
      <c r="R126" s="3">
        <v>0.71539375795893712</v>
      </c>
      <c r="S126" s="3">
        <v>0.19973110952465989</v>
      </c>
      <c r="T126" s="3">
        <v>-0.1127065121159259</v>
      </c>
      <c r="U126" s="3">
        <v>0.53095865065545755</v>
      </c>
      <c r="V126" s="3">
        <v>1.117797278393061</v>
      </c>
      <c r="W126" s="3">
        <v>0.67627268367884197</v>
      </c>
      <c r="X126" s="3">
        <v>1.1433527222205451</v>
      </c>
      <c r="Y126" s="3">
        <v>0.60655868106383592</v>
      </c>
    </row>
    <row r="127" spans="1:25" x14ac:dyDescent="0.25">
      <c r="A127" s="2">
        <v>41305</v>
      </c>
      <c r="B127" s="3">
        <v>5.0375732379418732E-2</v>
      </c>
      <c r="C127" s="3">
        <v>5.6813323218638301E-2</v>
      </c>
      <c r="D127" s="3">
        <v>2.2424607129983838E-3</v>
      </c>
      <c r="E127" s="3">
        <v>-2.3200434748722801E-2</v>
      </c>
      <c r="F127" s="3">
        <v>2.2152246321508251E-2</v>
      </c>
      <c r="G127" s="3">
        <v>-1.6010098972738081E-2</v>
      </c>
      <c r="H127" s="3">
        <v>-1</v>
      </c>
      <c r="I127" s="3">
        <v>1</v>
      </c>
      <c r="J127" s="3">
        <v>0</v>
      </c>
      <c r="K127" s="3">
        <v>-2.2424607129983838E-3</v>
      </c>
      <c r="L127" s="3">
        <v>0</v>
      </c>
      <c r="M127" s="3">
        <v>-2.3200434748722801E-2</v>
      </c>
      <c r="N127" s="3">
        <v>2.2152246321508251E-2</v>
      </c>
      <c r="O127" s="3">
        <v>0</v>
      </c>
      <c r="P127" s="3">
        <v>1.6010098972738081E-2</v>
      </c>
      <c r="Q127" s="3">
        <v>0</v>
      </c>
      <c r="R127" s="3">
        <v>0.71539375795893712</v>
      </c>
      <c r="S127" s="3">
        <v>0.19704075964538889</v>
      </c>
      <c r="T127" s="3">
        <v>-0.1127065121159259</v>
      </c>
      <c r="U127" s="3">
        <v>0.49543974437793281</v>
      </c>
      <c r="V127" s="3">
        <v>1.1647112453630439</v>
      </c>
      <c r="W127" s="3">
        <v>0.67627268367884197</v>
      </c>
      <c r="X127" s="3">
        <v>1.1776680114367839</v>
      </c>
      <c r="Y127" s="3">
        <v>0.60655868106383592</v>
      </c>
    </row>
    <row r="128" spans="1:25" x14ac:dyDescent="0.25">
      <c r="A128" s="2">
        <v>41333</v>
      </c>
      <c r="B128" s="3">
        <v>1.3323518939198919E-2</v>
      </c>
      <c r="C128" s="3">
        <v>1.4771983379463619E-2</v>
      </c>
      <c r="D128" s="3">
        <v>-1.557899305032362E-3</v>
      </c>
      <c r="E128" s="3">
        <v>1.278029706406358E-2</v>
      </c>
      <c r="F128" s="3">
        <v>8.5490067330309394E-3</v>
      </c>
      <c r="G128" s="3">
        <v>-3.0948818159067799E-3</v>
      </c>
      <c r="H128" s="3">
        <v>-1</v>
      </c>
      <c r="I128" s="3">
        <v>1</v>
      </c>
      <c r="J128" s="3">
        <v>0</v>
      </c>
      <c r="K128" s="3">
        <v>1.557899305032362E-3</v>
      </c>
      <c r="L128" s="3">
        <v>0</v>
      </c>
      <c r="M128" s="3">
        <v>1.278029706406358E-2</v>
      </c>
      <c r="N128" s="3">
        <v>8.5490067330309394E-3</v>
      </c>
      <c r="O128" s="3">
        <v>0</v>
      </c>
      <c r="P128" s="3">
        <v>3.0948818159067799E-3</v>
      </c>
      <c r="Q128" s="3">
        <v>0</v>
      </c>
      <c r="R128" s="3">
        <v>0.71539375795893712</v>
      </c>
      <c r="S128" s="3">
        <v>0.19890562861293579</v>
      </c>
      <c r="T128" s="3">
        <v>-0.1127065121159259</v>
      </c>
      <c r="U128" s="3">
        <v>0.51455190855249011</v>
      </c>
      <c r="V128" s="3">
        <v>1.1832173763747209</v>
      </c>
      <c r="W128" s="3">
        <v>0.67627268367884197</v>
      </c>
      <c r="X128" s="3">
        <v>1.184407636566462</v>
      </c>
      <c r="Y128" s="3">
        <v>0.60655868106383592</v>
      </c>
    </row>
    <row r="129" spans="1:25" x14ac:dyDescent="0.25">
      <c r="A129" s="2">
        <v>41364</v>
      </c>
      <c r="B129" s="3">
        <v>3.7520910246423678E-2</v>
      </c>
      <c r="C129" s="3">
        <v>3.0856362066912339E-2</v>
      </c>
      <c r="D129" s="3">
        <v>1.493083082183244E-2</v>
      </c>
      <c r="E129" s="3">
        <v>4.47629521026216E-3</v>
      </c>
      <c r="F129" s="3">
        <v>2.075534602373752E-2</v>
      </c>
      <c r="G129" s="3">
        <v>-1.9501847964132461E-2</v>
      </c>
      <c r="H129" s="3">
        <v>-1</v>
      </c>
      <c r="I129" s="3">
        <v>1</v>
      </c>
      <c r="J129" s="3">
        <v>0</v>
      </c>
      <c r="K129" s="3">
        <v>-1.493083082183244E-2</v>
      </c>
      <c r="L129" s="3">
        <v>0</v>
      </c>
      <c r="M129" s="3">
        <v>4.47629521026216E-3</v>
      </c>
      <c r="N129" s="3">
        <v>2.075534602373752E-2</v>
      </c>
      <c r="O129" s="3">
        <v>0</v>
      </c>
      <c r="P129" s="3">
        <v>1.9501847964132461E-2</v>
      </c>
      <c r="Q129" s="3">
        <v>0</v>
      </c>
      <c r="R129" s="3">
        <v>0.71539375795893712</v>
      </c>
      <c r="S129" s="3">
        <v>0.1810049715007733</v>
      </c>
      <c r="T129" s="3">
        <v>-0.1127065121159259</v>
      </c>
      <c r="U129" s="3">
        <v>0.52133149000643697</v>
      </c>
      <c r="V129" s="3">
        <v>1.2285308084664139</v>
      </c>
      <c r="W129" s="3">
        <v>0.67627268367884197</v>
      </c>
      <c r="X129" s="3">
        <v>1.227007622186471</v>
      </c>
      <c r="Y129" s="3">
        <v>0.60655868106383592</v>
      </c>
    </row>
    <row r="130" spans="1:25" x14ac:dyDescent="0.25">
      <c r="A130" s="2">
        <v>41394</v>
      </c>
      <c r="B130" s="3">
        <v>1.987532540268511E-2</v>
      </c>
      <c r="C130" s="3">
        <v>-5.1883650608686598E-2</v>
      </c>
      <c r="D130" s="3">
        <v>2.6752344898006711E-2</v>
      </c>
      <c r="E130" s="3">
        <v>1.5311372282450499E-3</v>
      </c>
      <c r="F130" s="3">
        <v>-9.5944539748307189E-3</v>
      </c>
      <c r="G130" s="3">
        <v>4.4586601348164938E-2</v>
      </c>
      <c r="H130" s="3">
        <v>1</v>
      </c>
      <c r="I130" s="3">
        <v>-1</v>
      </c>
      <c r="J130" s="3">
        <v>2.6752344898006711E-2</v>
      </c>
      <c r="K130" s="3">
        <v>0</v>
      </c>
      <c r="L130" s="3">
        <v>-1.5311372282450499E-3</v>
      </c>
      <c r="M130" s="3">
        <v>0</v>
      </c>
      <c r="N130" s="3">
        <v>0</v>
      </c>
      <c r="O130" s="3">
        <v>9.5944539748307189E-3</v>
      </c>
      <c r="P130" s="3">
        <v>0</v>
      </c>
      <c r="Q130" s="3">
        <v>4.4586601348164938E-2</v>
      </c>
      <c r="R130" s="3">
        <v>0.76128456340774253</v>
      </c>
      <c r="S130" s="3">
        <v>0.1810049715007733</v>
      </c>
      <c r="T130" s="3">
        <v>-0.1140650802076045</v>
      </c>
      <c r="U130" s="3">
        <v>0.52133149000643697</v>
      </c>
      <c r="V130" s="3">
        <v>1.2285308084664139</v>
      </c>
      <c r="W130" s="3">
        <v>0.69235560479166458</v>
      </c>
      <c r="X130" s="3">
        <v>1.227007622186471</v>
      </c>
      <c r="Y130" s="3">
        <v>0.67818967251886275</v>
      </c>
    </row>
    <row r="131" spans="1:25" x14ac:dyDescent="0.25">
      <c r="A131" s="2">
        <v>41425</v>
      </c>
      <c r="B131" s="3">
        <v>2.3811776812379119E-2</v>
      </c>
      <c r="C131" s="3">
        <v>8.626095402029621E-2</v>
      </c>
      <c r="D131" s="3">
        <v>-2.232197992897544E-2</v>
      </c>
      <c r="E131" s="3">
        <v>-2.8668110407603309E-2</v>
      </c>
      <c r="F131" s="3">
        <v>1.82699661854876E-2</v>
      </c>
      <c r="G131" s="3">
        <v>-2.0970510977447069E-2</v>
      </c>
      <c r="H131" s="3">
        <v>-1</v>
      </c>
      <c r="I131" s="3">
        <v>1</v>
      </c>
      <c r="J131" s="3">
        <v>0</v>
      </c>
      <c r="K131" s="3">
        <v>2.232197992897544E-2</v>
      </c>
      <c r="L131" s="3">
        <v>0</v>
      </c>
      <c r="M131" s="3">
        <v>-2.8668110407603309E-2</v>
      </c>
      <c r="N131" s="3">
        <v>1.82699661854876E-2</v>
      </c>
      <c r="O131" s="3">
        <v>0</v>
      </c>
      <c r="P131" s="3">
        <v>2.0970510977447069E-2</v>
      </c>
      <c r="Q131" s="3">
        <v>0</v>
      </c>
      <c r="R131" s="3">
        <v>0.76128456340774253</v>
      </c>
      <c r="S131" s="3">
        <v>0.20736734077063401</v>
      </c>
      <c r="T131" s="3">
        <v>-0.1140650802076045</v>
      </c>
      <c r="U131" s="3">
        <v>0.47771779088436878</v>
      </c>
      <c r="V131" s="3">
        <v>1.269245990980413</v>
      </c>
      <c r="W131" s="3">
        <v>0.69235560479166458</v>
      </c>
      <c r="X131" s="3">
        <v>1.2737091099743909</v>
      </c>
      <c r="Y131" s="3">
        <v>0.67818967251886275</v>
      </c>
    </row>
    <row r="132" spans="1:25" x14ac:dyDescent="0.25">
      <c r="A132" s="2">
        <v>41455</v>
      </c>
      <c r="B132" s="3">
        <v>-1.229001609534053E-2</v>
      </c>
      <c r="C132" s="3">
        <v>2.9989910315959989E-2</v>
      </c>
      <c r="D132" s="3">
        <v>8.6522415182115342E-3</v>
      </c>
      <c r="E132" s="3">
        <v>1.878912870121496E-2</v>
      </c>
      <c r="F132" s="3">
        <v>8.4726509593270327E-3</v>
      </c>
      <c r="G132" s="3">
        <v>-8.6165329716749728E-3</v>
      </c>
      <c r="H132" s="3">
        <v>-1</v>
      </c>
      <c r="I132" s="3">
        <v>1</v>
      </c>
      <c r="J132" s="3">
        <v>0</v>
      </c>
      <c r="K132" s="3">
        <v>-8.6522415182115342E-3</v>
      </c>
      <c r="L132" s="3">
        <v>0</v>
      </c>
      <c r="M132" s="3">
        <v>1.878912870121496E-2</v>
      </c>
      <c r="N132" s="3">
        <v>8.4726509593270327E-3</v>
      </c>
      <c r="O132" s="3">
        <v>0</v>
      </c>
      <c r="P132" s="3">
        <v>8.6165329716749728E-3</v>
      </c>
      <c r="Q132" s="3">
        <v>0</v>
      </c>
      <c r="R132" s="3">
        <v>0.76128456340774253</v>
      </c>
      <c r="S132" s="3">
        <v>0.19692090693708561</v>
      </c>
      <c r="T132" s="3">
        <v>-0.1140650802076045</v>
      </c>
      <c r="U132" s="3">
        <v>0.5054828206413704</v>
      </c>
      <c r="V132" s="3">
        <v>1.2884725202028431</v>
      </c>
      <c r="W132" s="3">
        <v>0.69235560479166458</v>
      </c>
      <c r="X132" s="3">
        <v>1.293300599488483</v>
      </c>
      <c r="Y132" s="3">
        <v>0.67818967251886275</v>
      </c>
    </row>
    <row r="133" spans="1:25" x14ac:dyDescent="0.25">
      <c r="A133" s="2">
        <v>41486</v>
      </c>
      <c r="B133" s="3">
        <v>5.0648490279656011E-2</v>
      </c>
      <c r="C133" s="3">
        <v>6.1873250322089013E-2</v>
      </c>
      <c r="D133" s="3">
        <v>-4.6544922521374321E-3</v>
      </c>
      <c r="E133" s="3">
        <v>-1.5153685231819369E-2</v>
      </c>
      <c r="F133" s="3">
        <v>2.1857302596304699E-2</v>
      </c>
      <c r="G133" s="3">
        <v>-2.6004707699251891E-2</v>
      </c>
      <c r="H133" s="3">
        <v>-1</v>
      </c>
      <c r="I133" s="3">
        <v>1</v>
      </c>
      <c r="J133" s="3">
        <v>0</v>
      </c>
      <c r="K133" s="3">
        <v>4.6544922521374321E-3</v>
      </c>
      <c r="L133" s="3">
        <v>0</v>
      </c>
      <c r="M133" s="3">
        <v>-1.5153685231819369E-2</v>
      </c>
      <c r="N133" s="3">
        <v>2.1857302596304699E-2</v>
      </c>
      <c r="O133" s="3">
        <v>0</v>
      </c>
      <c r="P133" s="3">
        <v>2.6004707699251891E-2</v>
      </c>
      <c r="Q133" s="3">
        <v>0</v>
      </c>
      <c r="R133" s="3">
        <v>0.76128456340774253</v>
      </c>
      <c r="S133" s="3">
        <v>0.20249196602484559</v>
      </c>
      <c r="T133" s="3">
        <v>-0.1140650802076045</v>
      </c>
      <c r="U133" s="3">
        <v>0.48266920785545953</v>
      </c>
      <c r="V133" s="3">
        <v>1.338492356560244</v>
      </c>
      <c r="W133" s="3">
        <v>0.69235560479166458</v>
      </c>
      <c r="X133" s="3">
        <v>1.3529372112447</v>
      </c>
      <c r="Y133" s="3">
        <v>0.67818967251886275</v>
      </c>
    </row>
    <row r="134" spans="1:25" x14ac:dyDescent="0.25">
      <c r="A134" s="2">
        <v>41517</v>
      </c>
      <c r="B134" s="3">
        <v>-2.997866909417379E-2</v>
      </c>
      <c r="C134" s="3">
        <v>2.5292213458425691E-2</v>
      </c>
      <c r="D134" s="3">
        <v>-5.3484016438215543E-3</v>
      </c>
      <c r="E134" s="3">
        <v>3.7364894243720581E-2</v>
      </c>
      <c r="F134" s="3">
        <v>2.872619712449453E-3</v>
      </c>
      <c r="G134" s="3">
        <v>-5.5715468283552561E-3</v>
      </c>
      <c r="H134" s="3">
        <v>-1</v>
      </c>
      <c r="I134" s="3">
        <v>1</v>
      </c>
      <c r="J134" s="3">
        <v>0</v>
      </c>
      <c r="K134" s="3">
        <v>5.3484016438215543E-3</v>
      </c>
      <c r="L134" s="3">
        <v>0</v>
      </c>
      <c r="M134" s="3">
        <v>3.7364894243720581E-2</v>
      </c>
      <c r="N134" s="3">
        <v>2.872619712449453E-3</v>
      </c>
      <c r="O134" s="3">
        <v>0</v>
      </c>
      <c r="P134" s="3">
        <v>5.5715468283552561E-3</v>
      </c>
      <c r="Q134" s="3">
        <v>0</v>
      </c>
      <c r="R134" s="3">
        <v>0.76128456340774253</v>
      </c>
      <c r="S134" s="3">
        <v>0.20892337603261499</v>
      </c>
      <c r="T134" s="3">
        <v>-0.1140650802076045</v>
      </c>
      <c r="U134" s="3">
        <v>0.53806898600539976</v>
      </c>
      <c r="V134" s="3">
        <v>1.3452099558011119</v>
      </c>
      <c r="W134" s="3">
        <v>0.69235560479166458</v>
      </c>
      <c r="X134" s="3">
        <v>1.3660467111013299</v>
      </c>
      <c r="Y134" s="3">
        <v>0.67818967251886275</v>
      </c>
    </row>
    <row r="135" spans="1:25" x14ac:dyDescent="0.25">
      <c r="A135" s="2">
        <v>41547</v>
      </c>
      <c r="B135" s="3">
        <v>3.1454011365737222E-2</v>
      </c>
      <c r="C135" s="3">
        <v>4.2500485527815927E-2</v>
      </c>
      <c r="D135" s="3">
        <v>-1.1323904469407229E-2</v>
      </c>
      <c r="E135" s="3">
        <v>6.7839677678699362E-3</v>
      </c>
      <c r="F135" s="3">
        <v>2.4119802550604641E-2</v>
      </c>
      <c r="G135" s="3">
        <v>-2.47960037227315E-2</v>
      </c>
      <c r="H135" s="3">
        <v>-1</v>
      </c>
      <c r="I135" s="3">
        <v>1</v>
      </c>
      <c r="J135" s="3">
        <v>0</v>
      </c>
      <c r="K135" s="3">
        <v>1.1323904469407229E-2</v>
      </c>
      <c r="L135" s="3">
        <v>0</v>
      </c>
      <c r="M135" s="3">
        <v>6.7839677678699362E-3</v>
      </c>
      <c r="N135" s="3">
        <v>2.4119802550604641E-2</v>
      </c>
      <c r="O135" s="3">
        <v>0</v>
      </c>
      <c r="P135" s="3">
        <v>2.47960037227315E-2</v>
      </c>
      <c r="Q135" s="3">
        <v>0</v>
      </c>
      <c r="R135" s="3">
        <v>0.76128456340774253</v>
      </c>
      <c r="S135" s="3">
        <v>0.2226131088536418</v>
      </c>
      <c r="T135" s="3">
        <v>-0.1140650802076045</v>
      </c>
      <c r="U135" s="3">
        <v>0.54850319643122059</v>
      </c>
      <c r="V135" s="3">
        <v>1.401775956874747</v>
      </c>
      <c r="W135" s="3">
        <v>0.69235560479166458</v>
      </c>
      <c r="X135" s="3">
        <v>1.4247152141579551</v>
      </c>
      <c r="Y135" s="3">
        <v>0.67818967251886275</v>
      </c>
    </row>
    <row r="136" spans="1:25" x14ac:dyDescent="0.25">
      <c r="A136" s="2">
        <v>41578</v>
      </c>
      <c r="B136" s="3">
        <v>4.5977544465649611E-2</v>
      </c>
      <c r="C136" s="3">
        <v>3.2323251634276629E-2</v>
      </c>
      <c r="D136" s="3">
        <v>8.0149639547700824E-3</v>
      </c>
      <c r="E136" s="3">
        <v>8.8822119789453424E-3</v>
      </c>
      <c r="F136" s="3">
        <v>-3.3174890677609699E-3</v>
      </c>
      <c r="G136" s="3">
        <v>1.8460307016165969E-4</v>
      </c>
      <c r="H136" s="3">
        <v>-1</v>
      </c>
      <c r="I136" s="3">
        <v>1</v>
      </c>
      <c r="J136" s="3">
        <v>0</v>
      </c>
      <c r="K136" s="3">
        <v>-8.0149639547700824E-3</v>
      </c>
      <c r="L136" s="3">
        <v>0</v>
      </c>
      <c r="M136" s="3">
        <v>8.8822119789453424E-3</v>
      </c>
      <c r="N136" s="3">
        <v>-3.3174890677609699E-3</v>
      </c>
      <c r="O136" s="3">
        <v>0</v>
      </c>
      <c r="P136" s="3">
        <v>-1.8460307016165969E-4</v>
      </c>
      <c r="Q136" s="3">
        <v>0</v>
      </c>
      <c r="R136" s="3">
        <v>0.76128456340774253</v>
      </c>
      <c r="S136" s="3">
        <v>0.21281390885555049</v>
      </c>
      <c r="T136" s="3">
        <v>-0.1140650802076045</v>
      </c>
      <c r="U136" s="3">
        <v>0.56225733007199707</v>
      </c>
      <c r="V136" s="3">
        <v>1.393808091394604</v>
      </c>
      <c r="W136" s="3">
        <v>0.69235560479166458</v>
      </c>
      <c r="X136" s="3">
        <v>1.424267604285153</v>
      </c>
      <c r="Y136" s="3">
        <v>0.67818967251886275</v>
      </c>
    </row>
    <row r="137" spans="1:25" x14ac:dyDescent="0.25">
      <c r="A137" s="2">
        <v>41608</v>
      </c>
      <c r="B137" s="3">
        <v>2.9522448946941671E-2</v>
      </c>
      <c r="C137" s="3">
        <v>6.4633184575448754E-2</v>
      </c>
      <c r="D137" s="3">
        <v>6.0565855347349817E-3</v>
      </c>
      <c r="E137" s="3">
        <v>1.4521281482777759E-2</v>
      </c>
      <c r="F137" s="3">
        <v>-4.7968416067383224E-3</v>
      </c>
      <c r="G137" s="3">
        <v>-1.288420267401658E-2</v>
      </c>
      <c r="H137" s="3">
        <v>-1</v>
      </c>
      <c r="I137" s="3">
        <v>1</v>
      </c>
      <c r="J137" s="3">
        <v>0</v>
      </c>
      <c r="K137" s="3">
        <v>-6.0565855347349817E-3</v>
      </c>
      <c r="L137" s="3">
        <v>0</v>
      </c>
      <c r="M137" s="3">
        <v>1.4521281482777759E-2</v>
      </c>
      <c r="N137" s="3">
        <v>-4.7968416067383224E-3</v>
      </c>
      <c r="O137" s="3">
        <v>0</v>
      </c>
      <c r="P137" s="3">
        <v>1.288420267401658E-2</v>
      </c>
      <c r="Q137" s="3">
        <v>0</v>
      </c>
      <c r="R137" s="3">
        <v>0.76128456340774253</v>
      </c>
      <c r="S137" s="3">
        <v>0.2054683976788505</v>
      </c>
      <c r="T137" s="3">
        <v>-0.1140650802076045</v>
      </c>
      <c r="U137" s="3">
        <v>0.58494330851050536</v>
      </c>
      <c r="V137" s="3">
        <v>1.382325373143255</v>
      </c>
      <c r="W137" s="3">
        <v>0.69235560479166458</v>
      </c>
      <c r="X137" s="3">
        <v>1.455502359434816</v>
      </c>
      <c r="Y137" s="3">
        <v>0.67818967251886275</v>
      </c>
    </row>
    <row r="138" spans="1:25" x14ac:dyDescent="0.25">
      <c r="A138" s="2">
        <v>41639</v>
      </c>
      <c r="B138" s="3">
        <v>2.5986072994644172E-2</v>
      </c>
      <c r="C138" s="3">
        <v>7.4750921767019474E-3</v>
      </c>
      <c r="D138" s="3">
        <v>1.7133696626297708E-2</v>
      </c>
      <c r="E138" s="3">
        <v>-1.9825289674433422E-2</v>
      </c>
      <c r="F138" s="3">
        <v>-2.4703045329432788E-4</v>
      </c>
      <c r="G138" s="3">
        <v>-1.168644928442408E-2</v>
      </c>
      <c r="H138" s="3">
        <v>-1</v>
      </c>
      <c r="I138" s="3">
        <v>1</v>
      </c>
      <c r="J138" s="3">
        <v>0</v>
      </c>
      <c r="K138" s="3">
        <v>-1.7133696626297708E-2</v>
      </c>
      <c r="L138" s="3">
        <v>0</v>
      </c>
      <c r="M138" s="3">
        <v>-1.9825289674433422E-2</v>
      </c>
      <c r="N138" s="3">
        <v>-2.4703045329432788E-4</v>
      </c>
      <c r="O138" s="3">
        <v>0</v>
      </c>
      <c r="P138" s="3">
        <v>1.168644928442408E-2</v>
      </c>
      <c r="Q138" s="3">
        <v>0</v>
      </c>
      <c r="R138" s="3">
        <v>0.76128456340774253</v>
      </c>
      <c r="S138" s="3">
        <v>0.1848142678604319</v>
      </c>
      <c r="T138" s="3">
        <v>-0.1140650802076045</v>
      </c>
      <c r="U138" s="3">
        <v>0.55352134830172961</v>
      </c>
      <c r="V138" s="3">
        <v>1.3817368662264331</v>
      </c>
      <c r="W138" s="3">
        <v>0.69235560479166458</v>
      </c>
      <c r="X138" s="3">
        <v>1.484198463226134</v>
      </c>
      <c r="Y138" s="3">
        <v>0.67818967251886275</v>
      </c>
    </row>
    <row r="139" spans="1:25" x14ac:dyDescent="0.25">
      <c r="A139" s="2">
        <v>41670</v>
      </c>
      <c r="B139" s="3">
        <v>-3.5220413900822312E-2</v>
      </c>
      <c r="C139" s="3">
        <v>-5.7586692531903183E-2</v>
      </c>
      <c r="D139" s="3">
        <v>-2.5163743884780151E-2</v>
      </c>
      <c r="E139" s="3">
        <v>1.3964283790534269E-2</v>
      </c>
      <c r="F139" s="3">
        <v>-6.2855331213240717E-3</v>
      </c>
      <c r="G139" s="3">
        <v>7.0636001951008831E-3</v>
      </c>
      <c r="H139" s="3">
        <v>1</v>
      </c>
      <c r="I139" s="3">
        <v>-1</v>
      </c>
      <c r="J139" s="3">
        <v>-2.5163743884780151E-2</v>
      </c>
      <c r="K139" s="3">
        <v>0</v>
      </c>
      <c r="L139" s="3">
        <v>-1.3964283790534269E-2</v>
      </c>
      <c r="M139" s="3">
        <v>0</v>
      </c>
      <c r="N139" s="3">
        <v>0</v>
      </c>
      <c r="O139" s="3">
        <v>6.2855331213240717E-3</v>
      </c>
      <c r="P139" s="3">
        <v>0</v>
      </c>
      <c r="Q139" s="3">
        <v>7.0636001951008831E-3</v>
      </c>
      <c r="R139" s="3">
        <v>0.71696404974593331</v>
      </c>
      <c r="S139" s="3">
        <v>0.1848142678604319</v>
      </c>
      <c r="T139" s="3">
        <v>-0.12643652684752971</v>
      </c>
      <c r="U139" s="3">
        <v>0.55352134830172961</v>
      </c>
      <c r="V139" s="3">
        <v>1.3817368662264331</v>
      </c>
      <c r="W139" s="3">
        <v>0.70299296199864103</v>
      </c>
      <c r="X139" s="3">
        <v>1.484198463226134</v>
      </c>
      <c r="Y139" s="3">
        <v>0.69004373341708303</v>
      </c>
    </row>
    <row r="140" spans="1:25" x14ac:dyDescent="0.25">
      <c r="A140" s="2">
        <v>41698</v>
      </c>
      <c r="B140" s="3">
        <v>4.5117715684065203E-2</v>
      </c>
      <c r="C140" s="3">
        <v>5.2363089174237487E-2</v>
      </c>
      <c r="D140" s="3">
        <v>7.452502213549872E-3</v>
      </c>
      <c r="E140" s="3">
        <v>2.0257714336295422E-2</v>
      </c>
      <c r="F140" s="3">
        <v>8.8277258396759484E-3</v>
      </c>
      <c r="G140" s="3">
        <v>-1.112083005732312E-2</v>
      </c>
      <c r="H140" s="3">
        <v>-1</v>
      </c>
      <c r="I140" s="3">
        <v>1</v>
      </c>
      <c r="J140" s="3">
        <v>0</v>
      </c>
      <c r="K140" s="3">
        <v>-7.452502213549872E-3</v>
      </c>
      <c r="L140" s="3">
        <v>0</v>
      </c>
      <c r="M140" s="3">
        <v>2.0257714336295422E-2</v>
      </c>
      <c r="N140" s="3">
        <v>8.8277258396759484E-3</v>
      </c>
      <c r="O140" s="3">
        <v>0</v>
      </c>
      <c r="P140" s="3">
        <v>1.112083005732312E-2</v>
      </c>
      <c r="Q140" s="3">
        <v>0</v>
      </c>
      <c r="R140" s="3">
        <v>0.71696404974593331</v>
      </c>
      <c r="S140" s="3">
        <v>0.1759844369065566</v>
      </c>
      <c r="T140" s="3">
        <v>-0.12643652684752971</v>
      </c>
      <c r="U140" s="3">
        <v>0.58499213999096256</v>
      </c>
      <c r="V140" s="3">
        <v>1.402762186303729</v>
      </c>
      <c r="W140" s="3">
        <v>0.70299296199864103</v>
      </c>
      <c r="X140" s="3">
        <v>1.511824812164335</v>
      </c>
      <c r="Y140" s="3">
        <v>0.69004373341708303</v>
      </c>
    </row>
    <row r="141" spans="1:25" x14ac:dyDescent="0.25">
      <c r="A141" s="2">
        <v>41729</v>
      </c>
      <c r="B141" s="3">
        <v>8.6650501937606261E-3</v>
      </c>
      <c r="C141" s="3">
        <v>4.4915227794476431E-3</v>
      </c>
      <c r="D141" s="3">
        <v>4.4339955823823329E-3</v>
      </c>
      <c r="E141" s="3">
        <v>8.100181603276857E-3</v>
      </c>
      <c r="F141" s="3">
        <v>1.0645429046189481E-2</v>
      </c>
      <c r="G141" s="3">
        <v>-2.236128541293958E-2</v>
      </c>
      <c r="H141" s="3">
        <v>-1</v>
      </c>
      <c r="I141" s="3">
        <v>1</v>
      </c>
      <c r="J141" s="3">
        <v>0</v>
      </c>
      <c r="K141" s="3">
        <v>-4.4339955823823329E-3</v>
      </c>
      <c r="L141" s="3">
        <v>0</v>
      </c>
      <c r="M141" s="3">
        <v>8.100181603276857E-3</v>
      </c>
      <c r="N141" s="3">
        <v>1.0645429046189481E-2</v>
      </c>
      <c r="O141" s="3">
        <v>0</v>
      </c>
      <c r="P141" s="3">
        <v>2.236128541293958E-2</v>
      </c>
      <c r="Q141" s="3">
        <v>0</v>
      </c>
      <c r="R141" s="3">
        <v>0.71696404974593331</v>
      </c>
      <c r="S141" s="3">
        <v>0.17077012710836259</v>
      </c>
      <c r="T141" s="3">
        <v>-0.12643652684752971</v>
      </c>
      <c r="U141" s="3">
        <v>0.5978308641646557</v>
      </c>
      <c r="V141" s="3">
        <v>1.428340620672893</v>
      </c>
      <c r="W141" s="3">
        <v>0.70299296199864103</v>
      </c>
      <c r="X141" s="3">
        <v>1.567992443696445</v>
      </c>
      <c r="Y141" s="3">
        <v>0.69004373341708303</v>
      </c>
    </row>
    <row r="142" spans="1:25" x14ac:dyDescent="0.25">
      <c r="A142" s="2">
        <v>41759</v>
      </c>
      <c r="B142" s="3">
        <v>7.6037692424321124E-3</v>
      </c>
      <c r="C142" s="3">
        <v>-8.7532889372928802E-3</v>
      </c>
      <c r="D142" s="3">
        <v>2.291963001600394E-3</v>
      </c>
      <c r="E142" s="3">
        <v>6.9953919189954528E-3</v>
      </c>
      <c r="F142" s="3">
        <v>-1.421961179921871E-2</v>
      </c>
      <c r="G142" s="3">
        <v>2.7646676421975158E-3</v>
      </c>
      <c r="H142" s="3">
        <v>1</v>
      </c>
      <c r="I142" s="3">
        <v>-1</v>
      </c>
      <c r="J142" s="3">
        <v>2.291963001600394E-3</v>
      </c>
      <c r="K142" s="3">
        <v>0</v>
      </c>
      <c r="L142" s="3">
        <v>-6.9953919189954528E-3</v>
      </c>
      <c r="M142" s="3">
        <v>0</v>
      </c>
      <c r="N142" s="3">
        <v>0</v>
      </c>
      <c r="O142" s="3">
        <v>1.421961179921871E-2</v>
      </c>
      <c r="P142" s="3">
        <v>0</v>
      </c>
      <c r="Q142" s="3">
        <v>2.7646676421975158E-3</v>
      </c>
      <c r="R142" s="3">
        <v>0.72089926782302882</v>
      </c>
      <c r="S142" s="3">
        <v>0.17077012710836259</v>
      </c>
      <c r="T142" s="3">
        <v>-0.13254744570835009</v>
      </c>
      <c r="U142" s="3">
        <v>0.5978308641646557</v>
      </c>
      <c r="V142" s="3">
        <v>1.428340620672893</v>
      </c>
      <c r="W142" s="3">
        <v>0.72720886081506309</v>
      </c>
      <c r="X142" s="3">
        <v>1.567992443696445</v>
      </c>
      <c r="Y142" s="3">
        <v>0.69471614264075998</v>
      </c>
    </row>
    <row r="143" spans="1:25" x14ac:dyDescent="0.25">
      <c r="A143" s="2">
        <v>41790</v>
      </c>
      <c r="B143" s="3">
        <v>2.3210946859590461E-2</v>
      </c>
      <c r="C143" s="3">
        <v>-8.5517508648640383E-3</v>
      </c>
      <c r="D143" s="3">
        <v>1.8640504060005059E-2</v>
      </c>
      <c r="E143" s="3">
        <v>1.6379777965210281E-2</v>
      </c>
      <c r="F143" s="3">
        <v>-2.2283337822816001E-3</v>
      </c>
      <c r="G143" s="3">
        <v>1.131447280216058E-2</v>
      </c>
      <c r="H143" s="3">
        <v>1</v>
      </c>
      <c r="I143" s="3">
        <v>-1</v>
      </c>
      <c r="J143" s="3">
        <v>1.8640504060005059E-2</v>
      </c>
      <c r="K143" s="3">
        <v>0</v>
      </c>
      <c r="L143" s="3">
        <v>-1.6379777965210281E-2</v>
      </c>
      <c r="M143" s="3">
        <v>0</v>
      </c>
      <c r="N143" s="3">
        <v>0</v>
      </c>
      <c r="O143" s="3">
        <v>2.2283337822816001E-3</v>
      </c>
      <c r="P143" s="3">
        <v>0</v>
      </c>
      <c r="Q143" s="3">
        <v>1.131447280216058E-2</v>
      </c>
      <c r="R143" s="3">
        <v>0.75297769761174371</v>
      </c>
      <c r="S143" s="3">
        <v>0.17077012710836259</v>
      </c>
      <c r="T143" s="3">
        <v>-0.1467561259430018</v>
      </c>
      <c r="U143" s="3">
        <v>0.5978308641646557</v>
      </c>
      <c r="V143" s="3">
        <v>1.428340620672893</v>
      </c>
      <c r="W143" s="3">
        <v>0.73105765866867323</v>
      </c>
      <c r="X143" s="3">
        <v>1.567992443696445</v>
      </c>
      <c r="Y143" s="3">
        <v>0.71389096234405125</v>
      </c>
    </row>
    <row r="144" spans="1:25" x14ac:dyDescent="0.25">
      <c r="A144" s="2">
        <v>41820</v>
      </c>
      <c r="B144" s="3">
        <v>2.057124524097742E-2</v>
      </c>
      <c r="C144" s="3">
        <v>3.9119100924241978E-2</v>
      </c>
      <c r="D144" s="3">
        <v>-1.092451617181966E-3</v>
      </c>
      <c r="E144" s="3">
        <v>1.534232885083953E-2</v>
      </c>
      <c r="F144" s="3">
        <v>1.395137988408901E-2</v>
      </c>
      <c r="G144" s="3">
        <v>-1.955960065077E-2</v>
      </c>
      <c r="H144" s="3">
        <v>-1</v>
      </c>
      <c r="I144" s="3">
        <v>1</v>
      </c>
      <c r="J144" s="3">
        <v>0</v>
      </c>
      <c r="K144" s="3">
        <v>1.092451617181966E-3</v>
      </c>
      <c r="L144" s="3">
        <v>0</v>
      </c>
      <c r="M144" s="3">
        <v>1.534232885083953E-2</v>
      </c>
      <c r="N144" s="3">
        <v>1.395137988408901E-2</v>
      </c>
      <c r="O144" s="3">
        <v>0</v>
      </c>
      <c r="P144" s="3">
        <v>1.955960065077E-2</v>
      </c>
      <c r="Q144" s="3">
        <v>0</v>
      </c>
      <c r="R144" s="3">
        <v>0.75297769761174371</v>
      </c>
      <c r="S144" s="3">
        <v>0.17204913682707049</v>
      </c>
      <c r="T144" s="3">
        <v>-0.1467561259430018</v>
      </c>
      <c r="U144" s="3">
        <v>0.62234531073069066</v>
      </c>
      <c r="V144" s="3">
        <v>1.462219323159865</v>
      </c>
      <c r="W144" s="3">
        <v>0.73105765866867323</v>
      </c>
      <c r="X144" s="3">
        <v>1.618221350369343</v>
      </c>
      <c r="Y144" s="3">
        <v>0.71389096234405125</v>
      </c>
    </row>
    <row r="145" spans="1:25" x14ac:dyDescent="0.25">
      <c r="A145" s="2">
        <v>41851</v>
      </c>
      <c r="B145" s="3">
        <v>-1.3078845075307211E-2</v>
      </c>
      <c r="C145" s="3">
        <v>-5.9064590969526432E-3</v>
      </c>
      <c r="D145" s="3">
        <v>-2.5899828057756261E-2</v>
      </c>
      <c r="E145" s="3">
        <v>-1.1567597886062431E-2</v>
      </c>
      <c r="F145" s="3">
        <v>2.7149823357028868E-3</v>
      </c>
      <c r="G145" s="3">
        <v>-4.1304931393341127E-3</v>
      </c>
      <c r="H145" s="3">
        <v>1</v>
      </c>
      <c r="I145" s="3">
        <v>-1</v>
      </c>
      <c r="J145" s="3">
        <v>-2.5899828057756261E-2</v>
      </c>
      <c r="K145" s="3">
        <v>0</v>
      </c>
      <c r="L145" s="3">
        <v>1.1567597886062431E-2</v>
      </c>
      <c r="M145" s="3">
        <v>0</v>
      </c>
      <c r="N145" s="3">
        <v>0</v>
      </c>
      <c r="O145" s="3">
        <v>-2.7149823357028868E-3</v>
      </c>
      <c r="P145" s="3">
        <v>0</v>
      </c>
      <c r="Q145" s="3">
        <v>-4.1304931393341127E-3</v>
      </c>
      <c r="R145" s="3">
        <v>0.70757587665451815</v>
      </c>
      <c r="S145" s="3">
        <v>0.17204913682707049</v>
      </c>
      <c r="T145" s="3">
        <v>-0.1368861439091644</v>
      </c>
      <c r="U145" s="3">
        <v>0.62234531073069066</v>
      </c>
      <c r="V145" s="3">
        <v>1.462219323159865</v>
      </c>
      <c r="W145" s="3">
        <v>0.72635786770330468</v>
      </c>
      <c r="X145" s="3">
        <v>1.618221350369343</v>
      </c>
      <c r="Y145" s="3">
        <v>0.7068117474825224</v>
      </c>
    </row>
    <row r="146" spans="1:25" x14ac:dyDescent="0.25">
      <c r="A146" s="2">
        <v>41882</v>
      </c>
      <c r="B146" s="3">
        <v>3.8977885054224948E-2</v>
      </c>
      <c r="C146" s="3">
        <v>6.9182045697872008E-3</v>
      </c>
      <c r="D146" s="3">
        <v>6.0652422091720393E-3</v>
      </c>
      <c r="E146" s="3">
        <v>2.0528941549606938E-2</v>
      </c>
      <c r="F146" s="3">
        <v>-1.063325419782513E-2</v>
      </c>
      <c r="G146" s="3">
        <v>1.8300125472894949E-2</v>
      </c>
      <c r="H146" s="3">
        <v>-1</v>
      </c>
      <c r="I146" s="3">
        <v>1</v>
      </c>
      <c r="J146" s="3">
        <v>0</v>
      </c>
      <c r="K146" s="3">
        <v>-6.0652422091720393E-3</v>
      </c>
      <c r="L146" s="3">
        <v>0</v>
      </c>
      <c r="M146" s="3">
        <v>2.0528941549606938E-2</v>
      </c>
      <c r="N146" s="3">
        <v>-1.063325419782513E-2</v>
      </c>
      <c r="O146" s="3">
        <v>0</v>
      </c>
      <c r="P146" s="3">
        <v>-1.8300125472894949E-2</v>
      </c>
      <c r="Q146" s="3">
        <v>0</v>
      </c>
      <c r="R146" s="3">
        <v>0.70757587665451815</v>
      </c>
      <c r="S146" s="3">
        <v>0.16494037493116331</v>
      </c>
      <c r="T146" s="3">
        <v>-0.1368861439091644</v>
      </c>
      <c r="U146" s="3">
        <v>0.65565034278795964</v>
      </c>
      <c r="V146" s="3">
        <v>1.436037919205909</v>
      </c>
      <c r="W146" s="3">
        <v>0.72635786770330468</v>
      </c>
      <c r="X146" s="3">
        <v>1.570307571141772</v>
      </c>
      <c r="Y146" s="3">
        <v>0.7068117474825224</v>
      </c>
    </row>
    <row r="147" spans="1:25" x14ac:dyDescent="0.25">
      <c r="A147" s="2">
        <v>41912</v>
      </c>
      <c r="B147" s="3">
        <v>-1.354351974873735E-2</v>
      </c>
      <c r="C147" s="3">
        <v>3.1167787011428191E-2</v>
      </c>
      <c r="D147" s="3">
        <v>-1.0538142176702349E-2</v>
      </c>
      <c r="E147" s="3">
        <v>1.3399329519931389E-2</v>
      </c>
      <c r="F147" s="3">
        <v>-5.8325942527603925E-4</v>
      </c>
      <c r="G147" s="3">
        <v>-2.5329864658690911E-2</v>
      </c>
      <c r="H147" s="3">
        <v>-1</v>
      </c>
      <c r="I147" s="3">
        <v>1</v>
      </c>
      <c r="J147" s="3">
        <v>0</v>
      </c>
      <c r="K147" s="3">
        <v>1.0538142176702349E-2</v>
      </c>
      <c r="L147" s="3">
        <v>0</v>
      </c>
      <c r="M147" s="3">
        <v>1.3399329519931389E-2</v>
      </c>
      <c r="N147" s="3">
        <v>-5.8325942527603925E-4</v>
      </c>
      <c r="O147" s="3">
        <v>0</v>
      </c>
      <c r="P147" s="3">
        <v>2.5329864658690911E-2</v>
      </c>
      <c r="Q147" s="3">
        <v>0</v>
      </c>
      <c r="R147" s="3">
        <v>0.70757587665451815</v>
      </c>
      <c r="S147" s="3">
        <v>0.17721668222956891</v>
      </c>
      <c r="T147" s="3">
        <v>-0.1368861439091644</v>
      </c>
      <c r="U147" s="3">
        <v>0.67783494730076299</v>
      </c>
      <c r="V147" s="3">
        <v>1.4346170771292019</v>
      </c>
      <c r="W147" s="3">
        <v>0.72635786770330468</v>
      </c>
      <c r="X147" s="3">
        <v>1.6354131140500019</v>
      </c>
      <c r="Y147" s="3">
        <v>0.7068117474825224</v>
      </c>
    </row>
    <row r="148" spans="1:25" x14ac:dyDescent="0.25">
      <c r="A148" s="2">
        <v>41943</v>
      </c>
      <c r="B148" s="3">
        <v>2.4713548933810281E-2</v>
      </c>
      <c r="C148" s="3">
        <v>-5.3007670862036393E-2</v>
      </c>
      <c r="D148" s="3">
        <v>3.8638920637109941E-2</v>
      </c>
      <c r="E148" s="3">
        <v>-1.069085202563347E-2</v>
      </c>
      <c r="F148" s="3">
        <v>-1.8994995873935269E-2</v>
      </c>
      <c r="G148" s="3">
        <v>2.904107283022539E-2</v>
      </c>
      <c r="H148" s="3">
        <v>1</v>
      </c>
      <c r="I148" s="3">
        <v>-1</v>
      </c>
      <c r="J148" s="3">
        <v>3.8638920637109941E-2</v>
      </c>
      <c r="K148" s="3">
        <v>0</v>
      </c>
      <c r="L148" s="3">
        <v>1.069085202563347E-2</v>
      </c>
      <c r="M148" s="3">
        <v>0</v>
      </c>
      <c r="N148" s="3">
        <v>0</v>
      </c>
      <c r="O148" s="3">
        <v>1.8994995873935269E-2</v>
      </c>
      <c r="P148" s="3">
        <v>0</v>
      </c>
      <c r="Q148" s="3">
        <v>2.904107283022539E-2</v>
      </c>
      <c r="R148" s="3">
        <v>0.77355476543441526</v>
      </c>
      <c r="S148" s="3">
        <v>0.17721668222956891</v>
      </c>
      <c r="T148" s="3">
        <v>-0.1276587213924234</v>
      </c>
      <c r="U148" s="3">
        <v>0.67783494730076299</v>
      </c>
      <c r="V148" s="3">
        <v>1.4346170771292019</v>
      </c>
      <c r="W148" s="3">
        <v>0.75915002827726474</v>
      </c>
      <c r="X148" s="3">
        <v>1.6354131140500019</v>
      </c>
      <c r="Y148" s="3">
        <v>0.75637939174864632</v>
      </c>
    </row>
    <row r="149" spans="1:25" x14ac:dyDescent="0.25">
      <c r="A149" s="2">
        <v>41973</v>
      </c>
      <c r="B149" s="3">
        <v>2.7186230505643501E-2</v>
      </c>
      <c r="C149" s="3">
        <v>1.491733214492252E-2</v>
      </c>
      <c r="D149" s="3">
        <v>2.5229688110012249E-3</v>
      </c>
      <c r="E149" s="3">
        <v>1.9773971757549798E-2</v>
      </c>
      <c r="F149" s="3">
        <v>8.3309425025676065E-3</v>
      </c>
      <c r="G149" s="3">
        <v>6.7107110109195789E-3</v>
      </c>
      <c r="H149" s="3">
        <v>-1</v>
      </c>
      <c r="I149" s="3">
        <v>1</v>
      </c>
      <c r="J149" s="3">
        <v>0</v>
      </c>
      <c r="K149" s="3">
        <v>-2.5229688110012249E-3</v>
      </c>
      <c r="L149" s="3">
        <v>0</v>
      </c>
      <c r="M149" s="3">
        <v>1.9773971757549798E-2</v>
      </c>
      <c r="N149" s="3">
        <v>8.3309425025676065E-3</v>
      </c>
      <c r="O149" s="3">
        <v>0</v>
      </c>
      <c r="P149" s="3">
        <v>-6.7107110109195789E-3</v>
      </c>
      <c r="Q149" s="3">
        <v>0</v>
      </c>
      <c r="R149" s="3">
        <v>0.77355476543441526</v>
      </c>
      <c r="S149" s="3">
        <v>0.17424660125651339</v>
      </c>
      <c r="T149" s="3">
        <v>-0.1276587213924234</v>
      </c>
      <c r="U149" s="3">
        <v>0.71101240816251843</v>
      </c>
      <c r="V149" s="3">
        <v>1.454899732014534</v>
      </c>
      <c r="W149" s="3">
        <v>0.75915002827726474</v>
      </c>
      <c r="X149" s="3">
        <v>1.617727618247224</v>
      </c>
      <c r="Y149" s="3">
        <v>0.75637939174864632</v>
      </c>
    </row>
    <row r="150" spans="1:25" x14ac:dyDescent="0.25">
      <c r="A150" s="2">
        <v>42004</v>
      </c>
      <c r="B150" s="3">
        <v>-1.551035598787331E-3</v>
      </c>
      <c r="C150" s="3">
        <v>-2.7066790378926231E-2</v>
      </c>
      <c r="D150" s="3">
        <v>-4.6748207784930162E-3</v>
      </c>
      <c r="E150" s="3">
        <v>2.766867414255358E-3</v>
      </c>
      <c r="F150" s="3">
        <v>3.9077626216516004E-3</v>
      </c>
      <c r="G150" s="3">
        <v>-9.106809225838397E-3</v>
      </c>
      <c r="H150" s="3">
        <v>1</v>
      </c>
      <c r="I150" s="3">
        <v>-1</v>
      </c>
      <c r="J150" s="3">
        <v>-4.6748207784930162E-3</v>
      </c>
      <c r="K150" s="3">
        <v>0</v>
      </c>
      <c r="L150" s="3">
        <v>-2.766867414255358E-3</v>
      </c>
      <c r="M150" s="3">
        <v>0</v>
      </c>
      <c r="N150" s="3">
        <v>0</v>
      </c>
      <c r="O150" s="3">
        <v>-3.9077626216516004E-3</v>
      </c>
      <c r="P150" s="3">
        <v>0</v>
      </c>
      <c r="Q150" s="3">
        <v>-9.106809225838397E-3</v>
      </c>
      <c r="R150" s="3">
        <v>0.76526371476516708</v>
      </c>
      <c r="S150" s="3">
        <v>0.17424660125651339</v>
      </c>
      <c r="T150" s="3">
        <v>-0.13007237405031261</v>
      </c>
      <c r="U150" s="3">
        <v>0.71101240816251843</v>
      </c>
      <c r="V150" s="3">
        <v>1.454899732014534</v>
      </c>
      <c r="W150" s="3">
        <v>0.75227568755088559</v>
      </c>
      <c r="X150" s="3">
        <v>1.617727618247224</v>
      </c>
      <c r="Y150" s="3">
        <v>0.74038437969979731</v>
      </c>
    </row>
    <row r="151" spans="1:25" x14ac:dyDescent="0.25">
      <c r="A151" s="2">
        <v>42035</v>
      </c>
      <c r="B151" s="3">
        <v>-2.8986613499523362E-2</v>
      </c>
      <c r="C151" s="3">
        <v>-7.0906115625572586E-2</v>
      </c>
      <c r="D151" s="3">
        <v>-2.700414136955509E-2</v>
      </c>
      <c r="E151" s="3">
        <v>2.6026177238861359E-2</v>
      </c>
      <c r="F151" s="3">
        <v>2.1920902723548959E-3</v>
      </c>
      <c r="G151" s="3">
        <v>2.9626597014561499E-2</v>
      </c>
      <c r="H151" s="3">
        <v>1</v>
      </c>
      <c r="I151" s="3">
        <v>-1</v>
      </c>
      <c r="J151" s="3">
        <v>-2.700414136955509E-2</v>
      </c>
      <c r="K151" s="3">
        <v>0</v>
      </c>
      <c r="L151" s="3">
        <v>-2.6026177238861359E-2</v>
      </c>
      <c r="M151" s="3">
        <v>0</v>
      </c>
      <c r="N151" s="3">
        <v>0</v>
      </c>
      <c r="O151" s="3">
        <v>-2.1920902723548959E-3</v>
      </c>
      <c r="P151" s="3">
        <v>0</v>
      </c>
      <c r="Q151" s="3">
        <v>2.9626597014561499E-2</v>
      </c>
      <c r="R151" s="3">
        <v>0.71759428385710256</v>
      </c>
      <c r="S151" s="3">
        <v>0.17424660125651339</v>
      </c>
      <c r="T151" s="3">
        <v>-0.1527132646282611</v>
      </c>
      <c r="U151" s="3">
        <v>0.71101240816251843</v>
      </c>
      <c r="V151" s="3">
        <v>1.454899732014534</v>
      </c>
      <c r="W151" s="3">
        <v>0.74843454106172125</v>
      </c>
      <c r="X151" s="3">
        <v>1.617727618247224</v>
      </c>
      <c r="Y151" s="3">
        <v>0.79194604636760069</v>
      </c>
    </row>
    <row r="152" spans="1:25" x14ac:dyDescent="0.25">
      <c r="A152" s="2">
        <v>42063</v>
      </c>
      <c r="B152" s="3">
        <v>5.5074495527100309E-2</v>
      </c>
      <c r="C152" s="3">
        <v>0.13220733977712071</v>
      </c>
      <c r="D152" s="3">
        <v>-2.596526298085378E-3</v>
      </c>
      <c r="E152" s="3">
        <v>1.218420467588688E-2</v>
      </c>
      <c r="F152" s="3">
        <v>3.0366826316710501E-2</v>
      </c>
      <c r="G152" s="3">
        <v>-5.1913937247000767E-2</v>
      </c>
      <c r="H152" s="3">
        <v>-1</v>
      </c>
      <c r="I152" s="3">
        <v>1</v>
      </c>
      <c r="J152" s="3">
        <v>0</v>
      </c>
      <c r="K152" s="3">
        <v>2.596526298085378E-3</v>
      </c>
      <c r="L152" s="3">
        <v>0</v>
      </c>
      <c r="M152" s="3">
        <v>1.218420467588688E-2</v>
      </c>
      <c r="N152" s="3">
        <v>3.0366826316710501E-2</v>
      </c>
      <c r="O152" s="3">
        <v>0</v>
      </c>
      <c r="P152" s="3">
        <v>5.1913937247000767E-2</v>
      </c>
      <c r="Q152" s="3">
        <v>0</v>
      </c>
      <c r="R152" s="3">
        <v>0.71759428385710256</v>
      </c>
      <c r="S152" s="3">
        <v>0.1772955634371132</v>
      </c>
      <c r="T152" s="3">
        <v>-0.1527132646282611</v>
      </c>
      <c r="U152" s="3">
        <v>0.73185973354655265</v>
      </c>
      <c r="V152" s="3">
        <v>1.5294472458015591</v>
      </c>
      <c r="W152" s="3">
        <v>0.74843454106172125</v>
      </c>
      <c r="X152" s="3">
        <v>1.7536241655506519</v>
      </c>
      <c r="Y152" s="3">
        <v>0.79194604636760069</v>
      </c>
    </row>
    <row r="153" spans="1:25" x14ac:dyDescent="0.25">
      <c r="A153" s="2">
        <v>42094</v>
      </c>
      <c r="B153" s="3">
        <v>-1.4991983536856161E-2</v>
      </c>
      <c r="C153" s="3">
        <v>-1.4137936390658971E-2</v>
      </c>
      <c r="D153" s="3">
        <v>-1.8853084258721561E-2</v>
      </c>
      <c r="E153" s="3">
        <v>-5.9578132952726737E-3</v>
      </c>
      <c r="F153" s="3">
        <v>-1.4976795046607431E-2</v>
      </c>
      <c r="G153" s="3">
        <v>-4.5293165521029022E-2</v>
      </c>
      <c r="H153" s="3">
        <v>1</v>
      </c>
      <c r="I153" s="3">
        <v>-1</v>
      </c>
      <c r="J153" s="3">
        <v>-1.8853084258721561E-2</v>
      </c>
      <c r="K153" s="3">
        <v>0</v>
      </c>
      <c r="L153" s="3">
        <v>5.9578132952726737E-3</v>
      </c>
      <c r="M153" s="3">
        <v>0</v>
      </c>
      <c r="N153" s="3">
        <v>0</v>
      </c>
      <c r="O153" s="3">
        <v>1.4976795046607431E-2</v>
      </c>
      <c r="P153" s="3">
        <v>0</v>
      </c>
      <c r="Q153" s="3">
        <v>-4.5293165521029022E-2</v>
      </c>
      <c r="R153" s="3">
        <v>0.68521233410124616</v>
      </c>
      <c r="S153" s="3">
        <v>0.1772955634371132</v>
      </c>
      <c r="T153" s="3">
        <v>-0.14766528845135521</v>
      </c>
      <c r="U153" s="3">
        <v>0.73185973354655265</v>
      </c>
      <c r="V153" s="3">
        <v>1.5294472458015591</v>
      </c>
      <c r="W153" s="3">
        <v>0.77462048683561191</v>
      </c>
      <c r="X153" s="3">
        <v>1.7536241655506519</v>
      </c>
      <c r="Y153" s="3">
        <v>0.71078313748471933</v>
      </c>
    </row>
    <row r="154" spans="1:25" x14ac:dyDescent="0.25">
      <c r="A154" s="2">
        <v>42124</v>
      </c>
      <c r="B154" s="3">
        <v>1.007696824221027E-2</v>
      </c>
      <c r="C154" s="3">
        <v>4.0700992918431662E-2</v>
      </c>
      <c r="D154" s="3">
        <v>-1.027720084741102E-2</v>
      </c>
      <c r="E154" s="3">
        <v>-1.3753363224633939E-2</v>
      </c>
      <c r="F154" s="3">
        <v>7.5252253793246524E-3</v>
      </c>
      <c r="G154" s="3">
        <v>5.6454538061269099E-3</v>
      </c>
      <c r="H154" s="3">
        <v>-1</v>
      </c>
      <c r="I154" s="3">
        <v>1</v>
      </c>
      <c r="J154" s="3">
        <v>0</v>
      </c>
      <c r="K154" s="3">
        <v>1.027720084741102E-2</v>
      </c>
      <c r="L154" s="3">
        <v>0</v>
      </c>
      <c r="M154" s="3">
        <v>-1.3753363224633939E-2</v>
      </c>
      <c r="N154" s="3">
        <v>7.5252253793246524E-3</v>
      </c>
      <c r="O154" s="3">
        <v>0</v>
      </c>
      <c r="P154" s="3">
        <v>-5.6454538061269099E-3</v>
      </c>
      <c r="Q154" s="3">
        <v>0</v>
      </c>
      <c r="R154" s="3">
        <v>0.68521233410124616</v>
      </c>
      <c r="S154" s="3">
        <v>0.18939486639932229</v>
      </c>
      <c r="T154" s="3">
        <v>-0.14766528845135521</v>
      </c>
      <c r="U154" s="3">
        <v>0.70804083757696912</v>
      </c>
      <c r="V154" s="3">
        <v>1.548481906411328</v>
      </c>
      <c r="W154" s="3">
        <v>0.77462048683561191</v>
      </c>
      <c r="X154" s="3">
        <v>1.7380787075246009</v>
      </c>
      <c r="Y154" s="3">
        <v>0.71078313748471933</v>
      </c>
    </row>
    <row r="155" spans="1:25" x14ac:dyDescent="0.25">
      <c r="A155" s="2">
        <v>42155</v>
      </c>
      <c r="B155" s="3">
        <v>1.3210444573675709E-2</v>
      </c>
      <c r="C155" s="3">
        <v>6.6433081129417149E-2</v>
      </c>
      <c r="D155" s="3">
        <v>-1.098948815069012E-2</v>
      </c>
      <c r="E155" s="3">
        <v>1.9572642057401279E-2</v>
      </c>
      <c r="F155" s="3">
        <v>2.1095526031382761E-3</v>
      </c>
      <c r="G155" s="3">
        <v>-2.7964692146975501E-2</v>
      </c>
      <c r="H155" s="3">
        <v>-1</v>
      </c>
      <c r="I155" s="3">
        <v>1</v>
      </c>
      <c r="J155" s="3">
        <v>0</v>
      </c>
      <c r="K155" s="3">
        <v>1.098948815069012E-2</v>
      </c>
      <c r="L155" s="3">
        <v>0</v>
      </c>
      <c r="M155" s="3">
        <v>1.9572642057401279E-2</v>
      </c>
      <c r="N155" s="3">
        <v>2.1095526031382761E-3</v>
      </c>
      <c r="O155" s="3">
        <v>0</v>
      </c>
      <c r="P155" s="3">
        <v>2.7964692146975501E-2</v>
      </c>
      <c r="Q155" s="3">
        <v>0</v>
      </c>
      <c r="R155" s="3">
        <v>0.68521233410124616</v>
      </c>
      <c r="S155" s="3">
        <v>0.20246570719010931</v>
      </c>
      <c r="T155" s="3">
        <v>-0.14766528845135521</v>
      </c>
      <c r="U155" s="3">
        <v>0.74147170951028674</v>
      </c>
      <c r="V155" s="3">
        <v>1.553858063051049</v>
      </c>
      <c r="W155" s="3">
        <v>0.77462048683561191</v>
      </c>
      <c r="X155" s="3">
        <v>1.8146482356547149</v>
      </c>
      <c r="Y155" s="3">
        <v>0.71078313748471933</v>
      </c>
    </row>
    <row r="156" spans="1:25" x14ac:dyDescent="0.25">
      <c r="A156" s="2">
        <v>42185</v>
      </c>
      <c r="B156" s="3">
        <v>-1.999425560620394E-2</v>
      </c>
      <c r="C156" s="3">
        <v>3.0529604348206729E-2</v>
      </c>
      <c r="D156" s="3">
        <v>-2.353970902707447E-2</v>
      </c>
      <c r="E156" s="3">
        <v>-1.299337200466311E-2</v>
      </c>
      <c r="F156" s="3">
        <v>-6.46595167836439E-3</v>
      </c>
      <c r="G156" s="3">
        <v>-3.993588374891921E-2</v>
      </c>
      <c r="H156" s="3">
        <v>-1</v>
      </c>
      <c r="I156" s="3">
        <v>1</v>
      </c>
      <c r="J156" s="3">
        <v>0</v>
      </c>
      <c r="K156" s="3">
        <v>2.353970902707447E-2</v>
      </c>
      <c r="L156" s="3">
        <v>0</v>
      </c>
      <c r="M156" s="3">
        <v>-1.299337200466311E-2</v>
      </c>
      <c r="N156" s="3">
        <v>-6.46595167836439E-3</v>
      </c>
      <c r="O156" s="3">
        <v>0</v>
      </c>
      <c r="P156" s="3">
        <v>3.993588374891921E-2</v>
      </c>
      <c r="Q156" s="3">
        <v>0</v>
      </c>
      <c r="R156" s="3">
        <v>0.68521233410124616</v>
      </c>
      <c r="S156" s="3">
        <v>0.23077140005239971</v>
      </c>
      <c r="T156" s="3">
        <v>-0.14766528845135521</v>
      </c>
      <c r="U156" s="3">
        <v>0.71884411975302287</v>
      </c>
      <c r="V156" s="3">
        <v>1.537344940221959</v>
      </c>
      <c r="W156" s="3">
        <v>0.77462048683561191</v>
      </c>
      <c r="X156" s="3">
        <v>1.9270537003879229</v>
      </c>
      <c r="Y156" s="3">
        <v>0.71078313748471933</v>
      </c>
    </row>
    <row r="157" spans="1:25" x14ac:dyDescent="0.25">
      <c r="A157" s="2">
        <v>42216</v>
      </c>
      <c r="B157" s="3">
        <v>2.2915190840296581E-2</v>
      </c>
      <c r="C157" s="3">
        <v>5.7812795521317017E-3</v>
      </c>
      <c r="D157" s="3">
        <v>-3.9375974173476713E-3</v>
      </c>
      <c r="E157" s="3">
        <v>2.4387579939371129E-2</v>
      </c>
      <c r="F157" s="3">
        <v>-6.234546798978724E-3</v>
      </c>
      <c r="G157" s="3">
        <v>2.6354182355004311E-2</v>
      </c>
      <c r="H157" s="3">
        <v>-1</v>
      </c>
      <c r="I157" s="3">
        <v>1</v>
      </c>
      <c r="J157" s="3">
        <v>0</v>
      </c>
      <c r="K157" s="3">
        <v>3.9375974173476713E-3</v>
      </c>
      <c r="L157" s="3">
        <v>0</v>
      </c>
      <c r="M157" s="3">
        <v>2.4387579939371129E-2</v>
      </c>
      <c r="N157" s="3">
        <v>-6.234546798978724E-3</v>
      </c>
      <c r="O157" s="3">
        <v>0</v>
      </c>
      <c r="P157" s="3">
        <v>-2.6354182355004311E-2</v>
      </c>
      <c r="Q157" s="3">
        <v>0</v>
      </c>
      <c r="R157" s="3">
        <v>0.68521233410124616</v>
      </c>
      <c r="S157" s="3">
        <v>0.2356176823385914</v>
      </c>
      <c r="T157" s="3">
        <v>-0.14766528845135521</v>
      </c>
      <c r="U157" s="3">
        <v>0.76076256812681775</v>
      </c>
      <c r="V157" s="3">
        <v>1.5215257444469941</v>
      </c>
      <c r="W157" s="3">
        <v>0.77462048683561191</v>
      </c>
      <c r="X157" s="3">
        <v>1.849913593405009</v>
      </c>
      <c r="Y157" s="3">
        <v>0.71078313748471933</v>
      </c>
    </row>
    <row r="158" spans="1:25" x14ac:dyDescent="0.25">
      <c r="A158" s="2">
        <v>42247</v>
      </c>
      <c r="B158" s="3">
        <v>-5.9941242272513851E-2</v>
      </c>
      <c r="C158" s="3">
        <v>-9.5052839304491488E-2</v>
      </c>
      <c r="D158" s="3">
        <v>1.225090970327414E-3</v>
      </c>
      <c r="E158" s="3">
        <v>-3.9842321542582833E-2</v>
      </c>
      <c r="F158" s="3">
        <v>-1.213917474656789E-2</v>
      </c>
      <c r="G158" s="3">
        <v>1.708505373342661E-2</v>
      </c>
      <c r="H158" s="3">
        <v>1</v>
      </c>
      <c r="I158" s="3">
        <v>-1</v>
      </c>
      <c r="J158" s="3">
        <v>1.225090970327414E-3</v>
      </c>
      <c r="K158" s="3">
        <v>0</v>
      </c>
      <c r="L158" s="3">
        <v>3.9842321542582833E-2</v>
      </c>
      <c r="M158" s="3">
        <v>0</v>
      </c>
      <c r="N158" s="3">
        <v>0</v>
      </c>
      <c r="O158" s="3">
        <v>1.213917474656789E-2</v>
      </c>
      <c r="P158" s="3">
        <v>0</v>
      </c>
      <c r="Q158" s="3">
        <v>1.708505373342661E-2</v>
      </c>
      <c r="R158" s="3">
        <v>0.68727687251483816</v>
      </c>
      <c r="S158" s="3">
        <v>0.2356176823385914</v>
      </c>
      <c r="T158" s="3">
        <v>-0.1137062948119294</v>
      </c>
      <c r="U158" s="3">
        <v>0.76076256812681775</v>
      </c>
      <c r="V158" s="3">
        <v>1.5215257444469941</v>
      </c>
      <c r="W158" s="3">
        <v>0.79616291503414849</v>
      </c>
      <c r="X158" s="3">
        <v>1.849913593405009</v>
      </c>
      <c r="Y158" s="3">
        <v>0.74001195931488595</v>
      </c>
    </row>
    <row r="159" spans="1:25" x14ac:dyDescent="0.25">
      <c r="A159" s="2">
        <v>42277</v>
      </c>
      <c r="B159" s="3">
        <v>-2.381485914969805E-2</v>
      </c>
      <c r="C159" s="3">
        <v>-1.8512204594820721E-2</v>
      </c>
      <c r="D159" s="3">
        <v>-1.132735246089134E-2</v>
      </c>
      <c r="E159" s="3">
        <v>1.45644190334262E-2</v>
      </c>
      <c r="F159" s="3">
        <v>-1.5580674850790291E-4</v>
      </c>
      <c r="G159" s="3">
        <v>-2.1457889157351362E-3</v>
      </c>
      <c r="H159" s="3">
        <v>1</v>
      </c>
      <c r="I159" s="3">
        <v>-1</v>
      </c>
      <c r="J159" s="3">
        <v>-1.132735246089134E-2</v>
      </c>
      <c r="K159" s="3">
        <v>0</v>
      </c>
      <c r="L159" s="3">
        <v>-1.45644190334262E-2</v>
      </c>
      <c r="M159" s="3">
        <v>0</v>
      </c>
      <c r="N159" s="3">
        <v>0</v>
      </c>
      <c r="O159" s="3">
        <v>1.5580674850790291E-4</v>
      </c>
      <c r="P159" s="3">
        <v>0</v>
      </c>
      <c r="Q159" s="3">
        <v>-2.1457889157351362E-3</v>
      </c>
      <c r="R159" s="3">
        <v>0.66816449268075218</v>
      </c>
      <c r="S159" s="3">
        <v>0.2356176823385914</v>
      </c>
      <c r="T159" s="3">
        <v>-0.12661464772097639</v>
      </c>
      <c r="U159" s="3">
        <v>0.76076256812681775</v>
      </c>
      <c r="V159" s="3">
        <v>1.5215257444469941</v>
      </c>
      <c r="W159" s="3">
        <v>0.79644276933773051</v>
      </c>
      <c r="X159" s="3">
        <v>1.849913593405009</v>
      </c>
      <c r="Y159" s="3">
        <v>0.73627826093934146</v>
      </c>
    </row>
    <row r="160" spans="1:25" x14ac:dyDescent="0.25">
      <c r="A160" s="2">
        <v>42308</v>
      </c>
      <c r="B160" s="3">
        <v>8.2443632152183977E-2</v>
      </c>
      <c r="C160" s="3">
        <v>4.5968189103739121E-2</v>
      </c>
      <c r="D160" s="3">
        <v>2.9956038827128051E-2</v>
      </c>
      <c r="E160" s="3">
        <v>-1.006263042398148E-2</v>
      </c>
      <c r="F160" s="3">
        <v>4.0106035392492363E-2</v>
      </c>
      <c r="G160" s="3">
        <v>-2.2525312430723421E-3</v>
      </c>
      <c r="H160" s="3">
        <v>-1</v>
      </c>
      <c r="I160" s="3">
        <v>1</v>
      </c>
      <c r="J160" s="3">
        <v>0</v>
      </c>
      <c r="K160" s="3">
        <v>-2.9956038827128051E-2</v>
      </c>
      <c r="L160" s="3">
        <v>0</v>
      </c>
      <c r="M160" s="3">
        <v>-1.006263042398148E-2</v>
      </c>
      <c r="N160" s="3">
        <v>4.0106035392492363E-2</v>
      </c>
      <c r="O160" s="3">
        <v>0</v>
      </c>
      <c r="P160" s="3">
        <v>2.2525312430723421E-3</v>
      </c>
      <c r="Q160" s="3">
        <v>0</v>
      </c>
      <c r="R160" s="3">
        <v>0.66816449268075218</v>
      </c>
      <c r="S160" s="3">
        <v>0.19860347107097051</v>
      </c>
      <c r="T160" s="3">
        <v>-0.12661464772097639</v>
      </c>
      <c r="U160" s="3">
        <v>0.74304466513937717</v>
      </c>
      <c r="V160" s="3">
        <v>1.622654145196865</v>
      </c>
      <c r="W160" s="3">
        <v>0.79644276933773051</v>
      </c>
      <c r="X160" s="3">
        <v>1.85633311281421</v>
      </c>
      <c r="Y160" s="3">
        <v>0.73627826093934146</v>
      </c>
    </row>
    <row r="161" spans="1:25" x14ac:dyDescent="0.25">
      <c r="A161" s="2">
        <v>42338</v>
      </c>
      <c r="B161" s="3">
        <v>4.2005319051681136E-3</v>
      </c>
      <c r="C161" s="3">
        <v>2.390027218447199E-2</v>
      </c>
      <c r="D161" s="3">
        <v>-2.9557457105776619E-3</v>
      </c>
      <c r="E161" s="3">
        <v>8.2834190540255204E-3</v>
      </c>
      <c r="F161" s="3">
        <v>1.0175530394489599E-2</v>
      </c>
      <c r="G161" s="3">
        <v>-2.8936879593378099E-2</v>
      </c>
      <c r="H161" s="3">
        <v>-1</v>
      </c>
      <c r="I161" s="3">
        <v>1</v>
      </c>
      <c r="J161" s="3">
        <v>0</v>
      </c>
      <c r="K161" s="3">
        <v>2.9557457105776619E-3</v>
      </c>
      <c r="L161" s="3">
        <v>0</v>
      </c>
      <c r="M161" s="3">
        <v>8.2834190540255204E-3</v>
      </c>
      <c r="N161" s="3">
        <v>1.0175530394489599E-2</v>
      </c>
      <c r="O161" s="3">
        <v>0</v>
      </c>
      <c r="P161" s="3">
        <v>2.8936879593378099E-2</v>
      </c>
      <c r="Q161" s="3">
        <v>0</v>
      </c>
      <c r="R161" s="3">
        <v>0.66816449268075218</v>
      </c>
      <c r="S161" s="3">
        <v>0.20214623813927221</v>
      </c>
      <c r="T161" s="3">
        <v>-0.12661464772097639</v>
      </c>
      <c r="U161" s="3">
        <v>0.75748303453061028</v>
      </c>
      <c r="V161" s="3">
        <v>1.6493410421655501</v>
      </c>
      <c r="W161" s="3">
        <v>0.79644276933773051</v>
      </c>
      <c r="X161" s="3">
        <v>1.938986480178293</v>
      </c>
      <c r="Y161" s="3">
        <v>0.73627826093934146</v>
      </c>
    </row>
    <row r="162" spans="1:25" x14ac:dyDescent="0.25">
      <c r="A162" s="2">
        <v>42369</v>
      </c>
      <c r="B162" s="3">
        <v>-1.6045766419743202E-2</v>
      </c>
      <c r="C162" s="3">
        <v>-4.4432811536750161E-2</v>
      </c>
      <c r="D162" s="3">
        <v>1.110315912960713E-2</v>
      </c>
      <c r="E162" s="3">
        <v>-1.9175273834751819E-2</v>
      </c>
      <c r="F162" s="3">
        <v>-1.227978135351693E-3</v>
      </c>
      <c r="G162" s="3">
        <v>5.1368797408606337E-3</v>
      </c>
      <c r="H162" s="3">
        <v>1</v>
      </c>
      <c r="I162" s="3">
        <v>-1</v>
      </c>
      <c r="J162" s="3">
        <v>1.110315912960713E-2</v>
      </c>
      <c r="K162" s="3">
        <v>0</v>
      </c>
      <c r="L162" s="3">
        <v>1.9175273834751819E-2</v>
      </c>
      <c r="M162" s="3">
        <v>0</v>
      </c>
      <c r="N162" s="3">
        <v>0</v>
      </c>
      <c r="O162" s="3">
        <v>1.227978135351693E-3</v>
      </c>
      <c r="P162" s="3">
        <v>0</v>
      </c>
      <c r="Q162" s="3">
        <v>5.1368797408606337E-3</v>
      </c>
      <c r="R162" s="3">
        <v>0.68668638849734687</v>
      </c>
      <c r="S162" s="3">
        <v>0.20214623813927221</v>
      </c>
      <c r="T162" s="3">
        <v>-0.1098672444277649</v>
      </c>
      <c r="U162" s="3">
        <v>0.75748303453061028</v>
      </c>
      <c r="V162" s="3">
        <v>1.6493410421655501</v>
      </c>
      <c r="W162" s="3">
        <v>0.79864876177988786</v>
      </c>
      <c r="X162" s="3">
        <v>1.938986480178293</v>
      </c>
      <c r="Y162" s="3">
        <v>0.74519731356245744</v>
      </c>
    </row>
    <row r="163" spans="1:25" x14ac:dyDescent="0.25">
      <c r="A163" s="2">
        <v>42400</v>
      </c>
      <c r="B163" s="3">
        <v>-4.8939059644667722E-2</v>
      </c>
      <c r="C163" s="3">
        <v>-0.12602858968871189</v>
      </c>
      <c r="D163" s="3">
        <v>3.2346271769798103E-2</v>
      </c>
      <c r="E163" s="3">
        <v>1.01430270864632E-2</v>
      </c>
      <c r="F163" s="3">
        <v>-5.9870496277582341E-2</v>
      </c>
      <c r="G163" s="3">
        <v>2.2928964127833299E-2</v>
      </c>
      <c r="H163" s="3">
        <v>1</v>
      </c>
      <c r="I163" s="3">
        <v>-1</v>
      </c>
      <c r="J163" s="3">
        <v>3.2346271769798103E-2</v>
      </c>
      <c r="K163" s="3">
        <v>0</v>
      </c>
      <c r="L163" s="3">
        <v>-1.01430270864632E-2</v>
      </c>
      <c r="M163" s="3">
        <v>0</v>
      </c>
      <c r="N163" s="3">
        <v>0</v>
      </c>
      <c r="O163" s="3">
        <v>5.9870496277582341E-2</v>
      </c>
      <c r="P163" s="3">
        <v>0</v>
      </c>
      <c r="Q163" s="3">
        <v>2.2928964127833299E-2</v>
      </c>
      <c r="R163" s="3">
        <v>0.74124440481010145</v>
      </c>
      <c r="S163" s="3">
        <v>0.20214623813927221</v>
      </c>
      <c r="T163" s="3">
        <v>-0.1188958850780821</v>
      </c>
      <c r="U163" s="3">
        <v>0.75748303453061028</v>
      </c>
      <c r="V163" s="3">
        <v>1.6493410421655501</v>
      </c>
      <c r="W163" s="3">
        <v>0.90633475577670852</v>
      </c>
      <c r="X163" s="3">
        <v>1.938986480178293</v>
      </c>
      <c r="Y163" s="3">
        <v>0.78521288016112223</v>
      </c>
    </row>
    <row r="164" spans="1:25" x14ac:dyDescent="0.25">
      <c r="A164" s="2">
        <v>42429</v>
      </c>
      <c r="B164" s="3">
        <v>5.1026514808361068E-4</v>
      </c>
      <c r="C164" s="3">
        <v>-2.4294977274144199E-2</v>
      </c>
      <c r="D164" s="3">
        <v>-6.0860515239306023E-3</v>
      </c>
      <c r="E164" s="3">
        <v>3.7813663577113132E-4</v>
      </c>
      <c r="F164" s="3">
        <v>-2.9870447960030241E-2</v>
      </c>
      <c r="G164" s="3">
        <v>1.32099747843758E-2</v>
      </c>
      <c r="H164" s="3">
        <v>1</v>
      </c>
      <c r="I164" s="3">
        <v>-1</v>
      </c>
      <c r="J164" s="3">
        <v>-6.0860515239306023E-3</v>
      </c>
      <c r="K164" s="3">
        <v>0</v>
      </c>
      <c r="L164" s="3">
        <v>-3.7813663577113132E-4</v>
      </c>
      <c r="M164" s="3">
        <v>0</v>
      </c>
      <c r="N164" s="3">
        <v>0</v>
      </c>
      <c r="O164" s="3">
        <v>2.9870447960030241E-2</v>
      </c>
      <c r="P164" s="3">
        <v>0</v>
      </c>
      <c r="Q164" s="3">
        <v>1.32099747843758E-2</v>
      </c>
      <c r="R164" s="3">
        <v>0.73064710164667135</v>
      </c>
      <c r="S164" s="3">
        <v>0.20214623813927221</v>
      </c>
      <c r="T164" s="3">
        <v>-0.11922906282386279</v>
      </c>
      <c r="U164" s="3">
        <v>0.75748303453061028</v>
      </c>
      <c r="V164" s="3">
        <v>1.6493410421655501</v>
      </c>
      <c r="W164" s="3">
        <v>0.96327782889353375</v>
      </c>
      <c r="X164" s="3">
        <v>1.938986480178293</v>
      </c>
      <c r="Y164" s="3">
        <v>0.80879549729279332</v>
      </c>
    </row>
    <row r="165" spans="1:25" x14ac:dyDescent="0.25">
      <c r="A165" s="2">
        <v>42460</v>
      </c>
      <c r="B165" s="3">
        <v>6.5722148553609583E-2</v>
      </c>
      <c r="C165" s="3">
        <v>8.1690809148589394E-2</v>
      </c>
      <c r="D165" s="3">
        <v>4.2219251636533839E-3</v>
      </c>
      <c r="E165" s="3">
        <v>1.9838707696152591E-2</v>
      </c>
      <c r="F165" s="3">
        <v>3.5970738509383038E-2</v>
      </c>
      <c r="G165" s="3">
        <v>-1.6560961996833549E-2</v>
      </c>
      <c r="H165" s="3">
        <v>-1</v>
      </c>
      <c r="I165" s="3">
        <v>1</v>
      </c>
      <c r="J165" s="3">
        <v>0</v>
      </c>
      <c r="K165" s="3">
        <v>-4.2219251636533839E-3</v>
      </c>
      <c r="L165" s="3">
        <v>0</v>
      </c>
      <c r="M165" s="3">
        <v>1.9838707696152591E-2</v>
      </c>
      <c r="N165" s="3">
        <v>3.5970738509383038E-2</v>
      </c>
      <c r="O165" s="3">
        <v>0</v>
      </c>
      <c r="P165" s="3">
        <v>1.6560961996833549E-2</v>
      </c>
      <c r="Q165" s="3">
        <v>0</v>
      </c>
      <c r="R165" s="3">
        <v>0.73064710164667135</v>
      </c>
      <c r="S165" s="3">
        <v>0.19707086668608079</v>
      </c>
      <c r="T165" s="3">
        <v>-0.11922906282386279</v>
      </c>
      <c r="U165" s="3">
        <v>0.7923492267336103</v>
      </c>
      <c r="V165" s="3">
        <v>1.7446397960154629</v>
      </c>
      <c r="W165" s="3">
        <v>0.96327782889353375</v>
      </c>
      <c r="X165" s="3">
        <v>1.9876589235857329</v>
      </c>
      <c r="Y165" s="3">
        <v>0.80879549729279332</v>
      </c>
    </row>
    <row r="166" spans="1:25" x14ac:dyDescent="0.25">
      <c r="A166" s="2">
        <v>42490</v>
      </c>
      <c r="B166" s="3">
        <v>4.3490684592217832E-3</v>
      </c>
      <c r="C166" s="3">
        <v>2.9385166808104549E-2</v>
      </c>
      <c r="D166" s="3">
        <v>-1.265304448687121E-2</v>
      </c>
      <c r="E166" s="3">
        <v>5.4311521510067573E-3</v>
      </c>
      <c r="F166" s="3">
        <v>-7.4590450885310133E-3</v>
      </c>
      <c r="G166" s="3">
        <v>1.9239610406423861E-2</v>
      </c>
      <c r="H166" s="3">
        <v>-1</v>
      </c>
      <c r="I166" s="3">
        <v>1</v>
      </c>
      <c r="J166" s="3">
        <v>0</v>
      </c>
      <c r="K166" s="3">
        <v>1.265304448687121E-2</v>
      </c>
      <c r="L166" s="3">
        <v>0</v>
      </c>
      <c r="M166" s="3">
        <v>5.4311521510067573E-3</v>
      </c>
      <c r="N166" s="3">
        <v>-7.4590450885310133E-3</v>
      </c>
      <c r="O166" s="3">
        <v>0</v>
      </c>
      <c r="P166" s="3">
        <v>-1.9239610406423861E-2</v>
      </c>
      <c r="Q166" s="3">
        <v>0</v>
      </c>
      <c r="R166" s="3">
        <v>0.73064710164667135</v>
      </c>
      <c r="S166" s="3">
        <v>0.21221745761619731</v>
      </c>
      <c r="T166" s="3">
        <v>-0.11922906282386279</v>
      </c>
      <c r="U166" s="3">
        <v>0.80208374809173955</v>
      </c>
      <c r="V166" s="3">
        <v>1.7241674040252071</v>
      </c>
      <c r="W166" s="3">
        <v>0.96327782889353375</v>
      </c>
      <c r="X166" s="3">
        <v>1.9301775298686681</v>
      </c>
      <c r="Y166" s="3">
        <v>0.80879549729279332</v>
      </c>
    </row>
    <row r="167" spans="1:25" x14ac:dyDescent="0.25">
      <c r="A167" s="2">
        <v>42521</v>
      </c>
      <c r="B167" s="3">
        <v>1.735583262761831E-2</v>
      </c>
      <c r="C167" s="3">
        <v>-1.206007495733941E-2</v>
      </c>
      <c r="D167" s="3">
        <v>2.1065955211013399E-2</v>
      </c>
      <c r="E167" s="3">
        <v>1.134430337371706E-4</v>
      </c>
      <c r="F167" s="3">
        <v>-2.8688503318179399E-3</v>
      </c>
      <c r="G167" s="3">
        <v>1.042359631193612E-2</v>
      </c>
      <c r="H167" s="3">
        <v>1</v>
      </c>
      <c r="I167" s="3">
        <v>-1</v>
      </c>
      <c r="J167" s="3">
        <v>2.1065955211013399E-2</v>
      </c>
      <c r="K167" s="3">
        <v>0</v>
      </c>
      <c r="L167" s="3">
        <v>-1.134430337371706E-4</v>
      </c>
      <c r="M167" s="3">
        <v>0</v>
      </c>
      <c r="N167" s="3">
        <v>0</v>
      </c>
      <c r="O167" s="3">
        <v>2.8688503318179399E-3</v>
      </c>
      <c r="P167" s="3">
        <v>0</v>
      </c>
      <c r="Q167" s="3">
        <v>1.042359631193612E-2</v>
      </c>
      <c r="R167" s="3">
        <v>0.76710483597603041</v>
      </c>
      <c r="S167" s="3">
        <v>0.21221745761619731</v>
      </c>
      <c r="T167" s="3">
        <v>-0.1193289801510036</v>
      </c>
      <c r="U167" s="3">
        <v>0.80208374809173955</v>
      </c>
      <c r="V167" s="3">
        <v>1.7241674040252071</v>
      </c>
      <c r="W167" s="3">
        <v>0.96891017914440569</v>
      </c>
      <c r="X167" s="3">
        <v>1.9301775298686681</v>
      </c>
      <c r="Y167" s="3">
        <v>0.82764965136742119</v>
      </c>
    </row>
    <row r="168" spans="1:25" x14ac:dyDescent="0.25">
      <c r="A168" s="2">
        <v>42551</v>
      </c>
      <c r="B168" s="3">
        <v>4.9202565594809178E-3</v>
      </c>
      <c r="C168" s="3">
        <v>-2.9380001186375852E-2</v>
      </c>
      <c r="D168" s="3">
        <v>6.2813845669400514E-3</v>
      </c>
      <c r="E168" s="3">
        <v>4.0119776737525981E-2</v>
      </c>
      <c r="F168" s="3">
        <v>8.7558339759240544E-3</v>
      </c>
      <c r="G168" s="3">
        <v>2.0489312059681412E-2</v>
      </c>
      <c r="H168" s="3">
        <v>1</v>
      </c>
      <c r="I168" s="3">
        <v>-1</v>
      </c>
      <c r="J168" s="3">
        <v>6.2813845669400514E-3</v>
      </c>
      <c r="K168" s="3">
        <v>0</v>
      </c>
      <c r="L168" s="3">
        <v>-4.0119776737525981E-2</v>
      </c>
      <c r="M168" s="3">
        <v>0</v>
      </c>
      <c r="N168" s="3">
        <v>0</v>
      </c>
      <c r="O168" s="3">
        <v>-8.7558339759240544E-3</v>
      </c>
      <c r="P168" s="3">
        <v>0</v>
      </c>
      <c r="Q168" s="3">
        <v>2.0489312059681412E-2</v>
      </c>
      <c r="R168" s="3">
        <v>0.77820470102089545</v>
      </c>
      <c r="S168" s="3">
        <v>0.21221745761619731</v>
      </c>
      <c r="T168" s="3">
        <v>-0.1546613048465546</v>
      </c>
      <c r="U168" s="3">
        <v>0.80208374809173955</v>
      </c>
      <c r="V168" s="3">
        <v>1.7241674040252071</v>
      </c>
      <c r="W168" s="3">
        <v>0.95167072850231049</v>
      </c>
      <c r="X168" s="3">
        <v>1.9301775298686681</v>
      </c>
      <c r="Y168" s="3">
        <v>0.86509693541005617</v>
      </c>
    </row>
    <row r="169" spans="1:25" x14ac:dyDescent="0.25">
      <c r="A169" s="2">
        <v>42582</v>
      </c>
      <c r="B169" s="3">
        <v>3.6063175248070227E-2</v>
      </c>
      <c r="C169" s="3">
        <v>3.4867777675759881E-2</v>
      </c>
      <c r="D169" s="3">
        <v>-5.4641546877232106E-4</v>
      </c>
      <c r="E169" s="3">
        <v>1.9804250573506099E-2</v>
      </c>
      <c r="F169" s="3">
        <v>1.517538963758969E-2</v>
      </c>
      <c r="G169" s="3">
        <v>3.5316445830340333E-2</v>
      </c>
      <c r="H169" s="3">
        <v>-1</v>
      </c>
      <c r="I169" s="3">
        <v>1</v>
      </c>
      <c r="J169" s="3">
        <v>0</v>
      </c>
      <c r="K169" s="3">
        <v>5.4641546877232106E-4</v>
      </c>
      <c r="L169" s="3">
        <v>0</v>
      </c>
      <c r="M169" s="3">
        <v>1.9804250573506099E-2</v>
      </c>
      <c r="N169" s="3">
        <v>1.517538963758969E-2</v>
      </c>
      <c r="O169" s="3">
        <v>0</v>
      </c>
      <c r="P169" s="3">
        <v>-3.5316445830340333E-2</v>
      </c>
      <c r="Q169" s="3">
        <v>0</v>
      </c>
      <c r="R169" s="3">
        <v>0.77820470102089545</v>
      </c>
      <c r="S169" s="3">
        <v>0.21287983198655461</v>
      </c>
      <c r="T169" s="3">
        <v>-0.1546613048465546</v>
      </c>
      <c r="U169" s="3">
        <v>0.8377726661933913</v>
      </c>
      <c r="V169" s="3">
        <v>1.7655077058193109</v>
      </c>
      <c r="W169" s="3">
        <v>0.95167072850231049</v>
      </c>
      <c r="X169" s="3">
        <v>1.826694073861781</v>
      </c>
      <c r="Y169" s="3">
        <v>0.86509693541005617</v>
      </c>
    </row>
    <row r="170" spans="1:25" x14ac:dyDescent="0.25">
      <c r="A170" s="2">
        <v>42613</v>
      </c>
      <c r="B170" s="3">
        <v>1.327826256937281E-3</v>
      </c>
      <c r="C170" s="3">
        <v>2.4719836525362249E-2</v>
      </c>
      <c r="D170" s="3">
        <v>-5.2873588185711204E-3</v>
      </c>
      <c r="E170" s="3">
        <v>8.4876996686914508E-3</v>
      </c>
      <c r="F170" s="3">
        <v>4.9291709329477573E-3</v>
      </c>
      <c r="G170" s="3">
        <v>-2.34502127062074E-2</v>
      </c>
      <c r="H170" s="3">
        <v>-1</v>
      </c>
      <c r="I170" s="3">
        <v>1</v>
      </c>
      <c r="J170" s="3">
        <v>0</v>
      </c>
      <c r="K170" s="3">
        <v>5.2873588185711204E-3</v>
      </c>
      <c r="L170" s="3">
        <v>0</v>
      </c>
      <c r="M170" s="3">
        <v>8.4876996686914508E-3</v>
      </c>
      <c r="N170" s="3">
        <v>4.9291709329477573E-3</v>
      </c>
      <c r="O170" s="3">
        <v>0</v>
      </c>
      <c r="P170" s="3">
        <v>2.34502127062074E-2</v>
      </c>
      <c r="Q170" s="3">
        <v>0</v>
      </c>
      <c r="R170" s="3">
        <v>0.77820470102089545</v>
      </c>
      <c r="S170" s="3">
        <v>0.2192927628620758</v>
      </c>
      <c r="T170" s="3">
        <v>-0.1546613048465546</v>
      </c>
      <c r="U170" s="3">
        <v>0.85337112864337139</v>
      </c>
      <c r="V170" s="3">
        <v>1.7791393660176791</v>
      </c>
      <c r="W170" s="3">
        <v>0.95167072850231049</v>
      </c>
      <c r="X170" s="3">
        <v>1.892980651149216</v>
      </c>
      <c r="Y170" s="3">
        <v>0.86509693541005617</v>
      </c>
    </row>
    <row r="171" spans="1:25" x14ac:dyDescent="0.25">
      <c r="A171" s="2">
        <v>42643</v>
      </c>
      <c r="B171" s="3">
        <v>8.6128816511832351E-4</v>
      </c>
      <c r="C171" s="3">
        <v>2.359206661403002E-2</v>
      </c>
      <c r="D171" s="3">
        <v>-3.9112331834117997E-3</v>
      </c>
      <c r="E171" s="3">
        <v>4.174281685477621E-3</v>
      </c>
      <c r="F171" s="3">
        <v>5.202172468047217E-3</v>
      </c>
      <c r="G171" s="3">
        <v>-1.302527265507936E-2</v>
      </c>
      <c r="H171" s="3">
        <v>-1</v>
      </c>
      <c r="I171" s="3">
        <v>1</v>
      </c>
      <c r="J171" s="3">
        <v>0</v>
      </c>
      <c r="K171" s="3">
        <v>3.9112331834117997E-3</v>
      </c>
      <c r="L171" s="3">
        <v>0</v>
      </c>
      <c r="M171" s="3">
        <v>4.174281685477621E-3</v>
      </c>
      <c r="N171" s="3">
        <v>5.202172468047217E-3</v>
      </c>
      <c r="O171" s="3">
        <v>0</v>
      </c>
      <c r="P171" s="3">
        <v>1.302527265507936E-2</v>
      </c>
      <c r="Q171" s="3">
        <v>0</v>
      </c>
      <c r="R171" s="3">
        <v>0.77820470102089545</v>
      </c>
      <c r="S171" s="3">
        <v>0.22406170117647559</v>
      </c>
      <c r="T171" s="3">
        <v>-0.1546613048465546</v>
      </c>
      <c r="U171" s="3">
        <v>0.86110762180206013</v>
      </c>
      <c r="V171" s="3">
        <v>1.793596928312442</v>
      </c>
      <c r="W171" s="3">
        <v>0.95167072850231049</v>
      </c>
      <c r="X171" s="3">
        <v>1.9306625129163031</v>
      </c>
      <c r="Y171" s="3">
        <v>0.86509693541005617</v>
      </c>
    </row>
    <row r="172" spans="1:25" x14ac:dyDescent="0.25">
      <c r="A172" s="2">
        <v>42674</v>
      </c>
      <c r="B172" s="3">
        <v>-1.7301005780876681E-2</v>
      </c>
      <c r="C172" s="3">
        <v>1.8345967650616361E-2</v>
      </c>
      <c r="D172" s="3">
        <v>-6.6806220750029732E-3</v>
      </c>
      <c r="E172" s="3">
        <v>-1.5456295282937351E-2</v>
      </c>
      <c r="F172" s="3">
        <v>-5.8102171025600216E-3</v>
      </c>
      <c r="G172" s="3">
        <v>-2.455487173668924E-2</v>
      </c>
      <c r="H172" s="3">
        <v>-1</v>
      </c>
      <c r="I172" s="3">
        <v>1</v>
      </c>
      <c r="J172" s="3">
        <v>0</v>
      </c>
      <c r="K172" s="3">
        <v>6.6806220750029732E-3</v>
      </c>
      <c r="L172" s="3">
        <v>0</v>
      </c>
      <c r="M172" s="3">
        <v>-1.5456295282937351E-2</v>
      </c>
      <c r="N172" s="3">
        <v>-5.8102171025600216E-3</v>
      </c>
      <c r="O172" s="3">
        <v>0</v>
      </c>
      <c r="P172" s="3">
        <v>2.455487173668924E-2</v>
      </c>
      <c r="Q172" s="3">
        <v>0</v>
      </c>
      <c r="R172" s="3">
        <v>0.77820470102089545</v>
      </c>
      <c r="S172" s="3">
        <v>0.2322391947985207</v>
      </c>
      <c r="T172" s="3">
        <v>-0.1546613048465546</v>
      </c>
      <c r="U172" s="3">
        <v>0.83234179284616228</v>
      </c>
      <c r="V172" s="3">
        <v>1.777365523661901</v>
      </c>
      <c r="W172" s="3">
        <v>0.95167072850231049</v>
      </c>
      <c r="X172" s="3">
        <v>2.0026245550244859</v>
      </c>
      <c r="Y172" s="3">
        <v>0.86509693541005617</v>
      </c>
    </row>
    <row r="173" spans="1:25" x14ac:dyDescent="0.25">
      <c r="A173" s="2">
        <v>42704</v>
      </c>
      <c r="B173" s="3">
        <v>3.6644116213955469E-2</v>
      </c>
      <c r="C173" s="3">
        <v>0.1123799673414341</v>
      </c>
      <c r="D173" s="3">
        <v>1.068860648427483E-3</v>
      </c>
      <c r="E173" s="3">
        <v>-7.3627692112540064E-3</v>
      </c>
      <c r="F173" s="3">
        <v>3.1141563627652409E-3</v>
      </c>
      <c r="G173" s="3">
        <v>-2.7898704440156852E-3</v>
      </c>
      <c r="H173" s="3">
        <v>-1</v>
      </c>
      <c r="I173" s="3">
        <v>1</v>
      </c>
      <c r="J173" s="3">
        <v>0</v>
      </c>
      <c r="K173" s="3">
        <v>-1.068860648427483E-3</v>
      </c>
      <c r="L173" s="3">
        <v>0</v>
      </c>
      <c r="M173" s="3">
        <v>-7.3627692112540064E-3</v>
      </c>
      <c r="N173" s="3">
        <v>3.1141563627652409E-3</v>
      </c>
      <c r="O173" s="3">
        <v>0</v>
      </c>
      <c r="P173" s="3">
        <v>2.7898704440156852E-3</v>
      </c>
      <c r="Q173" s="3">
        <v>0</v>
      </c>
      <c r="R173" s="3">
        <v>0.77820470102089545</v>
      </c>
      <c r="S173" s="3">
        <v>0.2309221028137507</v>
      </c>
      <c r="T173" s="3">
        <v>-0.1546613048465546</v>
      </c>
      <c r="U173" s="3">
        <v>0.81885068310930054</v>
      </c>
      <c r="V173" s="3">
        <v>1.7860146741791381</v>
      </c>
      <c r="W173" s="3">
        <v>0.95167072850231049</v>
      </c>
      <c r="X173" s="3">
        <v>2.0110014885250238</v>
      </c>
      <c r="Y173" s="3">
        <v>0.86509693541005617</v>
      </c>
    </row>
    <row r="174" spans="1:25" x14ac:dyDescent="0.25">
      <c r="A174" s="2">
        <v>42735</v>
      </c>
      <c r="B174" s="3">
        <v>2.0332895410142719E-2</v>
      </c>
      <c r="C174" s="3">
        <v>4.3812650685921883E-2</v>
      </c>
      <c r="D174" s="3">
        <v>-9.9244897001810051E-3</v>
      </c>
      <c r="E174" s="3">
        <v>9.3958669860367827E-3</v>
      </c>
      <c r="F174" s="3">
        <v>1.9082595295349721E-2</v>
      </c>
      <c r="G174" s="3">
        <v>3.4731256775585311E-3</v>
      </c>
      <c r="H174" s="3">
        <v>-1</v>
      </c>
      <c r="I174" s="3">
        <v>1</v>
      </c>
      <c r="J174" s="3">
        <v>0</v>
      </c>
      <c r="K174" s="3">
        <v>9.9244897001810051E-3</v>
      </c>
      <c r="L174" s="3">
        <v>0</v>
      </c>
      <c r="M174" s="3">
        <v>9.3958669860367827E-3</v>
      </c>
      <c r="N174" s="3">
        <v>1.9082595295349721E-2</v>
      </c>
      <c r="O174" s="3">
        <v>0</v>
      </c>
      <c r="P174" s="3">
        <v>-3.4731256775585311E-3</v>
      </c>
      <c r="Q174" s="3">
        <v>0</v>
      </c>
      <c r="R174" s="3">
        <v>0.77820470102089545</v>
      </c>
      <c r="S174" s="3">
        <v>0.24313837654485121</v>
      </c>
      <c r="T174" s="3">
        <v>-0.1546613048465546</v>
      </c>
      <c r="U174" s="3">
        <v>0.83594036219525769</v>
      </c>
      <c r="V174" s="3">
        <v>1.8391790646934041</v>
      </c>
      <c r="W174" s="3">
        <v>0.95167072850231049</v>
      </c>
      <c r="X174" s="3">
        <v>2.0005439019400608</v>
      </c>
      <c r="Y174" s="3">
        <v>0.86509693541005617</v>
      </c>
    </row>
    <row r="175" spans="1:25" x14ac:dyDescent="0.25">
      <c r="A175" s="2">
        <v>42766</v>
      </c>
      <c r="B175" s="3">
        <v>1.7909630157209921E-2</v>
      </c>
      <c r="C175" s="3">
        <v>7.8348846728287791E-3</v>
      </c>
      <c r="D175" s="3">
        <v>-2.4939300862725222E-4</v>
      </c>
      <c r="E175" s="3">
        <v>-1.6263592565822771E-3</v>
      </c>
      <c r="F175" s="3">
        <v>1.3081539533864711E-2</v>
      </c>
      <c r="G175" s="3">
        <v>2.262336530768605E-2</v>
      </c>
      <c r="H175" s="3">
        <v>-1</v>
      </c>
      <c r="I175" s="3">
        <v>1</v>
      </c>
      <c r="J175" s="3">
        <v>0</v>
      </c>
      <c r="K175" s="3">
        <v>2.4939300862725222E-4</v>
      </c>
      <c r="L175" s="3">
        <v>0</v>
      </c>
      <c r="M175" s="3">
        <v>-1.6263592565822771E-3</v>
      </c>
      <c r="N175" s="3">
        <v>1.3081539533864711E-2</v>
      </c>
      <c r="O175" s="3">
        <v>0</v>
      </c>
      <c r="P175" s="3">
        <v>-2.262336530768605E-2</v>
      </c>
      <c r="Q175" s="3">
        <v>0</v>
      </c>
      <c r="R175" s="3">
        <v>0.77820470102089545</v>
      </c>
      <c r="S175" s="3">
        <v>0.24344840656471761</v>
      </c>
      <c r="T175" s="3">
        <v>-0.1546613048465546</v>
      </c>
      <c r="U175" s="3">
        <v>0.83295446359266845</v>
      </c>
      <c r="V175" s="3">
        <v>1.876319897871912</v>
      </c>
      <c r="W175" s="3">
        <v>0.95167072850231049</v>
      </c>
      <c r="X175" s="3">
        <v>1.932661501124721</v>
      </c>
      <c r="Y175" s="3">
        <v>0.86509693541005617</v>
      </c>
    </row>
    <row r="176" spans="1:25" x14ac:dyDescent="0.25">
      <c r="A176" s="2">
        <v>42794</v>
      </c>
      <c r="B176" s="3">
        <v>3.8652662009751038E-2</v>
      </c>
      <c r="C176" s="3">
        <v>3.3636741050069967E-2</v>
      </c>
      <c r="D176" s="3">
        <v>8.0964465933774932E-4</v>
      </c>
      <c r="E176" s="3">
        <v>1.190562299324782E-2</v>
      </c>
      <c r="F176" s="3">
        <v>6.2036658562703018E-3</v>
      </c>
      <c r="G176" s="3">
        <v>6.3777308157938473E-3</v>
      </c>
      <c r="H176" s="3">
        <v>-1</v>
      </c>
      <c r="I176" s="3">
        <v>1</v>
      </c>
      <c r="J176" s="3">
        <v>0</v>
      </c>
      <c r="K176" s="3">
        <v>-8.0964465933774932E-4</v>
      </c>
      <c r="L176" s="3">
        <v>0</v>
      </c>
      <c r="M176" s="3">
        <v>1.190562299324782E-2</v>
      </c>
      <c r="N176" s="3">
        <v>6.2036658562703018E-3</v>
      </c>
      <c r="O176" s="3">
        <v>0</v>
      </c>
      <c r="P176" s="3">
        <v>-6.3777308157938473E-3</v>
      </c>
      <c r="Q176" s="3">
        <v>0</v>
      </c>
      <c r="R176" s="3">
        <v>0.77820470102089545</v>
      </c>
      <c r="S176" s="3">
        <v>0.24244165520318051</v>
      </c>
      <c r="T176" s="3">
        <v>-0.1546613048465546</v>
      </c>
      <c r="U176" s="3">
        <v>0.85477692839999331</v>
      </c>
      <c r="V176" s="3">
        <v>1.894163625414051</v>
      </c>
      <c r="W176" s="3">
        <v>0.95167072850231049</v>
      </c>
      <c r="X176" s="3">
        <v>1.9139577754967061</v>
      </c>
      <c r="Y176" s="3">
        <v>0.86509693541005617</v>
      </c>
    </row>
    <row r="177" spans="1:25" x14ac:dyDescent="0.25">
      <c r="A177" s="2">
        <v>42825</v>
      </c>
      <c r="B177" s="3">
        <v>1.5544580211859229E-3</v>
      </c>
      <c r="C177" s="3">
        <v>3.8564331823069948E-3</v>
      </c>
      <c r="D177" s="3">
        <v>8.6015064414558529E-3</v>
      </c>
      <c r="E177" s="3">
        <v>4.8358406681783261E-3</v>
      </c>
      <c r="F177" s="3">
        <v>2.3650615446227929E-3</v>
      </c>
      <c r="G177" s="3">
        <v>-2.5557835446960331E-2</v>
      </c>
      <c r="H177" s="3">
        <v>-1</v>
      </c>
      <c r="I177" s="3">
        <v>1</v>
      </c>
      <c r="J177" s="3">
        <v>0</v>
      </c>
      <c r="K177" s="3">
        <v>-8.6015064414558529E-3</v>
      </c>
      <c r="L177" s="3">
        <v>0</v>
      </c>
      <c r="M177" s="3">
        <v>4.8358406681783261E-3</v>
      </c>
      <c r="N177" s="3">
        <v>2.3650615446227929E-3</v>
      </c>
      <c r="O177" s="3">
        <v>0</v>
      </c>
      <c r="P177" s="3">
        <v>2.5557835446960331E-2</v>
      </c>
      <c r="Q177" s="3">
        <v>0</v>
      </c>
      <c r="R177" s="3">
        <v>0.77820470102089545</v>
      </c>
      <c r="S177" s="3">
        <v>0.23175478530281721</v>
      </c>
      <c r="T177" s="3">
        <v>-0.1546613048465546</v>
      </c>
      <c r="U177" s="3">
        <v>0.86374633410074897</v>
      </c>
      <c r="V177" s="3">
        <v>1.9010085005083639</v>
      </c>
      <c r="W177" s="3">
        <v>0.95167072850231049</v>
      </c>
      <c r="X177" s="3">
        <v>1.9884322288222409</v>
      </c>
      <c r="Y177" s="3">
        <v>0.86509693541005617</v>
      </c>
    </row>
    <row r="178" spans="1:25" x14ac:dyDescent="0.25">
      <c r="A178" s="2">
        <v>42855</v>
      </c>
      <c r="B178" s="3">
        <v>1.0082715640699959E-2</v>
      </c>
      <c r="C178" s="3">
        <v>-1.4384295356658311E-2</v>
      </c>
      <c r="D178" s="3">
        <v>3.8493924012165111E-3</v>
      </c>
      <c r="E178" s="3">
        <v>-4.638690494291775E-3</v>
      </c>
      <c r="F178" s="3">
        <v>-2.2823655612118632E-3</v>
      </c>
      <c r="G178" s="3">
        <v>2.1940355246722332E-3</v>
      </c>
      <c r="H178" s="3">
        <v>1</v>
      </c>
      <c r="I178" s="3">
        <v>-1</v>
      </c>
      <c r="J178" s="3">
        <v>3.8493924012165111E-3</v>
      </c>
      <c r="K178" s="3">
        <v>0</v>
      </c>
      <c r="L178" s="3">
        <v>4.638690494291775E-3</v>
      </c>
      <c r="M178" s="3">
        <v>0</v>
      </c>
      <c r="N178" s="3">
        <v>0</v>
      </c>
      <c r="O178" s="3">
        <v>2.2823655612118632E-3</v>
      </c>
      <c r="P178" s="3">
        <v>0</v>
      </c>
      <c r="Q178" s="3">
        <v>2.1940355246722332E-3</v>
      </c>
      <c r="R178" s="3">
        <v>0.78504970868481294</v>
      </c>
      <c r="S178" s="3">
        <v>0.23175478530281721</v>
      </c>
      <c r="T178" s="3">
        <v>-0.15074004027688931</v>
      </c>
      <c r="U178" s="3">
        <v>0.86374633410074897</v>
      </c>
      <c r="V178" s="3">
        <v>1.9010085005083639</v>
      </c>
      <c r="W178" s="3">
        <v>0.95612515455986946</v>
      </c>
      <c r="X178" s="3">
        <v>1.9884322288222409</v>
      </c>
      <c r="Y178" s="3">
        <v>0.86918902434330336</v>
      </c>
    </row>
    <row r="179" spans="1:25" x14ac:dyDescent="0.25">
      <c r="A179" s="2">
        <v>42886</v>
      </c>
      <c r="B179" s="3">
        <v>1.426618316219253E-2</v>
      </c>
      <c r="C179" s="3">
        <v>-1.217679014901174E-2</v>
      </c>
      <c r="D179" s="3">
        <v>1.307850129534038E-2</v>
      </c>
      <c r="E179" s="3">
        <v>5.6210869322640411E-3</v>
      </c>
      <c r="F179" s="3">
        <v>6.793740353721045E-3</v>
      </c>
      <c r="G179" s="3">
        <v>-6.5544215364270464E-3</v>
      </c>
      <c r="H179" s="3">
        <v>1</v>
      </c>
      <c r="I179" s="3">
        <v>-1</v>
      </c>
      <c r="J179" s="3">
        <v>1.307850129534038E-2</v>
      </c>
      <c r="K179" s="3">
        <v>0</v>
      </c>
      <c r="L179" s="3">
        <v>-5.6210869322640411E-3</v>
      </c>
      <c r="M179" s="3">
        <v>0</v>
      </c>
      <c r="N179" s="3">
        <v>0</v>
      </c>
      <c r="O179" s="3">
        <v>-6.793740353721045E-3</v>
      </c>
      <c r="P179" s="3">
        <v>0</v>
      </c>
      <c r="Q179" s="3">
        <v>-6.5544215364270464E-3</v>
      </c>
      <c r="R179" s="3">
        <v>0.80839548361209435</v>
      </c>
      <c r="S179" s="3">
        <v>0.23175478530281721</v>
      </c>
      <c r="T179" s="3">
        <v>-0.155513804338584</v>
      </c>
      <c r="U179" s="3">
        <v>0.86374633410074897</v>
      </c>
      <c r="V179" s="3">
        <v>1.9010085005083639</v>
      </c>
      <c r="W179" s="3">
        <v>0.94283574816040727</v>
      </c>
      <c r="X179" s="3">
        <v>1.9884322288222409</v>
      </c>
      <c r="Y179" s="3">
        <v>0.85693757154649464</v>
      </c>
    </row>
    <row r="180" spans="1:25" x14ac:dyDescent="0.25">
      <c r="A180" s="2">
        <v>42916</v>
      </c>
      <c r="B180" s="3">
        <v>6.5859489652545511E-3</v>
      </c>
      <c r="C180" s="3">
        <v>-1.6268554390694859E-2</v>
      </c>
      <c r="D180" s="3">
        <v>-4.6305447375701858E-3</v>
      </c>
      <c r="E180" s="3">
        <v>-1.9202987088739021E-2</v>
      </c>
      <c r="F180" s="3">
        <v>9.1969682412288423E-3</v>
      </c>
      <c r="G180" s="3">
        <v>6.4023198015495941E-3</v>
      </c>
      <c r="H180" s="3">
        <v>1</v>
      </c>
      <c r="I180" s="3">
        <v>-1</v>
      </c>
      <c r="J180" s="3">
        <v>-4.6305447375701858E-3</v>
      </c>
      <c r="K180" s="3">
        <v>0</v>
      </c>
      <c r="L180" s="3">
        <v>1.9202987088739021E-2</v>
      </c>
      <c r="M180" s="3">
        <v>0</v>
      </c>
      <c r="N180" s="3">
        <v>0</v>
      </c>
      <c r="O180" s="3">
        <v>-9.1969682412288423E-3</v>
      </c>
      <c r="P180" s="3">
        <v>0</v>
      </c>
      <c r="Q180" s="3">
        <v>6.4023198015495941E-3</v>
      </c>
      <c r="R180" s="3">
        <v>0.80002162742200866</v>
      </c>
      <c r="S180" s="3">
        <v>0.23175478530281721</v>
      </c>
      <c r="T180" s="3">
        <v>-0.1392971468266794</v>
      </c>
      <c r="U180" s="3">
        <v>0.86374633410074897</v>
      </c>
      <c r="V180" s="3">
        <v>1.9010085005083639</v>
      </c>
      <c r="W180" s="3">
        <v>0.92496754948665183</v>
      </c>
      <c r="X180" s="3">
        <v>1.9884322288222409</v>
      </c>
      <c r="Y180" s="3">
        <v>0.86882627973104842</v>
      </c>
    </row>
    <row r="181" spans="1:25" x14ac:dyDescent="0.25">
      <c r="A181" s="2">
        <v>42947</v>
      </c>
      <c r="B181" s="3">
        <v>2.0473546055801321E-2</v>
      </c>
      <c r="C181" s="3">
        <v>1.7801895246575161E-2</v>
      </c>
      <c r="D181" s="3">
        <v>-1.9860824168305149E-4</v>
      </c>
      <c r="E181" s="3">
        <v>-9.1912682607654395E-3</v>
      </c>
      <c r="F181" s="3">
        <v>2.422185909950469E-3</v>
      </c>
      <c r="G181" s="3">
        <v>-1.5779424135701881E-2</v>
      </c>
      <c r="H181" s="3">
        <v>-1</v>
      </c>
      <c r="I181" s="3">
        <v>1</v>
      </c>
      <c r="J181" s="3">
        <v>0</v>
      </c>
      <c r="K181" s="3">
        <v>1.9860824168305149E-4</v>
      </c>
      <c r="L181" s="3">
        <v>0</v>
      </c>
      <c r="M181" s="3">
        <v>-9.1912682607654395E-3</v>
      </c>
      <c r="N181" s="3">
        <v>2.422185909950469E-3</v>
      </c>
      <c r="O181" s="3">
        <v>0</v>
      </c>
      <c r="P181" s="3">
        <v>1.5779424135701881E-2</v>
      </c>
      <c r="Q181" s="3">
        <v>0</v>
      </c>
      <c r="R181" s="3">
        <v>0.80002162742200866</v>
      </c>
      <c r="S181" s="3">
        <v>0.23199942195491091</v>
      </c>
      <c r="T181" s="3">
        <v>-0.1392971468266794</v>
      </c>
      <c r="U181" s="3">
        <v>0.84661614157401077</v>
      </c>
      <c r="V181" s="3">
        <v>1.9080352824229421</v>
      </c>
      <c r="W181" s="3">
        <v>0.92496754948665183</v>
      </c>
      <c r="X181" s="3">
        <v>2.0355879684616278</v>
      </c>
      <c r="Y181" s="3">
        <v>0.86882627973104842</v>
      </c>
    </row>
    <row r="182" spans="1:25" x14ac:dyDescent="0.25">
      <c r="A182" s="2">
        <v>42978</v>
      </c>
      <c r="B182" s="3">
        <v>3.296863980043474E-3</v>
      </c>
      <c r="C182" s="3">
        <v>-4.0954422402858508E-2</v>
      </c>
      <c r="D182" s="3">
        <v>1.881645751336947E-2</v>
      </c>
      <c r="E182" s="3">
        <v>8.3709526236803722E-3</v>
      </c>
      <c r="F182" s="3">
        <v>4.455549265622194E-3</v>
      </c>
      <c r="G182" s="3">
        <v>1.055524144503683E-2</v>
      </c>
      <c r="H182" s="3">
        <v>1</v>
      </c>
      <c r="I182" s="3">
        <v>-1</v>
      </c>
      <c r="J182" s="3">
        <v>1.881645751336947E-2</v>
      </c>
      <c r="K182" s="3">
        <v>0</v>
      </c>
      <c r="L182" s="3">
        <v>-8.3709526236803722E-3</v>
      </c>
      <c r="M182" s="3">
        <v>0</v>
      </c>
      <c r="N182" s="3">
        <v>0</v>
      </c>
      <c r="O182" s="3">
        <v>-4.455549265622194E-3</v>
      </c>
      <c r="P182" s="3">
        <v>0</v>
      </c>
      <c r="Q182" s="3">
        <v>1.055524144503683E-2</v>
      </c>
      <c r="R182" s="3">
        <v>0.83389165789754127</v>
      </c>
      <c r="S182" s="3">
        <v>0.23199942195491091</v>
      </c>
      <c r="T182" s="3">
        <v>-0.14650204963365979</v>
      </c>
      <c r="U182" s="3">
        <v>0.84661614157401077</v>
      </c>
      <c r="V182" s="3">
        <v>1.9080352824229421</v>
      </c>
      <c r="W182" s="3">
        <v>0.91639076173519007</v>
      </c>
      <c r="X182" s="3">
        <v>2.0355879684616278</v>
      </c>
      <c r="Y182" s="3">
        <v>0.88855219233243976</v>
      </c>
    </row>
    <row r="183" spans="1:25" x14ac:dyDescent="0.25">
      <c r="A183" s="2">
        <v>43008</v>
      </c>
      <c r="B183" s="3">
        <v>2.0068944698953369E-2</v>
      </c>
      <c r="C183" s="3">
        <v>2.457586581285642E-2</v>
      </c>
      <c r="D183" s="3">
        <v>7.167059343528237E-3</v>
      </c>
      <c r="E183" s="3">
        <v>-1.1333286988345679E-2</v>
      </c>
      <c r="F183" s="3">
        <v>-3.6504674057774582E-3</v>
      </c>
      <c r="G183" s="3">
        <v>1.0144643553741121E-2</v>
      </c>
      <c r="H183" s="3">
        <v>-1</v>
      </c>
      <c r="I183" s="3">
        <v>1</v>
      </c>
      <c r="J183" s="3">
        <v>0</v>
      </c>
      <c r="K183" s="3">
        <v>-7.167059343528237E-3</v>
      </c>
      <c r="L183" s="3">
        <v>0</v>
      </c>
      <c r="M183" s="3">
        <v>-1.1333286988345679E-2</v>
      </c>
      <c r="N183" s="3">
        <v>-3.6504674057774582E-3</v>
      </c>
      <c r="O183" s="3">
        <v>0</v>
      </c>
      <c r="P183" s="3">
        <v>-1.0144643553741121E-2</v>
      </c>
      <c r="Q183" s="3">
        <v>0</v>
      </c>
      <c r="R183" s="3">
        <v>0.83389165789754127</v>
      </c>
      <c r="S183" s="3">
        <v>0.2231696089865676</v>
      </c>
      <c r="T183" s="3">
        <v>-0.14650204963365979</v>
      </c>
      <c r="U183" s="3">
        <v>0.82568791088424098</v>
      </c>
      <c r="V183" s="3">
        <v>1.8974195944096059</v>
      </c>
      <c r="W183" s="3">
        <v>0.91639076173519007</v>
      </c>
      <c r="X183" s="3">
        <v>2.0047930105455598</v>
      </c>
      <c r="Y183" s="3">
        <v>0.88855219233243976</v>
      </c>
    </row>
    <row r="184" spans="1:25" x14ac:dyDescent="0.25">
      <c r="A184" s="2">
        <v>43039</v>
      </c>
      <c r="B184" s="3">
        <v>2.3407833912125309E-2</v>
      </c>
      <c r="C184" s="3">
        <v>2.730081228103531E-2</v>
      </c>
      <c r="D184" s="3">
        <v>2.193891755438715E-4</v>
      </c>
      <c r="E184" s="3">
        <v>3.9698714313306516E-3</v>
      </c>
      <c r="F184" s="3">
        <v>1.245161094374958E-2</v>
      </c>
      <c r="G184" s="3">
        <v>-7.3868833536336886E-3</v>
      </c>
      <c r="H184" s="3">
        <v>-1</v>
      </c>
      <c r="I184" s="3">
        <v>1</v>
      </c>
      <c r="J184" s="3">
        <v>0</v>
      </c>
      <c r="K184" s="3">
        <v>-2.193891755438715E-4</v>
      </c>
      <c r="L184" s="3">
        <v>0</v>
      </c>
      <c r="M184" s="3">
        <v>3.9698714313306516E-3</v>
      </c>
      <c r="N184" s="3">
        <v>1.245161094374958E-2</v>
      </c>
      <c r="O184" s="3">
        <v>0</v>
      </c>
      <c r="P184" s="3">
        <v>7.3868833536336886E-3</v>
      </c>
      <c r="Q184" s="3">
        <v>0</v>
      </c>
      <c r="R184" s="3">
        <v>0.83389165789754127</v>
      </c>
      <c r="S184" s="3">
        <v>0.2229012588145016</v>
      </c>
      <c r="T184" s="3">
        <v>-0.14650204963365979</v>
      </c>
      <c r="U184" s="3">
        <v>0.83293565716418638</v>
      </c>
      <c r="V184" s="3">
        <v>1.9334971359399911</v>
      </c>
      <c r="W184" s="3">
        <v>0.91639076173519007</v>
      </c>
      <c r="X184" s="3">
        <v>2.0269890660162742</v>
      </c>
      <c r="Y184" s="3">
        <v>0.88855219233243976</v>
      </c>
    </row>
    <row r="185" spans="1:25" x14ac:dyDescent="0.25">
      <c r="A185" s="2">
        <v>43069</v>
      </c>
      <c r="B185" s="3">
        <v>3.0295555283787249E-2</v>
      </c>
      <c r="C185" s="3">
        <v>-9.5044876724021954E-3</v>
      </c>
      <c r="D185" s="3">
        <v>1.9217223044843631E-2</v>
      </c>
      <c r="E185" s="3">
        <v>-1.279860870699512E-2</v>
      </c>
      <c r="F185" s="3">
        <v>5.9016073455988582E-3</v>
      </c>
      <c r="G185" s="3">
        <v>1.951790191136404E-2</v>
      </c>
      <c r="H185" s="3">
        <v>1</v>
      </c>
      <c r="I185" s="3">
        <v>-1</v>
      </c>
      <c r="J185" s="3">
        <v>1.9217223044843631E-2</v>
      </c>
      <c r="K185" s="3">
        <v>0</v>
      </c>
      <c r="L185" s="3">
        <v>1.279860870699512E-2</v>
      </c>
      <c r="M185" s="3">
        <v>0</v>
      </c>
      <c r="N185" s="3">
        <v>0</v>
      </c>
      <c r="O185" s="3">
        <v>-5.9016073455988582E-3</v>
      </c>
      <c r="P185" s="3">
        <v>0</v>
      </c>
      <c r="Q185" s="3">
        <v>1.951790191136404E-2</v>
      </c>
      <c r="R185" s="3">
        <v>0.86913396292743661</v>
      </c>
      <c r="S185" s="3">
        <v>0.2229012588145016</v>
      </c>
      <c r="T185" s="3">
        <v>-0.13557846333469861</v>
      </c>
      <c r="U185" s="3">
        <v>0.83293565716418638</v>
      </c>
      <c r="V185" s="3">
        <v>1.9334971359399911</v>
      </c>
      <c r="W185" s="3">
        <v>0.90508097593869596</v>
      </c>
      <c r="X185" s="3">
        <v>2.0269890660162742</v>
      </c>
      <c r="Y185" s="3">
        <v>0.92541276877687584</v>
      </c>
    </row>
    <row r="186" spans="1:25" x14ac:dyDescent="0.25">
      <c r="A186" s="2">
        <v>43100</v>
      </c>
      <c r="B186" s="3">
        <v>1.2172573352669301E-2</v>
      </c>
      <c r="C186" s="3">
        <v>1.447793820384957E-2</v>
      </c>
      <c r="D186" s="3">
        <v>-2.684050661438508E-3</v>
      </c>
      <c r="E186" s="3">
        <v>1.8066906212518389E-2</v>
      </c>
      <c r="F186" s="3">
        <v>-3.5393812835619039E-3</v>
      </c>
      <c r="G186" s="3">
        <v>1.4570375316430569E-2</v>
      </c>
      <c r="H186" s="3">
        <v>-1</v>
      </c>
      <c r="I186" s="3">
        <v>1</v>
      </c>
      <c r="J186" s="3">
        <v>0</v>
      </c>
      <c r="K186" s="3">
        <v>2.684050661438508E-3</v>
      </c>
      <c r="L186" s="3">
        <v>0</v>
      </c>
      <c r="M186" s="3">
        <v>1.8066906212518389E-2</v>
      </c>
      <c r="N186" s="3">
        <v>-3.5393812835619039E-3</v>
      </c>
      <c r="O186" s="3">
        <v>0</v>
      </c>
      <c r="P186" s="3">
        <v>-1.4570375316430569E-2</v>
      </c>
      <c r="Q186" s="3">
        <v>0</v>
      </c>
      <c r="R186" s="3">
        <v>0.86913396292743661</v>
      </c>
      <c r="S186" s="3">
        <v>0.2261835877470966</v>
      </c>
      <c r="T186" s="3">
        <v>-0.13557846333469861</v>
      </c>
      <c r="U186" s="3">
        <v>0.8660511337757526</v>
      </c>
      <c r="V186" s="3">
        <v>1.9231143710816629</v>
      </c>
      <c r="W186" s="3">
        <v>0.90508097593869596</v>
      </c>
      <c r="X186" s="3">
        <v>1.982884699245685</v>
      </c>
      <c r="Y186" s="3">
        <v>0.92541276877687584</v>
      </c>
    </row>
    <row r="187" spans="1:25" x14ac:dyDescent="0.25">
      <c r="A187" s="2">
        <v>43131</v>
      </c>
      <c r="B187" s="3">
        <v>5.5197505771217181E-2</v>
      </c>
      <c r="C187" s="3">
        <v>8.4866588513795249E-2</v>
      </c>
      <c r="D187" s="3">
        <v>-4.7768488691620759E-3</v>
      </c>
      <c r="E187" s="3">
        <v>-7.8391154135976082E-3</v>
      </c>
      <c r="F187" s="3">
        <v>2.6190117239973439E-2</v>
      </c>
      <c r="G187" s="3">
        <v>-9.6684529502695238E-3</v>
      </c>
      <c r="H187" s="3">
        <v>-1</v>
      </c>
      <c r="I187" s="3">
        <v>1</v>
      </c>
      <c r="J187" s="3">
        <v>0</v>
      </c>
      <c r="K187" s="3">
        <v>4.7768488691620759E-3</v>
      </c>
      <c r="L187" s="3">
        <v>0</v>
      </c>
      <c r="M187" s="3">
        <v>-7.8391154135976082E-3</v>
      </c>
      <c r="N187" s="3">
        <v>2.6190117239973439E-2</v>
      </c>
      <c r="O187" s="3">
        <v>0</v>
      </c>
      <c r="P187" s="3">
        <v>9.6684529502695238E-3</v>
      </c>
      <c r="Q187" s="3">
        <v>0</v>
      </c>
      <c r="R187" s="3">
        <v>0.86913396292743661</v>
      </c>
      <c r="S187" s="3">
        <v>0.2320408814316115</v>
      </c>
      <c r="T187" s="3">
        <v>-0.13557846333469861</v>
      </c>
      <c r="U187" s="3">
        <v>0.85142294357040971</v>
      </c>
      <c r="V187" s="3">
        <v>1.999671079166143</v>
      </c>
      <c r="W187" s="3">
        <v>0.90508097593869596</v>
      </c>
      <c r="X187" s="3">
        <v>2.0117245796164211</v>
      </c>
      <c r="Y187" s="3">
        <v>0.92541276877687584</v>
      </c>
    </row>
    <row r="188" spans="1:25" x14ac:dyDescent="0.25">
      <c r="A188" s="2">
        <v>43159</v>
      </c>
      <c r="B188" s="3">
        <v>-3.4221024989470772E-2</v>
      </c>
      <c r="C188" s="3">
        <v>5.3372291768538638E-3</v>
      </c>
      <c r="D188" s="3">
        <v>4.9348990450710506E-3</v>
      </c>
      <c r="E188" s="3">
        <v>1.4138225338044321E-2</v>
      </c>
      <c r="F188" s="3">
        <v>-5.0450225316479358E-2</v>
      </c>
      <c r="G188" s="3">
        <v>-3.0038631146913412E-2</v>
      </c>
      <c r="H188" s="3">
        <v>-1</v>
      </c>
      <c r="I188" s="3">
        <v>1</v>
      </c>
      <c r="J188" s="3">
        <v>0</v>
      </c>
      <c r="K188" s="3">
        <v>-4.9348990450710506E-3</v>
      </c>
      <c r="L188" s="3">
        <v>0</v>
      </c>
      <c r="M188" s="3">
        <v>1.4138225338044321E-2</v>
      </c>
      <c r="N188" s="3">
        <v>-5.0450225316479358E-2</v>
      </c>
      <c r="O188" s="3">
        <v>0</v>
      </c>
      <c r="P188" s="3">
        <v>3.0038631146913412E-2</v>
      </c>
      <c r="Q188" s="3">
        <v>0</v>
      </c>
      <c r="R188" s="3">
        <v>0.86913396292743661</v>
      </c>
      <c r="S188" s="3">
        <v>0.22596088406234621</v>
      </c>
      <c r="T188" s="3">
        <v>-0.13557846333469861</v>
      </c>
      <c r="U188" s="3">
        <v>0.87759877834263333</v>
      </c>
      <c r="V188" s="3">
        <v>1.8483369973468839</v>
      </c>
      <c r="W188" s="3">
        <v>0.90508097593869596</v>
      </c>
      <c r="X188" s="3">
        <v>2.1021926633796109</v>
      </c>
      <c r="Y188" s="3">
        <v>0.92541276877687584</v>
      </c>
    </row>
    <row r="189" spans="1:25" x14ac:dyDescent="0.25">
      <c r="A189" s="2">
        <v>43190</v>
      </c>
      <c r="B189" s="3">
        <v>-2.6162757059043921E-2</v>
      </c>
      <c r="C189" s="3">
        <v>-4.9985737052521406E-3</v>
      </c>
      <c r="D189" s="3">
        <v>-2.614142638745931E-2</v>
      </c>
      <c r="E189" s="3">
        <v>2.3533935951319359E-2</v>
      </c>
      <c r="F189" s="3">
        <v>4.3407840047611224E-3</v>
      </c>
      <c r="G189" s="3">
        <v>-4.1749436957544406E-3</v>
      </c>
      <c r="H189" s="3">
        <v>1</v>
      </c>
      <c r="I189" s="3">
        <v>-1</v>
      </c>
      <c r="J189" s="3">
        <v>-2.614142638745931E-2</v>
      </c>
      <c r="K189" s="3">
        <v>0</v>
      </c>
      <c r="L189" s="3">
        <v>-2.3533935951319359E-2</v>
      </c>
      <c r="M189" s="3">
        <v>0</v>
      </c>
      <c r="N189" s="3">
        <v>0</v>
      </c>
      <c r="O189" s="3">
        <v>-4.3407840047611224E-3</v>
      </c>
      <c r="P189" s="3">
        <v>0</v>
      </c>
      <c r="Q189" s="3">
        <v>-4.1749436957544406E-3</v>
      </c>
      <c r="R189" s="3">
        <v>0.82027213502726903</v>
      </c>
      <c r="S189" s="3">
        <v>0.22596088406234621</v>
      </c>
      <c r="T189" s="3">
        <v>-0.1559217044135208</v>
      </c>
      <c r="U189" s="3">
        <v>0.87759877834263333</v>
      </c>
      <c r="V189" s="3">
        <v>1.8483369973468839</v>
      </c>
      <c r="W189" s="3">
        <v>0.89681143091056659</v>
      </c>
      <c r="X189" s="3">
        <v>2.1021926633796109</v>
      </c>
      <c r="Y189" s="3">
        <v>0.91737427887614564</v>
      </c>
    </row>
    <row r="190" spans="1:25" x14ac:dyDescent="0.25">
      <c r="A190" s="2">
        <v>43220</v>
      </c>
      <c r="B190" s="3">
        <v>6.3198581860668401E-3</v>
      </c>
      <c r="C190" s="3">
        <v>4.0286906779038678E-2</v>
      </c>
      <c r="D190" s="3">
        <v>-7.7317379237020756E-3</v>
      </c>
      <c r="E190" s="3">
        <v>5.4768203381645453E-3</v>
      </c>
      <c r="F190" s="3">
        <v>-1.2462415784600391E-2</v>
      </c>
      <c r="G190" s="3">
        <v>-4.327940115126605E-3</v>
      </c>
      <c r="H190" s="3">
        <v>-1</v>
      </c>
      <c r="I190" s="3">
        <v>1</v>
      </c>
      <c r="J190" s="3">
        <v>0</v>
      </c>
      <c r="K190" s="3">
        <v>7.7317379237020756E-3</v>
      </c>
      <c r="L190" s="3">
        <v>0</v>
      </c>
      <c r="M190" s="3">
        <v>5.4768203381645453E-3</v>
      </c>
      <c r="N190" s="3">
        <v>-1.2462415784600391E-2</v>
      </c>
      <c r="O190" s="3">
        <v>0</v>
      </c>
      <c r="P190" s="3">
        <v>4.327940115126605E-3</v>
      </c>
      <c r="Q190" s="3">
        <v>0</v>
      </c>
      <c r="R190" s="3">
        <v>0.82027213502726903</v>
      </c>
      <c r="S190" s="3">
        <v>0.23543969232262629</v>
      </c>
      <c r="T190" s="3">
        <v>-0.1559217044135208</v>
      </c>
      <c r="U190" s="3">
        <v>0.88788204951877314</v>
      </c>
      <c r="V190" s="3">
        <v>1.8128398373912871</v>
      </c>
      <c r="W190" s="3">
        <v>0.89681143091056659</v>
      </c>
      <c r="X190" s="3">
        <v>2.115618767452303</v>
      </c>
      <c r="Y190" s="3">
        <v>0.91737427887614564</v>
      </c>
    </row>
    <row r="191" spans="1:25" x14ac:dyDescent="0.25">
      <c r="A191" s="2">
        <v>43251</v>
      </c>
      <c r="B191" s="3">
        <v>2.4478663632028219E-2</v>
      </c>
      <c r="C191" s="3">
        <v>4.6293632530270079E-2</v>
      </c>
      <c r="D191" s="3">
        <v>-8.7426857512382661E-3</v>
      </c>
      <c r="E191" s="3">
        <v>3.3466983087111823E-2</v>
      </c>
      <c r="F191" s="3">
        <v>9.1854419778543139E-3</v>
      </c>
      <c r="G191" s="3">
        <v>-3.0041168796779433E-4</v>
      </c>
      <c r="H191" s="3">
        <v>-1</v>
      </c>
      <c r="I191" s="3">
        <v>1</v>
      </c>
      <c r="J191" s="3">
        <v>0</v>
      </c>
      <c r="K191" s="3">
        <v>8.7426857512382661E-3</v>
      </c>
      <c r="L191" s="3">
        <v>0</v>
      </c>
      <c r="M191" s="3">
        <v>3.3466983087111823E-2</v>
      </c>
      <c r="N191" s="3">
        <v>9.1854419778543139E-3</v>
      </c>
      <c r="O191" s="3">
        <v>0</v>
      </c>
      <c r="P191" s="3">
        <v>3.0041168796779433E-4</v>
      </c>
      <c r="Q191" s="3">
        <v>0</v>
      </c>
      <c r="R191" s="3">
        <v>0.82027213502726903</v>
      </c>
      <c r="S191" s="3">
        <v>0.24624075331720949</v>
      </c>
      <c r="T191" s="3">
        <v>-0.1559217044135208</v>
      </c>
      <c r="U191" s="3">
        <v>0.95106376614048016</v>
      </c>
      <c r="V191" s="3">
        <v>1.8386770145106419</v>
      </c>
      <c r="W191" s="3">
        <v>0.89681143091056659</v>
      </c>
      <c r="X191" s="3">
        <v>2.1165547357452978</v>
      </c>
      <c r="Y191" s="3">
        <v>0.91737427887614564</v>
      </c>
    </row>
    <row r="192" spans="1:25" x14ac:dyDescent="0.25">
      <c r="A192" s="2">
        <v>43281</v>
      </c>
      <c r="B192" s="3">
        <v>6.0242485414668812E-3</v>
      </c>
      <c r="C192" s="3">
        <v>1.979856702358207E-2</v>
      </c>
      <c r="D192" s="3">
        <v>-1.0702673738423599E-2</v>
      </c>
      <c r="E192" s="3">
        <v>9.7956194287381892E-3</v>
      </c>
      <c r="F192" s="3">
        <v>2.3549091331538929E-2</v>
      </c>
      <c r="G192" s="3">
        <v>-8.5892400708371675E-3</v>
      </c>
      <c r="H192" s="3">
        <v>-1</v>
      </c>
      <c r="I192" s="3">
        <v>1</v>
      </c>
      <c r="J192" s="3">
        <v>0</v>
      </c>
      <c r="K192" s="3">
        <v>1.0702673738423599E-2</v>
      </c>
      <c r="L192" s="3">
        <v>0</v>
      </c>
      <c r="M192" s="3">
        <v>9.7956194287381892E-3</v>
      </c>
      <c r="N192" s="3">
        <v>2.3549091331538929E-2</v>
      </c>
      <c r="O192" s="3">
        <v>0</v>
      </c>
      <c r="P192" s="3">
        <v>8.5892400708371675E-3</v>
      </c>
      <c r="Q192" s="3">
        <v>0</v>
      </c>
      <c r="R192" s="3">
        <v>0.82027213502726903</v>
      </c>
      <c r="S192" s="3">
        <v>0.25957886149949072</v>
      </c>
      <c r="T192" s="3">
        <v>-0.1559217044135208</v>
      </c>
      <c r="U192" s="3">
        <v>0.97017564427479264</v>
      </c>
      <c r="V192" s="3">
        <v>1.905525278786093</v>
      </c>
      <c r="W192" s="3">
        <v>0.89681143091056659</v>
      </c>
      <c r="X192" s="3">
        <v>2.143323572564519</v>
      </c>
      <c r="Y192" s="3">
        <v>0.91737427887614564</v>
      </c>
    </row>
    <row r="193" spans="1:25" x14ac:dyDescent="0.25">
      <c r="A193" s="2">
        <v>43312</v>
      </c>
      <c r="B193" s="3">
        <v>3.6689448047909967E-2</v>
      </c>
      <c r="C193" s="3">
        <v>5.0390125203472858E-2</v>
      </c>
      <c r="D193" s="3">
        <v>4.1249499591863303E-3</v>
      </c>
      <c r="E193" s="3">
        <v>3.6302414884181729E-3</v>
      </c>
      <c r="F193" s="3">
        <v>2.422713309976943E-2</v>
      </c>
      <c r="G193" s="3">
        <v>4.2759679326009881E-3</v>
      </c>
      <c r="H193" s="3">
        <v>-1</v>
      </c>
      <c r="I193" s="3">
        <v>1</v>
      </c>
      <c r="J193" s="3">
        <v>0</v>
      </c>
      <c r="K193" s="3">
        <v>-4.1249499591863303E-3</v>
      </c>
      <c r="L193" s="3">
        <v>0</v>
      </c>
      <c r="M193" s="3">
        <v>3.6302414884181729E-3</v>
      </c>
      <c r="N193" s="3">
        <v>2.422713309976943E-2</v>
      </c>
      <c r="O193" s="3">
        <v>0</v>
      </c>
      <c r="P193" s="3">
        <v>-4.2759679326009881E-3</v>
      </c>
      <c r="Q193" s="3">
        <v>0</v>
      </c>
      <c r="R193" s="3">
        <v>0.82027213502726903</v>
      </c>
      <c r="S193" s="3">
        <v>0.25438316172615649</v>
      </c>
      <c r="T193" s="3">
        <v>-0.1559217044135208</v>
      </c>
      <c r="U193" s="3">
        <v>0.97732785763810992</v>
      </c>
      <c r="V193" s="3">
        <v>1.9759178264399879</v>
      </c>
      <c r="W193" s="3">
        <v>0.89681143091056659</v>
      </c>
      <c r="X193" s="3">
        <v>2.1298828217664449</v>
      </c>
      <c r="Y193" s="3">
        <v>0.91737427887614564</v>
      </c>
    </row>
    <row r="194" spans="1:25" x14ac:dyDescent="0.25">
      <c r="A194" s="2">
        <v>43343</v>
      </c>
      <c r="B194" s="3">
        <v>3.1654151354783673E-2</v>
      </c>
      <c r="C194" s="3">
        <v>1.468422353689713E-3</v>
      </c>
      <c r="D194" s="3">
        <v>1.384241672078068E-2</v>
      </c>
      <c r="E194" s="3">
        <v>-3.083366266992682E-3</v>
      </c>
      <c r="F194" s="3">
        <v>1.503092515773119E-2</v>
      </c>
      <c r="G194" s="3">
        <v>-6.3484577693526667E-3</v>
      </c>
      <c r="H194" s="3">
        <v>-1</v>
      </c>
      <c r="I194" s="3">
        <v>1</v>
      </c>
      <c r="J194" s="3">
        <v>0</v>
      </c>
      <c r="K194" s="3">
        <v>-1.384241672078068E-2</v>
      </c>
      <c r="L194" s="3">
        <v>0</v>
      </c>
      <c r="M194" s="3">
        <v>-3.083366266992682E-3</v>
      </c>
      <c r="N194" s="3">
        <v>1.503092515773119E-2</v>
      </c>
      <c r="O194" s="3">
        <v>0</v>
      </c>
      <c r="P194" s="3">
        <v>6.3484577693526667E-3</v>
      </c>
      <c r="Q194" s="3">
        <v>0</v>
      </c>
      <c r="R194" s="3">
        <v>0.82027213502726903</v>
      </c>
      <c r="S194" s="3">
        <v>0.23701946727401271</v>
      </c>
      <c r="T194" s="3">
        <v>-0.1559217044135208</v>
      </c>
      <c r="U194" s="3">
        <v>0.97123103162308366</v>
      </c>
      <c r="V194" s="3">
        <v>2.0206486245647648</v>
      </c>
      <c r="W194" s="3">
        <v>0.89681143091056659</v>
      </c>
      <c r="X194" s="3">
        <v>2.1497527506834508</v>
      </c>
      <c r="Y194" s="3">
        <v>0.91737427887614564</v>
      </c>
    </row>
    <row r="195" spans="1:25" x14ac:dyDescent="0.25">
      <c r="A195" s="2">
        <v>43373</v>
      </c>
      <c r="B195" s="3">
        <v>6.0403479379402816E-3</v>
      </c>
      <c r="C195" s="3">
        <v>3.9938812120805189E-2</v>
      </c>
      <c r="D195" s="3">
        <v>-1.022165794899776E-3</v>
      </c>
      <c r="E195" s="3">
        <v>4.0449028920563901E-3</v>
      </c>
      <c r="F195" s="3">
        <v>-7.6292289923624024E-3</v>
      </c>
      <c r="G195" s="3">
        <v>-9.5687625810060295E-3</v>
      </c>
      <c r="H195" s="3">
        <v>-1</v>
      </c>
      <c r="I195" s="3">
        <v>1</v>
      </c>
      <c r="J195" s="3">
        <v>0</v>
      </c>
      <c r="K195" s="3">
        <v>1.022165794899776E-3</v>
      </c>
      <c r="L195" s="3">
        <v>0</v>
      </c>
      <c r="M195" s="3">
        <v>4.0449028920563901E-3</v>
      </c>
      <c r="N195" s="3">
        <v>-7.6292289923624024E-3</v>
      </c>
      <c r="O195" s="3">
        <v>0</v>
      </c>
      <c r="P195" s="3">
        <v>9.5687625810060295E-3</v>
      </c>
      <c r="Q195" s="3">
        <v>0</v>
      </c>
      <c r="R195" s="3">
        <v>0.82027213502726903</v>
      </c>
      <c r="S195" s="3">
        <v>0.2382839062610855</v>
      </c>
      <c r="T195" s="3">
        <v>-0.1559217044135208</v>
      </c>
      <c r="U195" s="3">
        <v>0.97920446972380715</v>
      </c>
      <c r="V195" s="3">
        <v>1.997603404502496</v>
      </c>
      <c r="W195" s="3">
        <v>0.89681143091056659</v>
      </c>
      <c r="X195" s="3">
        <v>2.1798919869436122</v>
      </c>
      <c r="Y195" s="3">
        <v>0.91737427887614564</v>
      </c>
    </row>
    <row r="196" spans="1:25" x14ac:dyDescent="0.25">
      <c r="A196" s="2">
        <v>43404</v>
      </c>
      <c r="B196" s="3">
        <v>-6.9355599990299166E-2</v>
      </c>
      <c r="C196" s="3">
        <v>-2.1613414383916171E-2</v>
      </c>
      <c r="D196" s="3">
        <v>-1.9565860199816539E-2</v>
      </c>
      <c r="E196" s="3">
        <v>-1.0549571909219679E-3</v>
      </c>
      <c r="F196" s="3">
        <v>-9.972428664419053E-3</v>
      </c>
      <c r="G196" s="3">
        <v>-3.4248455284707102E-2</v>
      </c>
      <c r="H196" s="3">
        <v>1</v>
      </c>
      <c r="I196" s="3">
        <v>-1</v>
      </c>
      <c r="J196" s="3">
        <v>-1.9565860199816539E-2</v>
      </c>
      <c r="K196" s="3">
        <v>0</v>
      </c>
      <c r="L196" s="3">
        <v>1.0549571909219679E-3</v>
      </c>
      <c r="M196" s="3">
        <v>0</v>
      </c>
      <c r="N196" s="3">
        <v>0</v>
      </c>
      <c r="O196" s="3">
        <v>9.972428664419053E-3</v>
      </c>
      <c r="P196" s="3">
        <v>0</v>
      </c>
      <c r="Q196" s="3">
        <v>-3.4248455284707102E-2</v>
      </c>
      <c r="R196" s="3">
        <v>0.78465694490770388</v>
      </c>
      <c r="S196" s="3">
        <v>0.2382839062610855</v>
      </c>
      <c r="T196" s="3">
        <v>-0.15503123794589069</v>
      </c>
      <c r="U196" s="3">
        <v>0.97920446972380715</v>
      </c>
      <c r="V196" s="3">
        <v>1.997603404502496</v>
      </c>
      <c r="W196" s="3">
        <v>0.91572724759517654</v>
      </c>
      <c r="X196" s="3">
        <v>2.1798919869436122</v>
      </c>
      <c r="Y196" s="3">
        <v>0.85170717162200837</v>
      </c>
    </row>
    <row r="197" spans="1:25" x14ac:dyDescent="0.25">
      <c r="A197" s="2">
        <v>43434</v>
      </c>
      <c r="B197" s="3">
        <v>1.9786020643163701E-2</v>
      </c>
      <c r="C197" s="3">
        <v>-3.5159032241133592E-2</v>
      </c>
      <c r="D197" s="3">
        <v>3.9765357876150209E-2</v>
      </c>
      <c r="E197" s="3">
        <v>2.7220614333197668E-3</v>
      </c>
      <c r="F197" s="3">
        <v>3.7972286865275207E-2</v>
      </c>
      <c r="G197" s="3">
        <v>-6.8654694088188251E-3</v>
      </c>
      <c r="H197" s="3">
        <v>1</v>
      </c>
      <c r="I197" s="3">
        <v>-1</v>
      </c>
      <c r="J197" s="3">
        <v>3.9765357876150209E-2</v>
      </c>
      <c r="K197" s="3">
        <v>0</v>
      </c>
      <c r="L197" s="3">
        <v>-2.7220614333197668E-3</v>
      </c>
      <c r="M197" s="3">
        <v>0</v>
      </c>
      <c r="N197" s="3">
        <v>0</v>
      </c>
      <c r="O197" s="3">
        <v>-3.7972286865275207E-2</v>
      </c>
      <c r="P197" s="3">
        <v>0</v>
      </c>
      <c r="Q197" s="3">
        <v>-6.8654694088188251E-3</v>
      </c>
      <c r="R197" s="3">
        <v>0.85562446700811545</v>
      </c>
      <c r="S197" s="3">
        <v>0.2382839062610855</v>
      </c>
      <c r="T197" s="3">
        <v>-0.1573312948254382</v>
      </c>
      <c r="U197" s="3">
        <v>0.97920446972380715</v>
      </c>
      <c r="V197" s="3">
        <v>1.997603404502496</v>
      </c>
      <c r="W197" s="3">
        <v>0.84298270299386835</v>
      </c>
      <c r="X197" s="3">
        <v>2.1798919869436122</v>
      </c>
      <c r="Y197" s="3">
        <v>0.83899433268114709</v>
      </c>
    </row>
    <row r="198" spans="1:25" x14ac:dyDescent="0.25">
      <c r="A198" s="2">
        <v>43465</v>
      </c>
      <c r="B198" s="3">
        <v>-8.876804478823519E-2</v>
      </c>
      <c r="C198" s="3">
        <v>-0.21009756224730419</v>
      </c>
      <c r="D198" s="3">
        <v>6.5670978029300109E-2</v>
      </c>
      <c r="E198" s="3">
        <v>1.665228791986606E-3</v>
      </c>
      <c r="F198" s="3">
        <v>-4.2016967764705537E-2</v>
      </c>
      <c r="G198" s="3">
        <v>3.298160828040575E-2</v>
      </c>
      <c r="H198" s="3">
        <v>1</v>
      </c>
      <c r="I198" s="3">
        <v>-1</v>
      </c>
      <c r="J198" s="3">
        <v>6.5670978029300109E-2</v>
      </c>
      <c r="K198" s="3">
        <v>0</v>
      </c>
      <c r="L198" s="3">
        <v>-1.665228791986606E-3</v>
      </c>
      <c r="M198" s="3">
        <v>0</v>
      </c>
      <c r="N198" s="3">
        <v>0</v>
      </c>
      <c r="O198" s="3">
        <v>4.2016967764705537E-2</v>
      </c>
      <c r="P198" s="3">
        <v>0</v>
      </c>
      <c r="Q198" s="3">
        <v>3.298160828040575E-2</v>
      </c>
      <c r="R198" s="3">
        <v>0.97748514061163716</v>
      </c>
      <c r="S198" s="3">
        <v>0.2382839062610855</v>
      </c>
      <c r="T198" s="3">
        <v>-0.15873453101540089</v>
      </c>
      <c r="U198" s="3">
        <v>0.97920446972380715</v>
      </c>
      <c r="V198" s="3">
        <v>1.997603404502496</v>
      </c>
      <c r="W198" s="3">
        <v>0.92041924781647166</v>
      </c>
      <c r="X198" s="3">
        <v>2.1798919869436122</v>
      </c>
      <c r="Y198" s="3">
        <v>0.89964732339152276</v>
      </c>
    </row>
    <row r="199" spans="1:25" x14ac:dyDescent="0.25">
      <c r="A199" s="2">
        <v>43496</v>
      </c>
      <c r="B199" s="3">
        <v>7.8477863324115549E-2</v>
      </c>
      <c r="C199" s="3">
        <v>6.3406323287588662E-2</v>
      </c>
      <c r="D199" s="3">
        <v>2.4679088983681319E-2</v>
      </c>
      <c r="E199" s="3">
        <v>1.370363427656851E-2</v>
      </c>
      <c r="F199" s="3">
        <v>2.795312810651018E-2</v>
      </c>
      <c r="G199" s="3">
        <v>-5.0502147545883336E-4</v>
      </c>
      <c r="H199" s="3">
        <v>-1</v>
      </c>
      <c r="I199" s="3">
        <v>1</v>
      </c>
      <c r="J199" s="3">
        <v>0</v>
      </c>
      <c r="K199" s="3">
        <v>-2.4679088983681319E-2</v>
      </c>
      <c r="L199" s="3">
        <v>0</v>
      </c>
      <c r="M199" s="3">
        <v>1.370363427656851E-2</v>
      </c>
      <c r="N199" s="3">
        <v>2.795312810651018E-2</v>
      </c>
      <c r="O199" s="3">
        <v>0</v>
      </c>
      <c r="P199" s="3">
        <v>5.0502147545883336E-4</v>
      </c>
      <c r="Q199" s="3">
        <v>0</v>
      </c>
      <c r="R199" s="3">
        <v>0.97748514061163716</v>
      </c>
      <c r="S199" s="3">
        <v>0.20772418755140781</v>
      </c>
      <c r="T199" s="3">
        <v>-0.15873453101540089</v>
      </c>
      <c r="U199" s="3">
        <v>1.0063267639354521</v>
      </c>
      <c r="V199" s="3">
        <v>2.0813957964810661</v>
      </c>
      <c r="W199" s="3">
        <v>0.92041924781647166</v>
      </c>
      <c r="X199" s="3">
        <v>2.1814979006866579</v>
      </c>
      <c r="Y199" s="3">
        <v>0.89964732339152276</v>
      </c>
    </row>
    <row r="200" spans="1:25" x14ac:dyDescent="0.25">
      <c r="A200" s="2">
        <v>43524</v>
      </c>
      <c r="B200" s="3">
        <v>3.2163128643397432E-2</v>
      </c>
      <c r="C200" s="3">
        <v>3.4666822954542931E-2</v>
      </c>
      <c r="D200" s="3">
        <v>-1.6465142304405991E-3</v>
      </c>
      <c r="E200" s="3">
        <v>-1.2745077998026041E-2</v>
      </c>
      <c r="F200" s="3">
        <v>8.5774159900697811E-4</v>
      </c>
      <c r="G200" s="3">
        <v>1.168756182317376E-3</v>
      </c>
      <c r="H200" s="3">
        <v>-1</v>
      </c>
      <c r="I200" s="3">
        <v>1</v>
      </c>
      <c r="J200" s="3">
        <v>0</v>
      </c>
      <c r="K200" s="3">
        <v>1.6465142304405991E-3</v>
      </c>
      <c r="L200" s="3">
        <v>0</v>
      </c>
      <c r="M200" s="3">
        <v>-1.2745077998026041E-2</v>
      </c>
      <c r="N200" s="3">
        <v>8.5774159900697811E-4</v>
      </c>
      <c r="O200" s="3">
        <v>0</v>
      </c>
      <c r="P200" s="3">
        <v>-1.168756182317376E-3</v>
      </c>
      <c r="Q200" s="3">
        <v>0</v>
      </c>
      <c r="R200" s="3">
        <v>0.97748514061163716</v>
      </c>
      <c r="S200" s="3">
        <v>0.2097127226126583</v>
      </c>
      <c r="T200" s="3">
        <v>-0.15873453101540089</v>
      </c>
      <c r="U200" s="3">
        <v>0.98075597283956784</v>
      </c>
      <c r="V200" s="3">
        <v>2.0840388378387131</v>
      </c>
      <c r="W200" s="3">
        <v>0.92041924781647166</v>
      </c>
      <c r="X200" s="3">
        <v>2.177779505346201</v>
      </c>
      <c r="Y200" s="3">
        <v>0.89964732339152276</v>
      </c>
    </row>
    <row r="201" spans="1:25" x14ac:dyDescent="0.25">
      <c r="A201" s="2">
        <v>43555</v>
      </c>
      <c r="B201" s="3">
        <v>1.8497413309849439E-2</v>
      </c>
      <c r="C201" s="3">
        <v>-3.0478258755661791E-4</v>
      </c>
      <c r="D201" s="3">
        <v>-7.6775009336615962E-3</v>
      </c>
      <c r="E201" s="3">
        <v>2.8159997743356199E-2</v>
      </c>
      <c r="F201" s="3">
        <v>-1.3175994232670241E-2</v>
      </c>
      <c r="G201" s="3">
        <v>1.084128621617819E-2</v>
      </c>
      <c r="H201" s="3">
        <v>1</v>
      </c>
      <c r="I201" s="3">
        <v>-1</v>
      </c>
      <c r="J201" s="3">
        <v>-7.6775009336615962E-3</v>
      </c>
      <c r="K201" s="3">
        <v>0</v>
      </c>
      <c r="L201" s="3">
        <v>-2.8159997743356199E-2</v>
      </c>
      <c r="M201" s="3">
        <v>0</v>
      </c>
      <c r="N201" s="3">
        <v>0</v>
      </c>
      <c r="O201" s="3">
        <v>1.3175994232670241E-2</v>
      </c>
      <c r="P201" s="3">
        <v>0</v>
      </c>
      <c r="Q201" s="3">
        <v>1.084128621617819E-2</v>
      </c>
      <c r="R201" s="3">
        <v>0.96230299659828944</v>
      </c>
      <c r="S201" s="3">
        <v>0.2097127226126583</v>
      </c>
      <c r="T201" s="3">
        <v>-0.18242456472357069</v>
      </c>
      <c r="U201" s="3">
        <v>0.98075597283956784</v>
      </c>
      <c r="V201" s="3">
        <v>2.0840388378387131</v>
      </c>
      <c r="W201" s="3">
        <v>0.94572268075001054</v>
      </c>
      <c r="X201" s="3">
        <v>2.177779505346201</v>
      </c>
      <c r="Y201" s="3">
        <v>0.92024194373420709</v>
      </c>
    </row>
    <row r="202" spans="1:25" x14ac:dyDescent="0.25">
      <c r="A202" s="2">
        <v>43585</v>
      </c>
      <c r="B202" s="3">
        <v>4.022910002614577E-2</v>
      </c>
      <c r="C202" s="3">
        <v>5.80946684423298E-2</v>
      </c>
      <c r="D202" s="3">
        <v>1.289128697066344E-2</v>
      </c>
      <c r="E202" s="3">
        <v>1.097202901847827E-2</v>
      </c>
      <c r="F202" s="3">
        <v>2.1416531864592029E-2</v>
      </c>
      <c r="G202" s="3">
        <v>-1.6897632107284118E-2</v>
      </c>
      <c r="H202" s="3">
        <v>-1</v>
      </c>
      <c r="I202" s="3">
        <v>1</v>
      </c>
      <c r="J202" s="3">
        <v>0</v>
      </c>
      <c r="K202" s="3">
        <v>-1.289128697066344E-2</v>
      </c>
      <c r="L202" s="3">
        <v>0</v>
      </c>
      <c r="M202" s="3">
        <v>1.097202901847827E-2</v>
      </c>
      <c r="N202" s="3">
        <v>2.1416531864592029E-2</v>
      </c>
      <c r="O202" s="3">
        <v>0</v>
      </c>
      <c r="P202" s="3">
        <v>1.6897632107284118E-2</v>
      </c>
      <c r="Q202" s="3">
        <v>0</v>
      </c>
      <c r="R202" s="3">
        <v>0.96230299659828944</v>
      </c>
      <c r="S202" s="3">
        <v>0.19411796875339579</v>
      </c>
      <c r="T202" s="3">
        <v>-0.18242456472357069</v>
      </c>
      <c r="U202" s="3">
        <v>1.0024888848520881</v>
      </c>
      <c r="V202" s="3">
        <v>2.1500882538809249</v>
      </c>
      <c r="W202" s="3">
        <v>0.94572268075001054</v>
      </c>
      <c r="X202" s="3">
        <v>2.231476454345608</v>
      </c>
      <c r="Y202" s="3">
        <v>0.92024194373420709</v>
      </c>
    </row>
    <row r="203" spans="1:25" x14ac:dyDescent="0.25">
      <c r="A203" s="2">
        <v>43616</v>
      </c>
      <c r="B203" s="3">
        <v>-6.4900535039930651E-2</v>
      </c>
      <c r="C203" s="3">
        <v>-4.2450379879334421E-2</v>
      </c>
      <c r="D203" s="3">
        <v>-3.9777298492171931E-2</v>
      </c>
      <c r="E203" s="3">
        <v>4.9193013332440312E-2</v>
      </c>
      <c r="F203" s="3">
        <v>-2.0702510937061661E-2</v>
      </c>
      <c r="G203" s="3">
        <v>1.261242077015823E-2</v>
      </c>
      <c r="H203" s="3">
        <v>1</v>
      </c>
      <c r="I203" s="3">
        <v>-1</v>
      </c>
      <c r="J203" s="3">
        <v>-3.9777298492171931E-2</v>
      </c>
      <c r="K203" s="3">
        <v>0</v>
      </c>
      <c r="L203" s="3">
        <v>-4.9193013332440312E-2</v>
      </c>
      <c r="M203" s="3">
        <v>0</v>
      </c>
      <c r="N203" s="3">
        <v>0</v>
      </c>
      <c r="O203" s="3">
        <v>2.0702510937061661E-2</v>
      </c>
      <c r="P203" s="3">
        <v>0</v>
      </c>
      <c r="Q203" s="3">
        <v>1.261242077015823E-2</v>
      </c>
      <c r="R203" s="3">
        <v>0.88424788457051573</v>
      </c>
      <c r="S203" s="3">
        <v>0.19411796875339579</v>
      </c>
      <c r="T203" s="3">
        <v>-0.22264356401139981</v>
      </c>
      <c r="U203" s="3">
        <v>1.0024888848520881</v>
      </c>
      <c r="V203" s="3">
        <v>2.1500882538809249</v>
      </c>
      <c r="W203" s="3">
        <v>0.98600402582872637</v>
      </c>
      <c r="X203" s="3">
        <v>2.231476454345608</v>
      </c>
      <c r="Y203" s="3">
        <v>0.94446084310908929</v>
      </c>
    </row>
    <row r="204" spans="1:25" x14ac:dyDescent="0.25">
      <c r="A204" s="2">
        <v>43646</v>
      </c>
      <c r="B204" s="3">
        <v>6.7809559916481188E-2</v>
      </c>
      <c r="C204" s="3">
        <v>7.1856404167711219E-2</v>
      </c>
      <c r="D204" s="3">
        <v>-3.3379097351032838E-3</v>
      </c>
      <c r="E204" s="3">
        <v>1.0523227866968691E-2</v>
      </c>
      <c r="F204" s="3">
        <v>4.4335469129145648E-2</v>
      </c>
      <c r="G204" s="3">
        <v>1.5134522010047391E-3</v>
      </c>
      <c r="H204" s="3">
        <v>-1</v>
      </c>
      <c r="I204" s="3">
        <v>1</v>
      </c>
      <c r="J204" s="3">
        <v>0</v>
      </c>
      <c r="K204" s="3">
        <v>3.3379097351032838E-3</v>
      </c>
      <c r="L204" s="3">
        <v>0</v>
      </c>
      <c r="M204" s="3">
        <v>1.0523227866968691E-2</v>
      </c>
      <c r="N204" s="3">
        <v>4.4335469129145648E-2</v>
      </c>
      <c r="O204" s="3">
        <v>0</v>
      </c>
      <c r="P204" s="3">
        <v>-1.5134522010047391E-3</v>
      </c>
      <c r="Q204" s="3">
        <v>0</v>
      </c>
      <c r="R204" s="3">
        <v>0.88424788457051573</v>
      </c>
      <c r="S204" s="3">
        <v>0.1981038267461597</v>
      </c>
      <c r="T204" s="3">
        <v>-0.22264356401139981</v>
      </c>
      <c r="U204" s="3">
        <v>1.0235615316884581</v>
      </c>
      <c r="V204" s="3">
        <v>2.2897488944149469</v>
      </c>
      <c r="W204" s="3">
        <v>0.98600402582872637</v>
      </c>
      <c r="X204" s="3">
        <v>2.2265857691932829</v>
      </c>
      <c r="Y204" s="3">
        <v>0.94446084310908929</v>
      </c>
    </row>
    <row r="205" spans="1:25" x14ac:dyDescent="0.25">
      <c r="A205" s="2">
        <v>43677</v>
      </c>
      <c r="B205" s="3">
        <v>1.531198526276034E-2</v>
      </c>
      <c r="C205" s="3">
        <v>2.1031804612019919E-2</v>
      </c>
      <c r="D205" s="3">
        <v>-1.443573565183764E-3</v>
      </c>
      <c r="E205" s="3">
        <v>7.2478625999795598E-3</v>
      </c>
      <c r="F205" s="3">
        <v>1.3044934737677981E-2</v>
      </c>
      <c r="G205" s="3">
        <v>6.0000338676602372E-4</v>
      </c>
      <c r="H205" s="3">
        <v>-1</v>
      </c>
      <c r="I205" s="3">
        <v>1</v>
      </c>
      <c r="J205" s="3">
        <v>0</v>
      </c>
      <c r="K205" s="3">
        <v>1.443573565183764E-3</v>
      </c>
      <c r="L205" s="3">
        <v>0</v>
      </c>
      <c r="M205" s="3">
        <v>7.2478625999795598E-3</v>
      </c>
      <c r="N205" s="3">
        <v>1.3044934737677981E-2</v>
      </c>
      <c r="O205" s="3">
        <v>0</v>
      </c>
      <c r="P205" s="3">
        <v>-6.0000338676602372E-4</v>
      </c>
      <c r="Q205" s="3">
        <v>0</v>
      </c>
      <c r="R205" s="3">
        <v>0.88424788457051573</v>
      </c>
      <c r="S205" s="3">
        <v>0.1998333777587962</v>
      </c>
      <c r="T205" s="3">
        <v>-0.22264356401139981</v>
      </c>
      <c r="U205" s="3">
        <v>1.03822802763274</v>
      </c>
      <c r="V205" s="3">
        <v>2.3326634540459379</v>
      </c>
      <c r="W205" s="3">
        <v>0.98600402582872637</v>
      </c>
      <c r="X205" s="3">
        <v>2.2246498068040759</v>
      </c>
      <c r="Y205" s="3">
        <v>0.94446084310908929</v>
      </c>
    </row>
    <row r="206" spans="1:25" x14ac:dyDescent="0.25">
      <c r="A206" s="2">
        <v>43708</v>
      </c>
      <c r="B206" s="3">
        <v>-1.4650220970612641E-2</v>
      </c>
      <c r="C206" s="3">
        <v>-0.1024857275970298</v>
      </c>
      <c r="D206" s="3">
        <v>5.0980487890783799E-4</v>
      </c>
      <c r="E206" s="3">
        <v>1.8930834210054811E-2</v>
      </c>
      <c r="F206" s="3">
        <v>-3.1696753529331101E-2</v>
      </c>
      <c r="G206" s="3">
        <v>5.4740510342202953E-2</v>
      </c>
      <c r="H206" s="3">
        <v>1</v>
      </c>
      <c r="I206" s="3">
        <v>-1</v>
      </c>
      <c r="J206" s="3">
        <v>5.0980487890783799E-4</v>
      </c>
      <c r="K206" s="3">
        <v>0</v>
      </c>
      <c r="L206" s="3">
        <v>-1.8930834210054811E-2</v>
      </c>
      <c r="M206" s="3">
        <v>0</v>
      </c>
      <c r="N206" s="3">
        <v>0</v>
      </c>
      <c r="O206" s="3">
        <v>3.1696753529331101E-2</v>
      </c>
      <c r="P206" s="3">
        <v>0</v>
      </c>
      <c r="Q206" s="3">
        <v>5.4740510342202953E-2</v>
      </c>
      <c r="R206" s="3">
        <v>0.88520848333514146</v>
      </c>
      <c r="S206" s="3">
        <v>0.1998333777587962</v>
      </c>
      <c r="T206" s="3">
        <v>-0.23735956982321921</v>
      </c>
      <c r="U206" s="3">
        <v>1.03822802763274</v>
      </c>
      <c r="V206" s="3">
        <v>2.3326634540459379</v>
      </c>
      <c r="W206" s="3">
        <v>1.048953905943679</v>
      </c>
      <c r="X206" s="3">
        <v>2.2246498068040759</v>
      </c>
      <c r="Y206" s="3">
        <v>1.050901622001311</v>
      </c>
    </row>
    <row r="207" spans="1:25" x14ac:dyDescent="0.25">
      <c r="A207" s="2">
        <v>43738</v>
      </c>
      <c r="B207" s="3">
        <v>1.9560809596153809E-2</v>
      </c>
      <c r="C207" s="3">
        <v>5.9095975181095439E-2</v>
      </c>
      <c r="D207" s="3">
        <v>-4.7647888406363581E-3</v>
      </c>
      <c r="E207" s="3">
        <v>8.7693753540281083E-3</v>
      </c>
      <c r="F207" s="3">
        <v>1.9633639981526011E-2</v>
      </c>
      <c r="G207" s="3">
        <v>-2.5974298577638218E-2</v>
      </c>
      <c r="H207" s="3">
        <v>-1</v>
      </c>
      <c r="I207" s="3">
        <v>1</v>
      </c>
      <c r="J207" s="3">
        <v>0</v>
      </c>
      <c r="K207" s="3">
        <v>4.7647888406363581E-3</v>
      </c>
      <c r="L207" s="3">
        <v>0</v>
      </c>
      <c r="M207" s="3">
        <v>8.7693753540281083E-3</v>
      </c>
      <c r="N207" s="3">
        <v>1.9633639981526011E-2</v>
      </c>
      <c r="O207" s="3">
        <v>0</v>
      </c>
      <c r="P207" s="3">
        <v>2.5974298577638218E-2</v>
      </c>
      <c r="Q207" s="3">
        <v>0</v>
      </c>
      <c r="R207" s="3">
        <v>0.88520848333514146</v>
      </c>
      <c r="S207" s="3">
        <v>0.20555033044776441</v>
      </c>
      <c r="T207" s="3">
        <v>-0.23735956982321921</v>
      </c>
      <c r="U207" s="3">
        <v>1.056102014264152</v>
      </c>
      <c r="V207" s="3">
        <v>2.398095768482265</v>
      </c>
      <c r="W207" s="3">
        <v>1.048953905943679</v>
      </c>
      <c r="X207" s="3">
        <v>2.3084078236943291</v>
      </c>
      <c r="Y207" s="3">
        <v>1.050901622001311</v>
      </c>
    </row>
    <row r="208" spans="1:25" x14ac:dyDescent="0.25">
      <c r="A208" s="2">
        <v>43769</v>
      </c>
      <c r="B208" s="3">
        <v>2.2600156259069859E-2</v>
      </c>
      <c r="C208" s="3">
        <v>4.1601271935308937E-2</v>
      </c>
      <c r="D208" s="3">
        <v>1.111559473856516E-2</v>
      </c>
      <c r="E208" s="3">
        <v>1.964362600631242E-2</v>
      </c>
      <c r="F208" s="3">
        <v>-1.214930903610045E-2</v>
      </c>
      <c r="G208" s="3">
        <v>1.367078415579337E-2</v>
      </c>
      <c r="H208" s="3">
        <v>-1</v>
      </c>
      <c r="I208" s="3">
        <v>1</v>
      </c>
      <c r="J208" s="3">
        <v>0</v>
      </c>
      <c r="K208" s="3">
        <v>-1.111559473856516E-2</v>
      </c>
      <c r="L208" s="3">
        <v>0</v>
      </c>
      <c r="M208" s="3">
        <v>1.964362600631242E-2</v>
      </c>
      <c r="N208" s="3">
        <v>-1.214930903610045E-2</v>
      </c>
      <c r="O208" s="3">
        <v>0</v>
      </c>
      <c r="P208" s="3">
        <v>-1.367078415579337E-2</v>
      </c>
      <c r="Q208" s="3">
        <v>0</v>
      </c>
      <c r="R208" s="3">
        <v>0.88520848333514146</v>
      </c>
      <c r="S208" s="3">
        <v>0.19214992153756369</v>
      </c>
      <c r="T208" s="3">
        <v>-0.23735956982321921</v>
      </c>
      <c r="U208" s="3">
        <v>1.0964913132631819</v>
      </c>
      <c r="V208" s="3">
        <v>2.3568112528567089</v>
      </c>
      <c r="W208" s="3">
        <v>1.048953905943679</v>
      </c>
      <c r="X208" s="3">
        <v>2.2631792944372662</v>
      </c>
      <c r="Y208" s="3">
        <v>1.050901622001311</v>
      </c>
    </row>
    <row r="209" spans="1:25" x14ac:dyDescent="0.25">
      <c r="A209" s="2">
        <v>43799</v>
      </c>
      <c r="B209" s="3">
        <v>3.5710311334607447E-2</v>
      </c>
      <c r="C209" s="3">
        <v>3.1255233164173453E-2</v>
      </c>
      <c r="D209" s="3">
        <v>1.298870838894761E-2</v>
      </c>
      <c r="E209" s="3">
        <v>5.0260869589040516E-3</v>
      </c>
      <c r="F209" s="3">
        <v>1.5920361882569511E-2</v>
      </c>
      <c r="G209" s="3">
        <v>-3.9552994156765831E-2</v>
      </c>
      <c r="H209" s="3">
        <v>-1</v>
      </c>
      <c r="I209" s="3">
        <v>1</v>
      </c>
      <c r="J209" s="3">
        <v>0</v>
      </c>
      <c r="K209" s="3">
        <v>-1.298870838894761E-2</v>
      </c>
      <c r="L209" s="3">
        <v>0</v>
      </c>
      <c r="M209" s="3">
        <v>5.0260869589040516E-3</v>
      </c>
      <c r="N209" s="3">
        <v>1.5920361882569511E-2</v>
      </c>
      <c r="O209" s="3">
        <v>0</v>
      </c>
      <c r="P209" s="3">
        <v>3.9552994156765831E-2</v>
      </c>
      <c r="Q209" s="3">
        <v>0</v>
      </c>
      <c r="R209" s="3">
        <v>0.88520848333514146</v>
      </c>
      <c r="S209" s="3">
        <v>0.1766654338508056</v>
      </c>
      <c r="T209" s="3">
        <v>-0.23735956982321921</v>
      </c>
      <c r="U209" s="3">
        <v>1.1070284609122301</v>
      </c>
      <c r="V209" s="3">
        <v>2.410252902773669</v>
      </c>
      <c r="W209" s="3">
        <v>1.048953905943679</v>
      </c>
      <c r="X209" s="3">
        <v>2.3922478060026222</v>
      </c>
      <c r="Y209" s="3">
        <v>1.050901622001311</v>
      </c>
    </row>
    <row r="210" spans="1:25" x14ac:dyDescent="0.25">
      <c r="A210" s="2">
        <v>43830</v>
      </c>
      <c r="B210" s="3">
        <v>2.8884121059525088E-2</v>
      </c>
      <c r="C210" s="3">
        <v>4.8534382688916078E-2</v>
      </c>
      <c r="D210" s="3">
        <v>3.5505141666207769E-3</v>
      </c>
      <c r="E210" s="3">
        <v>-8.5350082398718552E-3</v>
      </c>
      <c r="F210" s="3">
        <v>1.90127107638749E-3</v>
      </c>
      <c r="G210" s="3">
        <v>-1.274933186002403E-2</v>
      </c>
      <c r="H210" s="3">
        <v>-1</v>
      </c>
      <c r="I210" s="3">
        <v>1</v>
      </c>
      <c r="J210" s="3">
        <v>0</v>
      </c>
      <c r="K210" s="3">
        <v>-3.5505141666207769E-3</v>
      </c>
      <c r="L210" s="3">
        <v>0</v>
      </c>
      <c r="M210" s="3">
        <v>-8.5350082398718552E-3</v>
      </c>
      <c r="N210" s="3">
        <v>1.90127107638749E-3</v>
      </c>
      <c r="O210" s="3">
        <v>0</v>
      </c>
      <c r="P210" s="3">
        <v>1.274933186002403E-2</v>
      </c>
      <c r="Q210" s="3">
        <v>0</v>
      </c>
      <c r="R210" s="3">
        <v>0.88520848333514146</v>
      </c>
      <c r="S210" s="3">
        <v>0.17248766655854531</v>
      </c>
      <c r="T210" s="3">
        <v>-0.23735956982321921</v>
      </c>
      <c r="U210" s="3">
        <v>1.0890449556366999</v>
      </c>
      <c r="V210" s="3">
        <v>2.416736717980879</v>
      </c>
      <c r="W210" s="3">
        <v>1.048953905943679</v>
      </c>
      <c r="X210" s="3">
        <v>2.4354966990327882</v>
      </c>
      <c r="Y210" s="3">
        <v>1.050901622001311</v>
      </c>
    </row>
    <row r="211" spans="1:25" x14ac:dyDescent="0.25">
      <c r="A211" s="2">
        <v>43861</v>
      </c>
      <c r="B211" s="3">
        <v>1.8643019383723919E-4</v>
      </c>
      <c r="C211" s="3">
        <v>-9.5848106034888136E-3</v>
      </c>
      <c r="D211" s="3">
        <v>-3.0181905349989099E-2</v>
      </c>
      <c r="E211" s="3">
        <v>3.4859122061615573E-2</v>
      </c>
      <c r="F211" s="3">
        <v>8.11244222753571E-3</v>
      </c>
      <c r="G211" s="3">
        <v>9.4877725430972948E-3</v>
      </c>
      <c r="H211" s="3">
        <v>1</v>
      </c>
      <c r="I211" s="3">
        <v>-1</v>
      </c>
      <c r="J211" s="3">
        <v>-3.0181905349989099E-2</v>
      </c>
      <c r="K211" s="3">
        <v>0</v>
      </c>
      <c r="L211" s="3">
        <v>-3.4859122061615573E-2</v>
      </c>
      <c r="M211" s="3">
        <v>0</v>
      </c>
      <c r="N211" s="3">
        <v>0</v>
      </c>
      <c r="O211" s="3">
        <v>-8.11244222753571E-3</v>
      </c>
      <c r="P211" s="3">
        <v>0</v>
      </c>
      <c r="Q211" s="3">
        <v>9.4877725430972948E-3</v>
      </c>
      <c r="R211" s="3">
        <v>0.82830929932612363</v>
      </c>
      <c r="S211" s="3">
        <v>0.17248766655854531</v>
      </c>
      <c r="T211" s="3">
        <v>-0.26394454566787451</v>
      </c>
      <c r="U211" s="3">
        <v>1.0890449556366999</v>
      </c>
      <c r="V211" s="3">
        <v>2.416736717980879</v>
      </c>
      <c r="W211" s="3">
        <v>1.0323318857548269</v>
      </c>
      <c r="X211" s="3">
        <v>2.4354966990327882</v>
      </c>
      <c r="Y211" s="3">
        <v>1.0703601100991289</v>
      </c>
    </row>
    <row r="212" spans="1:25" x14ac:dyDescent="0.25">
      <c r="A212" s="2">
        <v>43890</v>
      </c>
      <c r="B212" s="3">
        <v>-8.0031978540537674E-2</v>
      </c>
      <c r="C212" s="3">
        <v>-2.8470788163523771E-2</v>
      </c>
      <c r="D212" s="3">
        <v>-8.3093597846239931E-2</v>
      </c>
      <c r="E212" s="3">
        <v>3.346116331645399E-2</v>
      </c>
      <c r="F212" s="3">
        <v>3.2252837933199219E-2</v>
      </c>
      <c r="G212" s="3">
        <v>-8.2271112991950668E-3</v>
      </c>
      <c r="H212" s="3">
        <v>1</v>
      </c>
      <c r="I212" s="3">
        <v>-1</v>
      </c>
      <c r="J212" s="3">
        <v>-8.3093597846239931E-2</v>
      </c>
      <c r="K212" s="3">
        <v>0</v>
      </c>
      <c r="L212" s="3">
        <v>-3.346116331645399E-2</v>
      </c>
      <c r="M212" s="3">
        <v>0</v>
      </c>
      <c r="N212" s="3">
        <v>0</v>
      </c>
      <c r="O212" s="3">
        <v>-3.2252837933199219E-2</v>
      </c>
      <c r="P212" s="3">
        <v>0</v>
      </c>
      <c r="Q212" s="3">
        <v>-8.2271112991950668E-3</v>
      </c>
      <c r="R212" s="3">
        <v>0.67638850166937803</v>
      </c>
      <c r="S212" s="3">
        <v>0.17248766655854531</v>
      </c>
      <c r="T212" s="3">
        <v>-0.28857381743524851</v>
      </c>
      <c r="U212" s="3">
        <v>1.0890449556366999</v>
      </c>
      <c r="V212" s="3">
        <v>2.416736717980879</v>
      </c>
      <c r="W212" s="3">
        <v>0.96678341481710328</v>
      </c>
      <c r="X212" s="3">
        <v>2.4354966990327882</v>
      </c>
      <c r="Y212" s="3">
        <v>1.0533270270439301</v>
      </c>
    </row>
    <row r="213" spans="1:25" x14ac:dyDescent="0.25">
      <c r="A213" s="2">
        <v>43921</v>
      </c>
      <c r="B213" s="3">
        <v>-9.9208615895557406E-2</v>
      </c>
      <c r="C213" s="3">
        <v>-0.26660492598388269</v>
      </c>
      <c r="D213" s="3">
        <v>0.12617978193348631</v>
      </c>
      <c r="E213" s="3">
        <v>3.5592549517646122E-2</v>
      </c>
      <c r="F213" s="3">
        <v>6.9341975167750416E-3</v>
      </c>
      <c r="G213" s="3">
        <v>7.4484464230769931E-2</v>
      </c>
      <c r="H213" s="3">
        <v>1</v>
      </c>
      <c r="I213" s="3">
        <v>-1</v>
      </c>
      <c r="J213" s="3">
        <v>0.12617978193348631</v>
      </c>
      <c r="K213" s="3">
        <v>0</v>
      </c>
      <c r="L213" s="3">
        <v>-3.5592549517646122E-2</v>
      </c>
      <c r="M213" s="3">
        <v>0</v>
      </c>
      <c r="N213" s="3">
        <v>0</v>
      </c>
      <c r="O213" s="3">
        <v>-6.9341975167750416E-3</v>
      </c>
      <c r="P213" s="3">
        <v>0</v>
      </c>
      <c r="Q213" s="3">
        <v>7.4484464230769931E-2</v>
      </c>
      <c r="R213" s="3">
        <v>0.88791483724582432</v>
      </c>
      <c r="S213" s="3">
        <v>0.17248766655854531</v>
      </c>
      <c r="T213" s="3">
        <v>-0.31389528906633429</v>
      </c>
      <c r="U213" s="3">
        <v>1.0890449556366999</v>
      </c>
      <c r="V213" s="3">
        <v>2.416736717980879</v>
      </c>
      <c r="W213" s="3">
        <v>0.95314535014604429</v>
      </c>
      <c r="X213" s="3">
        <v>2.4354966990327882</v>
      </c>
      <c r="Y213" s="3">
        <v>1.206267990543856</v>
      </c>
    </row>
    <row r="214" spans="1:25" x14ac:dyDescent="0.25">
      <c r="A214" s="2">
        <v>43951</v>
      </c>
      <c r="B214" s="3">
        <v>0.126310504459171</v>
      </c>
      <c r="C214" s="3">
        <v>5.6074536276782161E-2</v>
      </c>
      <c r="D214" s="3">
        <v>4.0555052452686542E-2</v>
      </c>
      <c r="E214" s="3">
        <v>-1.631324156898151E-2</v>
      </c>
      <c r="F214" s="3">
        <v>3.180207258465606E-2</v>
      </c>
      <c r="G214" s="3">
        <v>9.6528054390255802E-3</v>
      </c>
      <c r="H214" s="3">
        <v>-1</v>
      </c>
      <c r="I214" s="3">
        <v>1</v>
      </c>
      <c r="J214" s="3">
        <v>0</v>
      </c>
      <c r="K214" s="3">
        <v>-4.0555052452686542E-2</v>
      </c>
      <c r="L214" s="3">
        <v>0</v>
      </c>
      <c r="M214" s="3">
        <v>-1.631324156898151E-2</v>
      </c>
      <c r="N214" s="3">
        <v>3.180207258465606E-2</v>
      </c>
      <c r="O214" s="3">
        <v>0</v>
      </c>
      <c r="P214" s="3">
        <v>-9.6528054390255802E-3</v>
      </c>
      <c r="Q214" s="3">
        <v>0</v>
      </c>
      <c r="R214" s="3">
        <v>0.88791483724582432</v>
      </c>
      <c r="S214" s="3">
        <v>0.1249373677411354</v>
      </c>
      <c r="T214" s="3">
        <v>-0.31389528906633429</v>
      </c>
      <c r="U214" s="3">
        <v>1.0549658606269361</v>
      </c>
      <c r="V214" s="3">
        <v>2.525396027088767</v>
      </c>
      <c r="W214" s="3">
        <v>0.95314535014604429</v>
      </c>
      <c r="X214" s="3">
        <v>2.4023345178106101</v>
      </c>
      <c r="Y214" s="3">
        <v>1.206267990543856</v>
      </c>
    </row>
    <row r="215" spans="1:25" x14ac:dyDescent="0.25">
      <c r="A215" s="2">
        <v>43982</v>
      </c>
      <c r="B215" s="3">
        <v>4.8492457448740867E-2</v>
      </c>
      <c r="C215" s="3">
        <v>2.780638010153336E-2</v>
      </c>
      <c r="D215" s="3">
        <v>3.1709691877851658E-2</v>
      </c>
      <c r="E215" s="3">
        <v>-5.7698702224406873E-3</v>
      </c>
      <c r="F215" s="3">
        <v>-9.187938711653687E-3</v>
      </c>
      <c r="G215" s="3">
        <v>-1.9707193819804569E-3</v>
      </c>
      <c r="H215" s="3">
        <v>-1</v>
      </c>
      <c r="I215" s="3">
        <v>1</v>
      </c>
      <c r="J215" s="3">
        <v>0</v>
      </c>
      <c r="K215" s="3">
        <v>-3.1709691877851658E-2</v>
      </c>
      <c r="L215" s="3">
        <v>0</v>
      </c>
      <c r="M215" s="3">
        <v>-5.7698702224406873E-3</v>
      </c>
      <c r="N215" s="3">
        <v>-9.187938711653687E-3</v>
      </c>
      <c r="O215" s="3">
        <v>0</v>
      </c>
      <c r="P215" s="3">
        <v>1.9707193819804569E-3</v>
      </c>
      <c r="Q215" s="3">
        <v>0</v>
      </c>
      <c r="R215" s="3">
        <v>0.88791483724582432</v>
      </c>
      <c r="S215" s="3">
        <v>8.9265950428182528E-2</v>
      </c>
      <c r="T215" s="3">
        <v>-0.31389528906633429</v>
      </c>
      <c r="U215" s="3">
        <v>1.0431089742995729</v>
      </c>
      <c r="V215" s="3">
        <v>2.4930049044575679</v>
      </c>
      <c r="W215" s="3">
        <v>0.95314535014604429</v>
      </c>
      <c r="X215" s="3">
        <v>2.40903956438884</v>
      </c>
      <c r="Y215" s="3">
        <v>1.206267990543856</v>
      </c>
    </row>
    <row r="216" spans="1:25" x14ac:dyDescent="0.25">
      <c r="A216" s="2">
        <v>44012</v>
      </c>
      <c r="B216" s="3">
        <v>2.1096443992250299E-2</v>
      </c>
      <c r="C216" s="3">
        <v>2.6350965131344939E-2</v>
      </c>
      <c r="D216" s="3">
        <v>-1.3536857649043549E-5</v>
      </c>
      <c r="E216" s="3">
        <v>9.5972348366977211E-3</v>
      </c>
      <c r="F216" s="3">
        <v>4.8632755252001843E-2</v>
      </c>
      <c r="G216" s="3">
        <v>-4.5267606382114689E-2</v>
      </c>
      <c r="H216" s="3">
        <v>-1</v>
      </c>
      <c r="I216" s="3">
        <v>1</v>
      </c>
      <c r="J216" s="3">
        <v>0</v>
      </c>
      <c r="K216" s="3">
        <v>1.3536857649043549E-5</v>
      </c>
      <c r="L216" s="3">
        <v>0</v>
      </c>
      <c r="M216" s="3">
        <v>9.5972348366977211E-3</v>
      </c>
      <c r="N216" s="3">
        <v>4.8632755252001843E-2</v>
      </c>
      <c r="O216" s="3">
        <v>0</v>
      </c>
      <c r="P216" s="3">
        <v>4.5267606382114689E-2</v>
      </c>
      <c r="Q216" s="3">
        <v>0</v>
      </c>
      <c r="R216" s="3">
        <v>0.88791483724582432</v>
      </c>
      <c r="S216" s="3">
        <v>8.9280695666295484E-2</v>
      </c>
      <c r="T216" s="3">
        <v>-0.31389528906633429</v>
      </c>
      <c r="U216" s="3">
        <v>1.06271717092289</v>
      </c>
      <c r="V216" s="3">
        <v>2.662879357070095</v>
      </c>
      <c r="W216" s="3">
        <v>0.95314535014604429</v>
      </c>
      <c r="X216" s="3">
        <v>2.56335862553065</v>
      </c>
      <c r="Y216" s="3">
        <v>1.206267990543856</v>
      </c>
    </row>
    <row r="217" spans="1:25" x14ac:dyDescent="0.25">
      <c r="A217" s="2">
        <v>44043</v>
      </c>
      <c r="B217" s="3">
        <v>5.8006490474260541E-2</v>
      </c>
      <c r="C217" s="3">
        <v>3.4056452921996772E-2</v>
      </c>
      <c r="D217" s="3">
        <v>-7.8893968287974126E-4</v>
      </c>
      <c r="E217" s="3">
        <v>1.9072067219333411E-2</v>
      </c>
      <c r="F217" s="3">
        <v>2.5284041206561251E-2</v>
      </c>
      <c r="G217" s="3">
        <v>5.063642183911754E-3</v>
      </c>
      <c r="H217" s="3">
        <v>-1</v>
      </c>
      <c r="I217" s="3">
        <v>1</v>
      </c>
      <c r="J217" s="3">
        <v>0</v>
      </c>
      <c r="K217" s="3">
        <v>7.8893968287974126E-4</v>
      </c>
      <c r="L217" s="3">
        <v>0</v>
      </c>
      <c r="M217" s="3">
        <v>1.9072067219333411E-2</v>
      </c>
      <c r="N217" s="3">
        <v>2.5284041206561251E-2</v>
      </c>
      <c r="O217" s="3">
        <v>0</v>
      </c>
      <c r="P217" s="3">
        <v>-5.063642183911754E-3</v>
      </c>
      <c r="Q217" s="3">
        <v>0</v>
      </c>
      <c r="R217" s="3">
        <v>0.88791483724582432</v>
      </c>
      <c r="S217" s="3">
        <v>9.0140072432901563E-2</v>
      </c>
      <c r="T217" s="3">
        <v>-0.31389528906633429</v>
      </c>
      <c r="U217" s="3">
        <v>1.1020574514612049</v>
      </c>
      <c r="V217" s="3">
        <v>2.7554917496689182</v>
      </c>
      <c r="W217" s="3">
        <v>0.95314535014604429</v>
      </c>
      <c r="X217" s="3">
        <v>2.5453150524780082</v>
      </c>
      <c r="Y217" s="3">
        <v>1.206267990543856</v>
      </c>
    </row>
    <row r="218" spans="1:25" x14ac:dyDescent="0.25">
      <c r="A218" s="2">
        <v>44074</v>
      </c>
      <c r="B218" s="3">
        <v>6.7842423473273739E-2</v>
      </c>
      <c r="C218" s="3">
        <v>6.6091588754028541E-2</v>
      </c>
      <c r="D218" s="3">
        <v>2.868182873117953E-2</v>
      </c>
      <c r="E218" s="3">
        <v>-2.4217194195798038E-2</v>
      </c>
      <c r="F218" s="3">
        <v>2.4428076274877201E-2</v>
      </c>
      <c r="G218" s="3">
        <v>-5.3254251532982577E-3</v>
      </c>
      <c r="H218" s="3">
        <v>-1</v>
      </c>
      <c r="I218" s="3">
        <v>1</v>
      </c>
      <c r="J218" s="3">
        <v>0</v>
      </c>
      <c r="K218" s="3">
        <v>-2.868182873117953E-2</v>
      </c>
      <c r="L218" s="3">
        <v>0</v>
      </c>
      <c r="M218" s="3">
        <v>-2.4217194195798038E-2</v>
      </c>
      <c r="N218" s="3">
        <v>2.4428076274877201E-2</v>
      </c>
      <c r="O218" s="3">
        <v>0</v>
      </c>
      <c r="P218" s="3">
        <v>5.3254251532982577E-3</v>
      </c>
      <c r="Q218" s="3">
        <v>0</v>
      </c>
      <c r="R218" s="3">
        <v>0.88791483724582432</v>
      </c>
      <c r="S218" s="3">
        <v>5.8872861582385472E-2</v>
      </c>
      <c r="T218" s="3">
        <v>-0.31389528906633429</v>
      </c>
      <c r="U218" s="3">
        <v>1.051151517948445</v>
      </c>
      <c r="V218" s="3">
        <v>2.8472311885795021</v>
      </c>
      <c r="W218" s="3">
        <v>0.95314535014604429</v>
      </c>
      <c r="X218" s="3">
        <v>2.564195362434841</v>
      </c>
      <c r="Y218" s="3">
        <v>1.206267990543856</v>
      </c>
    </row>
    <row r="219" spans="1:25" x14ac:dyDescent="0.25">
      <c r="A219" s="2">
        <v>44104</v>
      </c>
      <c r="B219" s="3">
        <v>-3.5738245654053147E-2</v>
      </c>
      <c r="C219" s="3">
        <v>-6.436155378332542E-2</v>
      </c>
      <c r="D219" s="3">
        <v>1.438660597176156E-2</v>
      </c>
      <c r="E219" s="3">
        <v>-6.1081477039377496E-3</v>
      </c>
      <c r="F219" s="3">
        <v>-4.6019518597495201E-2</v>
      </c>
      <c r="G219" s="3">
        <v>1.095631841648903E-2</v>
      </c>
      <c r="H219" s="3">
        <v>1</v>
      </c>
      <c r="I219" s="3">
        <v>-1</v>
      </c>
      <c r="J219" s="3">
        <v>1.438660597176156E-2</v>
      </c>
      <c r="K219" s="3">
        <v>0</v>
      </c>
      <c r="L219" s="3">
        <v>6.1081477039377496E-3</v>
      </c>
      <c r="M219" s="3">
        <v>0</v>
      </c>
      <c r="N219" s="3">
        <v>0</v>
      </c>
      <c r="O219" s="3">
        <v>4.6019518597495201E-2</v>
      </c>
      <c r="P219" s="3">
        <v>0</v>
      </c>
      <c r="Q219" s="3">
        <v>1.095631841648903E-2</v>
      </c>
      <c r="R219" s="3">
        <v>0.91507552411752258</v>
      </c>
      <c r="S219" s="3">
        <v>5.8872861582385472E-2</v>
      </c>
      <c r="T219" s="3">
        <v>-0.30970446015158398</v>
      </c>
      <c r="U219" s="3">
        <v>1.051151517948445</v>
      </c>
      <c r="V219" s="3">
        <v>2.8472311885795021</v>
      </c>
      <c r="W219" s="3">
        <v>1.043028158910702</v>
      </c>
      <c r="X219" s="3">
        <v>2.564195362434841</v>
      </c>
      <c r="Y219" s="3">
        <v>1.230440565160362</v>
      </c>
    </row>
    <row r="220" spans="1:25" x14ac:dyDescent="0.25">
      <c r="A220" s="2">
        <v>44135</v>
      </c>
      <c r="B220" s="3">
        <v>-2.3497382933356681E-2</v>
      </c>
      <c r="C220" s="3">
        <v>5.092770941263125E-2</v>
      </c>
      <c r="D220" s="3">
        <v>-4.7486812037732529E-2</v>
      </c>
      <c r="E220" s="3">
        <v>-6.910291253897638E-3</v>
      </c>
      <c r="F220" s="3">
        <v>1.7849761009080641E-2</v>
      </c>
      <c r="G220" s="3">
        <v>-2.352753315042477E-2</v>
      </c>
      <c r="H220" s="3">
        <v>-1</v>
      </c>
      <c r="I220" s="3">
        <v>1</v>
      </c>
      <c r="J220" s="3">
        <v>0</v>
      </c>
      <c r="K220" s="3">
        <v>4.7486812037732529E-2</v>
      </c>
      <c r="L220" s="3">
        <v>0</v>
      </c>
      <c r="M220" s="3">
        <v>-6.910291253897638E-3</v>
      </c>
      <c r="N220" s="3">
        <v>1.7849761009080641E-2</v>
      </c>
      <c r="O220" s="3">
        <v>0</v>
      </c>
      <c r="P220" s="3">
        <v>2.352753315042477E-2</v>
      </c>
      <c r="Q220" s="3">
        <v>0</v>
      </c>
      <c r="R220" s="3">
        <v>0.91507552411752258</v>
      </c>
      <c r="S220" s="3">
        <v>0.1091553581322042</v>
      </c>
      <c r="T220" s="3">
        <v>-0.30970446015158398</v>
      </c>
      <c r="U220" s="3">
        <v>1.036977463553546</v>
      </c>
      <c r="V220" s="3">
        <v>2.9159033458423269</v>
      </c>
      <c r="W220" s="3">
        <v>1.043028158910702</v>
      </c>
      <c r="X220" s="3">
        <v>2.648052086979118</v>
      </c>
      <c r="Y220" s="3">
        <v>1.230440565160362</v>
      </c>
    </row>
    <row r="221" spans="1:25" x14ac:dyDescent="0.25">
      <c r="A221" s="2">
        <v>44165</v>
      </c>
      <c r="B221" s="3">
        <v>0.1045149785385184</v>
      </c>
      <c r="C221" s="3">
        <v>5.8997230354724588E-2</v>
      </c>
      <c r="D221" s="3">
        <v>1.8924136897572889E-2</v>
      </c>
      <c r="E221" s="3">
        <v>-9.1551779984462289E-3</v>
      </c>
      <c r="F221" s="3">
        <v>7.0487854482300105E-2</v>
      </c>
      <c r="G221" s="3">
        <v>1.303454824658468E-2</v>
      </c>
      <c r="H221" s="3">
        <v>-1</v>
      </c>
      <c r="I221" s="3">
        <v>1</v>
      </c>
      <c r="J221" s="3">
        <v>0</v>
      </c>
      <c r="K221" s="3">
        <v>-1.8924136897572889E-2</v>
      </c>
      <c r="L221" s="3">
        <v>0</v>
      </c>
      <c r="M221" s="3">
        <v>-9.1551779984462289E-3</v>
      </c>
      <c r="N221" s="3">
        <v>7.0487854482300105E-2</v>
      </c>
      <c r="O221" s="3">
        <v>0</v>
      </c>
      <c r="P221" s="3">
        <v>-1.303454824658468E-2</v>
      </c>
      <c r="Q221" s="3">
        <v>0</v>
      </c>
      <c r="R221" s="3">
        <v>0.91507552411752258</v>
      </c>
      <c r="S221" s="3">
        <v>8.8165550294234007E-2</v>
      </c>
      <c r="T221" s="3">
        <v>-0.30970446015158398</v>
      </c>
      <c r="U221" s="3">
        <v>1.0183285722958899</v>
      </c>
      <c r="V221" s="3">
        <v>3.1919269710508131</v>
      </c>
      <c r="W221" s="3">
        <v>1.043028158910702</v>
      </c>
      <c r="X221" s="3">
        <v>2.6005013760453339</v>
      </c>
      <c r="Y221" s="3">
        <v>1.230440565160362</v>
      </c>
    </row>
    <row r="222" spans="1:25" x14ac:dyDescent="0.25">
      <c r="A222" s="2">
        <v>44196</v>
      </c>
      <c r="B222" s="3">
        <v>3.6718489045644558E-2</v>
      </c>
      <c r="C222" s="3">
        <v>3.7320319551863768E-2</v>
      </c>
      <c r="D222" s="3">
        <v>1.629442070574694E-2</v>
      </c>
      <c r="E222" s="3">
        <v>5.0066444661356346E-3</v>
      </c>
      <c r="F222" s="3">
        <v>1.9331532003547869E-2</v>
      </c>
      <c r="G222" s="3">
        <v>-2.026225005964288E-2</v>
      </c>
      <c r="H222" s="3">
        <v>-1</v>
      </c>
      <c r="I222" s="3">
        <v>1</v>
      </c>
      <c r="J222" s="3">
        <v>0</v>
      </c>
      <c r="K222" s="3">
        <v>-1.629442070574694E-2</v>
      </c>
      <c r="L222" s="3">
        <v>0</v>
      </c>
      <c r="M222" s="3">
        <v>5.0066444661356346E-3</v>
      </c>
      <c r="N222" s="3">
        <v>1.9331532003547869E-2</v>
      </c>
      <c r="O222" s="3">
        <v>0</v>
      </c>
      <c r="P222" s="3">
        <v>2.026225005964288E-2</v>
      </c>
      <c r="Q222" s="3">
        <v>0</v>
      </c>
      <c r="R222" s="3">
        <v>0.91507552411752258</v>
      </c>
      <c r="S222" s="3">
        <v>7.0434523020239226E-2</v>
      </c>
      <c r="T222" s="3">
        <v>-0.30970446015158398</v>
      </c>
      <c r="U222" s="3">
        <v>1.028433625873219</v>
      </c>
      <c r="V222" s="3">
        <v>3.2729633414482171</v>
      </c>
      <c r="W222" s="3">
        <v>1.043028158910702</v>
      </c>
      <c r="X222" s="3">
        <v>2.673455635266853</v>
      </c>
      <c r="Y222" s="3">
        <v>1.230440565160362</v>
      </c>
    </row>
    <row r="223" spans="1:25" x14ac:dyDescent="0.25">
      <c r="A223" s="2">
        <v>44227</v>
      </c>
      <c r="B223" s="3">
        <v>-9.2384273633747682E-3</v>
      </c>
      <c r="C223" s="3">
        <v>5.3751836288143402E-2</v>
      </c>
      <c r="D223" s="3">
        <v>-3.7420797550529288E-2</v>
      </c>
      <c r="E223" s="3">
        <v>-1.0888438323735211E-2</v>
      </c>
      <c r="F223" s="3">
        <v>1.9807007142237602E-2</v>
      </c>
      <c r="G223" s="3">
        <v>-4.1201676884807907E-2</v>
      </c>
      <c r="H223" s="3">
        <v>-1</v>
      </c>
      <c r="I223" s="3">
        <v>1</v>
      </c>
      <c r="J223" s="3">
        <v>0</v>
      </c>
      <c r="K223" s="3">
        <v>3.7420797550529288E-2</v>
      </c>
      <c r="L223" s="3">
        <v>0</v>
      </c>
      <c r="M223" s="3">
        <v>-1.0888438323735211E-2</v>
      </c>
      <c r="N223" s="3">
        <v>1.9807007142237602E-2</v>
      </c>
      <c r="O223" s="3">
        <v>0</v>
      </c>
      <c r="P223" s="3">
        <v>4.1201676884807907E-2</v>
      </c>
      <c r="Q223" s="3">
        <v>0</v>
      </c>
      <c r="R223" s="3">
        <v>0.91507552411752258</v>
      </c>
      <c r="S223" s="3">
        <v>0.1104910365972769</v>
      </c>
      <c r="T223" s="3">
        <v>-0.30970446015158398</v>
      </c>
      <c r="U223" s="3">
        <v>1.006347151444108</v>
      </c>
      <c r="V223" s="3">
        <v>3.357597956870801</v>
      </c>
      <c r="W223" s="3">
        <v>1.043028158910702</v>
      </c>
      <c r="X223" s="3">
        <v>2.8248081674017951</v>
      </c>
      <c r="Y223" s="3">
        <v>1.230440565160362</v>
      </c>
    </row>
    <row r="224" spans="1:25" x14ac:dyDescent="0.25">
      <c r="A224" s="2">
        <v>44255</v>
      </c>
      <c r="B224" s="3">
        <v>2.818390596188047E-2</v>
      </c>
      <c r="C224" s="3">
        <v>0.1103387643263298</v>
      </c>
      <c r="D224" s="3">
        <v>-1.7014920600174181E-2</v>
      </c>
      <c r="E224" s="3">
        <v>7.2849453633340167E-3</v>
      </c>
      <c r="F224" s="3">
        <v>4.6873709855445922E-2</v>
      </c>
      <c r="G224" s="3">
        <v>-2.520703810817615E-2</v>
      </c>
      <c r="H224" s="3">
        <v>-1</v>
      </c>
      <c r="I224" s="3">
        <v>1</v>
      </c>
      <c r="J224" s="3">
        <v>0</v>
      </c>
      <c r="K224" s="3">
        <v>1.7014920600174181E-2</v>
      </c>
      <c r="L224" s="3">
        <v>0</v>
      </c>
      <c r="M224" s="3">
        <v>7.2849453633340167E-3</v>
      </c>
      <c r="N224" s="3">
        <v>4.6873709855445922E-2</v>
      </c>
      <c r="O224" s="3">
        <v>0</v>
      </c>
      <c r="P224" s="3">
        <v>2.520703810817615E-2</v>
      </c>
      <c r="Q224" s="3">
        <v>0</v>
      </c>
      <c r="R224" s="3">
        <v>0.91507552411752258</v>
      </c>
      <c r="S224" s="3">
        <v>0.12938595341218459</v>
      </c>
      <c r="T224" s="3">
        <v>-0.30970446015158398</v>
      </c>
      <c r="U224" s="3">
        <v>1.0209632808222591</v>
      </c>
      <c r="V224" s="3">
        <v>3.5618547391678468</v>
      </c>
      <c r="W224" s="3">
        <v>1.043028158910702</v>
      </c>
      <c r="X224" s="3">
        <v>2.921220252633955</v>
      </c>
      <c r="Y224" s="3">
        <v>1.230440565160362</v>
      </c>
    </row>
    <row r="225" spans="1:25" x14ac:dyDescent="0.25">
      <c r="A225" s="2">
        <v>44286</v>
      </c>
      <c r="B225" s="3">
        <v>4.5601142446743403E-2</v>
      </c>
      <c r="C225" s="3">
        <v>8.6318074476147477E-2</v>
      </c>
      <c r="D225" s="3">
        <v>1.7666552448180051E-2</v>
      </c>
      <c r="E225" s="3">
        <v>5.4014577969699884E-3</v>
      </c>
      <c r="F225" s="3">
        <v>9.213187755504948E-3</v>
      </c>
      <c r="G225" s="3">
        <v>-2.8484424919130061E-2</v>
      </c>
      <c r="H225" s="3">
        <v>-1</v>
      </c>
      <c r="I225" s="3">
        <v>1</v>
      </c>
      <c r="J225" s="3">
        <v>0</v>
      </c>
      <c r="K225" s="3">
        <v>-1.7666552448180051E-2</v>
      </c>
      <c r="L225" s="3">
        <v>0</v>
      </c>
      <c r="M225" s="3">
        <v>5.4014577969699884E-3</v>
      </c>
      <c r="N225" s="3">
        <v>9.213187755504948E-3</v>
      </c>
      <c r="O225" s="3">
        <v>0</v>
      </c>
      <c r="P225" s="3">
        <v>2.8484424919130061E-2</v>
      </c>
      <c r="Q225" s="3">
        <v>0</v>
      </c>
      <c r="R225" s="3">
        <v>0.91507552411752258</v>
      </c>
      <c r="S225" s="3">
        <v>0.10943359723199041</v>
      </c>
      <c r="T225" s="3">
        <v>-0.30970446015158398</v>
      </c>
      <c r="U225" s="3">
        <v>1.031879428692847</v>
      </c>
      <c r="V225" s="3">
        <v>3.6038839633931401</v>
      </c>
      <c r="W225" s="3">
        <v>1.043028158910702</v>
      </c>
      <c r="X225" s="3">
        <v>3.03291395651148</v>
      </c>
      <c r="Y225" s="3">
        <v>1.230440565160362</v>
      </c>
    </row>
    <row r="226" spans="1:25" x14ac:dyDescent="0.25">
      <c r="A226" s="2">
        <v>44316</v>
      </c>
      <c r="B226" s="3">
        <v>5.2057870376735038E-2</v>
      </c>
      <c r="C226" s="3">
        <v>2.1779668189036978E-3</v>
      </c>
      <c r="D226" s="3">
        <v>1.222952761733909E-2</v>
      </c>
      <c r="E226" s="3">
        <v>-1.249422071231876E-2</v>
      </c>
      <c r="F226" s="3">
        <v>3.046565823250769E-2</v>
      </c>
      <c r="G226" s="3">
        <v>2.031717050230963E-2</v>
      </c>
      <c r="H226" s="3">
        <v>-1</v>
      </c>
      <c r="I226" s="3">
        <v>1</v>
      </c>
      <c r="J226" s="3">
        <v>0</v>
      </c>
      <c r="K226" s="3">
        <v>-1.222952761733909E-2</v>
      </c>
      <c r="L226" s="3">
        <v>0</v>
      </c>
      <c r="M226" s="3">
        <v>-1.249422071231876E-2</v>
      </c>
      <c r="N226" s="3">
        <v>3.046565823250769E-2</v>
      </c>
      <c r="O226" s="3">
        <v>0</v>
      </c>
      <c r="P226" s="3">
        <v>-2.031717050230963E-2</v>
      </c>
      <c r="Q226" s="3">
        <v>0</v>
      </c>
      <c r="R226" s="3">
        <v>0.91507552411752258</v>
      </c>
      <c r="S226" s="3">
        <v>9.5865748415038032E-2</v>
      </c>
      <c r="T226" s="3">
        <v>-0.30970446015158398</v>
      </c>
      <c r="U226" s="3">
        <v>1.0064926786499391</v>
      </c>
      <c r="V226" s="3">
        <v>3.7441443187639978</v>
      </c>
      <c r="W226" s="3">
        <v>1.043028158910702</v>
      </c>
      <c r="X226" s="3">
        <v>2.9509765560358918</v>
      </c>
      <c r="Y226" s="3">
        <v>1.230440565160362</v>
      </c>
    </row>
    <row r="227" spans="1:25" x14ac:dyDescent="0.25">
      <c r="A227" s="2">
        <v>44347</v>
      </c>
      <c r="B227" s="3">
        <v>7.2902828588733426E-3</v>
      </c>
      <c r="C227" s="3">
        <v>3.1920151884967662E-4</v>
      </c>
      <c r="D227" s="3">
        <v>1.227394834384077E-2</v>
      </c>
      <c r="E227" s="3">
        <v>5.6376650364458047E-3</v>
      </c>
      <c r="F227" s="3">
        <v>1.1563809003026121E-2</v>
      </c>
      <c r="G227" s="3">
        <v>5.7497221867069959E-3</v>
      </c>
      <c r="H227" s="34">
        <v>-1</v>
      </c>
      <c r="I227" s="34">
        <v>1</v>
      </c>
      <c r="J227" s="3">
        <v>0</v>
      </c>
      <c r="K227" s="3">
        <v>-1.227394834384077E-2</v>
      </c>
      <c r="L227" s="3">
        <v>0</v>
      </c>
      <c r="M227" s="3">
        <v>5.6376650364458047E-3</v>
      </c>
      <c r="N227" s="3">
        <v>1.1563809003026121E-2</v>
      </c>
      <c r="O227" s="3">
        <v>0</v>
      </c>
      <c r="P227" s="3">
        <v>-5.7497221867069959E-3</v>
      </c>
      <c r="Q227" s="3">
        <v>0</v>
      </c>
      <c r="R227" s="3">
        <v>0.91507552411752258</v>
      </c>
      <c r="S227" s="3">
        <v>8.2415148827207352E-2</v>
      </c>
      <c r="T227" s="3">
        <v>-0.30970446015158398</v>
      </c>
      <c r="U227" s="3">
        <v>1.017804612270248</v>
      </c>
      <c r="V227" s="3">
        <v>3.799004697548976</v>
      </c>
      <c r="W227" s="3">
        <v>1.043028158910702</v>
      </c>
      <c r="X227" s="3">
        <v>2.928259538472493</v>
      </c>
      <c r="Y227" s="3">
        <v>1.230440565160362</v>
      </c>
    </row>
    <row r="228" spans="1:25" x14ac:dyDescent="0.25">
      <c r="A228" s="2">
        <v>44377</v>
      </c>
      <c r="B228" s="3">
        <v>2.2497891803932909E-2</v>
      </c>
      <c r="C228" s="3">
        <v>-3.1026756388855881E-2</v>
      </c>
      <c r="D228" s="3">
        <v>1.7004436064557479E-2</v>
      </c>
      <c r="E228" s="3">
        <v>7.4963496537853169E-3</v>
      </c>
      <c r="F228" s="3">
        <v>5.155929042238383E-3</v>
      </c>
      <c r="G228" s="3">
        <v>8.9584043420868342E-3</v>
      </c>
      <c r="H228" s="3">
        <v>1</v>
      </c>
      <c r="I228" s="3">
        <v>-1</v>
      </c>
      <c r="J228" s="3">
        <v>1.7004436064557479E-2</v>
      </c>
      <c r="K228" s="3">
        <v>0</v>
      </c>
      <c r="L228" s="3">
        <v>-7.4963496537853169E-3</v>
      </c>
      <c r="M228" s="3">
        <v>0</v>
      </c>
      <c r="N228" s="3">
        <v>0</v>
      </c>
      <c r="O228" s="3">
        <v>-5.155929042238383E-3</v>
      </c>
      <c r="P228" s="3">
        <v>0</v>
      </c>
      <c r="Q228" s="3">
        <v>8.9584043420868342E-3</v>
      </c>
      <c r="R228" s="3">
        <v>0.94764030342617778</v>
      </c>
      <c r="S228" s="3">
        <v>8.2415148827207352E-2</v>
      </c>
      <c r="T228" s="3">
        <v>-0.31487915688273632</v>
      </c>
      <c r="U228" s="3">
        <v>1.017804612270248</v>
      </c>
      <c r="V228" s="3">
        <v>3.799004697548976</v>
      </c>
      <c r="W228" s="3">
        <v>1.032494450692063</v>
      </c>
      <c r="X228" s="3">
        <v>2.928259538472493</v>
      </c>
      <c r="Y228" s="3">
        <v>1.2504217536040609</v>
      </c>
    </row>
    <row r="229" spans="1:25" x14ac:dyDescent="0.25">
      <c r="A229" s="2">
        <v>44408</v>
      </c>
      <c r="B229" s="3">
        <v>2.464448266331332E-2</v>
      </c>
      <c r="C229" s="3">
        <v>-1.9578225594441331E-2</v>
      </c>
      <c r="D229" s="3">
        <v>7.0659939130003346E-3</v>
      </c>
      <c r="E229" s="3">
        <v>2.4361321225407911E-4</v>
      </c>
      <c r="F229" s="3">
        <v>6.7446865162456024E-3</v>
      </c>
      <c r="G229" s="3">
        <v>3.0587651547091529E-2</v>
      </c>
      <c r="H229" s="3">
        <v>1</v>
      </c>
      <c r="I229" s="3">
        <v>-1</v>
      </c>
      <c r="J229" s="3">
        <v>7.0659939130003346E-3</v>
      </c>
      <c r="K229" s="3">
        <v>0</v>
      </c>
      <c r="L229" s="3">
        <v>-2.4361321225407911E-4</v>
      </c>
      <c r="M229" s="3">
        <v>0</v>
      </c>
      <c r="N229" s="3">
        <v>0</v>
      </c>
      <c r="O229" s="3">
        <v>-6.7446865162456024E-3</v>
      </c>
      <c r="P229" s="3">
        <v>0</v>
      </c>
      <c r="Q229" s="3">
        <v>3.0587651547091529E-2</v>
      </c>
      <c r="R229" s="3">
        <v>0.96140231795490116</v>
      </c>
      <c r="S229" s="3">
        <v>8.2415148827207352E-2</v>
      </c>
      <c r="T229" s="3">
        <v>-0.31504606137211028</v>
      </c>
      <c r="U229" s="3">
        <v>1.017804612270248</v>
      </c>
      <c r="V229" s="3">
        <v>3.799004697548976</v>
      </c>
      <c r="W229" s="3">
        <v>1.0187859127761361</v>
      </c>
      <c r="X229" s="3">
        <v>2.928259538472493</v>
      </c>
      <c r="Y229" s="3">
        <v>1.319256870037296</v>
      </c>
    </row>
    <row r="230" spans="1:25" x14ac:dyDescent="0.25">
      <c r="A230" s="2">
        <v>44439</v>
      </c>
      <c r="B230" s="3">
        <v>2.9631794492047892E-2</v>
      </c>
      <c r="C230" s="3">
        <v>2.738260973476403E-3</v>
      </c>
      <c r="D230" s="3">
        <v>1.8436088542217229E-2</v>
      </c>
      <c r="E230" s="3">
        <v>-1.137249662923534E-2</v>
      </c>
      <c r="F230" s="3">
        <v>9.1039661149981965E-3</v>
      </c>
      <c r="G230" s="3">
        <v>-1.029174151886814E-2</v>
      </c>
      <c r="H230" s="3">
        <v>-1</v>
      </c>
      <c r="I230" s="3">
        <v>1</v>
      </c>
      <c r="J230" s="3">
        <v>0</v>
      </c>
      <c r="K230" s="3">
        <v>-1.8436088542217229E-2</v>
      </c>
      <c r="L230" s="3">
        <v>0</v>
      </c>
      <c r="M230" s="3">
        <v>-1.137249662923534E-2</v>
      </c>
      <c r="N230" s="3">
        <v>9.1039661149981965E-3</v>
      </c>
      <c r="O230" s="3">
        <v>0</v>
      </c>
      <c r="P230" s="3">
        <v>1.029174151886814E-2</v>
      </c>
      <c r="Q230" s="3">
        <v>0</v>
      </c>
      <c r="R230" s="3">
        <v>0.96140231795490116</v>
      </c>
      <c r="S230" s="3">
        <v>6.2459647303991783E-2</v>
      </c>
      <c r="T230" s="3">
        <v>-0.31504606137211028</v>
      </c>
      <c r="U230" s="3">
        <v>0.99485713611874882</v>
      </c>
      <c r="V230" s="3">
        <v>3.8426946737011791</v>
      </c>
      <c r="W230" s="3">
        <v>1.0187859127761361</v>
      </c>
      <c r="X230" s="3">
        <v>2.9686881702614798</v>
      </c>
      <c r="Y230" s="3">
        <v>1.319256870037296</v>
      </c>
    </row>
    <row r="231" spans="1:25" x14ac:dyDescent="0.25">
      <c r="A231" s="2">
        <v>44469</v>
      </c>
      <c r="B231" s="3">
        <v>-4.7022848580092418E-2</v>
      </c>
      <c r="C231" s="3">
        <v>-4.8669321202662867E-2</v>
      </c>
      <c r="D231" s="3">
        <v>-1.97549674845332E-2</v>
      </c>
      <c r="E231" s="3">
        <v>-5.0026670707668641E-2</v>
      </c>
      <c r="F231" s="3">
        <v>-1.4284602242506941E-3</v>
      </c>
      <c r="G231" s="3">
        <v>-4.6832579830953236E-3</v>
      </c>
      <c r="H231" s="3">
        <v>1</v>
      </c>
      <c r="I231" s="3">
        <v>-1</v>
      </c>
      <c r="J231" s="3">
        <v>-1.97549674845332E-2</v>
      </c>
      <c r="K231" s="3">
        <v>0</v>
      </c>
      <c r="L231" s="3">
        <v>5.0026670707668641E-2</v>
      </c>
      <c r="M231" s="3">
        <v>0</v>
      </c>
      <c r="N231" s="3">
        <v>0</v>
      </c>
      <c r="O231" s="3">
        <v>1.4284602242506941E-3</v>
      </c>
      <c r="P231" s="3">
        <v>0</v>
      </c>
      <c r="Q231" s="3">
        <v>-4.6832579830953236E-3</v>
      </c>
      <c r="R231" s="3">
        <v>0.92265487893961406</v>
      </c>
      <c r="S231" s="3">
        <v>6.2459647303991783E-2</v>
      </c>
      <c r="T231" s="3">
        <v>-0.28078009623445221</v>
      </c>
      <c r="U231" s="3">
        <v>0.99485713611874882</v>
      </c>
      <c r="V231" s="3">
        <v>3.8426946737011791</v>
      </c>
      <c r="W231" s="3">
        <v>1.0216696681538151</v>
      </c>
      <c r="X231" s="3">
        <v>2.9686881702614798</v>
      </c>
      <c r="Y231" s="3">
        <v>1.308395191785845</v>
      </c>
    </row>
    <row r="232" spans="1:25" x14ac:dyDescent="0.25">
      <c r="A232" s="2">
        <v>44500</v>
      </c>
      <c r="B232" s="3">
        <v>6.8389672893601094E-2</v>
      </c>
      <c r="C232" s="3">
        <v>6.6386304601535495E-2</v>
      </c>
      <c r="D232" s="3">
        <v>1.247443344242816E-2</v>
      </c>
      <c r="E232" s="3">
        <v>3.5621447450899679E-2</v>
      </c>
      <c r="F232" s="3">
        <v>2.219499702463823E-2</v>
      </c>
      <c r="G232" s="3">
        <v>-8.6028734235008564E-3</v>
      </c>
      <c r="H232" s="3">
        <v>-1</v>
      </c>
      <c r="I232" s="3">
        <v>1</v>
      </c>
      <c r="J232" s="3">
        <v>0</v>
      </c>
      <c r="K232" s="3">
        <v>-1.247443344242816E-2</v>
      </c>
      <c r="L232" s="3">
        <v>0</v>
      </c>
      <c r="M232" s="3">
        <v>3.5621447450899679E-2</v>
      </c>
      <c r="N232" s="3">
        <v>2.219499702463823E-2</v>
      </c>
      <c r="O232" s="3">
        <v>0</v>
      </c>
      <c r="P232" s="3">
        <v>8.6028734235008564E-3</v>
      </c>
      <c r="Q232" s="3">
        <v>0</v>
      </c>
      <c r="R232" s="3">
        <v>0.92265487893961406</v>
      </c>
      <c r="S232" s="3">
        <v>4.920606514843251E-2</v>
      </c>
      <c r="T232" s="3">
        <v>-0.28078009623445221</v>
      </c>
      <c r="U232" s="3">
        <v>1.0659168347650549</v>
      </c>
      <c r="V232" s="3">
        <v>3.950178267575208</v>
      </c>
      <c r="W232" s="3">
        <v>1.0216696681538151</v>
      </c>
      <c r="X232" s="3">
        <v>3.0028302922475851</v>
      </c>
      <c r="Y232" s="3">
        <v>1.308395191785845</v>
      </c>
    </row>
    <row r="233" spans="1:25" x14ac:dyDescent="0.25">
      <c r="A233" s="2">
        <v>44530</v>
      </c>
      <c r="B233" s="3">
        <v>-7.4096369962639566E-3</v>
      </c>
      <c r="C233" s="3">
        <v>1.440608192835313E-2</v>
      </c>
      <c r="D233" s="3">
        <v>-2.8313380560724851E-2</v>
      </c>
      <c r="E233" s="3">
        <v>2.2301018655868421E-2</v>
      </c>
      <c r="F233" s="3">
        <v>2.0050690659525468E-2</v>
      </c>
      <c r="G233" s="3">
        <v>1.2370932587755011E-2</v>
      </c>
      <c r="H233" s="3">
        <v>-1</v>
      </c>
      <c r="I233" s="3">
        <v>1</v>
      </c>
      <c r="J233" s="3">
        <v>0</v>
      </c>
      <c r="K233" s="3">
        <v>2.8313380560724851E-2</v>
      </c>
      <c r="L233" s="3">
        <v>0</v>
      </c>
      <c r="M233" s="3">
        <v>2.2301018655868421E-2</v>
      </c>
      <c r="N233" s="3">
        <v>2.0050690659525468E-2</v>
      </c>
      <c r="O233" s="3">
        <v>0</v>
      </c>
      <c r="P233" s="3">
        <v>-1.2370932587755011E-2</v>
      </c>
      <c r="Q233" s="3">
        <v>0</v>
      </c>
      <c r="R233" s="3">
        <v>0.92265487893961406</v>
      </c>
      <c r="S233" s="3">
        <v>7.891263575760088E-2</v>
      </c>
      <c r="T233" s="3">
        <v>-0.28078009623445221</v>
      </c>
      <c r="U233" s="3">
        <v>1.1119888846386241</v>
      </c>
      <c r="V233" s="3">
        <v>4.0494327607278642</v>
      </c>
      <c r="W233" s="3">
        <v>1.0216696681538151</v>
      </c>
      <c r="X233" s="3">
        <v>2.9533115485419659</v>
      </c>
      <c r="Y233" s="3">
        <v>1.308395191785845</v>
      </c>
    </row>
    <row r="234" spans="1:25" x14ac:dyDescent="0.25">
      <c r="A234" s="2">
        <v>44561</v>
      </c>
      <c r="B234" s="3">
        <v>4.6446835372050972E-2</v>
      </c>
      <c r="C234" s="3">
        <v>3.4272307209686659E-2</v>
      </c>
      <c r="D234" s="3">
        <v>2.5550327510328041E-2</v>
      </c>
      <c r="E234" s="3">
        <v>-6.1668201155351543E-3</v>
      </c>
      <c r="F234" s="3">
        <v>2.8035760485548789E-2</v>
      </c>
      <c r="G234" s="3">
        <v>-2.4672295082220912E-3</v>
      </c>
      <c r="H234" s="3">
        <v>-1</v>
      </c>
      <c r="I234" s="3">
        <v>1</v>
      </c>
      <c r="J234" s="3">
        <v>0</v>
      </c>
      <c r="K234" s="3">
        <v>-2.5550327510328041E-2</v>
      </c>
      <c r="L234" s="3">
        <v>0</v>
      </c>
      <c r="M234" s="3">
        <v>-6.1668201155351543E-3</v>
      </c>
      <c r="N234" s="3">
        <v>2.8035760485548789E-2</v>
      </c>
      <c r="O234" s="3">
        <v>0</v>
      </c>
      <c r="P234" s="3">
        <v>2.4672295082220912E-3</v>
      </c>
      <c r="Q234" s="3">
        <v>0</v>
      </c>
      <c r="R234" s="3">
        <v>0.92265487893961406</v>
      </c>
      <c r="S234" s="3">
        <v>5.1346064558962963E-2</v>
      </c>
      <c r="T234" s="3">
        <v>-0.28078009623445221</v>
      </c>
      <c r="U234" s="3">
        <v>1.098964629101048</v>
      </c>
      <c r="V234" s="3">
        <v>4.1909974481955139</v>
      </c>
      <c r="W234" s="3">
        <v>1.0216696681538151</v>
      </c>
      <c r="X234" s="3">
        <v>2.9630652754497242</v>
      </c>
      <c r="Y234" s="3">
        <v>1.308395191785845</v>
      </c>
    </row>
    <row r="235" spans="1:25" x14ac:dyDescent="0.25">
      <c r="A235" s="2">
        <v>44592</v>
      </c>
      <c r="B235" s="3">
        <v>-5.279657597624543E-2</v>
      </c>
      <c r="C235" s="3">
        <v>-3.7320858993998951E-2</v>
      </c>
      <c r="D235" s="3">
        <v>2.3190661387625489E-2</v>
      </c>
      <c r="E235" s="3">
        <v>-1.6656163301731469E-4</v>
      </c>
      <c r="F235" s="3">
        <v>-1.8639989547635349E-2</v>
      </c>
      <c r="G235" s="3">
        <v>-4.0435331952699223E-2</v>
      </c>
      <c r="H235" s="3">
        <v>1</v>
      </c>
      <c r="I235" s="3">
        <v>-1</v>
      </c>
      <c r="J235" s="3">
        <v>2.3190661387625489E-2</v>
      </c>
      <c r="K235" s="3">
        <v>0</v>
      </c>
      <c r="L235" s="3">
        <v>1.6656163301731469E-4</v>
      </c>
      <c r="M235" s="3">
        <v>0</v>
      </c>
      <c r="N235" s="3">
        <v>0</v>
      </c>
      <c r="O235" s="3">
        <v>1.8639989547635349E-2</v>
      </c>
      <c r="P235" s="3">
        <v>0</v>
      </c>
      <c r="Q235" s="3">
        <v>-4.0435331952699223E-2</v>
      </c>
      <c r="R235" s="3">
        <v>0.96724251720236887</v>
      </c>
      <c r="S235" s="3">
        <v>5.1346064558962963E-2</v>
      </c>
      <c r="T235" s="3">
        <v>-0.28066030179278251</v>
      </c>
      <c r="U235" s="3">
        <v>1.098964629101048</v>
      </c>
      <c r="V235" s="3">
        <v>4.1909974481955139</v>
      </c>
      <c r="W235" s="3">
        <v>1.0593535696369729</v>
      </c>
      <c r="X235" s="3">
        <v>2.9630652754497242</v>
      </c>
      <c r="Y235" s="3">
        <v>1.2150544659279701</v>
      </c>
    </row>
    <row r="236" spans="1:25" x14ac:dyDescent="0.25">
      <c r="A236" s="2">
        <v>44620</v>
      </c>
      <c r="B236" s="3">
        <v>-2.81353438170866E-2</v>
      </c>
      <c r="C236" s="3">
        <v>-1.9951906833182379E-2</v>
      </c>
      <c r="D236" s="3">
        <v>1.6815816194588499E-2</v>
      </c>
      <c r="E236" s="3">
        <v>9.5267221856246698E-3</v>
      </c>
      <c r="F236" s="3">
        <v>-5.5410603636358857E-3</v>
      </c>
      <c r="G236" s="3">
        <v>-2.1833312907555639E-2</v>
      </c>
      <c r="H236" s="3">
        <v>1</v>
      </c>
      <c r="I236" s="3">
        <v>-1</v>
      </c>
      <c r="J236" s="3">
        <v>1.6815816194588499E-2</v>
      </c>
      <c r="K236" s="3">
        <v>0</v>
      </c>
      <c r="L236" s="3">
        <v>-9.5267221856246698E-3</v>
      </c>
      <c r="M236" s="3">
        <v>0</v>
      </c>
      <c r="N236" s="3">
        <v>0</v>
      </c>
      <c r="O236" s="3">
        <v>5.5410603636358857E-3</v>
      </c>
      <c r="P236" s="3">
        <v>0</v>
      </c>
      <c r="Q236" s="3">
        <v>-2.1833312907555639E-2</v>
      </c>
      <c r="R236" s="3">
        <v>1.0003233057818239</v>
      </c>
      <c r="S236" s="3">
        <v>5.1346064558962963E-2</v>
      </c>
      <c r="T236" s="3">
        <v>-0.28751325125469368</v>
      </c>
      <c r="U236" s="3">
        <v>1.098964629101048</v>
      </c>
      <c r="V236" s="3">
        <v>4.1909974481955139</v>
      </c>
      <c r="W236" s="3">
        <v>1.070764572076401</v>
      </c>
      <c r="X236" s="3">
        <v>2.9630652754497242</v>
      </c>
      <c r="Y236" s="3">
        <v>1.1666924886660861</v>
      </c>
    </row>
    <row r="237" spans="1:25" x14ac:dyDescent="0.25">
      <c r="A237" s="2">
        <v>44651</v>
      </c>
      <c r="B237" s="3">
        <v>3.9308601242522778E-2</v>
      </c>
      <c r="C237" s="3">
        <v>8.9974826292592902E-2</v>
      </c>
      <c r="D237" s="3">
        <v>1.669887527482761E-2</v>
      </c>
      <c r="E237" s="3">
        <v>1.372980270275426E-2</v>
      </c>
      <c r="F237" s="3">
        <v>-3.9416194471813437E-2</v>
      </c>
      <c r="G237" s="3">
        <v>-2.801593116824042E-3</v>
      </c>
      <c r="H237" s="3">
        <v>-1</v>
      </c>
      <c r="I237" s="3">
        <v>1</v>
      </c>
      <c r="J237" s="3">
        <v>0</v>
      </c>
      <c r="K237" s="3">
        <v>-1.669887527482761E-2</v>
      </c>
      <c r="L237" s="3">
        <v>0</v>
      </c>
      <c r="M237" s="3">
        <v>1.372980270275426E-2</v>
      </c>
      <c r="N237" s="3">
        <v>-3.9416194471813437E-2</v>
      </c>
      <c r="O237" s="3">
        <v>0</v>
      </c>
      <c r="P237" s="3">
        <v>2.801593116824042E-3</v>
      </c>
      <c r="Q237" s="3">
        <v>0</v>
      </c>
      <c r="R237" s="3">
        <v>1.0003233057818239</v>
      </c>
      <c r="S237" s="3">
        <v>3.3789767756212008E-2</v>
      </c>
      <c r="T237" s="3">
        <v>-0.28751325125469368</v>
      </c>
      <c r="U237" s="3">
        <v>1.127782999338665</v>
      </c>
      <c r="V237" s="3">
        <v>3.9863880832747518</v>
      </c>
      <c r="W237" s="3">
        <v>1.070764572076401</v>
      </c>
      <c r="X237" s="3">
        <v>2.974168171846947</v>
      </c>
      <c r="Y237" s="3">
        <v>1.1666924886660861</v>
      </c>
    </row>
    <row r="238" spans="1:25" x14ac:dyDescent="0.25">
      <c r="A238" s="2">
        <v>44681</v>
      </c>
      <c r="B238" s="3">
        <v>-8.9288784021645751E-2</v>
      </c>
      <c r="C238" s="3">
        <v>3.6195430262947803E-2</v>
      </c>
      <c r="D238" s="3">
        <v>-3.2047636966192172E-2</v>
      </c>
      <c r="E238" s="3">
        <v>-4.2415209001098741E-3</v>
      </c>
      <c r="F238" s="3">
        <v>-6.1910224615915332E-3</v>
      </c>
      <c r="G238" s="3">
        <v>-4.1361667749301279E-2</v>
      </c>
      <c r="H238" s="3">
        <v>-1</v>
      </c>
      <c r="I238" s="3">
        <v>1</v>
      </c>
      <c r="J238" s="3">
        <v>0</v>
      </c>
      <c r="K238" s="3">
        <v>3.2047636966192172E-2</v>
      </c>
      <c r="L238" s="3">
        <v>0</v>
      </c>
      <c r="M238" s="3">
        <v>-4.2415209001098741E-3</v>
      </c>
      <c r="N238" s="3">
        <v>-6.1910224615915332E-3</v>
      </c>
      <c r="O238" s="3">
        <v>0</v>
      </c>
      <c r="P238" s="3">
        <v>4.1361667749301279E-2</v>
      </c>
      <c r="Q238" s="3">
        <v>0</v>
      </c>
      <c r="R238" s="3">
        <v>1.0003233057818239</v>
      </c>
      <c r="S238" s="3">
        <v>6.6920286932627304E-2</v>
      </c>
      <c r="T238" s="3">
        <v>-0.28751325125469368</v>
      </c>
      <c r="U238" s="3">
        <v>1.1187579632760709</v>
      </c>
      <c r="V238" s="3">
        <v>3.9555172426489862</v>
      </c>
      <c r="W238" s="3">
        <v>1.070764572076401</v>
      </c>
      <c r="X238" s="3">
        <v>3.1385463953507302</v>
      </c>
      <c r="Y238" s="3">
        <v>1.1666924886660861</v>
      </c>
    </row>
    <row r="239" spans="1:25" x14ac:dyDescent="0.25">
      <c r="A239" s="2">
        <v>44712</v>
      </c>
      <c r="B239" s="3">
        <v>6.1596522128000153E-3</v>
      </c>
      <c r="C239" s="3">
        <v>-4.7892849912172693E-2</v>
      </c>
      <c r="D239" s="3">
        <v>5.8830744113700713E-2</v>
      </c>
      <c r="E239" s="3">
        <v>-1.6013772179738539E-2</v>
      </c>
      <c r="F239" s="3">
        <v>-4.5535042778477308E-4</v>
      </c>
      <c r="G239" s="3">
        <v>-4.7215965028398983E-2</v>
      </c>
      <c r="H239" s="3">
        <v>1</v>
      </c>
      <c r="I239" s="3">
        <v>-1</v>
      </c>
      <c r="J239" s="3">
        <v>5.8830744113700713E-2</v>
      </c>
      <c r="K239" s="3">
        <v>0</v>
      </c>
      <c r="L239" s="3">
        <v>1.6013772179738539E-2</v>
      </c>
      <c r="M239" s="3">
        <v>0</v>
      </c>
      <c r="N239" s="3">
        <v>0</v>
      </c>
      <c r="O239" s="3">
        <v>4.5535042778477308E-4</v>
      </c>
      <c r="P239" s="3">
        <v>0</v>
      </c>
      <c r="Q239" s="3">
        <v>-4.7215965028398983E-2</v>
      </c>
      <c r="R239" s="3">
        <v>1.1180038143289459</v>
      </c>
      <c r="S239" s="3">
        <v>6.6920286932627304E-2</v>
      </c>
      <c r="T239" s="3">
        <v>-0.27610365077920379</v>
      </c>
      <c r="U239" s="3">
        <v>1.1187579632760709</v>
      </c>
      <c r="V239" s="3">
        <v>3.9555172426489862</v>
      </c>
      <c r="W239" s="3">
        <v>1.0717074956101369</v>
      </c>
      <c r="X239" s="3">
        <v>3.1385463953507302</v>
      </c>
      <c r="Y239" s="3">
        <v>1.0643900118939329</v>
      </c>
    </row>
    <row r="240" spans="1:25" x14ac:dyDescent="0.25">
      <c r="A240" s="2">
        <v>44742</v>
      </c>
      <c r="B240" s="3">
        <v>-8.2369916444750446E-2</v>
      </c>
      <c r="C240" s="3">
        <v>-6.4996525714130393E-2</v>
      </c>
      <c r="D240" s="3">
        <v>8.405253803335011E-3</v>
      </c>
      <c r="E240" s="3">
        <v>1.4893401357551021E-2</v>
      </c>
      <c r="F240" s="3">
        <v>7.1803282672533442E-3</v>
      </c>
      <c r="G240" s="3">
        <v>-1.042046094497706E-2</v>
      </c>
      <c r="H240" s="3">
        <v>1</v>
      </c>
      <c r="I240" s="3">
        <v>-1</v>
      </c>
      <c r="J240" s="3">
        <v>8.405253803335011E-3</v>
      </c>
      <c r="K240" s="3">
        <v>0</v>
      </c>
      <c r="L240" s="3">
        <v>-1.4893401357551021E-2</v>
      </c>
      <c r="M240" s="3">
        <v>0</v>
      </c>
      <c r="N240" s="3">
        <v>0</v>
      </c>
      <c r="O240" s="3">
        <v>-7.1803282672533442E-3</v>
      </c>
      <c r="P240" s="3">
        <v>0</v>
      </c>
      <c r="Q240" s="3">
        <v>-1.042046094497706E-2</v>
      </c>
      <c r="R240" s="3">
        <v>1.1358061739448131</v>
      </c>
      <c r="S240" s="3">
        <v>6.6920286932627304E-2</v>
      </c>
      <c r="T240" s="3">
        <v>-0.28688492964941498</v>
      </c>
      <c r="U240" s="3">
        <v>1.1187579632760709</v>
      </c>
      <c r="V240" s="3">
        <v>3.9555172426489862</v>
      </c>
      <c r="W240" s="3">
        <v>1.0568319557179271</v>
      </c>
      <c r="X240" s="3">
        <v>3.1385463953507302</v>
      </c>
      <c r="Y240" s="3">
        <v>1.042878116399792</v>
      </c>
    </row>
    <row r="241" spans="1:25" x14ac:dyDescent="0.25">
      <c r="A241" s="2">
        <v>44773</v>
      </c>
      <c r="B241" s="3">
        <v>8.9661369191142204E-2</v>
      </c>
      <c r="C241" s="3">
        <v>1.2713062954801461E-2</v>
      </c>
      <c r="D241" s="3">
        <v>4.2471418051287291E-2</v>
      </c>
      <c r="E241" s="3">
        <v>-9.3926352505524502E-3</v>
      </c>
      <c r="F241" s="3">
        <v>2.99970225091124E-2</v>
      </c>
      <c r="G241" s="3">
        <v>-1.8543659509392851E-2</v>
      </c>
      <c r="H241" s="3">
        <v>-1</v>
      </c>
      <c r="I241" s="3">
        <v>1</v>
      </c>
      <c r="J241" s="3">
        <v>0</v>
      </c>
      <c r="K241" s="3">
        <v>-4.2471418051287291E-2</v>
      </c>
      <c r="L241" s="3">
        <v>0</v>
      </c>
      <c r="M241" s="3">
        <v>-9.3926352505524502E-3</v>
      </c>
      <c r="N241" s="3">
        <v>2.99970225091124E-2</v>
      </c>
      <c r="O241" s="3">
        <v>0</v>
      </c>
      <c r="P241" s="3">
        <v>1.8543659509392851E-2</v>
      </c>
      <c r="Q241" s="3">
        <v>0</v>
      </c>
      <c r="R241" s="3">
        <v>1.1358061739448131</v>
      </c>
      <c r="S241" s="3">
        <v>2.1606669398912311E-2</v>
      </c>
      <c r="T241" s="3">
        <v>-0.28688492964941498</v>
      </c>
      <c r="U241" s="3">
        <v>1.0988572425428149</v>
      </c>
      <c r="V241" s="3">
        <v>4.1041680049210223</v>
      </c>
      <c r="W241" s="3">
        <v>1.0568319557179271</v>
      </c>
      <c r="X241" s="3">
        <v>3.2152901905699389</v>
      </c>
      <c r="Y241" s="3">
        <v>1.042878116399792</v>
      </c>
    </row>
    <row r="242" spans="1:25" x14ac:dyDescent="0.25">
      <c r="A242" s="2">
        <v>44804</v>
      </c>
      <c r="B242" s="3">
        <v>-3.9984924177476122E-2</v>
      </c>
      <c r="C242" s="3">
        <v>5.9667234169370247E-2</v>
      </c>
      <c r="D242" s="3">
        <v>-6.497099850852639E-2</v>
      </c>
      <c r="E242" s="3">
        <v>-1.0059121536701739E-2</v>
      </c>
      <c r="F242" s="3">
        <v>3.7352302984758889E-3</v>
      </c>
      <c r="G242" s="3">
        <v>-5.4701191268771146E-3</v>
      </c>
      <c r="H242" s="3">
        <v>-1</v>
      </c>
      <c r="I242" s="3">
        <v>1</v>
      </c>
      <c r="J242" s="3">
        <v>0</v>
      </c>
      <c r="K242" s="3">
        <v>6.497099850852639E-2</v>
      </c>
      <c r="L242" s="3">
        <v>0</v>
      </c>
      <c r="M242" s="3">
        <v>-1.0059121536701739E-2</v>
      </c>
      <c r="N242" s="3">
        <v>3.7352302984758889E-3</v>
      </c>
      <c r="O242" s="3">
        <v>0</v>
      </c>
      <c r="P242" s="3">
        <v>5.4701191268771146E-3</v>
      </c>
      <c r="Q242" s="3">
        <v>0</v>
      </c>
      <c r="R242" s="3">
        <v>1.1358061739448131</v>
      </c>
      <c r="S242" s="3">
        <v>8.7981474792729442E-2</v>
      </c>
      <c r="T242" s="3">
        <v>-0.28688492964941498</v>
      </c>
      <c r="U242" s="3">
        <v>1.0777445824518901</v>
      </c>
      <c r="V242" s="3">
        <v>4.1232332479015144</v>
      </c>
      <c r="W242" s="3">
        <v>1.0568319557179271</v>
      </c>
      <c r="X242" s="3">
        <v>3.2383483300667129</v>
      </c>
      <c r="Y242" s="3">
        <v>1.042878116399792</v>
      </c>
    </row>
    <row r="243" spans="1:25" x14ac:dyDescent="0.25">
      <c r="A243" s="2">
        <v>44834</v>
      </c>
      <c r="B243" s="3">
        <v>-9.4488324889926312E-2</v>
      </c>
      <c r="C243" s="3">
        <v>8.8969145342814304E-3</v>
      </c>
      <c r="D243" s="3">
        <v>-4.5876316912540571E-2</v>
      </c>
      <c r="E243" s="3">
        <v>-2.5961634410913152E-2</v>
      </c>
      <c r="F243" s="3">
        <v>1.3321296261820881E-2</v>
      </c>
      <c r="G243" s="3">
        <v>-3.1861920383559061E-2</v>
      </c>
      <c r="H243" s="3">
        <v>-1</v>
      </c>
      <c r="I243" s="3">
        <v>1</v>
      </c>
      <c r="J243" s="3">
        <v>0</v>
      </c>
      <c r="K243" s="3">
        <v>4.5876316912540571E-2</v>
      </c>
      <c r="L243" s="3">
        <v>0</v>
      </c>
      <c r="M243" s="3">
        <v>-2.5961634410913152E-2</v>
      </c>
      <c r="N243" s="3">
        <v>1.3321296261820881E-2</v>
      </c>
      <c r="O243" s="3">
        <v>0</v>
      </c>
      <c r="P243" s="3">
        <v>3.1861920383559061E-2</v>
      </c>
      <c r="Q243" s="3">
        <v>0</v>
      </c>
      <c r="R243" s="3">
        <v>1.1358061739448131</v>
      </c>
      <c r="S243" s="3">
        <v>0.13789405772529381</v>
      </c>
      <c r="T243" s="3">
        <v>-0.28688492964941498</v>
      </c>
      <c r="U243" s="3">
        <v>1.0238029372030191</v>
      </c>
      <c r="V243" s="3">
        <v>4.1914813558152204</v>
      </c>
      <c r="W243" s="3">
        <v>1.0568319557179271</v>
      </c>
      <c r="X243" s="3">
        <v>3.3733902471170891</v>
      </c>
      <c r="Y243" s="3">
        <v>1.042878116399792</v>
      </c>
    </row>
    <row r="244" spans="1:25" x14ac:dyDescent="0.25">
      <c r="A244" s="2">
        <v>44865</v>
      </c>
      <c r="B244" s="3">
        <v>8.1360116131054538E-2</v>
      </c>
      <c r="C244" s="3">
        <v>0.14106967647911381</v>
      </c>
      <c r="D244" s="3">
        <v>3.1898317494376771E-2</v>
      </c>
      <c r="E244" s="3">
        <v>3.172398706333035E-2</v>
      </c>
      <c r="F244" s="3">
        <v>1.6850081619662279E-2</v>
      </c>
      <c r="G244" s="3">
        <v>-1.1731234559498869E-2</v>
      </c>
      <c r="H244" s="3">
        <v>-1</v>
      </c>
      <c r="I244" s="3">
        <v>1</v>
      </c>
      <c r="J244" s="3">
        <v>0</v>
      </c>
      <c r="K244" s="3">
        <v>-3.1898317494376771E-2</v>
      </c>
      <c r="L244" s="3">
        <v>0</v>
      </c>
      <c r="M244" s="3">
        <v>3.172398706333035E-2</v>
      </c>
      <c r="N244" s="3">
        <v>1.6850081619662279E-2</v>
      </c>
      <c r="O244" s="3">
        <v>0</v>
      </c>
      <c r="P244" s="3">
        <v>1.1731234559498869E-2</v>
      </c>
      <c r="Q244" s="3">
        <v>0</v>
      </c>
      <c r="R244" s="3">
        <v>1.1358061739448131</v>
      </c>
      <c r="S244" s="3">
        <v>0.1015971517970078</v>
      </c>
      <c r="T244" s="3">
        <v>-0.28688492964941498</v>
      </c>
      <c r="U244" s="3">
        <v>1.0880060354015779</v>
      </c>
      <c r="V244" s="3">
        <v>4.278958240387662</v>
      </c>
      <c r="W244" s="3">
        <v>1.0568319557179271</v>
      </c>
      <c r="X244" s="3">
        <v>3.4246955139262441</v>
      </c>
      <c r="Y244" s="3">
        <v>1.042878116399792</v>
      </c>
    </row>
    <row r="245" spans="1:25" x14ac:dyDescent="0.25">
      <c r="A245" s="2">
        <v>44895</v>
      </c>
      <c r="B245" s="3">
        <v>5.7214681162337189E-2</v>
      </c>
      <c r="C245" s="3">
        <v>-2.0391791738768261E-2</v>
      </c>
      <c r="D245" s="3">
        <v>3.3360840354196508E-2</v>
      </c>
      <c r="E245" s="3">
        <v>2.66903335325227E-2</v>
      </c>
      <c r="F245" s="3">
        <v>-1.5810209227001382E-2</v>
      </c>
      <c r="G245" s="3">
        <v>-2.7168729445947611E-2</v>
      </c>
      <c r="H245" s="3">
        <v>1</v>
      </c>
      <c r="I245" s="3">
        <v>-1</v>
      </c>
      <c r="J245" s="3">
        <v>3.3360840354196508E-2</v>
      </c>
      <c r="K245" s="3">
        <v>0</v>
      </c>
      <c r="L245" s="3">
        <v>-2.66903335325227E-2</v>
      </c>
      <c r="M245" s="3">
        <v>0</v>
      </c>
      <c r="N245" s="3">
        <v>0</v>
      </c>
      <c r="O245" s="3">
        <v>1.5810209227001382E-2</v>
      </c>
      <c r="P245" s="3">
        <v>0</v>
      </c>
      <c r="Q245" s="3">
        <v>-2.7168729445947611E-2</v>
      </c>
      <c r="R245" s="3">
        <v>1.207058462741293</v>
      </c>
      <c r="S245" s="3">
        <v>0.1015971517970078</v>
      </c>
      <c r="T245" s="3">
        <v>-0.30591820872414061</v>
      </c>
      <c r="U245" s="3">
        <v>1.0880060354015779</v>
      </c>
      <c r="V245" s="3">
        <v>4.278958240387662</v>
      </c>
      <c r="W245" s="3">
        <v>1.08935089928261</v>
      </c>
      <c r="X245" s="3">
        <v>3.4246955139262441</v>
      </c>
      <c r="Y245" s="3">
        <v>0.98737571356427889</v>
      </c>
    </row>
    <row r="246" spans="1:25" x14ac:dyDescent="0.25">
      <c r="A246" s="2">
        <v>44926</v>
      </c>
      <c r="B246" s="3">
        <v>-5.7982981481834013E-2</v>
      </c>
      <c r="C246" s="3">
        <v>-6.4473025586244459E-2</v>
      </c>
      <c r="D246" s="3">
        <v>-9.5188907949149693E-3</v>
      </c>
      <c r="E246" s="3">
        <v>-4.0291435427164513E-2</v>
      </c>
      <c r="F246" s="3">
        <v>-3.59946469380934E-2</v>
      </c>
      <c r="G246" s="3">
        <v>6.6956946376116822E-2</v>
      </c>
      <c r="H246" s="3">
        <v>1</v>
      </c>
      <c r="I246" s="3">
        <v>-1</v>
      </c>
      <c r="J246" s="3">
        <v>-9.5188907949149693E-3</v>
      </c>
      <c r="K246" s="3">
        <v>0</v>
      </c>
      <c r="L246" s="3">
        <v>4.0291435427164513E-2</v>
      </c>
      <c r="M246" s="3">
        <v>0</v>
      </c>
      <c r="N246" s="3">
        <v>0</v>
      </c>
      <c r="O246" s="3">
        <v>3.59946469380934E-2</v>
      </c>
      <c r="P246" s="3">
        <v>0</v>
      </c>
      <c r="Q246" s="3">
        <v>6.6956946376116822E-2</v>
      </c>
      <c r="R246" s="3">
        <v>1.1860497142564661</v>
      </c>
      <c r="S246" s="3">
        <v>0.1015971517970078</v>
      </c>
      <c r="T246" s="3">
        <v>-0.27795265704977867</v>
      </c>
      <c r="U246" s="3">
        <v>1.0880060354015779</v>
      </c>
      <c r="V246" s="3">
        <v>4.278958240387662</v>
      </c>
      <c r="W246" s="3">
        <v>1.164556347232075</v>
      </c>
      <c r="X246" s="3">
        <v>3.4246955139262441</v>
      </c>
      <c r="Y246" s="3">
        <v>1.120444322646599</v>
      </c>
    </row>
    <row r="247" spans="1:25" x14ac:dyDescent="0.25">
      <c r="A247" s="2">
        <v>44957</v>
      </c>
      <c r="B247" s="3">
        <v>6.2117027200611068E-2</v>
      </c>
      <c r="C247" s="3">
        <v>-2.9368092725407521E-2</v>
      </c>
      <c r="D247" s="3">
        <v>1.581941671216525E-2</v>
      </c>
      <c r="E247" s="3">
        <v>-4.108007920096135E-4</v>
      </c>
      <c r="F247" s="3">
        <v>1.446208651665359E-2</v>
      </c>
      <c r="G247" s="3">
        <v>6.068557764158955E-2</v>
      </c>
      <c r="H247" s="3">
        <v>1</v>
      </c>
      <c r="I247" s="3">
        <v>-1</v>
      </c>
      <c r="J247" s="3">
        <v>1.581941671216525E-2</v>
      </c>
      <c r="K247" s="3">
        <v>0</v>
      </c>
      <c r="L247" s="3">
        <v>4.108007920096135E-4</v>
      </c>
      <c r="M247" s="3">
        <v>0</v>
      </c>
      <c r="N247" s="3">
        <v>0</v>
      </c>
      <c r="O247" s="3">
        <v>-1.446208651665359E-2</v>
      </c>
      <c r="P247" s="3">
        <v>0</v>
      </c>
      <c r="Q247" s="3">
        <v>6.068557764158955E-2</v>
      </c>
      <c r="R247" s="3">
        <v>1.220631745639799</v>
      </c>
      <c r="S247" s="3">
        <v>0.1015971517970078</v>
      </c>
      <c r="T247" s="3">
        <v>-0.27765603942942629</v>
      </c>
      <c r="U247" s="3">
        <v>1.0880060354015779</v>
      </c>
      <c r="V247" s="3">
        <v>4.278958240387662</v>
      </c>
      <c r="W247" s="3">
        <v>1.1332523460682331</v>
      </c>
      <c r="X247" s="3">
        <v>3.4246955139262441</v>
      </c>
      <c r="Y247" s="3">
        <v>1.2491247112232371</v>
      </c>
    </row>
    <row r="248" spans="1:25" x14ac:dyDescent="0.25">
      <c r="A248" s="2">
        <v>44985</v>
      </c>
      <c r="B248" s="3">
        <v>-2.458039785043065E-2</v>
      </c>
      <c r="C248" s="3">
        <v>3.3923558882302252E-2</v>
      </c>
      <c r="D248" s="3">
        <v>-5.6531612216031979E-3</v>
      </c>
      <c r="E248" s="3">
        <v>4.0872679721615226E-3</v>
      </c>
      <c r="F248" s="3">
        <v>2.1522983318670749E-2</v>
      </c>
      <c r="G248" s="3">
        <v>-1.707013144743064E-2</v>
      </c>
      <c r="H248" s="3">
        <v>-1</v>
      </c>
      <c r="I248" s="3">
        <v>1</v>
      </c>
      <c r="J248" s="3">
        <v>0</v>
      </c>
      <c r="K248" s="3">
        <v>5.6531612216031979E-3</v>
      </c>
      <c r="L248" s="3">
        <v>0</v>
      </c>
      <c r="M248" s="3">
        <v>4.0872679721615226E-3</v>
      </c>
      <c r="N248" s="3">
        <v>2.1522983318670749E-2</v>
      </c>
      <c r="O248" s="3">
        <v>0</v>
      </c>
      <c r="P248" s="3">
        <v>1.707013144743064E-2</v>
      </c>
      <c r="Q248" s="3">
        <v>0</v>
      </c>
      <c r="R248" s="3">
        <v>1.220631745639799</v>
      </c>
      <c r="S248" s="3">
        <v>0.1078246580973752</v>
      </c>
      <c r="T248" s="3">
        <v>-0.27765603942942629</v>
      </c>
      <c r="U248" s="3">
        <v>1.096540275595755</v>
      </c>
      <c r="V248" s="3">
        <v>4.3925771705354846</v>
      </c>
      <c r="W248" s="3">
        <v>1.1332523460682331</v>
      </c>
      <c r="X248" s="3">
        <v>3.500225647963823</v>
      </c>
      <c r="Y248" s="3">
        <v>1.2491247112232371</v>
      </c>
    </row>
    <row r="249" spans="1:25" x14ac:dyDescent="0.25">
      <c r="A249" s="2">
        <v>45016</v>
      </c>
      <c r="B249" s="3">
        <v>3.7874144878225713E-2</v>
      </c>
      <c r="C249" s="3">
        <v>-2.43122810906794E-2</v>
      </c>
      <c r="D249" s="3">
        <v>2.6329002380827578E-2</v>
      </c>
      <c r="E249" s="3">
        <v>1.3466143788745329E-2</v>
      </c>
      <c r="F249" s="3">
        <v>5.3431325646574601E-3</v>
      </c>
      <c r="G249" s="3">
        <v>2.994378204391301E-3</v>
      </c>
      <c r="H249" s="3">
        <v>1</v>
      </c>
      <c r="I249" s="3">
        <v>-1</v>
      </c>
      <c r="J249" s="3">
        <v>2.6329002380827578E-2</v>
      </c>
      <c r="K249" s="3">
        <v>0</v>
      </c>
      <c r="L249" s="3">
        <v>-1.3466143788745329E-2</v>
      </c>
      <c r="M249" s="3">
        <v>0</v>
      </c>
      <c r="N249" s="3">
        <v>0</v>
      </c>
      <c r="O249" s="3">
        <v>-5.3431325646574601E-3</v>
      </c>
      <c r="P249" s="3">
        <v>0</v>
      </c>
      <c r="Q249" s="3">
        <v>2.994378204391301E-3</v>
      </c>
      <c r="R249" s="3">
        <v>1.2790987641576901</v>
      </c>
      <c r="S249" s="3">
        <v>0.1078246580973752</v>
      </c>
      <c r="T249" s="3">
        <v>-0.28738322706740138</v>
      </c>
      <c r="U249" s="3">
        <v>1.096540275595755</v>
      </c>
      <c r="V249" s="3">
        <v>4.3925771705354846</v>
      </c>
      <c r="W249" s="3">
        <v>1.121854095989324</v>
      </c>
      <c r="X249" s="3">
        <v>3.500225647963823</v>
      </c>
      <c r="Y249" s="3">
        <v>1.2558594412374819</v>
      </c>
    </row>
    <row r="250" spans="1:25" x14ac:dyDescent="0.25">
      <c r="A250" s="2">
        <v>45046</v>
      </c>
      <c r="B250" s="3">
        <v>1.6372100234773201E-2</v>
      </c>
      <c r="C250" s="3">
        <v>1.4107605028674921E-2</v>
      </c>
      <c r="D250" s="3">
        <v>8.3336551734677355E-3</v>
      </c>
      <c r="E250" s="3">
        <v>1.025448541667473E-2</v>
      </c>
      <c r="F250" s="3">
        <v>5.7134553226045881E-4</v>
      </c>
      <c r="G250" s="3">
        <v>6.5913795879379844E-3</v>
      </c>
      <c r="H250" s="3">
        <v>-1</v>
      </c>
      <c r="I250" s="3">
        <v>1</v>
      </c>
      <c r="J250" s="3">
        <v>0</v>
      </c>
      <c r="K250" s="3">
        <v>-8.3336551734677355E-3</v>
      </c>
      <c r="L250" s="3">
        <v>0</v>
      </c>
      <c r="M250" s="3">
        <v>1.025448541667473E-2</v>
      </c>
      <c r="N250" s="3">
        <v>5.7134553226045881E-4</v>
      </c>
      <c r="O250" s="3">
        <v>0</v>
      </c>
      <c r="P250" s="3">
        <v>-6.5913795879379844E-3</v>
      </c>
      <c r="Q250" s="3">
        <v>0</v>
      </c>
      <c r="R250" s="3">
        <v>1.2790987641576901</v>
      </c>
      <c r="S250" s="3">
        <v>9.8592429404126936E-2</v>
      </c>
      <c r="T250" s="3">
        <v>-0.28738322706740138</v>
      </c>
      <c r="U250" s="3">
        <v>1.1180392172773219</v>
      </c>
      <c r="V250" s="3">
        <v>4.3956581954092409</v>
      </c>
      <c r="W250" s="3">
        <v>1.121854095989324</v>
      </c>
      <c r="X250" s="3">
        <v>3.470562952486719</v>
      </c>
      <c r="Y250" s="3">
        <v>1.2558594412374819</v>
      </c>
    </row>
    <row r="251" spans="1:25" x14ac:dyDescent="0.25">
      <c r="A251" s="2">
        <v>45077</v>
      </c>
      <c r="B251" s="3">
        <v>5.2853901796534597E-3</v>
      </c>
      <c r="C251" s="3">
        <v>5.4881201483859672E-2</v>
      </c>
      <c r="D251" s="3">
        <v>-1.615121884994908E-3</v>
      </c>
      <c r="E251" s="3">
        <v>1.8667320105371091E-2</v>
      </c>
      <c r="F251" s="3">
        <v>-7.683233810736767E-3</v>
      </c>
      <c r="G251" s="3">
        <v>-1.153723989959754E-2</v>
      </c>
      <c r="H251" s="3">
        <v>-1</v>
      </c>
      <c r="I251" s="3">
        <v>1</v>
      </c>
      <c r="J251" s="3">
        <v>0</v>
      </c>
      <c r="K251" s="3">
        <v>1.615121884994908E-3</v>
      </c>
      <c r="L251" s="3">
        <v>0</v>
      </c>
      <c r="M251" s="3">
        <v>1.8667320105371091E-2</v>
      </c>
      <c r="N251" s="3">
        <v>-7.683233810736767E-3</v>
      </c>
      <c r="O251" s="3">
        <v>0</v>
      </c>
      <c r="P251" s="3">
        <v>1.153723989959754E-2</v>
      </c>
      <c r="Q251" s="3">
        <v>0</v>
      </c>
      <c r="R251" s="3">
        <v>1.2790987641576901</v>
      </c>
      <c r="S251" s="3">
        <v>0.1003667900795473</v>
      </c>
      <c r="T251" s="3">
        <v>-0.28738322706740138</v>
      </c>
      <c r="U251" s="3">
        <v>1.1575773333419681</v>
      </c>
      <c r="V251" s="3">
        <v>4.3542020919310938</v>
      </c>
      <c r="W251" s="3">
        <v>1.121854095989324</v>
      </c>
      <c r="X251" s="3">
        <v>3.522140909755811</v>
      </c>
      <c r="Y251" s="3">
        <v>1.2558594412374819</v>
      </c>
    </row>
    <row r="252" spans="1:25" x14ac:dyDescent="0.25">
      <c r="A252" s="2">
        <v>45107</v>
      </c>
      <c r="B252" s="3">
        <v>6.3317298563026925E-2</v>
      </c>
      <c r="C252" s="3">
        <v>5.1217226572563328E-2</v>
      </c>
      <c r="D252" s="3">
        <v>1.55638823672748E-2</v>
      </c>
      <c r="E252" s="3">
        <v>6.4348561220392009E-3</v>
      </c>
      <c r="F252" s="3">
        <v>2.0765555428765459E-2</v>
      </c>
      <c r="G252" s="3">
        <v>-1.7847501870213001E-2</v>
      </c>
      <c r="H252" s="3">
        <v>-1</v>
      </c>
      <c r="I252" s="3">
        <v>1</v>
      </c>
      <c r="J252" s="3">
        <v>0</v>
      </c>
      <c r="K252" s="3">
        <v>-1.55638823672748E-2</v>
      </c>
      <c r="L252" s="3">
        <v>0</v>
      </c>
      <c r="M252" s="3">
        <v>6.4348561220392009E-3</v>
      </c>
      <c r="N252" s="3">
        <v>2.0765555428765459E-2</v>
      </c>
      <c r="O252" s="3">
        <v>0</v>
      </c>
      <c r="P252" s="3">
        <v>1.7847501870213001E-2</v>
      </c>
      <c r="Q252" s="3">
        <v>0</v>
      </c>
      <c r="R252" s="3">
        <v>1.2790987641576901</v>
      </c>
      <c r="S252" s="3">
        <v>8.3240810797893472E-2</v>
      </c>
      <c r="T252" s="3">
        <v>-0.28738322706740138</v>
      </c>
      <c r="U252" s="3">
        <v>1.1714610330541959</v>
      </c>
      <c r="V252" s="3">
        <v>4.4653850722479014</v>
      </c>
      <c r="W252" s="3">
        <v>1.121854095989324</v>
      </c>
      <c r="X252" s="3">
        <v>3.6028498281000449</v>
      </c>
      <c r="Y252" s="3">
        <v>1.2558594412374819</v>
      </c>
    </row>
    <row r="253" spans="1:25" x14ac:dyDescent="0.25">
      <c r="A253" s="2">
        <v>45138</v>
      </c>
      <c r="B253" s="3">
        <v>3.2475145130838268E-2</v>
      </c>
      <c r="C253" s="3">
        <v>3.6807074454114692E-2</v>
      </c>
      <c r="D253" s="3">
        <v>7.9481421312173062E-3</v>
      </c>
      <c r="E253" s="3">
        <v>-1.2798472893699399E-2</v>
      </c>
      <c r="F253" s="3">
        <v>-8.1609248625801323E-3</v>
      </c>
      <c r="G253" s="3">
        <v>-3.4021284009658537E-2</v>
      </c>
      <c r="H253" s="3">
        <v>-1</v>
      </c>
      <c r="I253" s="3">
        <v>1</v>
      </c>
      <c r="J253" s="3">
        <v>0</v>
      </c>
      <c r="K253" s="3">
        <v>-7.9481421312173062E-3</v>
      </c>
      <c r="L253" s="3">
        <v>0</v>
      </c>
      <c r="M253" s="3">
        <v>-1.2798472893699399E-2</v>
      </c>
      <c r="N253" s="3">
        <v>-8.1609248625801323E-3</v>
      </c>
      <c r="O253" s="3">
        <v>0</v>
      </c>
      <c r="P253" s="3">
        <v>3.4021284009658537E-2</v>
      </c>
      <c r="Q253" s="3">
        <v>0</v>
      </c>
      <c r="R253" s="3">
        <v>1.2790987641576901</v>
      </c>
      <c r="S253" s="3">
        <v>7.4631058871336808E-2</v>
      </c>
      <c r="T253" s="3">
        <v>-0.28738322706740138</v>
      </c>
      <c r="U253" s="3">
        <v>1.1436696478829269</v>
      </c>
      <c r="V253" s="3">
        <v>4.4207824753282194</v>
      </c>
      <c r="W253" s="3">
        <v>1.121854095989324</v>
      </c>
      <c r="X253" s="3">
        <v>3.7594446893556448</v>
      </c>
      <c r="Y253" s="3">
        <v>1.2558594412374819</v>
      </c>
    </row>
    <row r="254" spans="1:25" x14ac:dyDescent="0.25">
      <c r="A254" s="2">
        <v>45169</v>
      </c>
      <c r="B254" s="3">
        <v>-1.571836610974808E-2</v>
      </c>
      <c r="C254" s="3">
        <v>3.3658852739016032E-2</v>
      </c>
      <c r="D254" s="3">
        <v>2.5071369521114991E-2</v>
      </c>
      <c r="E254" s="3">
        <v>4.3991001855040013E-2</v>
      </c>
      <c r="F254" s="3">
        <v>-1.5432595267901311E-2</v>
      </c>
      <c r="G254" s="3">
        <v>-4.2286631196988063E-2</v>
      </c>
      <c r="H254" s="3">
        <v>-1</v>
      </c>
      <c r="I254" s="3">
        <v>1</v>
      </c>
      <c r="J254" s="3">
        <v>0</v>
      </c>
      <c r="K254" s="3">
        <v>-2.5071369521114991E-2</v>
      </c>
      <c r="L254" s="3">
        <v>0</v>
      </c>
      <c r="M254" s="3">
        <v>4.3991001855040013E-2</v>
      </c>
      <c r="N254" s="3">
        <v>-1.5432595267901311E-2</v>
      </c>
      <c r="O254" s="3">
        <v>0</v>
      </c>
      <c r="P254" s="3">
        <v>4.2286631196988063E-2</v>
      </c>
      <c r="Q254" s="3">
        <v>0</v>
      </c>
      <c r="R254" s="3">
        <v>1.2790987641576901</v>
      </c>
      <c r="S254" s="3">
        <v>4.7688586495506342E-2</v>
      </c>
      <c r="T254" s="3">
        <v>-0.28738322706740138</v>
      </c>
      <c r="U254" s="3">
        <v>1.237971823339538</v>
      </c>
      <c r="V254" s="3">
        <v>4.3371257333511473</v>
      </c>
      <c r="W254" s="3">
        <v>1.121854095989324</v>
      </c>
      <c r="X254" s="3">
        <v>3.9607055716368911</v>
      </c>
      <c r="Y254" s="3">
        <v>1.2558594412374819</v>
      </c>
    </row>
    <row r="255" spans="1:25" x14ac:dyDescent="0.25">
      <c r="A255" s="2">
        <v>45199</v>
      </c>
      <c r="B255" s="3">
        <v>-4.8086200904903009E-2</v>
      </c>
      <c r="C255" s="3">
        <v>1.031498807700992E-2</v>
      </c>
      <c r="D255" s="3">
        <v>-6.7164128467684936E-3</v>
      </c>
      <c r="E255" s="3">
        <v>-3.0094240806448399E-2</v>
      </c>
      <c r="F255" s="3">
        <v>-1.0743415672330061E-2</v>
      </c>
      <c r="G255" s="3">
        <v>-2.05385439895065E-2</v>
      </c>
      <c r="H255" s="3">
        <v>-1</v>
      </c>
      <c r="I255" s="3">
        <v>1</v>
      </c>
      <c r="J255" s="3">
        <v>0</v>
      </c>
      <c r="K255" s="3">
        <v>6.7164128467684936E-3</v>
      </c>
      <c r="L255" s="3">
        <v>0</v>
      </c>
      <c r="M255" s="3">
        <v>-3.0094240806448399E-2</v>
      </c>
      <c r="N255" s="3">
        <v>-1.0743415672330061E-2</v>
      </c>
      <c r="O255" s="3">
        <v>0</v>
      </c>
      <c r="P255" s="3">
        <v>2.05385439895065E-2</v>
      </c>
      <c r="Q255" s="3">
        <v>0</v>
      </c>
      <c r="R255" s="3">
        <v>1.2790987641576901</v>
      </c>
      <c r="S255" s="3">
        <v>5.4725295577257471E-2</v>
      </c>
      <c r="T255" s="3">
        <v>-0.28738322706740138</v>
      </c>
      <c r="U255" s="3">
        <v>1.1706217603699121</v>
      </c>
      <c r="V255" s="3">
        <v>4.2797867731022663</v>
      </c>
      <c r="W255" s="3">
        <v>1.121854095989324</v>
      </c>
      <c r="X255" s="3">
        <v>4.0625912412389447</v>
      </c>
      <c r="Y255" s="3">
        <v>1.2558594412374819</v>
      </c>
    </row>
    <row r="256" spans="1:25" x14ac:dyDescent="0.25">
      <c r="A256" s="2">
        <v>45230</v>
      </c>
      <c r="B256" s="3">
        <v>-2.1121228625846981E-2</v>
      </c>
      <c r="C256" s="3">
        <v>4.3912183439720809E-2</v>
      </c>
      <c r="D256" s="3">
        <v>-6.8173591326821104E-3</v>
      </c>
      <c r="E256" s="3">
        <v>4.6333099020748891E-3</v>
      </c>
      <c r="F256" s="3">
        <v>4.9941954224604901E-3</v>
      </c>
      <c r="G256" s="3">
        <v>-4.1246143274516138E-2</v>
      </c>
      <c r="H256" s="3">
        <v>-1</v>
      </c>
      <c r="I256" s="3">
        <v>1</v>
      </c>
      <c r="J256" s="3">
        <v>0</v>
      </c>
      <c r="K256" s="3">
        <v>6.8173591326821104E-3</v>
      </c>
      <c r="L256" s="3">
        <v>0</v>
      </c>
      <c r="M256" s="3">
        <v>4.6333099020748891E-3</v>
      </c>
      <c r="N256" s="3">
        <v>4.9941954224604901E-3</v>
      </c>
      <c r="O256" s="3">
        <v>0</v>
      </c>
      <c r="P256" s="3">
        <v>4.1246143274516138E-2</v>
      </c>
      <c r="Q256" s="3">
        <v>0</v>
      </c>
      <c r="R256" s="3">
        <v>1.2790987641576901</v>
      </c>
      <c r="S256" s="3">
        <v>6.1915736703531898E-2</v>
      </c>
      <c r="T256" s="3">
        <v>-0.28738322706740138</v>
      </c>
      <c r="U256" s="3">
        <v>1.180678923665893</v>
      </c>
      <c r="V256" s="3">
        <v>4.3061550600360601</v>
      </c>
      <c r="W256" s="3">
        <v>1.121854095989324</v>
      </c>
      <c r="X256" s="3">
        <v>4.2714036049153963</v>
      </c>
      <c r="Y256" s="3">
        <v>1.2558594412374819</v>
      </c>
    </row>
    <row r="257" spans="1:25" x14ac:dyDescent="0.25">
      <c r="A257" s="2">
        <v>45260</v>
      </c>
      <c r="B257" s="3">
        <v>8.8086653188007458E-2</v>
      </c>
      <c r="C257" s="3">
        <v>-3.8927575444580591E-3</v>
      </c>
      <c r="D257" s="3">
        <v>6.8993651862111482E-3</v>
      </c>
      <c r="E257" s="3">
        <v>1.1453905848662351E-2</v>
      </c>
      <c r="F257" s="3">
        <v>4.4099030604403573E-2</v>
      </c>
      <c r="G257" s="3">
        <v>5.6307117866888912E-2</v>
      </c>
      <c r="H257" s="3">
        <v>1</v>
      </c>
      <c r="I257" s="3">
        <v>-1</v>
      </c>
      <c r="J257" s="3">
        <v>6.8993651862111482E-3</v>
      </c>
      <c r="K257" s="3">
        <v>0</v>
      </c>
      <c r="L257" s="3">
        <v>-1.1453905848662351E-2</v>
      </c>
      <c r="M257" s="3">
        <v>0</v>
      </c>
      <c r="N257" s="3">
        <v>0</v>
      </c>
      <c r="O257" s="3">
        <v>-4.4099030604403573E-2</v>
      </c>
      <c r="P257" s="3">
        <v>0</v>
      </c>
      <c r="Q257" s="3">
        <v>5.6307117866888912E-2</v>
      </c>
      <c r="R257" s="3">
        <v>1.294823098827057</v>
      </c>
      <c r="S257" s="3">
        <v>6.1915736703531898E-2</v>
      </c>
      <c r="T257" s="3">
        <v>-0.29554547249074892</v>
      </c>
      <c r="U257" s="3">
        <v>1.180678923665893</v>
      </c>
      <c r="V257" s="3">
        <v>4.3061550600360601</v>
      </c>
      <c r="W257" s="3">
        <v>1.028282387272212</v>
      </c>
      <c r="X257" s="3">
        <v>4.2714036049153963</v>
      </c>
      <c r="Y257" s="3">
        <v>1.3828803846863751</v>
      </c>
    </row>
    <row r="258" spans="1:25" x14ac:dyDescent="0.25">
      <c r="A258" s="2">
        <v>45291</v>
      </c>
      <c r="B258" s="3">
        <v>4.5032545089293108E-2</v>
      </c>
      <c r="C258" s="3">
        <v>-4.5535680356017738E-2</v>
      </c>
      <c r="D258" s="3">
        <v>5.5230390785299122E-3</v>
      </c>
      <c r="E258" s="3">
        <v>-2.6863313969416319E-4</v>
      </c>
      <c r="F258" s="3">
        <v>4.070025223268936E-3</v>
      </c>
      <c r="G258" s="3">
        <v>4.3921720688097958E-2</v>
      </c>
      <c r="H258" s="3">
        <v>1</v>
      </c>
      <c r="I258" s="3">
        <v>-1</v>
      </c>
      <c r="J258" s="3">
        <v>5.5230390785299122E-3</v>
      </c>
      <c r="K258" s="3">
        <v>0</v>
      </c>
      <c r="L258" s="3">
        <v>2.6863313969416319E-4</v>
      </c>
      <c r="M258" s="3">
        <v>0</v>
      </c>
      <c r="N258" s="3">
        <v>0</v>
      </c>
      <c r="O258" s="3">
        <v>-4.070025223268936E-3</v>
      </c>
      <c r="P258" s="3">
        <v>0</v>
      </c>
      <c r="Q258" s="3">
        <v>4.3921720688097958E-2</v>
      </c>
      <c r="R258" s="3">
        <v>1.307497496480192</v>
      </c>
      <c r="S258" s="3">
        <v>6.1915736703531898E-2</v>
      </c>
      <c r="T258" s="3">
        <v>-0.29535623265925243</v>
      </c>
      <c r="U258" s="3">
        <v>1.180678923665893</v>
      </c>
      <c r="V258" s="3">
        <v>4.3061550600360601</v>
      </c>
      <c r="W258" s="3">
        <v>1.0200272267961019</v>
      </c>
      <c r="X258" s="3">
        <v>4.2714036049153963</v>
      </c>
      <c r="Y258" s="3">
        <v>1.487540591375718</v>
      </c>
    </row>
    <row r="259" spans="1:25" x14ac:dyDescent="0.25">
      <c r="A259" s="2">
        <v>45322</v>
      </c>
      <c r="B259" s="3">
        <v>1.6302051345134631E-2</v>
      </c>
      <c r="C259" s="3">
        <v>7.1347213611507199E-2</v>
      </c>
      <c r="D259" s="3">
        <v>-3.9098819824745501E-3</v>
      </c>
      <c r="E259" s="3">
        <v>2.9164093503195491E-2</v>
      </c>
      <c r="F259" s="3">
        <v>-1.338480390224994E-3</v>
      </c>
      <c r="G259" s="3">
        <v>-1.6488420374004661E-2</v>
      </c>
      <c r="H259" s="3">
        <v>-1</v>
      </c>
      <c r="I259" s="3">
        <v>1</v>
      </c>
      <c r="J259" s="3">
        <v>0</v>
      </c>
      <c r="K259" s="3">
        <v>3.9098819824745501E-3</v>
      </c>
      <c r="L259" s="3">
        <v>0</v>
      </c>
      <c r="M259" s="3">
        <v>2.9164093503195491E-2</v>
      </c>
      <c r="N259" s="3">
        <v>-1.338480390224994E-3</v>
      </c>
      <c r="O259" s="3">
        <v>0</v>
      </c>
      <c r="P259" s="3">
        <v>1.6488420374004661E-2</v>
      </c>
      <c r="Q259" s="3">
        <v>0</v>
      </c>
      <c r="R259" s="3">
        <v>1.307497496480192</v>
      </c>
      <c r="S259" s="3">
        <v>6.6067701909375165E-2</v>
      </c>
      <c r="T259" s="3">
        <v>-0.29535623265925243</v>
      </c>
      <c r="U259" s="3">
        <v>1.244276447696133</v>
      </c>
      <c r="V259" s="3">
        <v>4.2990528755407089</v>
      </c>
      <c r="W259" s="3">
        <v>1.0200272267961019</v>
      </c>
      <c r="X259" s="3">
        <v>4.3583207235142858</v>
      </c>
      <c r="Y259" s="3">
        <v>1.487540591375718</v>
      </c>
    </row>
    <row r="260" spans="1:25" x14ac:dyDescent="0.25">
      <c r="A260" s="2">
        <v>45351</v>
      </c>
      <c r="B260" s="3">
        <v>5.1488685958427927E-2</v>
      </c>
      <c r="C260" s="3">
        <v>8.87523830448953E-2</v>
      </c>
      <c r="D260" s="3">
        <v>1.1580405556553821E-3</v>
      </c>
      <c r="E260" s="3">
        <v>1.6757653500592769E-2</v>
      </c>
      <c r="F260" s="3">
        <v>3.1218100307130129E-2</v>
      </c>
      <c r="G260" s="3">
        <v>-1.773197542108396E-2</v>
      </c>
      <c r="H260" s="3">
        <v>-1</v>
      </c>
      <c r="I260" s="3">
        <v>1</v>
      </c>
      <c r="J260" s="3">
        <v>0</v>
      </c>
      <c r="K260" s="3">
        <v>-1.1580405556553821E-3</v>
      </c>
      <c r="L260" s="3">
        <v>0</v>
      </c>
      <c r="M260" s="3">
        <v>1.6757653500592769E-2</v>
      </c>
      <c r="N260" s="3">
        <v>3.1218100307130129E-2</v>
      </c>
      <c r="O260" s="3">
        <v>0</v>
      </c>
      <c r="P260" s="3">
        <v>1.773197542108396E-2</v>
      </c>
      <c r="Q260" s="3">
        <v>0</v>
      </c>
      <c r="R260" s="3">
        <v>1.307497496480192</v>
      </c>
      <c r="S260" s="3">
        <v>6.4833152275489692E-2</v>
      </c>
      <c r="T260" s="3">
        <v>-0.29535623265925243</v>
      </c>
      <c r="U260" s="3">
        <v>1.2818852547661661</v>
      </c>
      <c r="V260" s="3">
        <v>4.4644792397421247</v>
      </c>
      <c r="W260" s="3">
        <v>1.0200272267961019</v>
      </c>
      <c r="X260" s="3">
        <v>4.4533343348819256</v>
      </c>
      <c r="Y260" s="3">
        <v>1.487540591375718</v>
      </c>
    </row>
    <row r="261" spans="1:25" x14ac:dyDescent="0.25">
      <c r="A261" s="2">
        <v>45382</v>
      </c>
      <c r="B261" s="3">
        <v>3.2561157180436402E-2</v>
      </c>
      <c r="C261" s="3">
        <v>3.9033463812237601E-2</v>
      </c>
      <c r="D261" s="3">
        <v>1.707147072790405E-3</v>
      </c>
      <c r="E261" s="3">
        <v>1.6412869926522911E-2</v>
      </c>
      <c r="F261" s="3">
        <v>1.33154115377887E-2</v>
      </c>
      <c r="G261" s="3">
        <v>2.138089887232808E-2</v>
      </c>
      <c r="H261" s="3">
        <v>-1</v>
      </c>
      <c r="I261" s="3">
        <v>1</v>
      </c>
      <c r="J261" s="3">
        <v>0</v>
      </c>
      <c r="K261" s="3">
        <v>-1.707147072790405E-3</v>
      </c>
      <c r="L261" s="3">
        <v>0</v>
      </c>
      <c r="M261" s="3">
        <v>1.6412869926522911E-2</v>
      </c>
      <c r="N261" s="3">
        <v>1.33154115377887E-2</v>
      </c>
      <c r="O261" s="3">
        <v>0</v>
      </c>
      <c r="P261" s="3">
        <v>-2.138089887232808E-2</v>
      </c>
      <c r="Q261" s="3">
        <v>0</v>
      </c>
      <c r="R261" s="3">
        <v>1.307497496480192</v>
      </c>
      <c r="S261" s="3">
        <v>6.3015325476572404E-2</v>
      </c>
      <c r="T261" s="3">
        <v>-0.29535623265925243</v>
      </c>
      <c r="U261" s="3">
        <v>1.3193375406398939</v>
      </c>
      <c r="V261" s="3">
        <v>4.5372410296589942</v>
      </c>
      <c r="W261" s="3">
        <v>1.0200272267961019</v>
      </c>
      <c r="X261" s="3">
        <v>4.3367371449508214</v>
      </c>
      <c r="Y261" s="3">
        <v>1.487540591375718</v>
      </c>
    </row>
    <row r="262" spans="1:25" x14ac:dyDescent="0.25">
      <c r="A262" s="2">
        <v>45412</v>
      </c>
      <c r="B262" s="3">
        <v>-4.0391543623305333E-2</v>
      </c>
      <c r="C262" s="3">
        <v>1.03067571388471E-3</v>
      </c>
      <c r="D262" s="3">
        <v>1.397631961722645E-2</v>
      </c>
      <c r="E262" s="3">
        <v>-1.0349968267135631E-2</v>
      </c>
      <c r="F262" s="3">
        <v>-8.7583704293290321E-3</v>
      </c>
      <c r="G262" s="3">
        <v>-3.111525879994426E-2</v>
      </c>
      <c r="H262" s="3">
        <v>-1</v>
      </c>
      <c r="I262" s="3">
        <v>1</v>
      </c>
      <c r="J262" s="3">
        <v>0</v>
      </c>
      <c r="K262" s="3">
        <v>-1.397631961722645E-2</v>
      </c>
      <c r="L262" s="3">
        <v>0</v>
      </c>
      <c r="M262" s="3">
        <v>-1.0349968267135631E-2</v>
      </c>
      <c r="N262" s="3">
        <v>-8.7583704293290321E-3</v>
      </c>
      <c r="O262" s="3">
        <v>0</v>
      </c>
      <c r="P262" s="3">
        <v>3.111525879994426E-2</v>
      </c>
      <c r="Q262" s="3">
        <v>0</v>
      </c>
      <c r="R262" s="3">
        <v>1.307497496480192</v>
      </c>
      <c r="S262" s="3">
        <v>4.8158283529701862E-2</v>
      </c>
      <c r="T262" s="3">
        <v>-0.29535623265925243</v>
      </c>
      <c r="U262" s="3">
        <v>1.295332470693495</v>
      </c>
      <c r="V262" s="3">
        <v>4.4887438215647606</v>
      </c>
      <c r="W262" s="3">
        <v>1.0200272267961019</v>
      </c>
      <c r="X262" s="3">
        <v>4.5027911023632416</v>
      </c>
      <c r="Y262" s="3">
        <v>1.487540591375718</v>
      </c>
    </row>
    <row r="263" spans="1:25" x14ac:dyDescent="0.25">
      <c r="A263" s="2">
        <v>45443</v>
      </c>
      <c r="B263" s="3">
        <v>4.9772287603377929E-2</v>
      </c>
      <c r="C263" s="3">
        <v>1.5871341910803971E-2</v>
      </c>
      <c r="D263" s="3">
        <v>-7.3964813900097024E-3</v>
      </c>
      <c r="E263" s="3">
        <v>-1.225218699057218E-2</v>
      </c>
      <c r="F263" s="3">
        <v>2.9931878636019201E-2</v>
      </c>
      <c r="G263" s="3">
        <v>3.1775161074674152E-2</v>
      </c>
      <c r="H263" s="3">
        <v>-1</v>
      </c>
      <c r="I263" s="3">
        <v>1</v>
      </c>
      <c r="J263" s="3">
        <v>0</v>
      </c>
      <c r="K263" s="3">
        <v>7.3964813900097024E-3</v>
      </c>
      <c r="L263" s="3">
        <v>0</v>
      </c>
      <c r="M263" s="3">
        <v>-1.225218699057218E-2</v>
      </c>
      <c r="N263" s="3">
        <v>2.9931878636019201E-2</v>
      </c>
      <c r="O263" s="3">
        <v>0</v>
      </c>
      <c r="P263" s="3">
        <v>-3.1775161074674152E-2</v>
      </c>
      <c r="Q263" s="3">
        <v>0</v>
      </c>
      <c r="R263" s="3">
        <v>1.307497496480192</v>
      </c>
      <c r="S263" s="3">
        <v>5.5910966767613653E-2</v>
      </c>
      <c r="T263" s="3">
        <v>-0.29535623265925243</v>
      </c>
      <c r="U263" s="3">
        <v>1.267209628057026</v>
      </c>
      <c r="V263" s="3">
        <v>4.6530322354960383</v>
      </c>
      <c r="W263" s="3">
        <v>1.0200272267961019</v>
      </c>
      <c r="X263" s="3">
        <v>4.3279390287253658</v>
      </c>
      <c r="Y263" s="3">
        <v>1.487540591375718</v>
      </c>
    </row>
    <row r="264" spans="1:25" x14ac:dyDescent="0.25">
      <c r="A264" s="2">
        <v>45473</v>
      </c>
      <c r="B264" s="3">
        <v>3.4849085477307813E-2</v>
      </c>
      <c r="C264" s="3">
        <v>-1.417329128565081E-2</v>
      </c>
      <c r="D264" s="3">
        <v>2.7402782467881299E-3</v>
      </c>
      <c r="E264" s="3">
        <v>-2.722314433865014E-2</v>
      </c>
      <c r="F264" s="3">
        <v>1.2583856427827439E-2</v>
      </c>
      <c r="G264" s="3">
        <v>1.53484025320042E-2</v>
      </c>
      <c r="H264" s="3">
        <v>1</v>
      </c>
      <c r="I264" s="3">
        <v>-1</v>
      </c>
      <c r="J264" s="3">
        <v>2.7402782467881299E-3</v>
      </c>
      <c r="K264" s="3">
        <v>0</v>
      </c>
      <c r="L264" s="3">
        <v>2.722314433865014E-2</v>
      </c>
      <c r="M264" s="3">
        <v>0</v>
      </c>
      <c r="N264" s="3">
        <v>0</v>
      </c>
      <c r="O264" s="3">
        <v>-1.2583856427827439E-2</v>
      </c>
      <c r="P264" s="3">
        <v>0</v>
      </c>
      <c r="Q264" s="3">
        <v>1.53484025320042E-2</v>
      </c>
      <c r="R264" s="3">
        <v>1.3138206816743141</v>
      </c>
      <c r="S264" s="3">
        <v>5.5910966767613653E-2</v>
      </c>
      <c r="T264" s="3">
        <v>-0.27617361367360499</v>
      </c>
      <c r="U264" s="3">
        <v>1.267209628057026</v>
      </c>
      <c r="V264" s="3">
        <v>4.6530322354960383</v>
      </c>
      <c r="W264" s="3">
        <v>0.99460749419379746</v>
      </c>
      <c r="X264" s="3">
        <v>4.3279390287253658</v>
      </c>
      <c r="Y264" s="3">
        <v>1.5257203656868521</v>
      </c>
    </row>
    <row r="265" spans="1:25" x14ac:dyDescent="0.25">
      <c r="A265" s="2">
        <v>45504</v>
      </c>
      <c r="B265" s="3">
        <v>1.290112996253878E-2</v>
      </c>
      <c r="C265" s="3">
        <v>6.1670675443979972E-3</v>
      </c>
      <c r="D265" s="3">
        <v>-6.4659100909641998E-3</v>
      </c>
      <c r="E265" s="3">
        <v>2.3243077816766489E-2</v>
      </c>
      <c r="F265" s="3">
        <v>2.0170837668428421E-2</v>
      </c>
      <c r="G265" s="3">
        <v>1.4099578465205711E-2</v>
      </c>
      <c r="H265" s="3">
        <v>-1</v>
      </c>
      <c r="I265" s="3">
        <v>1</v>
      </c>
      <c r="J265" s="3">
        <v>0</v>
      </c>
      <c r="K265" s="3">
        <v>6.4659100909641998E-3</v>
      </c>
      <c r="L265" s="3">
        <v>0</v>
      </c>
      <c r="M265" s="3">
        <v>2.3243077816766489E-2</v>
      </c>
      <c r="N265" s="3">
        <v>2.0170837668428421E-2</v>
      </c>
      <c r="O265" s="3">
        <v>0</v>
      </c>
      <c r="P265" s="3">
        <v>-1.4099578465205711E-2</v>
      </c>
      <c r="Q265" s="3">
        <v>0</v>
      </c>
      <c r="R265" s="3">
        <v>1.3138206816743141</v>
      </c>
      <c r="S265" s="3">
        <v>6.2738392142796195E-2</v>
      </c>
      <c r="T265" s="3">
        <v>-0.27617361367360499</v>
      </c>
      <c r="U265" s="3">
        <v>1.3199065578688769</v>
      </c>
      <c r="V265" s="3">
        <v>4.7670586310526222</v>
      </c>
      <c r="W265" s="3">
        <v>0.99460749419379746</v>
      </c>
      <c r="X265" s="3">
        <v>4.252817334332021</v>
      </c>
      <c r="Y265" s="3">
        <v>1.5257203656868521</v>
      </c>
    </row>
    <row r="266" spans="1:25" x14ac:dyDescent="0.25">
      <c r="A266" s="2">
        <v>45535</v>
      </c>
      <c r="B266" s="3">
        <v>2.4635789167188778E-2</v>
      </c>
      <c r="C266" s="3">
        <v>-2.5806724954102741E-2</v>
      </c>
      <c r="D266" s="3">
        <v>5.596358321752759E-3</v>
      </c>
      <c r="E266" s="3">
        <v>-2.2810433083066739E-2</v>
      </c>
      <c r="F266" s="3">
        <v>-5.9367355518059939E-2</v>
      </c>
      <c r="G266" s="3">
        <v>1.5668761677651081E-2</v>
      </c>
      <c r="H266" s="3">
        <v>1</v>
      </c>
      <c r="I266" s="3">
        <v>-1</v>
      </c>
      <c r="J266" s="3">
        <v>5.596358321752759E-3</v>
      </c>
      <c r="K266" s="3">
        <v>0</v>
      </c>
      <c r="L266" s="3">
        <v>2.2810433083066739E-2</v>
      </c>
      <c r="M266" s="3">
        <v>0</v>
      </c>
      <c r="N266" s="3">
        <v>0</v>
      </c>
      <c r="O266" s="3">
        <v>5.9367355518059939E-2</v>
      </c>
      <c r="P266" s="3">
        <v>0</v>
      </c>
      <c r="Q266" s="3">
        <v>1.5668761677651081E-2</v>
      </c>
      <c r="R266" s="3">
        <v>1.3267696513012459</v>
      </c>
      <c r="S266" s="3">
        <v>6.2738392142796195E-2</v>
      </c>
      <c r="T266" s="3">
        <v>-0.25966282032454879</v>
      </c>
      <c r="U266" s="3">
        <v>1.3199065578688769</v>
      </c>
      <c r="V266" s="3">
        <v>4.7670586310526222</v>
      </c>
      <c r="W266" s="3">
        <v>1.113022066420587</v>
      </c>
      <c r="X266" s="3">
        <v>4.252817334332021</v>
      </c>
      <c r="Y266" s="3">
        <v>1.565295276161188</v>
      </c>
    </row>
    <row r="267" spans="1:25" x14ac:dyDescent="0.25">
      <c r="A267" s="2">
        <v>45565</v>
      </c>
      <c r="B267" s="3">
        <v>2.1500485992050681E-2</v>
      </c>
      <c r="C267" s="3">
        <v>-1.169251631222179E-2</v>
      </c>
      <c r="D267" s="3">
        <v>7.1774012114073082E-3</v>
      </c>
      <c r="E267" s="3">
        <v>-5.7311348029653866E-3</v>
      </c>
      <c r="F267" s="3">
        <v>-3.069188426390768E-2</v>
      </c>
      <c r="G267" s="3">
        <v>3.9119711694843518E-2</v>
      </c>
      <c r="H267" s="3">
        <v>1</v>
      </c>
      <c r="I267" s="3">
        <v>-1</v>
      </c>
      <c r="J267" s="3">
        <v>7.1774012114073082E-3</v>
      </c>
      <c r="K267" s="3">
        <v>0</v>
      </c>
      <c r="L267" s="3">
        <v>5.7311348029653866E-3</v>
      </c>
      <c r="M267" s="3">
        <v>0</v>
      </c>
      <c r="N267" s="3">
        <v>0</v>
      </c>
      <c r="O267" s="3">
        <v>3.069188426390768E-2</v>
      </c>
      <c r="P267" s="3">
        <v>0</v>
      </c>
      <c r="Q267" s="3">
        <v>3.9119711694843518E-2</v>
      </c>
      <c r="R267" s="3">
        <v>1.343469810615161</v>
      </c>
      <c r="S267" s="3">
        <v>6.2738392142796195E-2</v>
      </c>
      <c r="T267" s="3">
        <v>-0.25541984814818153</v>
      </c>
      <c r="U267" s="3">
        <v>1.3199065578688769</v>
      </c>
      <c r="V267" s="3">
        <v>4.7670586310526222</v>
      </c>
      <c r="W267" s="3">
        <v>1.177874695130251</v>
      </c>
      <c r="X267" s="3">
        <v>4.252817334332021</v>
      </c>
      <c r="Y267" s="3">
        <v>1.6656488877767579</v>
      </c>
    </row>
    <row r="268" spans="1:25" x14ac:dyDescent="0.25">
      <c r="A268" s="2">
        <v>45596</v>
      </c>
      <c r="B268" s="3">
        <v>-8.4199511475034905E-3</v>
      </c>
      <c r="C268" s="3">
        <v>7.5216613616825523E-2</v>
      </c>
      <c r="D268" s="3">
        <v>-2.5769763389014929E-2</v>
      </c>
      <c r="E268" s="3">
        <v>2.433571776447208E-3</v>
      </c>
      <c r="F268" s="3">
        <v>-1.031769020751694E-2</v>
      </c>
      <c r="G268" s="3">
        <v>-3.0463921240821649E-2</v>
      </c>
      <c r="H268" s="3">
        <v>-1</v>
      </c>
      <c r="I268" s="3">
        <v>1</v>
      </c>
      <c r="J268" s="3">
        <v>0</v>
      </c>
      <c r="K268" s="3">
        <v>2.5769763389014929E-2</v>
      </c>
      <c r="L268" s="3">
        <v>0</v>
      </c>
      <c r="M268" s="3">
        <v>2.433571776447208E-3</v>
      </c>
      <c r="N268" s="3">
        <v>-1.031769020751694E-2</v>
      </c>
      <c r="O268" s="3">
        <v>0</v>
      </c>
      <c r="P268" s="3">
        <v>3.0463921240821649E-2</v>
      </c>
      <c r="Q268" s="3">
        <v>0</v>
      </c>
      <c r="R268" s="3">
        <v>1.343469810615161</v>
      </c>
      <c r="S268" s="3">
        <v>9.0124909052738289E-2</v>
      </c>
      <c r="T268" s="3">
        <v>-0.25541984814818153</v>
      </c>
      <c r="U268" s="3">
        <v>1.3255522169921019</v>
      </c>
      <c r="V268" s="3">
        <v>4.7075559066888344</v>
      </c>
      <c r="W268" s="3">
        <v>1.177874695130251</v>
      </c>
      <c r="X268" s="3">
        <v>4.4128387478975339</v>
      </c>
      <c r="Y268" s="3">
        <v>1.6656488877767579</v>
      </c>
    </row>
    <row r="269" spans="1:25" x14ac:dyDescent="0.25">
      <c r="A269" s="2">
        <v>45626</v>
      </c>
      <c r="B269" s="3">
        <v>5.8536324305337062E-2</v>
      </c>
      <c r="C269" s="3">
        <v>6.2374930260179817E-2</v>
      </c>
      <c r="D269" s="3">
        <v>1.4895143461754251E-2</v>
      </c>
      <c r="E269" s="3">
        <v>3.9809203918380047E-2</v>
      </c>
      <c r="F269" s="3">
        <v>4.6756035998292811E-2</v>
      </c>
      <c r="G269" s="3">
        <v>-8.1257121523676812E-3</v>
      </c>
      <c r="H269" s="3">
        <v>-1</v>
      </c>
      <c r="I269" s="3">
        <v>1</v>
      </c>
      <c r="J269" s="3">
        <v>0</v>
      </c>
      <c r="K269" s="3">
        <v>-1.4895143461754251E-2</v>
      </c>
      <c r="L269" s="3">
        <v>0</v>
      </c>
      <c r="M269" s="3">
        <v>3.9809203918380047E-2</v>
      </c>
      <c r="N269" s="3">
        <v>4.6756035998292811E-2</v>
      </c>
      <c r="O269" s="3">
        <v>0</v>
      </c>
      <c r="P269" s="3">
        <v>8.1257121523676812E-3</v>
      </c>
      <c r="Q269" s="3">
        <v>0</v>
      </c>
      <c r="R269" s="3">
        <v>1.343469810615161</v>
      </c>
      <c r="S269" s="3">
        <v>7.3887342141165879E-2</v>
      </c>
      <c r="T269" s="3">
        <v>-0.25541984814818153</v>
      </c>
      <c r="U269" s="3">
        <v>1.418130599421181</v>
      </c>
      <c r="V269" s="3">
        <v>4.974418596124246</v>
      </c>
      <c r="W269" s="3">
        <v>1.177874695130251</v>
      </c>
      <c r="X269" s="3">
        <v>4.4568219174901316</v>
      </c>
      <c r="Y269" s="3">
        <v>1.6656488877767579</v>
      </c>
    </row>
    <row r="270" spans="1:25" x14ac:dyDescent="0.25">
      <c r="A270" s="2">
        <v>45657</v>
      </c>
      <c r="B270" s="3">
        <v>-2.3519459040849951E-2</v>
      </c>
      <c r="C270" s="3">
        <v>3.9119887168514222E-2</v>
      </c>
      <c r="D270" s="3">
        <v>-8.4062371429407534E-3</v>
      </c>
      <c r="E270" s="3">
        <v>-1.102747714301355E-2</v>
      </c>
      <c r="F270" s="3">
        <v>8.7156735189566348E-3</v>
      </c>
      <c r="G270" s="3">
        <v>8.024797962298269E-3</v>
      </c>
      <c r="H270" s="3">
        <v>-1</v>
      </c>
      <c r="I270" s="3">
        <v>1</v>
      </c>
      <c r="J270" s="3">
        <v>0</v>
      </c>
      <c r="K270" s="3">
        <v>8.4062371429407534E-3</v>
      </c>
      <c r="L270" s="3">
        <v>0</v>
      </c>
      <c r="M270" s="3">
        <v>-1.102747714301355E-2</v>
      </c>
      <c r="N270" s="3">
        <v>8.7156735189566348E-3</v>
      </c>
      <c r="O270" s="3">
        <v>0</v>
      </c>
      <c r="P270" s="3">
        <v>-8.024797962298269E-3</v>
      </c>
      <c r="Q270" s="3">
        <v>0</v>
      </c>
      <c r="R270" s="3">
        <v>1.343469810615161</v>
      </c>
      <c r="S270" s="3">
        <v>8.2914693804006845E-2</v>
      </c>
      <c r="T270" s="3">
        <v>-0.25541984814818153</v>
      </c>
      <c r="U270" s="3">
        <v>1.391464719507242</v>
      </c>
      <c r="V270" s="3">
        <v>5.0264896780736494</v>
      </c>
      <c r="W270" s="3">
        <v>1.177874695130251</v>
      </c>
      <c r="X270" s="3">
        <v>4.4130320240860321</v>
      </c>
      <c r="Y270" s="3">
        <v>1.6656488877767579</v>
      </c>
    </row>
    <row r="271" spans="1:25" x14ac:dyDescent="0.25">
      <c r="A271" s="2">
        <v>45688</v>
      </c>
      <c r="B271" s="3">
        <v>2.725271034766941E-2</v>
      </c>
      <c r="C271" s="3">
        <v>3.814926374418115E-2</v>
      </c>
      <c r="D271" s="3">
        <v>-9.9907577601182629E-3</v>
      </c>
      <c r="E271" s="3">
        <v>6.2722888061822468E-3</v>
      </c>
      <c r="F271" s="3">
        <v>5.9637515451509424E-3</v>
      </c>
      <c r="G271" s="3">
        <v>-1.491411502852491E-2</v>
      </c>
      <c r="H271" s="3">
        <v>-1</v>
      </c>
      <c r="I271" s="3">
        <v>1</v>
      </c>
      <c r="J271" s="3">
        <v>0</v>
      </c>
      <c r="K271" s="3">
        <v>9.9907577601182629E-3</v>
      </c>
      <c r="L271" s="3">
        <v>0</v>
      </c>
      <c r="M271" s="3">
        <v>6.2722888061822468E-3</v>
      </c>
      <c r="N271" s="3">
        <v>5.9637515451509424E-3</v>
      </c>
      <c r="O271" s="3">
        <v>0</v>
      </c>
      <c r="P271" s="3">
        <v>1.491411502852491E-2</v>
      </c>
      <c r="Q271" s="3">
        <v>0</v>
      </c>
      <c r="R271" s="3">
        <v>1.343469810615161</v>
      </c>
      <c r="S271" s="3">
        <v>9.3733832184675459E-2</v>
      </c>
      <c r="T271" s="3">
        <v>-0.25541984814818153</v>
      </c>
      <c r="U271" s="3">
        <v>1.4064646768977871</v>
      </c>
      <c r="V271" s="3">
        <v>5.0624301652030974</v>
      </c>
      <c r="W271" s="3">
        <v>1.177874695130251</v>
      </c>
      <c r="X271" s="3">
        <v>4.4937626063463414</v>
      </c>
      <c r="Y271" s="3">
        <v>1.6656488877767579</v>
      </c>
    </row>
    <row r="272" spans="1:25" x14ac:dyDescent="0.25">
      <c r="A272" s="2">
        <v>45716</v>
      </c>
      <c r="B272" s="3">
        <v>-1.2154921107618399E-2</v>
      </c>
      <c r="C272" s="3">
        <v>-3.5266640656696928E-2</v>
      </c>
      <c r="D272" s="3">
        <v>-4.8247612886962443E-3</v>
      </c>
      <c r="E272" s="3">
        <v>2.8351640272008091E-2</v>
      </c>
      <c r="F272" s="3">
        <v>-1.6448356387107621E-3</v>
      </c>
      <c r="G272" s="3">
        <v>2.0814642095452252E-2</v>
      </c>
      <c r="H272" s="3">
        <v>1</v>
      </c>
      <c r="I272" s="3">
        <v>-1</v>
      </c>
      <c r="J272" s="3">
        <v>-4.8247612886962443E-3</v>
      </c>
      <c r="K272" s="3">
        <v>0</v>
      </c>
      <c r="L272" s="3">
        <v>-2.8351640272008091E-2</v>
      </c>
      <c r="M272" s="3">
        <v>0</v>
      </c>
      <c r="N272" s="3">
        <v>0</v>
      </c>
      <c r="O272" s="3">
        <v>1.6448356387107621E-3</v>
      </c>
      <c r="P272" s="3">
        <v>0</v>
      </c>
      <c r="Q272" s="3">
        <v>2.0814642095452252E-2</v>
      </c>
      <c r="R272" s="3">
        <v>1.332163128191677</v>
      </c>
      <c r="S272" s="3">
        <v>9.3733832184675459E-2</v>
      </c>
      <c r="T272" s="3">
        <v>-0.27652991676716138</v>
      </c>
      <c r="U272" s="3">
        <v>1.4064646768977871</v>
      </c>
      <c r="V272" s="3">
        <v>5.0624301652030974</v>
      </c>
      <c r="W272" s="3">
        <v>1.1814569410454481</v>
      </c>
      <c r="X272" s="3">
        <v>4.4937626063463414</v>
      </c>
      <c r="Y272" s="3">
        <v>1.721133415327972</v>
      </c>
    </row>
    <row r="273" spans="1:25" x14ac:dyDescent="0.25">
      <c r="A273" s="2">
        <v>45747</v>
      </c>
      <c r="B273" s="3">
        <v>-5.5547094536999797E-2</v>
      </c>
      <c r="C273" s="3">
        <v>-3.241220793420152E-2</v>
      </c>
      <c r="D273" s="3">
        <v>-7.7071332159225348E-3</v>
      </c>
      <c r="E273" s="3">
        <v>3.853838981316748E-3</v>
      </c>
      <c r="F273" s="3">
        <v>-3.0755288077179529E-2</v>
      </c>
      <c r="G273" s="3">
        <v>-2.2147999580250381E-2</v>
      </c>
      <c r="H273" s="3">
        <v>1</v>
      </c>
      <c r="I273" s="3">
        <v>-1</v>
      </c>
      <c r="J273" s="3">
        <v>-7.7071332159225348E-3</v>
      </c>
      <c r="K273" s="3">
        <v>0</v>
      </c>
      <c r="L273" s="3">
        <v>-3.853838981316748E-3</v>
      </c>
      <c r="M273" s="3">
        <v>0</v>
      </c>
      <c r="N273" s="3">
        <v>0</v>
      </c>
      <c r="O273" s="3">
        <v>3.0755288077179529E-2</v>
      </c>
      <c r="P273" s="3">
        <v>0</v>
      </c>
      <c r="Q273" s="3">
        <v>-2.2147999580250381E-2</v>
      </c>
      <c r="R273" s="3">
        <v>1.3141888362814409</v>
      </c>
      <c r="S273" s="3">
        <v>9.3733832184675459E-2</v>
      </c>
      <c r="T273" s="3">
        <v>-0.27931805397574061</v>
      </c>
      <c r="U273" s="3">
        <v>1.4064646768977871</v>
      </c>
      <c r="V273" s="3">
        <v>5.0624301652030974</v>
      </c>
      <c r="W273" s="3">
        <v>1.248548277695263</v>
      </c>
      <c r="X273" s="3">
        <v>4.4937626063463414</v>
      </c>
      <c r="Y273" s="3">
        <v>1.660865753587482</v>
      </c>
    </row>
    <row r="274" spans="1:25" x14ac:dyDescent="0.25">
      <c r="A274" s="2">
        <v>45777</v>
      </c>
      <c r="B274" s="3">
        <v>2.0899292979963402E-3</v>
      </c>
      <c r="C274" s="3">
        <v>-2.496191906138145E-3</v>
      </c>
      <c r="D274" s="3">
        <v>5.0847313003916213E-2</v>
      </c>
      <c r="E274" s="3">
        <v>3.4206740240137153E-2</v>
      </c>
      <c r="F274" s="3">
        <v>-0.10045214054978201</v>
      </c>
      <c r="G274" s="3">
        <v>-6.6653220595677132E-3</v>
      </c>
      <c r="H274" s="3">
        <v>1</v>
      </c>
      <c r="I274" s="3">
        <v>-1</v>
      </c>
      <c r="J274" s="3">
        <v>5.0847313003916213E-2</v>
      </c>
      <c r="K274" s="3">
        <v>0</v>
      </c>
      <c r="L274" s="3">
        <v>-3.4206740240137153E-2</v>
      </c>
      <c r="M274" s="3">
        <v>0</v>
      </c>
      <c r="N274" s="3">
        <v>0</v>
      </c>
      <c r="O274" s="3">
        <v>0.10045214054978201</v>
      </c>
      <c r="P274" s="3">
        <v>0</v>
      </c>
      <c r="Q274" s="3">
        <v>-6.6653220595677132E-3</v>
      </c>
      <c r="R274" s="3">
        <v>1.431859120390012</v>
      </c>
      <c r="S274" s="3">
        <v>9.3733832184675459E-2</v>
      </c>
      <c r="T274" s="3">
        <v>-0.30397023409914897</v>
      </c>
      <c r="U274" s="3">
        <v>1.4064646768977871</v>
      </c>
      <c r="V274" s="3">
        <v>5.0624301652030974</v>
      </c>
      <c r="W274" s="3">
        <v>1.4744197653192781</v>
      </c>
      <c r="X274" s="3">
        <v>4.4937626063463414</v>
      </c>
      <c r="Y274" s="3">
        <v>1.643130226382548</v>
      </c>
    </row>
    <row r="275" spans="1:25" x14ac:dyDescent="0.25">
      <c r="A275" s="2">
        <v>45808</v>
      </c>
      <c r="B275" s="3">
        <v>6.2169052845271078E-2</v>
      </c>
      <c r="C275" s="3">
        <v>0.1100775769118956</v>
      </c>
      <c r="D275" s="3">
        <v>1.1402910569974001E-2</v>
      </c>
      <c r="E275" s="3">
        <v>2.730297605728493E-2</v>
      </c>
      <c r="F275" s="3">
        <v>1.204379430636404E-2</v>
      </c>
      <c r="G275" s="3">
        <v>-1.392876045196423E-2</v>
      </c>
      <c r="H275" s="3">
        <v>-1</v>
      </c>
      <c r="I275" s="3">
        <v>1</v>
      </c>
      <c r="J275" s="3">
        <v>0</v>
      </c>
      <c r="K275" s="3">
        <v>-1.1402910569974001E-2</v>
      </c>
      <c r="L275" s="3">
        <v>0</v>
      </c>
      <c r="M275" s="3">
        <v>2.730297605728493E-2</v>
      </c>
      <c r="N275" s="3">
        <v>1.204379430636404E-2</v>
      </c>
      <c r="O275" s="3">
        <v>0</v>
      </c>
      <c r="P275" s="3">
        <v>1.392876045196423E-2</v>
      </c>
      <c r="Q275" s="3">
        <v>0</v>
      </c>
      <c r="R275" s="3">
        <v>1.431859120390012</v>
      </c>
      <c r="S275" s="3">
        <v>8.1262083108918581E-2</v>
      </c>
      <c r="T275" s="3">
        <v>-0.30397023409914897</v>
      </c>
      <c r="U275" s="3">
        <v>1.472168324353829</v>
      </c>
      <c r="V275" s="3">
        <v>5.1354448271094988</v>
      </c>
      <c r="W275" s="3">
        <v>1.4744197653192781</v>
      </c>
      <c r="X275" s="3">
        <v>4.5702839096700973</v>
      </c>
      <c r="Y275" s="3">
        <v>1.643130226382548</v>
      </c>
    </row>
    <row r="276" spans="1:25" x14ac:dyDescent="0.25">
      <c r="A276" s="2">
        <v>45838</v>
      </c>
      <c r="B276" s="3">
        <v>5.0544778179984262E-2</v>
      </c>
      <c r="C276" s="3">
        <v>1.1458722227251529E-2</v>
      </c>
      <c r="D276" s="3">
        <v>2.9180958003939491E-2</v>
      </c>
      <c r="E276" s="3">
        <v>1.7020835901391251E-2</v>
      </c>
      <c r="F276" s="3">
        <v>1.6503335429217669E-2</v>
      </c>
      <c r="G276" s="3">
        <v>-6.86437527811945E-3</v>
      </c>
      <c r="H276" s="3">
        <v>-1</v>
      </c>
      <c r="I276" s="3">
        <v>1</v>
      </c>
      <c r="J276" s="3">
        <v>0</v>
      </c>
      <c r="K276" s="3">
        <v>-2.9180958003939491E-2</v>
      </c>
      <c r="L276" s="3">
        <v>0</v>
      </c>
      <c r="M276" s="3">
        <v>1.7020835901391251E-2</v>
      </c>
      <c r="N276" s="3">
        <v>1.6503335429217669E-2</v>
      </c>
      <c r="O276" s="3">
        <v>0</v>
      </c>
      <c r="P276" s="3">
        <v>6.86437527811945E-3</v>
      </c>
      <c r="Q276" s="3">
        <v>0</v>
      </c>
      <c r="R276" s="3">
        <v>1.431859120390012</v>
      </c>
      <c r="S276" s="3">
        <v>4.9709819670465061E-2</v>
      </c>
      <c r="T276" s="3">
        <v>-0.30397023409914897</v>
      </c>
      <c r="U276" s="3">
        <v>1.514246695723273</v>
      </c>
      <c r="V276" s="3">
        <v>5.2367001310987451</v>
      </c>
      <c r="W276" s="3">
        <v>1.4744197653192781</v>
      </c>
      <c r="X276" s="3">
        <v>4.608520428831743</v>
      </c>
      <c r="Y276" s="3">
        <v>1.643130226382548</v>
      </c>
    </row>
    <row r="277" spans="1:25" x14ac:dyDescent="0.25">
      <c r="A277" s="2">
        <v>45869</v>
      </c>
      <c r="B277" s="3">
        <v>2.2961178223050101E-2</v>
      </c>
      <c r="C277" s="3">
        <v>3.3540215331366752E-2</v>
      </c>
      <c r="D277" s="3">
        <v>5.1636496140897714E-3</v>
      </c>
      <c r="E277" s="3">
        <v>4.8247699480523654E-3</v>
      </c>
      <c r="F277" s="3">
        <v>4.0913142780306666E-3</v>
      </c>
      <c r="G277" s="3">
        <v>-2.165949715782689E-2</v>
      </c>
      <c r="H277" s="3">
        <v>-1</v>
      </c>
      <c r="I277" s="3">
        <v>1</v>
      </c>
      <c r="J277" s="3">
        <v>0</v>
      </c>
      <c r="K277" s="3">
        <v>-5.1636496140897714E-3</v>
      </c>
      <c r="L277" s="3">
        <v>0</v>
      </c>
      <c r="M277" s="3">
        <v>4.8247699480523654E-3</v>
      </c>
      <c r="N277" s="3">
        <v>4.0913142780306666E-3</v>
      </c>
      <c r="O277" s="3">
        <v>0</v>
      </c>
      <c r="P277" s="3">
        <v>2.165949715782689E-2</v>
      </c>
      <c r="Q277" s="3">
        <v>0</v>
      </c>
      <c r="R277" s="3">
        <v>1.431859120390012</v>
      </c>
      <c r="S277" s="3">
        <v>4.4289485965217423E-2</v>
      </c>
      <c r="T277" s="3">
        <v>-0.30397023409914897</v>
      </c>
      <c r="U277" s="3">
        <v>1.5263773576227879</v>
      </c>
      <c r="V277" s="3">
        <v>5.2622164313929041</v>
      </c>
      <c r="W277" s="3">
        <v>1.4744197653192781</v>
      </c>
      <c r="X277" s="3">
        <v>4.7299981611196387</v>
      </c>
      <c r="Y277" s="3">
        <v>1.643130226382548</v>
      </c>
    </row>
    <row r="278" spans="1:25" x14ac:dyDescent="0.25">
      <c r="A278" s="2">
        <v>45900</v>
      </c>
      <c r="B278" s="3">
        <v>2.0889813545132089E-2</v>
      </c>
      <c r="C278" s="3">
        <v>7.6877222818747537E-3</v>
      </c>
      <c r="D278" s="3">
        <v>1.4998977325476731E-2</v>
      </c>
      <c r="E278" s="3">
        <v>2.2755624742171192E-3</v>
      </c>
      <c r="F278" s="3">
        <v>5.6146303123538743E-4</v>
      </c>
      <c r="G278" s="3">
        <v>1.2533650032248709E-2</v>
      </c>
      <c r="H278" s="3">
        <v>-1</v>
      </c>
      <c r="I278" s="3">
        <v>1</v>
      </c>
      <c r="J278" s="3">
        <v>0</v>
      </c>
      <c r="K278" s="3">
        <v>-1.4998977325476731E-2</v>
      </c>
      <c r="L278" s="3">
        <v>0</v>
      </c>
      <c r="M278" s="3">
        <v>2.2755624742171192E-3</v>
      </c>
      <c r="N278" s="3">
        <v>5.6146303123538743E-4</v>
      </c>
      <c r="O278" s="3">
        <v>0</v>
      </c>
      <c r="P278" s="3">
        <v>-1.2533650032248709E-2</v>
      </c>
      <c r="Q278" s="3">
        <v>0</v>
      </c>
      <c r="R278" s="3">
        <v>1.431859120390012</v>
      </c>
      <c r="S278" s="3">
        <v>2.862621164399148E-2</v>
      </c>
      <c r="T278" s="3">
        <v>-0.30397023409914897</v>
      </c>
      <c r="U278" s="3">
        <v>1.532126287133506</v>
      </c>
      <c r="V278" s="3">
        <v>5.2657324344127261</v>
      </c>
      <c r="W278" s="3">
        <v>1.4744197653192781</v>
      </c>
      <c r="X278" s="3">
        <v>4.6581803694827366</v>
      </c>
      <c r="Y278" s="3">
        <v>1.643130226382548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0919-D2D2-42EF-AB35-AA3E4FF66F96}">
  <dimension ref="A1:Y280"/>
  <sheetViews>
    <sheetView topLeftCell="A207" zoomScale="70" zoomScaleNormal="70" workbookViewId="0">
      <selection activeCell="H227" sqref="H227:I227"/>
    </sheetView>
  </sheetViews>
  <sheetFormatPr defaultRowHeight="15" x14ac:dyDescent="0.25"/>
  <cols>
    <col min="1" max="1" width="12" bestFit="1" customWidth="1"/>
    <col min="2" max="2" width="17.7109375" bestFit="1" customWidth="1"/>
    <col min="3" max="3" width="25" bestFit="1" customWidth="1"/>
    <col min="4" max="4" width="24" bestFit="1" customWidth="1"/>
    <col min="5" max="5" width="23.42578125" bestFit="1" customWidth="1"/>
    <col min="6" max="6" width="23.85546875" bestFit="1" customWidth="1"/>
    <col min="7" max="7" width="23.140625" bestFit="1" customWidth="1"/>
    <col min="8" max="8" width="21.140625" bestFit="1" customWidth="1"/>
    <col min="9" max="9" width="21" bestFit="1" customWidth="1"/>
    <col min="10" max="10" width="45.42578125" bestFit="1" customWidth="1"/>
    <col min="11" max="11" width="45.85546875" bestFit="1" customWidth="1"/>
    <col min="12" max="12" width="44.5703125" bestFit="1" customWidth="1"/>
    <col min="13" max="13" width="44.28515625" bestFit="1" customWidth="1"/>
    <col min="14" max="14" width="46.7109375" bestFit="1" customWidth="1"/>
    <col min="15" max="15" width="47.140625" bestFit="1" customWidth="1"/>
    <col min="16" max="16" width="45.85546875" bestFit="1" customWidth="1"/>
    <col min="17" max="17" width="45.42578125" bestFit="1" customWidth="1"/>
    <col min="18" max="18" width="50.5703125" bestFit="1" customWidth="1"/>
    <col min="19" max="19" width="51" bestFit="1" customWidth="1"/>
    <col min="20" max="20" width="49.7109375" bestFit="1" customWidth="1"/>
    <col min="21" max="21" width="49.28515625" bestFit="1" customWidth="1"/>
    <col min="22" max="22" width="51.7109375" bestFit="1" customWidth="1"/>
    <col min="23" max="23" width="52.140625" bestFit="1" customWidth="1"/>
    <col min="24" max="24" width="51" bestFit="1" customWidth="1"/>
    <col min="25" max="25" width="50.5703125" bestFit="1" customWidth="1"/>
  </cols>
  <sheetData>
    <row r="1" spans="1:2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7">
        <f>[1]Data!A5</f>
        <v>37469</v>
      </c>
      <c r="B2" s="8">
        <f>[1]Data!B5</f>
        <v>6.7786154352028833E-3</v>
      </c>
      <c r="C2" s="8">
        <f>[1]Data!C5</f>
        <v>1.0151052696173293E-2</v>
      </c>
      <c r="D2" s="9">
        <f>[1]Data!F5</f>
        <v>-4.2345772443368498E-2</v>
      </c>
      <c r="E2" s="10">
        <f>[1]Data!G5</f>
        <v>1.469165253014592E-2</v>
      </c>
      <c r="F2" s="9">
        <f>[1]Data!H5</f>
        <v>-3.414351278145604E-2</v>
      </c>
      <c r="G2" s="10">
        <f>[1]Data!I5</f>
        <v>1.4075972845321685E-2</v>
      </c>
      <c r="H2" s="11">
        <f t="shared" ref="H2:H65" si="0">IF(C2&gt;0,-1,1)</f>
        <v>-1</v>
      </c>
      <c r="I2" s="12">
        <v>0</v>
      </c>
      <c r="J2" s="13">
        <f t="shared" ref="J2:J65" si="1">IF(H2=1,D2,0)</f>
        <v>0</v>
      </c>
      <c r="K2" s="13">
        <f t="shared" ref="K2:K65" si="2">IF(H2=-1,-D2,0)</f>
        <v>4.2345772443368498E-2</v>
      </c>
      <c r="L2" s="13">
        <f t="shared" ref="L2:L65" si="3">IF(H2=1,-E2,0)</f>
        <v>0</v>
      </c>
      <c r="M2" s="13">
        <f t="shared" ref="M2:M65" si="4">IF(H2=-1,E2,0)</f>
        <v>1.469165253014592E-2</v>
      </c>
      <c r="N2" s="13">
        <f t="shared" ref="N2:N65" si="5">IF(I2=1,F2,0)</f>
        <v>0</v>
      </c>
      <c r="O2" s="13">
        <f t="shared" ref="O2:O65" si="6">IF(I2=-1,-F2,0)</f>
        <v>0</v>
      </c>
      <c r="P2" s="13">
        <f t="shared" ref="P2:P65" si="7">IF(I2=1,-G2,0)</f>
        <v>0</v>
      </c>
      <c r="Q2" s="13">
        <f t="shared" ref="Q2:Q65" si="8">IF(I2=-1,G2,0)</f>
        <v>0</v>
      </c>
      <c r="R2" s="13">
        <f t="shared" ref="R2:Y2" si="9">J2</f>
        <v>0</v>
      </c>
      <c r="S2" s="13">
        <f t="shared" si="9"/>
        <v>4.2345772443368498E-2</v>
      </c>
      <c r="T2" s="13">
        <f t="shared" si="9"/>
        <v>0</v>
      </c>
      <c r="U2" s="13">
        <f t="shared" si="9"/>
        <v>1.469165253014592E-2</v>
      </c>
      <c r="V2" s="13">
        <f t="shared" si="9"/>
        <v>0</v>
      </c>
      <c r="W2" s="13">
        <f t="shared" si="9"/>
        <v>0</v>
      </c>
      <c r="X2" s="13">
        <f t="shared" si="9"/>
        <v>0</v>
      </c>
      <c r="Y2" s="13">
        <f t="shared" si="9"/>
        <v>0</v>
      </c>
    </row>
    <row r="3" spans="1:25" x14ac:dyDescent="0.25">
      <c r="A3" s="14">
        <f>[1]Data!A6</f>
        <v>37500</v>
      </c>
      <c r="B3" s="15">
        <f>[1]Data!B6</f>
        <v>-0.11076677231132262</v>
      </c>
      <c r="C3" s="15">
        <f>[1]Data!C6</f>
        <v>-0.12654670885184757</v>
      </c>
      <c r="D3" s="16">
        <f>[1]Data!F6</f>
        <v>-2.2605263607593816E-2</v>
      </c>
      <c r="E3" s="17">
        <f>[1]Data!G6</f>
        <v>3.3248630832344141E-3</v>
      </c>
      <c r="F3" s="16">
        <f>[1]Data!H6</f>
        <v>-1.2278930521347042E-2</v>
      </c>
      <c r="G3" s="17">
        <f>[1]Data!I6</f>
        <v>7.1598070258672257E-3</v>
      </c>
      <c r="H3" s="18">
        <f t="shared" si="0"/>
        <v>1</v>
      </c>
      <c r="I3" s="19">
        <f t="shared" ref="I3:I66" si="10">IF(C2&gt;0,1,-1)</f>
        <v>1</v>
      </c>
      <c r="J3" s="13">
        <f t="shared" si="1"/>
        <v>-2.2605263607593816E-2</v>
      </c>
      <c r="K3" s="13">
        <f t="shared" si="2"/>
        <v>0</v>
      </c>
      <c r="L3" s="13">
        <f t="shared" si="3"/>
        <v>-3.3248630832344141E-3</v>
      </c>
      <c r="M3" s="13">
        <f t="shared" si="4"/>
        <v>0</v>
      </c>
      <c r="N3" s="13">
        <f t="shared" si="5"/>
        <v>-1.2278930521347042E-2</v>
      </c>
      <c r="O3" s="13">
        <f t="shared" si="6"/>
        <v>0</v>
      </c>
      <c r="P3" s="13">
        <f t="shared" si="7"/>
        <v>-7.1598070258672257E-3</v>
      </c>
      <c r="Q3" s="13">
        <f t="shared" si="8"/>
        <v>0</v>
      </c>
      <c r="R3" s="13">
        <f t="shared" ref="R3:Y34" si="11">J3+R2</f>
        <v>-2.2605263607593816E-2</v>
      </c>
      <c r="S3" s="13">
        <f t="shared" si="11"/>
        <v>4.2345772443368498E-2</v>
      </c>
      <c r="T3" s="13">
        <f t="shared" si="11"/>
        <v>-3.3248630832344141E-3</v>
      </c>
      <c r="U3" s="13">
        <f t="shared" si="11"/>
        <v>1.469165253014592E-2</v>
      </c>
      <c r="V3" s="13">
        <f t="shared" si="11"/>
        <v>-1.2278930521347042E-2</v>
      </c>
      <c r="W3" s="13">
        <f t="shared" si="11"/>
        <v>0</v>
      </c>
      <c r="X3" s="13">
        <f t="shared" si="11"/>
        <v>-7.1598070258672257E-3</v>
      </c>
      <c r="Y3" s="13">
        <f t="shared" si="11"/>
        <v>0</v>
      </c>
    </row>
    <row r="4" spans="1:25" x14ac:dyDescent="0.25">
      <c r="A4" s="14">
        <f>[1]Data!A7</f>
        <v>37530</v>
      </c>
      <c r="B4" s="15">
        <f>[1]Data!B7</f>
        <v>7.9072556471592031E-2</v>
      </c>
      <c r="C4" s="15">
        <f>[1]Data!C7</f>
        <v>0.16075988880458544</v>
      </c>
      <c r="D4" s="16">
        <f>[1]Data!F7</f>
        <v>-1.8468757302789001E-2</v>
      </c>
      <c r="E4" s="17">
        <f>[1]Data!G7</f>
        <v>2.5574892630438432E-2</v>
      </c>
      <c r="F4" s="16">
        <f>[1]Data!H7</f>
        <v>-3.3063528520603847E-2</v>
      </c>
      <c r="G4" s="17">
        <f>[1]Data!I7</f>
        <v>-4.4185292609520352E-3</v>
      </c>
      <c r="H4" s="18">
        <f t="shared" si="0"/>
        <v>-1</v>
      </c>
      <c r="I4" s="19">
        <f t="shared" si="10"/>
        <v>-1</v>
      </c>
      <c r="J4" s="13">
        <f t="shared" si="1"/>
        <v>0</v>
      </c>
      <c r="K4" s="13">
        <f t="shared" si="2"/>
        <v>1.8468757302789001E-2</v>
      </c>
      <c r="L4" s="13">
        <f t="shared" si="3"/>
        <v>0</v>
      </c>
      <c r="M4" s="13">
        <f t="shared" si="4"/>
        <v>2.5574892630438432E-2</v>
      </c>
      <c r="N4" s="13">
        <f t="shared" si="5"/>
        <v>0</v>
      </c>
      <c r="O4" s="13">
        <f t="shared" si="6"/>
        <v>3.3063528520603847E-2</v>
      </c>
      <c r="P4" s="13">
        <f t="shared" si="7"/>
        <v>0</v>
      </c>
      <c r="Q4" s="13">
        <f t="shared" si="8"/>
        <v>-4.4185292609520352E-3</v>
      </c>
      <c r="R4" s="13">
        <f t="shared" si="11"/>
        <v>-2.2605263607593816E-2</v>
      </c>
      <c r="S4" s="13">
        <f t="shared" si="11"/>
        <v>6.0814529746157503E-2</v>
      </c>
      <c r="T4" s="13">
        <f t="shared" si="11"/>
        <v>-3.3248630832344141E-3</v>
      </c>
      <c r="U4" s="13">
        <f t="shared" si="11"/>
        <v>4.0266545160584352E-2</v>
      </c>
      <c r="V4" s="13">
        <f t="shared" si="11"/>
        <v>-1.2278930521347042E-2</v>
      </c>
      <c r="W4" s="13">
        <f t="shared" si="11"/>
        <v>3.3063528520603847E-2</v>
      </c>
      <c r="X4" s="13">
        <f t="shared" si="11"/>
        <v>-7.1598070258672257E-3</v>
      </c>
      <c r="Y4" s="13">
        <f t="shared" si="11"/>
        <v>-4.4185292609520352E-3</v>
      </c>
    </row>
    <row r="5" spans="1:25" x14ac:dyDescent="0.25">
      <c r="A5" s="14">
        <f>[1]Data!A8</f>
        <v>37561</v>
      </c>
      <c r="B5" s="15">
        <f>[1]Data!B8</f>
        <v>5.9854092957559765E-2</v>
      </c>
      <c r="C5" s="15">
        <f>[1]Data!C8</f>
        <v>6.3586580985996705E-2</v>
      </c>
      <c r="D5" s="16">
        <f>[1]Data!F8</f>
        <v>-1.1693546525228817E-3</v>
      </c>
      <c r="E5" s="17">
        <f>[1]Data!G8</f>
        <v>-6.6405285442990448E-3</v>
      </c>
      <c r="F5" s="16">
        <f>[1]Data!H8</f>
        <v>2.4990820097527615E-2</v>
      </c>
      <c r="G5" s="17">
        <f>[1]Data!I8</f>
        <v>1.5959440241275595E-2</v>
      </c>
      <c r="H5" s="18">
        <f t="shared" si="0"/>
        <v>-1</v>
      </c>
      <c r="I5" s="19">
        <f t="shared" si="10"/>
        <v>1</v>
      </c>
      <c r="J5" s="13">
        <f t="shared" si="1"/>
        <v>0</v>
      </c>
      <c r="K5" s="13">
        <f t="shared" si="2"/>
        <v>1.1693546525228817E-3</v>
      </c>
      <c r="L5" s="13">
        <f t="shared" si="3"/>
        <v>0</v>
      </c>
      <c r="M5" s="13">
        <f t="shared" si="4"/>
        <v>-6.6405285442990448E-3</v>
      </c>
      <c r="N5" s="13">
        <f t="shared" si="5"/>
        <v>2.4990820097527615E-2</v>
      </c>
      <c r="O5" s="13">
        <f t="shared" si="6"/>
        <v>0</v>
      </c>
      <c r="P5" s="13">
        <f t="shared" si="7"/>
        <v>-1.5959440241275595E-2</v>
      </c>
      <c r="Q5" s="13">
        <f t="shared" si="8"/>
        <v>0</v>
      </c>
      <c r="R5" s="13">
        <f t="shared" si="11"/>
        <v>-2.2605263607593816E-2</v>
      </c>
      <c r="S5" s="13">
        <f t="shared" si="11"/>
        <v>6.1983884398680383E-2</v>
      </c>
      <c r="T5" s="13">
        <f t="shared" si="11"/>
        <v>-3.3248630832344141E-3</v>
      </c>
      <c r="U5" s="13">
        <f t="shared" si="11"/>
        <v>3.3626016616285309E-2</v>
      </c>
      <c r="V5" s="13">
        <f t="shared" si="11"/>
        <v>1.2711889576180573E-2</v>
      </c>
      <c r="W5" s="13">
        <f t="shared" si="11"/>
        <v>3.3063528520603847E-2</v>
      </c>
      <c r="X5" s="13">
        <f t="shared" si="11"/>
        <v>-2.3119247267142821E-2</v>
      </c>
      <c r="Y5" s="13">
        <f t="shared" si="11"/>
        <v>-4.4185292609520352E-3</v>
      </c>
    </row>
    <row r="6" spans="1:25" x14ac:dyDescent="0.25">
      <c r="A6" s="14">
        <f>[1]Data!A9</f>
        <v>37591</v>
      </c>
      <c r="B6" s="15">
        <f>[1]Data!B9</f>
        <v>-5.823252946503793E-2</v>
      </c>
      <c r="C6" s="15">
        <f>[1]Data!C9</f>
        <v>-6.4204942347053789E-2</v>
      </c>
      <c r="D6" s="16">
        <f>[1]Data!F9</f>
        <v>-1.975141288916684E-2</v>
      </c>
      <c r="E6" s="17">
        <f>[1]Data!G9</f>
        <v>1.8537161373992306E-2</v>
      </c>
      <c r="F6" s="16">
        <f>[1]Data!H9</f>
        <v>-2.0967368053873555E-2</v>
      </c>
      <c r="G6" s="17">
        <f>[1]Data!I9</f>
        <v>1.1778490418373625E-2</v>
      </c>
      <c r="H6" s="18">
        <f t="shared" si="0"/>
        <v>1</v>
      </c>
      <c r="I6" s="19">
        <f t="shared" si="10"/>
        <v>1</v>
      </c>
      <c r="J6" s="13">
        <f t="shared" si="1"/>
        <v>-1.975141288916684E-2</v>
      </c>
      <c r="K6" s="13">
        <f t="shared" si="2"/>
        <v>0</v>
      </c>
      <c r="L6" s="13">
        <f t="shared" si="3"/>
        <v>-1.8537161373992306E-2</v>
      </c>
      <c r="M6" s="13">
        <f t="shared" si="4"/>
        <v>0</v>
      </c>
      <c r="N6" s="13">
        <f t="shared" si="5"/>
        <v>-2.0967368053873555E-2</v>
      </c>
      <c r="O6" s="13">
        <f t="shared" si="6"/>
        <v>0</v>
      </c>
      <c r="P6" s="13">
        <f t="shared" si="7"/>
        <v>-1.1778490418373625E-2</v>
      </c>
      <c r="Q6" s="13">
        <f t="shared" si="8"/>
        <v>0</v>
      </c>
      <c r="R6" s="13">
        <f t="shared" si="11"/>
        <v>-4.2356676496760656E-2</v>
      </c>
      <c r="S6" s="13">
        <f t="shared" si="11"/>
        <v>6.1983884398680383E-2</v>
      </c>
      <c r="T6" s="13">
        <f t="shared" si="11"/>
        <v>-2.1862024457226719E-2</v>
      </c>
      <c r="U6" s="13">
        <f t="shared" si="11"/>
        <v>3.3626016616285309E-2</v>
      </c>
      <c r="V6" s="13">
        <f t="shared" si="11"/>
        <v>-8.2554784776929825E-3</v>
      </c>
      <c r="W6" s="13">
        <f t="shared" si="11"/>
        <v>3.3063528520603847E-2</v>
      </c>
      <c r="X6" s="13">
        <f t="shared" si="11"/>
        <v>-3.4897737685516447E-2</v>
      </c>
      <c r="Y6" s="13">
        <f t="shared" si="11"/>
        <v>-4.4185292609520352E-3</v>
      </c>
    </row>
    <row r="7" spans="1:25" x14ac:dyDescent="0.25">
      <c r="A7" s="14">
        <f>[1]Data!A10</f>
        <v>37622</v>
      </c>
      <c r="B7" s="15">
        <f>[1]Data!B10</f>
        <v>-2.4902965529687425E-2</v>
      </c>
      <c r="C7" s="15">
        <f>[1]Data!C10</f>
        <v>1.8151719234693674E-2</v>
      </c>
      <c r="D7" s="16">
        <f>[1]Data!F10</f>
        <v>-3.0328305801601459E-2</v>
      </c>
      <c r="E7" s="17">
        <f>[1]Data!G10</f>
        <v>6.9506100607132654E-3</v>
      </c>
      <c r="F7" s="16">
        <f>[1]Data!H10</f>
        <v>3.5188717539179765E-2</v>
      </c>
      <c r="G7" s="17">
        <f>[1]Data!I10</f>
        <v>-1.8000451301945945E-2</v>
      </c>
      <c r="H7" s="18">
        <f t="shared" si="0"/>
        <v>-1</v>
      </c>
      <c r="I7" s="19">
        <f t="shared" si="10"/>
        <v>-1</v>
      </c>
      <c r="J7" s="13">
        <f t="shared" si="1"/>
        <v>0</v>
      </c>
      <c r="K7" s="13">
        <f t="shared" si="2"/>
        <v>3.0328305801601459E-2</v>
      </c>
      <c r="L7" s="13">
        <f t="shared" si="3"/>
        <v>0</v>
      </c>
      <c r="M7" s="13">
        <f t="shared" si="4"/>
        <v>6.9506100607132654E-3</v>
      </c>
      <c r="N7" s="13">
        <f t="shared" si="5"/>
        <v>0</v>
      </c>
      <c r="O7" s="13">
        <f t="shared" si="6"/>
        <v>-3.5188717539179765E-2</v>
      </c>
      <c r="P7" s="13">
        <f t="shared" si="7"/>
        <v>0</v>
      </c>
      <c r="Q7" s="13">
        <f t="shared" si="8"/>
        <v>-1.8000451301945945E-2</v>
      </c>
      <c r="R7" s="13">
        <f t="shared" si="11"/>
        <v>-4.2356676496760656E-2</v>
      </c>
      <c r="S7" s="13">
        <f t="shared" si="11"/>
        <v>9.2312190200281835E-2</v>
      </c>
      <c r="T7" s="13">
        <f t="shared" si="11"/>
        <v>-2.1862024457226719E-2</v>
      </c>
      <c r="U7" s="13">
        <f t="shared" si="11"/>
        <v>4.0576626676998573E-2</v>
      </c>
      <c r="V7" s="13">
        <f t="shared" si="11"/>
        <v>-8.2554784776929825E-3</v>
      </c>
      <c r="W7" s="13">
        <f t="shared" si="11"/>
        <v>-2.1251890185759181E-3</v>
      </c>
      <c r="X7" s="13">
        <f t="shared" si="11"/>
        <v>-3.4897737685516447E-2</v>
      </c>
      <c r="Y7" s="13">
        <f t="shared" si="11"/>
        <v>-2.241898056289798E-2</v>
      </c>
    </row>
    <row r="8" spans="1:25" x14ac:dyDescent="0.25">
      <c r="A8" s="14">
        <f>[1]Data!A11</f>
        <v>37653</v>
      </c>
      <c r="B8" s="15">
        <f>[1]Data!B11</f>
        <v>-1.3570614197984544E-2</v>
      </c>
      <c r="C8" s="15">
        <f>[1]Data!C11</f>
        <v>-3.7582425932882781E-2</v>
      </c>
      <c r="D8" s="16">
        <f>[1]Data!F11</f>
        <v>1.3040803122683371E-2</v>
      </c>
      <c r="E8" s="17">
        <f>[1]Data!G11</f>
        <v>1.9532753075675407E-2</v>
      </c>
      <c r="F8" s="16">
        <f>[1]Data!H11</f>
        <v>-3.1156082648895776E-2</v>
      </c>
      <c r="G8" s="17">
        <f>[1]Data!I11</f>
        <v>7.5842026835619726E-3</v>
      </c>
      <c r="H8" s="18">
        <f t="shared" si="0"/>
        <v>1</v>
      </c>
      <c r="I8" s="19">
        <f t="shared" si="10"/>
        <v>1</v>
      </c>
      <c r="J8" s="13">
        <f t="shared" si="1"/>
        <v>1.3040803122683371E-2</v>
      </c>
      <c r="K8" s="13">
        <f t="shared" si="2"/>
        <v>0</v>
      </c>
      <c r="L8" s="13">
        <f t="shared" si="3"/>
        <v>-1.9532753075675407E-2</v>
      </c>
      <c r="M8" s="13">
        <f t="shared" si="4"/>
        <v>0</v>
      </c>
      <c r="N8" s="13">
        <f t="shared" si="5"/>
        <v>-3.1156082648895776E-2</v>
      </c>
      <c r="O8" s="13">
        <f t="shared" si="6"/>
        <v>0</v>
      </c>
      <c r="P8" s="13">
        <f t="shared" si="7"/>
        <v>-7.5842026835619726E-3</v>
      </c>
      <c r="Q8" s="13">
        <f t="shared" si="8"/>
        <v>0</v>
      </c>
      <c r="R8" s="13">
        <f t="shared" si="11"/>
        <v>-2.9315873374077286E-2</v>
      </c>
      <c r="S8" s="13">
        <f t="shared" si="11"/>
        <v>9.2312190200281835E-2</v>
      </c>
      <c r="T8" s="13">
        <f t="shared" si="11"/>
        <v>-4.1394777532902126E-2</v>
      </c>
      <c r="U8" s="13">
        <f t="shared" si="11"/>
        <v>4.0576626676998573E-2</v>
      </c>
      <c r="V8" s="13">
        <f t="shared" si="11"/>
        <v>-3.9411561126588758E-2</v>
      </c>
      <c r="W8" s="13">
        <f t="shared" si="11"/>
        <v>-2.1251890185759181E-3</v>
      </c>
      <c r="X8" s="13">
        <f t="shared" si="11"/>
        <v>-4.2481940369078416E-2</v>
      </c>
      <c r="Y8" s="13">
        <f t="shared" si="11"/>
        <v>-2.241898056289798E-2</v>
      </c>
    </row>
    <row r="9" spans="1:25" x14ac:dyDescent="0.25">
      <c r="A9" s="14">
        <f>[1]Data!A12</f>
        <v>37681</v>
      </c>
      <c r="B9" s="15">
        <f>[1]Data!B12</f>
        <v>2.1372549105130832E-3</v>
      </c>
      <c r="C9" s="15">
        <f>[1]Data!C12</f>
        <v>0.10501108443958183</v>
      </c>
      <c r="D9" s="16">
        <f>[1]Data!F12</f>
        <v>-5.6549706399883812E-2</v>
      </c>
      <c r="E9" s="17">
        <f>[1]Data!G12</f>
        <v>3.2583379175479654E-2</v>
      </c>
      <c r="F9" s="16">
        <f>[1]Data!H12</f>
        <v>-1.8785634688455129E-2</v>
      </c>
      <c r="G9" s="17">
        <f>[1]Data!I12</f>
        <v>4.7606175207964068E-3</v>
      </c>
      <c r="H9" s="18">
        <f t="shared" si="0"/>
        <v>-1</v>
      </c>
      <c r="I9" s="19">
        <f t="shared" si="10"/>
        <v>-1</v>
      </c>
      <c r="J9" s="13">
        <f t="shared" si="1"/>
        <v>0</v>
      </c>
      <c r="K9" s="13">
        <f t="shared" si="2"/>
        <v>5.6549706399883812E-2</v>
      </c>
      <c r="L9" s="13">
        <f t="shared" si="3"/>
        <v>0</v>
      </c>
      <c r="M9" s="13">
        <f t="shared" si="4"/>
        <v>3.2583379175479654E-2</v>
      </c>
      <c r="N9" s="13">
        <f t="shared" si="5"/>
        <v>0</v>
      </c>
      <c r="O9" s="13">
        <f t="shared" si="6"/>
        <v>1.8785634688455129E-2</v>
      </c>
      <c r="P9" s="13">
        <f t="shared" si="7"/>
        <v>0</v>
      </c>
      <c r="Q9" s="13">
        <f t="shared" si="8"/>
        <v>4.7606175207964068E-3</v>
      </c>
      <c r="R9" s="13">
        <f t="shared" si="11"/>
        <v>-2.9315873374077286E-2</v>
      </c>
      <c r="S9" s="13">
        <f t="shared" si="11"/>
        <v>0.14886189660016563</v>
      </c>
      <c r="T9" s="13">
        <f t="shared" si="11"/>
        <v>-4.1394777532902126E-2</v>
      </c>
      <c r="U9" s="13">
        <f t="shared" si="11"/>
        <v>7.3160005852478227E-2</v>
      </c>
      <c r="V9" s="13">
        <f t="shared" si="11"/>
        <v>-3.9411561126588758E-2</v>
      </c>
      <c r="W9" s="13">
        <f t="shared" si="11"/>
        <v>1.6660445669879211E-2</v>
      </c>
      <c r="X9" s="13">
        <f t="shared" si="11"/>
        <v>-4.2481940369078416E-2</v>
      </c>
      <c r="Y9" s="13">
        <f t="shared" si="11"/>
        <v>-1.7658363042101572E-2</v>
      </c>
    </row>
    <row r="10" spans="1:25" x14ac:dyDescent="0.25">
      <c r="A10" s="14">
        <f>[1]Data!A13</f>
        <v>37712</v>
      </c>
      <c r="B10" s="15">
        <f>[1]Data!B13</f>
        <v>8.1223226482743216E-2</v>
      </c>
      <c r="C10" s="15">
        <f>[1]Data!C13</f>
        <v>8.3760679445333275E-2</v>
      </c>
      <c r="D10" s="16">
        <f>[1]Data!F13</f>
        <v>6.2214800188667239E-3</v>
      </c>
      <c r="E10" s="17">
        <f>[1]Data!G13</f>
        <v>1.9188037405920927E-2</v>
      </c>
      <c r="F10" s="16">
        <f>[1]Data!H13</f>
        <v>3.831759761064675E-2</v>
      </c>
      <c r="G10" s="17">
        <f>[1]Data!I13</f>
        <v>-1.9068062442549067E-2</v>
      </c>
      <c r="H10" s="18">
        <f t="shared" si="0"/>
        <v>-1</v>
      </c>
      <c r="I10" s="19">
        <f t="shared" si="10"/>
        <v>1</v>
      </c>
      <c r="J10" s="13">
        <f t="shared" si="1"/>
        <v>0</v>
      </c>
      <c r="K10" s="13">
        <f t="shared" si="2"/>
        <v>-6.2214800188667239E-3</v>
      </c>
      <c r="L10" s="13">
        <f t="shared" si="3"/>
        <v>0</v>
      </c>
      <c r="M10" s="13">
        <f t="shared" si="4"/>
        <v>1.9188037405920927E-2</v>
      </c>
      <c r="N10" s="13">
        <f t="shared" si="5"/>
        <v>3.831759761064675E-2</v>
      </c>
      <c r="O10" s="13">
        <f t="shared" si="6"/>
        <v>0</v>
      </c>
      <c r="P10" s="13">
        <f t="shared" si="7"/>
        <v>1.9068062442549067E-2</v>
      </c>
      <c r="Q10" s="13">
        <f t="shared" si="8"/>
        <v>0</v>
      </c>
      <c r="R10" s="13">
        <f t="shared" si="11"/>
        <v>-2.9315873374077286E-2</v>
      </c>
      <c r="S10" s="13">
        <f t="shared" si="11"/>
        <v>0.14264041658129892</v>
      </c>
      <c r="T10" s="13">
        <f t="shared" si="11"/>
        <v>-4.1394777532902126E-2</v>
      </c>
      <c r="U10" s="13">
        <f t="shared" si="11"/>
        <v>9.2348043258399154E-2</v>
      </c>
      <c r="V10" s="13">
        <f t="shared" si="11"/>
        <v>-1.0939635159420077E-3</v>
      </c>
      <c r="W10" s="13">
        <f t="shared" si="11"/>
        <v>1.6660445669879211E-2</v>
      </c>
      <c r="X10" s="13">
        <f t="shared" si="11"/>
        <v>-2.3413877926529349E-2</v>
      </c>
      <c r="Y10" s="13">
        <f t="shared" si="11"/>
        <v>-1.7658363042101572E-2</v>
      </c>
    </row>
    <row r="11" spans="1:25" x14ac:dyDescent="0.25">
      <c r="A11" s="14">
        <f>[1]Data!A14</f>
        <v>37742</v>
      </c>
      <c r="B11" s="15">
        <f>[1]Data!B14</f>
        <v>5.3384245512395956E-2</v>
      </c>
      <c r="C11" s="15">
        <f>[1]Data!C14</f>
        <v>-5.5054602565912339E-2</v>
      </c>
      <c r="D11" s="16">
        <f>[1]Data!F14</f>
        <v>4.5364642152558296E-2</v>
      </c>
      <c r="E11" s="17">
        <f>[1]Data!G14</f>
        <v>-1.7950653737101154E-3</v>
      </c>
      <c r="F11" s="16">
        <f>[1]Data!H14</f>
        <v>1.597342757041828E-2</v>
      </c>
      <c r="G11" s="17">
        <f>[1]Data!I14</f>
        <v>1.442703785556722E-2</v>
      </c>
      <c r="H11" s="18">
        <f t="shared" si="0"/>
        <v>1</v>
      </c>
      <c r="I11" s="19">
        <f t="shared" si="10"/>
        <v>1</v>
      </c>
      <c r="J11" s="13">
        <f t="shared" si="1"/>
        <v>4.5364642152558296E-2</v>
      </c>
      <c r="K11" s="13">
        <f t="shared" si="2"/>
        <v>0</v>
      </c>
      <c r="L11" s="13">
        <f t="shared" si="3"/>
        <v>1.7950653737101154E-3</v>
      </c>
      <c r="M11" s="13">
        <f t="shared" si="4"/>
        <v>0</v>
      </c>
      <c r="N11" s="13">
        <f t="shared" si="5"/>
        <v>1.597342757041828E-2</v>
      </c>
      <c r="O11" s="13">
        <f t="shared" si="6"/>
        <v>0</v>
      </c>
      <c r="P11" s="13">
        <f t="shared" si="7"/>
        <v>-1.442703785556722E-2</v>
      </c>
      <c r="Q11" s="13">
        <f t="shared" si="8"/>
        <v>0</v>
      </c>
      <c r="R11" s="13">
        <f t="shared" si="11"/>
        <v>1.604876877848101E-2</v>
      </c>
      <c r="S11" s="13">
        <f t="shared" si="11"/>
        <v>0.14264041658129892</v>
      </c>
      <c r="T11" s="13">
        <f t="shared" si="11"/>
        <v>-3.9599712159192009E-2</v>
      </c>
      <c r="U11" s="13">
        <f t="shared" si="11"/>
        <v>9.2348043258399154E-2</v>
      </c>
      <c r="V11" s="13">
        <f t="shared" si="11"/>
        <v>1.4879464054476273E-2</v>
      </c>
      <c r="W11" s="13">
        <f t="shared" si="11"/>
        <v>1.6660445669879211E-2</v>
      </c>
      <c r="X11" s="13">
        <f t="shared" si="11"/>
        <v>-3.7840915782096571E-2</v>
      </c>
      <c r="Y11" s="13">
        <f t="shared" si="11"/>
        <v>-1.7658363042101572E-2</v>
      </c>
    </row>
    <row r="12" spans="1:25" x14ac:dyDescent="0.25">
      <c r="A12" s="14">
        <f>[1]Data!A15</f>
        <v>37773</v>
      </c>
      <c r="B12" s="15">
        <f>[1]Data!B15</f>
        <v>1.0596063862264466E-2</v>
      </c>
      <c r="C12" s="15">
        <f>[1]Data!C15</f>
        <v>3.3775056393808359E-2</v>
      </c>
      <c r="D12" s="16">
        <f>[1]Data!F15</f>
        <v>-1.8369472849866106E-2</v>
      </c>
      <c r="E12" s="17">
        <f>[1]Data!G15</f>
        <v>-1.3423260708564914E-2</v>
      </c>
      <c r="F12" s="16">
        <f>[1]Data!H15</f>
        <v>2.3548221525163844E-2</v>
      </c>
      <c r="G12" s="17">
        <f>[1]Data!I15</f>
        <v>-6.5859764806690951E-4</v>
      </c>
      <c r="H12" s="18">
        <f t="shared" si="0"/>
        <v>-1</v>
      </c>
      <c r="I12" s="19">
        <f t="shared" si="10"/>
        <v>-1</v>
      </c>
      <c r="J12" s="13">
        <f t="shared" si="1"/>
        <v>0</v>
      </c>
      <c r="K12" s="13">
        <f t="shared" si="2"/>
        <v>1.8369472849866106E-2</v>
      </c>
      <c r="L12" s="13">
        <f t="shared" si="3"/>
        <v>0</v>
      </c>
      <c r="M12" s="13">
        <f t="shared" si="4"/>
        <v>-1.3423260708564914E-2</v>
      </c>
      <c r="N12" s="13">
        <f t="shared" si="5"/>
        <v>0</v>
      </c>
      <c r="O12" s="13">
        <f t="shared" si="6"/>
        <v>-2.3548221525163844E-2</v>
      </c>
      <c r="P12" s="13">
        <f t="shared" si="7"/>
        <v>0</v>
      </c>
      <c r="Q12" s="13">
        <f t="shared" si="8"/>
        <v>-6.5859764806690951E-4</v>
      </c>
      <c r="R12" s="13">
        <f t="shared" si="11"/>
        <v>1.604876877848101E-2</v>
      </c>
      <c r="S12" s="13">
        <f t="shared" si="11"/>
        <v>0.16100988943116501</v>
      </c>
      <c r="T12" s="13">
        <f t="shared" si="11"/>
        <v>-3.9599712159192009E-2</v>
      </c>
      <c r="U12" s="13">
        <f t="shared" si="11"/>
        <v>7.8924782549834233E-2</v>
      </c>
      <c r="V12" s="13">
        <f t="shared" si="11"/>
        <v>1.4879464054476273E-2</v>
      </c>
      <c r="W12" s="13">
        <f t="shared" si="11"/>
        <v>-6.8877758552846335E-3</v>
      </c>
      <c r="X12" s="13">
        <f t="shared" si="11"/>
        <v>-3.7840915782096571E-2</v>
      </c>
      <c r="Y12" s="13">
        <f t="shared" si="11"/>
        <v>-1.8316960690168482E-2</v>
      </c>
    </row>
    <row r="13" spans="1:25" x14ac:dyDescent="0.25">
      <c r="A13" s="14">
        <f>[1]Data!A16</f>
        <v>37803</v>
      </c>
      <c r="B13" s="15">
        <f>[1]Data!B16</f>
        <v>1.7866740475004139E-2</v>
      </c>
      <c r="C13" s="15">
        <f>[1]Data!C16</f>
        <v>8.1669580238746195E-2</v>
      </c>
      <c r="D13" s="16">
        <f>[1]Data!F16</f>
        <v>2.216397670015548E-3</v>
      </c>
      <c r="E13" s="17">
        <f>[1]Data!G16</f>
        <v>-3.9127789601589372E-2</v>
      </c>
      <c r="F13" s="16">
        <f>[1]Data!H16</f>
        <v>3.5419742157082566E-2</v>
      </c>
      <c r="G13" s="17">
        <f>[1]Data!I16</f>
        <v>-2.2465039596315295E-2</v>
      </c>
      <c r="H13" s="18">
        <f t="shared" si="0"/>
        <v>-1</v>
      </c>
      <c r="I13" s="19">
        <f t="shared" si="10"/>
        <v>1</v>
      </c>
      <c r="J13" s="13">
        <f t="shared" si="1"/>
        <v>0</v>
      </c>
      <c r="K13" s="13">
        <f t="shared" si="2"/>
        <v>-2.216397670015548E-3</v>
      </c>
      <c r="L13" s="13">
        <f t="shared" si="3"/>
        <v>0</v>
      </c>
      <c r="M13" s="13">
        <f t="shared" si="4"/>
        <v>-3.9127789601589372E-2</v>
      </c>
      <c r="N13" s="13">
        <f t="shared" si="5"/>
        <v>3.5419742157082566E-2</v>
      </c>
      <c r="O13" s="13">
        <f t="shared" si="6"/>
        <v>0</v>
      </c>
      <c r="P13" s="13">
        <f t="shared" si="7"/>
        <v>2.2465039596315295E-2</v>
      </c>
      <c r="Q13" s="13">
        <f t="shared" si="8"/>
        <v>0</v>
      </c>
      <c r="R13" s="13">
        <f t="shared" si="11"/>
        <v>1.604876877848101E-2</v>
      </c>
      <c r="S13" s="13">
        <f t="shared" si="11"/>
        <v>0.15879349176114946</v>
      </c>
      <c r="T13" s="13">
        <f t="shared" si="11"/>
        <v>-3.9599712159192009E-2</v>
      </c>
      <c r="U13" s="13">
        <f t="shared" si="11"/>
        <v>3.9796992948244861E-2</v>
      </c>
      <c r="V13" s="13">
        <f t="shared" si="11"/>
        <v>5.0299206211558839E-2</v>
      </c>
      <c r="W13" s="13">
        <f t="shared" si="11"/>
        <v>-6.8877758552846335E-3</v>
      </c>
      <c r="X13" s="13">
        <f t="shared" si="11"/>
        <v>-1.5375876185781276E-2</v>
      </c>
      <c r="Y13" s="13">
        <f t="shared" si="11"/>
        <v>-1.8316960690168482E-2</v>
      </c>
    </row>
    <row r="14" spans="1:25" x14ac:dyDescent="0.25">
      <c r="A14" s="14">
        <f>[1]Data!A17</f>
        <v>37834</v>
      </c>
      <c r="B14" s="15">
        <f>[1]Data!B17</f>
        <v>2.0415823630765294E-2</v>
      </c>
      <c r="C14" s="15">
        <f>[1]Data!C17</f>
        <v>8.6189233696981997E-3</v>
      </c>
      <c r="D14" s="16">
        <f>[1]Data!F17</f>
        <v>6.6266254038208159E-3</v>
      </c>
      <c r="E14" s="17">
        <f>[1]Data!G17</f>
        <v>7.8013612977776373E-3</v>
      </c>
      <c r="F14" s="16">
        <f>[1]Data!H17</f>
        <v>-1.4084041863477519E-2</v>
      </c>
      <c r="G14" s="17">
        <f>[1]Data!I17</f>
        <v>1.7146179916123636E-2</v>
      </c>
      <c r="H14" s="18">
        <f t="shared" si="0"/>
        <v>-1</v>
      </c>
      <c r="I14" s="19">
        <f t="shared" si="10"/>
        <v>1</v>
      </c>
      <c r="J14" s="13">
        <f t="shared" si="1"/>
        <v>0</v>
      </c>
      <c r="K14" s="13">
        <f t="shared" si="2"/>
        <v>-6.6266254038208159E-3</v>
      </c>
      <c r="L14" s="13">
        <f t="shared" si="3"/>
        <v>0</v>
      </c>
      <c r="M14" s="13">
        <f t="shared" si="4"/>
        <v>7.8013612977776373E-3</v>
      </c>
      <c r="N14" s="13">
        <f t="shared" si="5"/>
        <v>-1.4084041863477519E-2</v>
      </c>
      <c r="O14" s="13">
        <f t="shared" si="6"/>
        <v>0</v>
      </c>
      <c r="P14" s="13">
        <f t="shared" si="7"/>
        <v>-1.7146179916123636E-2</v>
      </c>
      <c r="Q14" s="13">
        <f t="shared" si="8"/>
        <v>0</v>
      </c>
      <c r="R14" s="13">
        <f t="shared" si="11"/>
        <v>1.604876877848101E-2</v>
      </c>
      <c r="S14" s="13">
        <f t="shared" si="11"/>
        <v>0.15216686635732865</v>
      </c>
      <c r="T14" s="13">
        <f t="shared" si="11"/>
        <v>-3.9599712159192009E-2</v>
      </c>
      <c r="U14" s="13">
        <f t="shared" si="11"/>
        <v>4.7598354246022496E-2</v>
      </c>
      <c r="V14" s="13">
        <f t="shared" si="11"/>
        <v>3.6215164348081322E-2</v>
      </c>
      <c r="W14" s="13">
        <f t="shared" si="11"/>
        <v>-6.8877758552846335E-3</v>
      </c>
      <c r="X14" s="13">
        <f t="shared" si="11"/>
        <v>-3.2522056101904909E-2</v>
      </c>
      <c r="Y14" s="13">
        <f t="shared" si="11"/>
        <v>-1.8316960690168482E-2</v>
      </c>
    </row>
    <row r="15" spans="1:25" x14ac:dyDescent="0.25">
      <c r="A15" s="14">
        <f>[1]Data!A18</f>
        <v>37865</v>
      </c>
      <c r="B15" s="15">
        <f>[1]Data!B18</f>
        <v>-1.0966089333232471E-2</v>
      </c>
      <c r="C15" s="15">
        <f>[1]Data!C18</f>
        <v>-5.1631716224384014E-3</v>
      </c>
      <c r="D15" s="16">
        <f>[1]Data!F18</f>
        <v>-2.5680352408644094E-2</v>
      </c>
      <c r="E15" s="17">
        <f>[1]Data!G18</f>
        <v>3.7771205546862821E-2</v>
      </c>
      <c r="F15" s="16">
        <f>[1]Data!H18</f>
        <v>2.1841664622560132E-2</v>
      </c>
      <c r="G15" s="17">
        <f>[1]Data!I18</f>
        <v>-9.3762190842890634E-4</v>
      </c>
      <c r="H15" s="18">
        <f t="shared" si="0"/>
        <v>1</v>
      </c>
      <c r="I15" s="19">
        <f t="shared" si="10"/>
        <v>1</v>
      </c>
      <c r="J15" s="13">
        <f t="shared" si="1"/>
        <v>-2.5680352408644094E-2</v>
      </c>
      <c r="K15" s="13">
        <f t="shared" si="2"/>
        <v>0</v>
      </c>
      <c r="L15" s="13">
        <f t="shared" si="3"/>
        <v>-3.7771205546862821E-2</v>
      </c>
      <c r="M15" s="13">
        <f t="shared" si="4"/>
        <v>0</v>
      </c>
      <c r="N15" s="13">
        <f t="shared" si="5"/>
        <v>2.1841664622560132E-2</v>
      </c>
      <c r="O15" s="13">
        <f t="shared" si="6"/>
        <v>0</v>
      </c>
      <c r="P15" s="13">
        <f t="shared" si="7"/>
        <v>9.3762190842890634E-4</v>
      </c>
      <c r="Q15" s="13">
        <f t="shared" si="8"/>
        <v>0</v>
      </c>
      <c r="R15" s="13">
        <f t="shared" si="11"/>
        <v>-9.631583630163084E-3</v>
      </c>
      <c r="S15" s="13">
        <f t="shared" si="11"/>
        <v>0.15216686635732865</v>
      </c>
      <c r="T15" s="13">
        <f t="shared" si="11"/>
        <v>-7.7370917706054837E-2</v>
      </c>
      <c r="U15" s="13">
        <f t="shared" si="11"/>
        <v>4.7598354246022496E-2</v>
      </c>
      <c r="V15" s="13">
        <f t="shared" si="11"/>
        <v>5.8056828970641454E-2</v>
      </c>
      <c r="W15" s="13">
        <f t="shared" si="11"/>
        <v>-6.8877758552846335E-3</v>
      </c>
      <c r="X15" s="13">
        <f t="shared" si="11"/>
        <v>-3.1584434193476001E-2</v>
      </c>
      <c r="Y15" s="13">
        <f t="shared" si="11"/>
        <v>-1.8316960690168482E-2</v>
      </c>
    </row>
    <row r="16" spans="1:25" x14ac:dyDescent="0.25">
      <c r="A16" s="14">
        <f>[1]Data!A19</f>
        <v>37895</v>
      </c>
      <c r="B16" s="15">
        <f>[1]Data!B19</f>
        <v>5.2144139912676593E-2</v>
      </c>
      <c r="C16" s="15">
        <f>[1]Data!C19</f>
        <v>9.1258810603082163E-2</v>
      </c>
      <c r="D16" s="16">
        <f>[1]Data!F19</f>
        <v>4.187473498823085E-3</v>
      </c>
      <c r="E16" s="17">
        <f>[1]Data!G19</f>
        <v>1.2520683132503714E-2</v>
      </c>
      <c r="F16" s="16">
        <f>[1]Data!H19</f>
        <v>4.221811855834802E-2</v>
      </c>
      <c r="G16" s="17">
        <f>[1]Data!I19</f>
        <v>-3.6904121899701381E-2</v>
      </c>
      <c r="H16" s="18">
        <f t="shared" si="0"/>
        <v>-1</v>
      </c>
      <c r="I16" s="19">
        <f t="shared" si="10"/>
        <v>-1</v>
      </c>
      <c r="J16" s="13">
        <f t="shared" si="1"/>
        <v>0</v>
      </c>
      <c r="K16" s="13">
        <f t="shared" si="2"/>
        <v>-4.187473498823085E-3</v>
      </c>
      <c r="L16" s="13">
        <f t="shared" si="3"/>
        <v>0</v>
      </c>
      <c r="M16" s="13">
        <f t="shared" si="4"/>
        <v>1.2520683132503714E-2</v>
      </c>
      <c r="N16" s="13">
        <f t="shared" si="5"/>
        <v>0</v>
      </c>
      <c r="O16" s="13">
        <f t="shared" si="6"/>
        <v>-4.221811855834802E-2</v>
      </c>
      <c r="P16" s="13">
        <f t="shared" si="7"/>
        <v>0</v>
      </c>
      <c r="Q16" s="13">
        <f t="shared" si="8"/>
        <v>-3.6904121899701381E-2</v>
      </c>
      <c r="R16" s="13">
        <f t="shared" si="11"/>
        <v>-9.631583630163084E-3</v>
      </c>
      <c r="S16" s="13">
        <f t="shared" si="11"/>
        <v>0.14797939285850556</v>
      </c>
      <c r="T16" s="13">
        <f t="shared" si="11"/>
        <v>-7.7370917706054837E-2</v>
      </c>
      <c r="U16" s="13">
        <f t="shared" si="11"/>
        <v>6.0119037378526211E-2</v>
      </c>
      <c r="V16" s="13">
        <f t="shared" si="11"/>
        <v>5.8056828970641454E-2</v>
      </c>
      <c r="W16" s="13">
        <f t="shared" si="11"/>
        <v>-4.9105894413632653E-2</v>
      </c>
      <c r="X16" s="13">
        <f t="shared" si="11"/>
        <v>-3.1584434193476001E-2</v>
      </c>
      <c r="Y16" s="13">
        <f t="shared" si="11"/>
        <v>-5.5221082589869866E-2</v>
      </c>
    </row>
    <row r="17" spans="1:25" x14ac:dyDescent="0.25">
      <c r="A17" s="14">
        <f>[1]Data!A20</f>
        <v>37926</v>
      </c>
      <c r="B17" s="15">
        <f>[1]Data!B20</f>
        <v>1.0861449368547426E-2</v>
      </c>
      <c r="C17" s="15">
        <f>[1]Data!C20</f>
        <v>-2.9759385248789294E-2</v>
      </c>
      <c r="D17" s="16">
        <f>[1]Data!F20</f>
        <v>2.1266989697093914E-2</v>
      </c>
      <c r="E17" s="17">
        <f>[1]Data!G20</f>
        <v>-1.5965120188949303E-2</v>
      </c>
      <c r="F17" s="16">
        <f>[1]Data!H20</f>
        <v>2.9385173054028513E-3</v>
      </c>
      <c r="G17" s="17">
        <f>[1]Data!I20</f>
        <v>-1.594344880559977E-2</v>
      </c>
      <c r="H17" s="18">
        <f t="shared" si="0"/>
        <v>1</v>
      </c>
      <c r="I17" s="19">
        <f t="shared" si="10"/>
        <v>1</v>
      </c>
      <c r="J17" s="13">
        <f t="shared" si="1"/>
        <v>2.1266989697093914E-2</v>
      </c>
      <c r="K17" s="13">
        <f t="shared" si="2"/>
        <v>0</v>
      </c>
      <c r="L17" s="13">
        <f t="shared" si="3"/>
        <v>1.5965120188949303E-2</v>
      </c>
      <c r="M17" s="13">
        <f t="shared" si="4"/>
        <v>0</v>
      </c>
      <c r="N17" s="13">
        <f t="shared" si="5"/>
        <v>2.9385173054028513E-3</v>
      </c>
      <c r="O17" s="13">
        <f t="shared" si="6"/>
        <v>0</v>
      </c>
      <c r="P17" s="13">
        <f t="shared" si="7"/>
        <v>1.594344880559977E-2</v>
      </c>
      <c r="Q17" s="13">
        <f t="shared" si="8"/>
        <v>0</v>
      </c>
      <c r="R17" s="13">
        <f t="shared" si="11"/>
        <v>1.163540606693083E-2</v>
      </c>
      <c r="S17" s="13">
        <f t="shared" si="11"/>
        <v>0.14797939285850556</v>
      </c>
      <c r="T17" s="13">
        <f t="shared" si="11"/>
        <v>-6.1405797517105537E-2</v>
      </c>
      <c r="U17" s="13">
        <f t="shared" si="11"/>
        <v>6.0119037378526211E-2</v>
      </c>
      <c r="V17" s="13">
        <f t="shared" si="11"/>
        <v>6.0995346276044304E-2</v>
      </c>
      <c r="W17" s="13">
        <f t="shared" si="11"/>
        <v>-4.9105894413632653E-2</v>
      </c>
      <c r="X17" s="13">
        <f t="shared" si="11"/>
        <v>-1.5640985387876231E-2</v>
      </c>
      <c r="Y17" s="13">
        <f t="shared" si="11"/>
        <v>-5.5221082589869866E-2</v>
      </c>
    </row>
    <row r="18" spans="1:25" x14ac:dyDescent="0.25">
      <c r="A18" s="14">
        <f>[1]Data!A21</f>
        <v>37956</v>
      </c>
      <c r="B18" s="15">
        <f>[1]Data!B21</f>
        <v>4.9087898099312438E-2</v>
      </c>
      <c r="C18" s="15">
        <f>[1]Data!C21</f>
        <v>1.3271875247031131E-5</v>
      </c>
      <c r="D18" s="16">
        <f>[1]Data!F21</f>
        <v>2.1619299732725618E-2</v>
      </c>
      <c r="E18" s="17">
        <f>[1]Data!G21</f>
        <v>-1.411171926405454E-2</v>
      </c>
      <c r="F18" s="16">
        <f>[1]Data!H21</f>
        <v>3.7503646150602258E-3</v>
      </c>
      <c r="G18" s="17">
        <f>[1]Data!I21</f>
        <v>1.2761996920309574E-2</v>
      </c>
      <c r="H18" s="18">
        <f t="shared" si="0"/>
        <v>-1</v>
      </c>
      <c r="I18" s="19">
        <f t="shared" si="10"/>
        <v>-1</v>
      </c>
      <c r="J18" s="13">
        <f t="shared" si="1"/>
        <v>0</v>
      </c>
      <c r="K18" s="13">
        <f t="shared" si="2"/>
        <v>-2.1619299732725618E-2</v>
      </c>
      <c r="L18" s="13">
        <f t="shared" si="3"/>
        <v>0</v>
      </c>
      <c r="M18" s="13">
        <f t="shared" si="4"/>
        <v>-1.411171926405454E-2</v>
      </c>
      <c r="N18" s="13">
        <f t="shared" si="5"/>
        <v>0</v>
      </c>
      <c r="O18" s="13">
        <f t="shared" si="6"/>
        <v>-3.7503646150602258E-3</v>
      </c>
      <c r="P18" s="13">
        <f t="shared" si="7"/>
        <v>0</v>
      </c>
      <c r="Q18" s="13">
        <f t="shared" si="8"/>
        <v>1.2761996920309574E-2</v>
      </c>
      <c r="R18" s="13">
        <f t="shared" si="11"/>
        <v>1.163540606693083E-2</v>
      </c>
      <c r="S18" s="13">
        <f t="shared" si="11"/>
        <v>0.12636009312577995</v>
      </c>
      <c r="T18" s="13">
        <f t="shared" si="11"/>
        <v>-6.1405797517105537E-2</v>
      </c>
      <c r="U18" s="13">
        <f t="shared" si="11"/>
        <v>4.6007318114471674E-2</v>
      </c>
      <c r="V18" s="13">
        <f t="shared" si="11"/>
        <v>6.0995346276044304E-2</v>
      </c>
      <c r="W18" s="13">
        <f t="shared" si="11"/>
        <v>-5.2856259028692877E-2</v>
      </c>
      <c r="X18" s="13">
        <f t="shared" si="11"/>
        <v>-1.5640985387876231E-2</v>
      </c>
      <c r="Y18" s="13">
        <f t="shared" si="11"/>
        <v>-4.245908566956029E-2</v>
      </c>
    </row>
    <row r="19" spans="1:25" x14ac:dyDescent="0.25">
      <c r="A19" s="14">
        <f>[1]Data!A22</f>
        <v>37987</v>
      </c>
      <c r="B19" s="15">
        <f>[1]Data!B22</f>
        <v>1.9577025972393632E-2</v>
      </c>
      <c r="C19" s="15">
        <f>[1]Data!C22</f>
        <v>5.5776224237058785E-3</v>
      </c>
      <c r="D19" s="16">
        <f>[1]Data!F22</f>
        <v>-8.3370962572605293E-3</v>
      </c>
      <c r="E19" s="17">
        <f>[1]Data!G22</f>
        <v>-3.8998462570735415E-3</v>
      </c>
      <c r="F19" s="16">
        <f>[1]Data!H22</f>
        <v>1.8695655003773966E-2</v>
      </c>
      <c r="G19" s="17">
        <f>[1]Data!I22</f>
        <v>1.1744042368061811E-4</v>
      </c>
      <c r="H19" s="18">
        <f t="shared" si="0"/>
        <v>-1</v>
      </c>
      <c r="I19" s="19">
        <f t="shared" si="10"/>
        <v>1</v>
      </c>
      <c r="J19" s="13">
        <f t="shared" si="1"/>
        <v>0</v>
      </c>
      <c r="K19" s="13">
        <f t="shared" si="2"/>
        <v>8.3370962572605293E-3</v>
      </c>
      <c r="L19" s="13">
        <f t="shared" si="3"/>
        <v>0</v>
      </c>
      <c r="M19" s="13">
        <f t="shared" si="4"/>
        <v>-3.8998462570735415E-3</v>
      </c>
      <c r="N19" s="13">
        <f t="shared" si="5"/>
        <v>1.8695655003773966E-2</v>
      </c>
      <c r="O19" s="13">
        <f t="shared" si="6"/>
        <v>0</v>
      </c>
      <c r="P19" s="13">
        <f t="shared" si="7"/>
        <v>-1.1744042368061811E-4</v>
      </c>
      <c r="Q19" s="13">
        <f t="shared" si="8"/>
        <v>0</v>
      </c>
      <c r="R19" s="13">
        <f t="shared" si="11"/>
        <v>1.163540606693083E-2</v>
      </c>
      <c r="S19" s="13">
        <f t="shared" si="11"/>
        <v>0.13469718938304048</v>
      </c>
      <c r="T19" s="13">
        <f t="shared" si="11"/>
        <v>-6.1405797517105537E-2</v>
      </c>
      <c r="U19" s="13">
        <f t="shared" si="11"/>
        <v>4.2107471857398132E-2</v>
      </c>
      <c r="V19" s="13">
        <f t="shared" si="11"/>
        <v>7.9691001279818263E-2</v>
      </c>
      <c r="W19" s="13">
        <f t="shared" si="11"/>
        <v>-5.2856259028692877E-2</v>
      </c>
      <c r="X19" s="13">
        <f t="shared" si="11"/>
        <v>-1.5758425811556849E-2</v>
      </c>
      <c r="Y19" s="13">
        <f t="shared" si="11"/>
        <v>-4.245908566956029E-2</v>
      </c>
    </row>
    <row r="20" spans="1:25" x14ac:dyDescent="0.25">
      <c r="A20" s="14">
        <f>[1]Data!A23</f>
        <v>38018</v>
      </c>
      <c r="B20" s="15">
        <f>[1]Data!B23</f>
        <v>1.3479708802168621E-2</v>
      </c>
      <c r="C20" s="15">
        <f>[1]Data!C23</f>
        <v>-3.9915077704742391E-3</v>
      </c>
      <c r="D20" s="16">
        <f>[1]Data!F23</f>
        <v>3.7455402371840744E-3</v>
      </c>
      <c r="E20" s="17">
        <f>[1]Data!G23</f>
        <v>8.837824589380738E-3</v>
      </c>
      <c r="F20" s="16">
        <f>[1]Data!H23</f>
        <v>8.5113765150951239E-3</v>
      </c>
      <c r="G20" s="17">
        <f>[1]Data!I23</f>
        <v>8.021269081473081E-3</v>
      </c>
      <c r="H20" s="18">
        <f t="shared" si="0"/>
        <v>1</v>
      </c>
      <c r="I20" s="19">
        <f t="shared" si="10"/>
        <v>1</v>
      </c>
      <c r="J20" s="13">
        <f t="shared" si="1"/>
        <v>3.7455402371840744E-3</v>
      </c>
      <c r="K20" s="13">
        <f t="shared" si="2"/>
        <v>0</v>
      </c>
      <c r="L20" s="13">
        <f t="shared" si="3"/>
        <v>-8.837824589380738E-3</v>
      </c>
      <c r="M20" s="13">
        <f t="shared" si="4"/>
        <v>0</v>
      </c>
      <c r="N20" s="13">
        <f t="shared" si="5"/>
        <v>8.5113765150951239E-3</v>
      </c>
      <c r="O20" s="13">
        <f t="shared" si="6"/>
        <v>0</v>
      </c>
      <c r="P20" s="13">
        <f t="shared" si="7"/>
        <v>-8.021269081473081E-3</v>
      </c>
      <c r="Q20" s="13">
        <f t="shared" si="8"/>
        <v>0</v>
      </c>
      <c r="R20" s="13">
        <f t="shared" si="11"/>
        <v>1.5380946304114905E-2</v>
      </c>
      <c r="S20" s="13">
        <f t="shared" si="11"/>
        <v>0.13469718938304048</v>
      </c>
      <c r="T20" s="13">
        <f t="shared" si="11"/>
        <v>-7.024362210648627E-2</v>
      </c>
      <c r="U20" s="13">
        <f t="shared" si="11"/>
        <v>4.2107471857398132E-2</v>
      </c>
      <c r="V20" s="13">
        <f t="shared" si="11"/>
        <v>8.8202377794913384E-2</v>
      </c>
      <c r="W20" s="13">
        <f t="shared" si="11"/>
        <v>-5.2856259028692877E-2</v>
      </c>
      <c r="X20" s="13">
        <f t="shared" si="11"/>
        <v>-2.3779694893029932E-2</v>
      </c>
      <c r="Y20" s="13">
        <f t="shared" si="11"/>
        <v>-4.245908566956029E-2</v>
      </c>
    </row>
    <row r="21" spans="1:25" x14ac:dyDescent="0.25">
      <c r="A21" s="14">
        <f>[1]Data!A24</f>
        <v>38047</v>
      </c>
      <c r="B21" s="15">
        <f>[1]Data!B24</f>
        <v>-1.3334294966489475E-2</v>
      </c>
      <c r="C21" s="15">
        <f>[1]Data!C24</f>
        <v>-5.5326873150173414E-2</v>
      </c>
      <c r="D21" s="16">
        <f>[1]Data!F24</f>
        <v>1.8201990800118098E-2</v>
      </c>
      <c r="E21" s="17">
        <f>[1]Data!G24</f>
        <v>-9.7793502857180283E-3</v>
      </c>
      <c r="F21" s="16">
        <f>[1]Data!H24</f>
        <v>1.1754441496936219E-2</v>
      </c>
      <c r="G21" s="17">
        <f>[1]Data!I24</f>
        <v>1.5015637139404094E-2</v>
      </c>
      <c r="H21" s="18">
        <f t="shared" si="0"/>
        <v>1</v>
      </c>
      <c r="I21" s="19">
        <f t="shared" si="10"/>
        <v>-1</v>
      </c>
      <c r="J21" s="13">
        <f t="shared" si="1"/>
        <v>1.8201990800118098E-2</v>
      </c>
      <c r="K21" s="13">
        <f t="shared" si="2"/>
        <v>0</v>
      </c>
      <c r="L21" s="13">
        <f t="shared" si="3"/>
        <v>9.7793502857180283E-3</v>
      </c>
      <c r="M21" s="13">
        <f t="shared" si="4"/>
        <v>0</v>
      </c>
      <c r="N21" s="13">
        <f t="shared" si="5"/>
        <v>0</v>
      </c>
      <c r="O21" s="13">
        <f t="shared" si="6"/>
        <v>-1.1754441496936219E-2</v>
      </c>
      <c r="P21" s="13">
        <f t="shared" si="7"/>
        <v>0</v>
      </c>
      <c r="Q21" s="13">
        <f t="shared" si="8"/>
        <v>1.5015637139404094E-2</v>
      </c>
      <c r="R21" s="13">
        <f t="shared" si="11"/>
        <v>3.3582937104233004E-2</v>
      </c>
      <c r="S21" s="13">
        <f t="shared" si="11"/>
        <v>0.13469718938304048</v>
      </c>
      <c r="T21" s="13">
        <f t="shared" si="11"/>
        <v>-6.0464271820768245E-2</v>
      </c>
      <c r="U21" s="13">
        <f t="shared" si="11"/>
        <v>4.2107471857398132E-2</v>
      </c>
      <c r="V21" s="13">
        <f t="shared" si="11"/>
        <v>8.8202377794913384E-2</v>
      </c>
      <c r="W21" s="13">
        <f t="shared" si="11"/>
        <v>-6.4610700525629089E-2</v>
      </c>
      <c r="X21" s="13">
        <f t="shared" si="11"/>
        <v>-2.3779694893029932E-2</v>
      </c>
      <c r="Y21" s="13">
        <f t="shared" si="11"/>
        <v>-2.7443448530156195E-2</v>
      </c>
    </row>
    <row r="22" spans="1:25" x14ac:dyDescent="0.25">
      <c r="A22" s="14">
        <f>[1]Data!A25</f>
        <v>38078</v>
      </c>
      <c r="B22" s="15">
        <f>[1]Data!B25</f>
        <v>-1.9102805722503481E-2</v>
      </c>
      <c r="C22" s="15">
        <f>[1]Data!C25</f>
        <v>6.4031392450913854E-2</v>
      </c>
      <c r="D22" s="16">
        <f>[1]Data!F25</f>
        <v>-2.9219346069354106E-2</v>
      </c>
      <c r="E22" s="17">
        <f>[1]Data!G25</f>
        <v>-1.0466084980112988E-2</v>
      </c>
      <c r="F22" s="16">
        <f>[1]Data!H25</f>
        <v>1.3437141486775382E-2</v>
      </c>
      <c r="G22" s="17">
        <f>[1]Data!I25</f>
        <v>-3.3073193219356839E-2</v>
      </c>
      <c r="H22" s="18">
        <f t="shared" si="0"/>
        <v>-1</v>
      </c>
      <c r="I22" s="19">
        <f t="shared" si="10"/>
        <v>-1</v>
      </c>
      <c r="J22" s="13">
        <f t="shared" si="1"/>
        <v>0</v>
      </c>
      <c r="K22" s="13">
        <f t="shared" si="2"/>
        <v>2.9219346069354106E-2</v>
      </c>
      <c r="L22" s="13">
        <f t="shared" si="3"/>
        <v>0</v>
      </c>
      <c r="M22" s="13">
        <f t="shared" si="4"/>
        <v>-1.0466084980112988E-2</v>
      </c>
      <c r="N22" s="13">
        <f t="shared" si="5"/>
        <v>0</v>
      </c>
      <c r="O22" s="13">
        <f t="shared" si="6"/>
        <v>-1.3437141486775382E-2</v>
      </c>
      <c r="P22" s="13">
        <f t="shared" si="7"/>
        <v>0</v>
      </c>
      <c r="Q22" s="13">
        <f t="shared" si="8"/>
        <v>-3.3073193219356839E-2</v>
      </c>
      <c r="R22" s="13">
        <f t="shared" si="11"/>
        <v>3.3582937104233004E-2</v>
      </c>
      <c r="S22" s="13">
        <f t="shared" si="11"/>
        <v>0.1639165354523946</v>
      </c>
      <c r="T22" s="13">
        <f t="shared" si="11"/>
        <v>-6.0464271820768245E-2</v>
      </c>
      <c r="U22" s="13">
        <f t="shared" si="11"/>
        <v>3.1641386877285141E-2</v>
      </c>
      <c r="V22" s="13">
        <f t="shared" si="11"/>
        <v>8.8202377794913384E-2</v>
      </c>
      <c r="W22" s="13">
        <f t="shared" si="11"/>
        <v>-7.8047842012404473E-2</v>
      </c>
      <c r="X22" s="13">
        <f t="shared" si="11"/>
        <v>-2.3779694893029932E-2</v>
      </c>
      <c r="Y22" s="13">
        <f t="shared" si="11"/>
        <v>-6.0516641749513031E-2</v>
      </c>
    </row>
    <row r="23" spans="1:25" x14ac:dyDescent="0.25">
      <c r="A23" s="14">
        <f>[1]Data!A26</f>
        <v>38108</v>
      </c>
      <c r="B23" s="15">
        <f>[1]Data!B26</f>
        <v>1.6979050250249192E-2</v>
      </c>
      <c r="C23" s="15">
        <f>[1]Data!C26</f>
        <v>8.6682691255538097E-3</v>
      </c>
      <c r="D23" s="16">
        <f>[1]Data!F26</f>
        <v>2.7396704422756032E-2</v>
      </c>
      <c r="E23" s="17">
        <f>[1]Data!G26</f>
        <v>1.6501478291470945E-2</v>
      </c>
      <c r="F23" s="16">
        <f>[1]Data!H26</f>
        <v>-9.0526502395397168E-3</v>
      </c>
      <c r="G23" s="17">
        <f>[1]Data!I26</f>
        <v>-2.4236662573878066E-2</v>
      </c>
      <c r="H23" s="18">
        <f t="shared" si="0"/>
        <v>-1</v>
      </c>
      <c r="I23" s="19">
        <f t="shared" si="10"/>
        <v>1</v>
      </c>
      <c r="J23" s="13">
        <f t="shared" si="1"/>
        <v>0</v>
      </c>
      <c r="K23" s="13">
        <f t="shared" si="2"/>
        <v>-2.7396704422756032E-2</v>
      </c>
      <c r="L23" s="13">
        <f t="shared" si="3"/>
        <v>0</v>
      </c>
      <c r="M23" s="13">
        <f t="shared" si="4"/>
        <v>1.6501478291470945E-2</v>
      </c>
      <c r="N23" s="13">
        <f t="shared" si="5"/>
        <v>-9.0526502395397168E-3</v>
      </c>
      <c r="O23" s="13">
        <f t="shared" si="6"/>
        <v>0</v>
      </c>
      <c r="P23" s="13">
        <f t="shared" si="7"/>
        <v>2.4236662573878066E-2</v>
      </c>
      <c r="Q23" s="13">
        <f t="shared" si="8"/>
        <v>0</v>
      </c>
      <c r="R23" s="13">
        <f t="shared" si="11"/>
        <v>3.3582937104233004E-2</v>
      </c>
      <c r="S23" s="13">
        <f t="shared" si="11"/>
        <v>0.13651983102963855</v>
      </c>
      <c r="T23" s="13">
        <f t="shared" si="11"/>
        <v>-6.0464271820768245E-2</v>
      </c>
      <c r="U23" s="13">
        <f t="shared" si="11"/>
        <v>4.8142865168756085E-2</v>
      </c>
      <c r="V23" s="13">
        <f t="shared" si="11"/>
        <v>7.9149727555373667E-2</v>
      </c>
      <c r="W23" s="13">
        <f t="shared" si="11"/>
        <v>-7.8047842012404473E-2</v>
      </c>
      <c r="X23" s="13">
        <f t="shared" si="11"/>
        <v>4.5696768084813391E-4</v>
      </c>
      <c r="Y23" s="13">
        <f t="shared" si="11"/>
        <v>-6.0516641749513031E-2</v>
      </c>
    </row>
    <row r="24" spans="1:25" x14ac:dyDescent="0.25">
      <c r="A24" s="14">
        <f>[1]Data!A27</f>
        <v>38139</v>
      </c>
      <c r="B24" s="15">
        <f>[1]Data!B27</f>
        <v>1.8331885030361789E-2</v>
      </c>
      <c r="C24" s="15">
        <f>[1]Data!C27</f>
        <v>1.6372054357472281E-2</v>
      </c>
      <c r="D24" s="16">
        <f>[1]Data!F27</f>
        <v>6.6580648753345774E-3</v>
      </c>
      <c r="E24" s="17">
        <f>[1]Data!G27</f>
        <v>1.5177840048565337E-2</v>
      </c>
      <c r="F24" s="16">
        <f>[1]Data!H27</f>
        <v>1.617131804322568E-2</v>
      </c>
      <c r="G24" s="17">
        <f>[1]Data!I27</f>
        <v>-1.5313748195601428E-2</v>
      </c>
      <c r="H24" s="18">
        <f t="shared" si="0"/>
        <v>-1</v>
      </c>
      <c r="I24" s="19">
        <f t="shared" si="10"/>
        <v>1</v>
      </c>
      <c r="J24" s="13">
        <f t="shared" si="1"/>
        <v>0</v>
      </c>
      <c r="K24" s="13">
        <f t="shared" si="2"/>
        <v>-6.6580648753345774E-3</v>
      </c>
      <c r="L24" s="13">
        <f t="shared" si="3"/>
        <v>0</v>
      </c>
      <c r="M24" s="13">
        <f t="shared" si="4"/>
        <v>1.5177840048565337E-2</v>
      </c>
      <c r="N24" s="13">
        <f t="shared" si="5"/>
        <v>1.617131804322568E-2</v>
      </c>
      <c r="O24" s="13">
        <f t="shared" si="6"/>
        <v>0</v>
      </c>
      <c r="P24" s="13">
        <f t="shared" si="7"/>
        <v>1.5313748195601428E-2</v>
      </c>
      <c r="Q24" s="13">
        <f t="shared" si="8"/>
        <v>0</v>
      </c>
      <c r="R24" s="13">
        <f t="shared" si="11"/>
        <v>3.3582937104233004E-2</v>
      </c>
      <c r="S24" s="13">
        <f t="shared" si="11"/>
        <v>0.12986176615430398</v>
      </c>
      <c r="T24" s="13">
        <f t="shared" si="11"/>
        <v>-6.0464271820768245E-2</v>
      </c>
      <c r="U24" s="13">
        <f t="shared" si="11"/>
        <v>6.3320705217321416E-2</v>
      </c>
      <c r="V24" s="13">
        <f t="shared" si="11"/>
        <v>9.5321045598599344E-2</v>
      </c>
      <c r="W24" s="13">
        <f t="shared" si="11"/>
        <v>-7.8047842012404473E-2</v>
      </c>
      <c r="X24" s="13">
        <f t="shared" si="11"/>
        <v>1.5770715876449563E-2</v>
      </c>
      <c r="Y24" s="13">
        <f t="shared" si="11"/>
        <v>-6.0516641749513031E-2</v>
      </c>
    </row>
    <row r="25" spans="1:25" x14ac:dyDescent="0.25">
      <c r="A25" s="14">
        <f>[1]Data!A28</f>
        <v>38169</v>
      </c>
      <c r="B25" s="15">
        <f>[1]Data!B28</f>
        <v>-3.2749449777161849E-2</v>
      </c>
      <c r="C25" s="15">
        <f>[1]Data!C28</f>
        <v>-5.7592268858129694E-2</v>
      </c>
      <c r="D25" s="16">
        <f>[1]Data!F28</f>
        <v>8.6987554498197672E-3</v>
      </c>
      <c r="E25" s="17">
        <f>[1]Data!G28</f>
        <v>-9.4552811160753848E-4</v>
      </c>
      <c r="F25" s="16">
        <f>[1]Data!H28</f>
        <v>-2.7350142406960161E-2</v>
      </c>
      <c r="G25" s="17">
        <f>[1]Data!I28</f>
        <v>1.1646994998757954E-2</v>
      </c>
      <c r="H25" s="18">
        <f t="shared" si="0"/>
        <v>1</v>
      </c>
      <c r="I25" s="19">
        <f t="shared" si="10"/>
        <v>1</v>
      </c>
      <c r="J25" s="13">
        <f t="shared" si="1"/>
        <v>8.6987554498197672E-3</v>
      </c>
      <c r="K25" s="13">
        <f t="shared" si="2"/>
        <v>0</v>
      </c>
      <c r="L25" s="13">
        <f t="shared" si="3"/>
        <v>9.4552811160753848E-4</v>
      </c>
      <c r="M25" s="13">
        <f t="shared" si="4"/>
        <v>0</v>
      </c>
      <c r="N25" s="13">
        <f t="shared" si="5"/>
        <v>-2.7350142406960161E-2</v>
      </c>
      <c r="O25" s="13">
        <f t="shared" si="6"/>
        <v>0</v>
      </c>
      <c r="P25" s="13">
        <f t="shared" si="7"/>
        <v>-1.1646994998757954E-2</v>
      </c>
      <c r="Q25" s="13">
        <f t="shared" si="8"/>
        <v>0</v>
      </c>
      <c r="R25" s="13">
        <f t="shared" si="11"/>
        <v>4.2281692554052772E-2</v>
      </c>
      <c r="S25" s="13">
        <f t="shared" si="11"/>
        <v>0.12986176615430398</v>
      </c>
      <c r="T25" s="13">
        <f t="shared" si="11"/>
        <v>-5.9518743709160708E-2</v>
      </c>
      <c r="U25" s="13">
        <f t="shared" si="11"/>
        <v>6.3320705217321416E-2</v>
      </c>
      <c r="V25" s="13">
        <f t="shared" si="11"/>
        <v>6.7970903191639176E-2</v>
      </c>
      <c r="W25" s="13">
        <f t="shared" si="11"/>
        <v>-7.8047842012404473E-2</v>
      </c>
      <c r="X25" s="13">
        <f t="shared" si="11"/>
        <v>4.1237208776916095E-3</v>
      </c>
      <c r="Y25" s="13">
        <f t="shared" si="11"/>
        <v>-6.0516641749513031E-2</v>
      </c>
    </row>
    <row r="26" spans="1:25" x14ac:dyDescent="0.25">
      <c r="A26" s="14">
        <f>[1]Data!A29</f>
        <v>38200</v>
      </c>
      <c r="B26" s="15">
        <f>[1]Data!B29</f>
        <v>2.4332456643171877E-3</v>
      </c>
      <c r="C26" s="15">
        <f>[1]Data!C29</f>
        <v>-2.9952560431180792E-2</v>
      </c>
      <c r="D26" s="16">
        <f>[1]Data!F29</f>
        <v>5.6859571158404927E-3</v>
      </c>
      <c r="E26" s="17">
        <f>[1]Data!G29</f>
        <v>1.4113410125157998E-2</v>
      </c>
      <c r="F26" s="16">
        <f>[1]Data!H29</f>
        <v>-3.6661442255212291E-2</v>
      </c>
      <c r="G26" s="17">
        <f>[1]Data!I29</f>
        <v>2.5311785646998028E-2</v>
      </c>
      <c r="H26" s="18">
        <f t="shared" si="0"/>
        <v>1</v>
      </c>
      <c r="I26" s="19">
        <f t="shared" si="10"/>
        <v>-1</v>
      </c>
      <c r="J26" s="13">
        <f t="shared" si="1"/>
        <v>5.6859571158404927E-3</v>
      </c>
      <c r="K26" s="13">
        <f t="shared" si="2"/>
        <v>0</v>
      </c>
      <c r="L26" s="13">
        <f t="shared" si="3"/>
        <v>-1.4113410125157998E-2</v>
      </c>
      <c r="M26" s="13">
        <f t="shared" si="4"/>
        <v>0</v>
      </c>
      <c r="N26" s="13">
        <f t="shared" si="5"/>
        <v>0</v>
      </c>
      <c r="O26" s="13">
        <f t="shared" si="6"/>
        <v>3.6661442255212291E-2</v>
      </c>
      <c r="P26" s="13">
        <f t="shared" si="7"/>
        <v>0</v>
      </c>
      <c r="Q26" s="13">
        <f t="shared" si="8"/>
        <v>2.5311785646998028E-2</v>
      </c>
      <c r="R26" s="13">
        <f t="shared" si="11"/>
        <v>4.7967649669893267E-2</v>
      </c>
      <c r="S26" s="13">
        <f t="shared" si="11"/>
        <v>0.12986176615430398</v>
      </c>
      <c r="T26" s="13">
        <f t="shared" si="11"/>
        <v>-7.3632153834318703E-2</v>
      </c>
      <c r="U26" s="13">
        <f t="shared" si="11"/>
        <v>6.3320705217321416E-2</v>
      </c>
      <c r="V26" s="13">
        <f t="shared" si="11"/>
        <v>6.7970903191639176E-2</v>
      </c>
      <c r="W26" s="13">
        <f t="shared" si="11"/>
        <v>-4.1386399757192181E-2</v>
      </c>
      <c r="X26" s="13">
        <f t="shared" si="11"/>
        <v>4.1237208776916095E-3</v>
      </c>
      <c r="Y26" s="13">
        <f t="shared" si="11"/>
        <v>-3.5204856102515003E-2</v>
      </c>
    </row>
    <row r="27" spans="1:25" x14ac:dyDescent="0.25">
      <c r="A27" s="14">
        <f>[1]Data!A30</f>
        <v>38231</v>
      </c>
      <c r="B27" s="15">
        <f>[1]Data!B30</f>
        <v>9.9866287756100423E-3</v>
      </c>
      <c r="C27" s="15">
        <f>[1]Data!C30</f>
        <v>-1.7417315802490854E-2</v>
      </c>
      <c r="D27" s="16">
        <f>[1]Data!F30</f>
        <v>1.8801533055461802E-3</v>
      </c>
      <c r="E27" s="17">
        <f>[1]Data!G30</f>
        <v>-1.6073671783751298E-2</v>
      </c>
      <c r="F27" s="16">
        <f>[1]Data!H30</f>
        <v>1.314340904362583E-2</v>
      </c>
      <c r="G27" s="17">
        <f>[1]Data!I30</f>
        <v>-1.3740926279097662E-3</v>
      </c>
      <c r="H27" s="18">
        <f t="shared" si="0"/>
        <v>1</v>
      </c>
      <c r="I27" s="19">
        <f t="shared" si="10"/>
        <v>-1</v>
      </c>
      <c r="J27" s="13">
        <f t="shared" si="1"/>
        <v>1.8801533055461802E-3</v>
      </c>
      <c r="K27" s="13">
        <f t="shared" si="2"/>
        <v>0</v>
      </c>
      <c r="L27" s="13">
        <f t="shared" si="3"/>
        <v>1.6073671783751298E-2</v>
      </c>
      <c r="M27" s="13">
        <f t="shared" si="4"/>
        <v>0</v>
      </c>
      <c r="N27" s="13">
        <f t="shared" si="5"/>
        <v>0</v>
      </c>
      <c r="O27" s="13">
        <f t="shared" si="6"/>
        <v>-1.314340904362583E-2</v>
      </c>
      <c r="P27" s="13">
        <f t="shared" si="7"/>
        <v>0</v>
      </c>
      <c r="Q27" s="13">
        <f t="shared" si="8"/>
        <v>-1.3740926279097662E-3</v>
      </c>
      <c r="R27" s="13">
        <f t="shared" si="11"/>
        <v>4.9847802975439448E-2</v>
      </c>
      <c r="S27" s="13">
        <f t="shared" si="11"/>
        <v>0.12986176615430398</v>
      </c>
      <c r="T27" s="13">
        <f t="shared" si="11"/>
        <v>-5.7558482050567406E-2</v>
      </c>
      <c r="U27" s="13">
        <f t="shared" si="11"/>
        <v>6.3320705217321416E-2</v>
      </c>
      <c r="V27" s="13">
        <f t="shared" si="11"/>
        <v>6.7970903191639176E-2</v>
      </c>
      <c r="W27" s="13">
        <f t="shared" si="11"/>
        <v>-5.4529808800818008E-2</v>
      </c>
      <c r="X27" s="13">
        <f t="shared" si="11"/>
        <v>4.1237208776916095E-3</v>
      </c>
      <c r="Y27" s="13">
        <f t="shared" si="11"/>
        <v>-3.6578948730424769E-2</v>
      </c>
    </row>
    <row r="28" spans="1:25" x14ac:dyDescent="0.25">
      <c r="A28" s="14">
        <f>[1]Data!A31</f>
        <v>38261</v>
      </c>
      <c r="B28" s="15">
        <f>[1]Data!B31</f>
        <v>1.2802230986665466E-2</v>
      </c>
      <c r="C28" s="15">
        <f>[1]Data!C31</f>
        <v>-2.4055554186821974E-2</v>
      </c>
      <c r="D28" s="16">
        <f>[1]Data!F31</f>
        <v>1.7465748553655909E-2</v>
      </c>
      <c r="E28" s="17">
        <f>[1]Data!G31</f>
        <v>-1.8990809668799555E-3</v>
      </c>
      <c r="F28" s="16">
        <f>[1]Data!H31</f>
        <v>1.5008879658332905E-2</v>
      </c>
      <c r="G28" s="17">
        <f>[1]Data!I31</f>
        <v>-1.2468756187064008E-2</v>
      </c>
      <c r="H28" s="18">
        <f t="shared" si="0"/>
        <v>1</v>
      </c>
      <c r="I28" s="19">
        <f t="shared" si="10"/>
        <v>-1</v>
      </c>
      <c r="J28" s="13">
        <f t="shared" si="1"/>
        <v>1.7465748553655909E-2</v>
      </c>
      <c r="K28" s="13">
        <f t="shared" si="2"/>
        <v>0</v>
      </c>
      <c r="L28" s="13">
        <f t="shared" si="3"/>
        <v>1.8990809668799555E-3</v>
      </c>
      <c r="M28" s="13">
        <f t="shared" si="4"/>
        <v>0</v>
      </c>
      <c r="N28" s="13">
        <f t="shared" si="5"/>
        <v>0</v>
      </c>
      <c r="O28" s="13">
        <f t="shared" si="6"/>
        <v>-1.5008879658332905E-2</v>
      </c>
      <c r="P28" s="13">
        <f t="shared" si="7"/>
        <v>0</v>
      </c>
      <c r="Q28" s="13">
        <f t="shared" si="8"/>
        <v>-1.2468756187064008E-2</v>
      </c>
      <c r="R28" s="13">
        <f t="shared" si="11"/>
        <v>6.731355152909535E-2</v>
      </c>
      <c r="S28" s="13">
        <f t="shared" si="11"/>
        <v>0.12986176615430398</v>
      </c>
      <c r="T28" s="13">
        <f t="shared" si="11"/>
        <v>-5.565940108368745E-2</v>
      </c>
      <c r="U28" s="13">
        <f t="shared" si="11"/>
        <v>6.3320705217321416E-2</v>
      </c>
      <c r="V28" s="13">
        <f t="shared" si="11"/>
        <v>6.7970903191639176E-2</v>
      </c>
      <c r="W28" s="13">
        <f t="shared" si="11"/>
        <v>-6.9538688459150913E-2</v>
      </c>
      <c r="X28" s="13">
        <f t="shared" si="11"/>
        <v>4.1237208776916095E-3</v>
      </c>
      <c r="Y28" s="13">
        <f t="shared" si="11"/>
        <v>-4.9047704917488777E-2</v>
      </c>
    </row>
    <row r="29" spans="1:25" x14ac:dyDescent="0.25">
      <c r="A29" s="14">
        <f>[1]Data!A32</f>
        <v>38292</v>
      </c>
      <c r="B29" s="15">
        <f>[1]Data!B32</f>
        <v>4.355541838229525E-2</v>
      </c>
      <c r="C29" s="15">
        <f>[1]Data!C32</f>
        <v>4.874141950004432E-2</v>
      </c>
      <c r="D29" s="16">
        <f>[1]Data!F32</f>
        <v>3.9945171430488188E-3</v>
      </c>
      <c r="E29" s="17">
        <f>[1]Data!G32</f>
        <v>-1.5068680556364556E-2</v>
      </c>
      <c r="F29" s="16">
        <f>[1]Data!H32</f>
        <v>3.5408743949253405E-2</v>
      </c>
      <c r="G29" s="17">
        <f>[1]Data!I32</f>
        <v>-1.429184381447136E-2</v>
      </c>
      <c r="H29" s="18">
        <f t="shared" si="0"/>
        <v>-1</v>
      </c>
      <c r="I29" s="19">
        <f t="shared" si="10"/>
        <v>-1</v>
      </c>
      <c r="J29" s="13">
        <f t="shared" si="1"/>
        <v>0</v>
      </c>
      <c r="K29" s="13">
        <f t="shared" si="2"/>
        <v>-3.9945171430488188E-3</v>
      </c>
      <c r="L29" s="13">
        <f t="shared" si="3"/>
        <v>0</v>
      </c>
      <c r="M29" s="13">
        <f t="shared" si="4"/>
        <v>-1.5068680556364556E-2</v>
      </c>
      <c r="N29" s="13">
        <f t="shared" si="5"/>
        <v>0</v>
      </c>
      <c r="O29" s="13">
        <f t="shared" si="6"/>
        <v>-3.5408743949253405E-2</v>
      </c>
      <c r="P29" s="13">
        <f t="shared" si="7"/>
        <v>0</v>
      </c>
      <c r="Q29" s="13">
        <f t="shared" si="8"/>
        <v>-1.429184381447136E-2</v>
      </c>
      <c r="R29" s="13">
        <f t="shared" si="11"/>
        <v>6.731355152909535E-2</v>
      </c>
      <c r="S29" s="13">
        <f t="shared" si="11"/>
        <v>0.12586724901125515</v>
      </c>
      <c r="T29" s="13">
        <f t="shared" si="11"/>
        <v>-5.565940108368745E-2</v>
      </c>
      <c r="U29" s="13">
        <f t="shared" si="11"/>
        <v>4.8252024660956863E-2</v>
      </c>
      <c r="V29" s="13">
        <f t="shared" si="11"/>
        <v>6.7970903191639176E-2</v>
      </c>
      <c r="W29" s="13">
        <f t="shared" si="11"/>
        <v>-0.10494743240840432</v>
      </c>
      <c r="X29" s="13">
        <f t="shared" si="11"/>
        <v>4.1237208776916095E-3</v>
      </c>
      <c r="Y29" s="13">
        <f t="shared" si="11"/>
        <v>-6.3339548731960141E-2</v>
      </c>
    </row>
    <row r="30" spans="1:25" x14ac:dyDescent="0.25">
      <c r="A30" s="14">
        <f>[1]Data!A33</f>
        <v>38322</v>
      </c>
      <c r="B30" s="15">
        <f>[1]Data!B33</f>
        <v>2.9676404633139329E-2</v>
      </c>
      <c r="C30" s="15">
        <f>[1]Data!C33</f>
        <v>-3.8337068155050351E-3</v>
      </c>
      <c r="D30" s="16">
        <f>[1]Data!F33</f>
        <v>3.9793821301403586E-3</v>
      </c>
      <c r="E30" s="17">
        <f>[1]Data!G33</f>
        <v>-3.2904806428732851E-3</v>
      </c>
      <c r="F30" s="16">
        <f>[1]Data!H33</f>
        <v>1.7799677396180876E-3</v>
      </c>
      <c r="G30" s="17">
        <f>[1]Data!I33</f>
        <v>1.4504216616743846E-2</v>
      </c>
      <c r="H30" s="18">
        <f t="shared" si="0"/>
        <v>1</v>
      </c>
      <c r="I30" s="19">
        <f t="shared" si="10"/>
        <v>1</v>
      </c>
      <c r="J30" s="13">
        <f t="shared" si="1"/>
        <v>3.9793821301403586E-3</v>
      </c>
      <c r="K30" s="13">
        <f t="shared" si="2"/>
        <v>0</v>
      </c>
      <c r="L30" s="13">
        <f t="shared" si="3"/>
        <v>3.2904806428732851E-3</v>
      </c>
      <c r="M30" s="13">
        <f t="shared" si="4"/>
        <v>0</v>
      </c>
      <c r="N30" s="13">
        <f t="shared" si="5"/>
        <v>1.7799677396180876E-3</v>
      </c>
      <c r="O30" s="13">
        <f t="shared" si="6"/>
        <v>0</v>
      </c>
      <c r="P30" s="13">
        <f t="shared" si="7"/>
        <v>-1.4504216616743846E-2</v>
      </c>
      <c r="Q30" s="13">
        <f t="shared" si="8"/>
        <v>0</v>
      </c>
      <c r="R30" s="13">
        <f t="shared" si="11"/>
        <v>7.129293365923571E-2</v>
      </c>
      <c r="S30" s="13">
        <f t="shared" si="11"/>
        <v>0.12586724901125515</v>
      </c>
      <c r="T30" s="13">
        <f t="shared" si="11"/>
        <v>-5.2368920440814162E-2</v>
      </c>
      <c r="U30" s="13">
        <f t="shared" si="11"/>
        <v>4.8252024660956863E-2</v>
      </c>
      <c r="V30" s="13">
        <f t="shared" si="11"/>
        <v>6.9750870931257258E-2</v>
      </c>
      <c r="W30" s="13">
        <f t="shared" si="11"/>
        <v>-0.10494743240840432</v>
      </c>
      <c r="X30" s="13">
        <f t="shared" si="11"/>
        <v>-1.0380495739052236E-2</v>
      </c>
      <c r="Y30" s="13">
        <f t="shared" si="11"/>
        <v>-6.3339548731960141E-2</v>
      </c>
    </row>
    <row r="31" spans="1:25" x14ac:dyDescent="0.25">
      <c r="A31" s="14">
        <f>[1]Data!A34</f>
        <v>38353</v>
      </c>
      <c r="B31" s="15">
        <f>[1]Data!B34</f>
        <v>-2.2676157800578019E-2</v>
      </c>
      <c r="C31" s="15">
        <f>[1]Data!C34</f>
        <v>-6.807434997875153E-2</v>
      </c>
      <c r="D31" s="16">
        <f>[1]Data!F34</f>
        <v>1.371934186058742E-2</v>
      </c>
      <c r="E31" s="17">
        <f>[1]Data!G34</f>
        <v>3.3852755500740927E-3</v>
      </c>
      <c r="F31" s="16">
        <f>[1]Data!H34</f>
        <v>-2.0308677511837452E-2</v>
      </c>
      <c r="G31" s="17">
        <f>[1]Data!I34</f>
        <v>-1.1279635504883459E-4</v>
      </c>
      <c r="H31" s="18">
        <f t="shared" si="0"/>
        <v>1</v>
      </c>
      <c r="I31" s="19">
        <f t="shared" si="10"/>
        <v>-1</v>
      </c>
      <c r="J31" s="13">
        <f t="shared" si="1"/>
        <v>1.371934186058742E-2</v>
      </c>
      <c r="K31" s="13">
        <f t="shared" si="2"/>
        <v>0</v>
      </c>
      <c r="L31" s="13">
        <f t="shared" si="3"/>
        <v>-3.3852755500740927E-3</v>
      </c>
      <c r="M31" s="13">
        <f t="shared" si="4"/>
        <v>0</v>
      </c>
      <c r="N31" s="13">
        <f t="shared" si="5"/>
        <v>0</v>
      </c>
      <c r="O31" s="13">
        <f t="shared" si="6"/>
        <v>2.0308677511837452E-2</v>
      </c>
      <c r="P31" s="13">
        <f t="shared" si="7"/>
        <v>0</v>
      </c>
      <c r="Q31" s="13">
        <f t="shared" si="8"/>
        <v>-1.1279635504883459E-4</v>
      </c>
      <c r="R31" s="13">
        <f t="shared" si="11"/>
        <v>8.5012275519823127E-2</v>
      </c>
      <c r="S31" s="13">
        <f t="shared" si="11"/>
        <v>0.12586724901125515</v>
      </c>
      <c r="T31" s="13">
        <f t="shared" si="11"/>
        <v>-5.5754195990888253E-2</v>
      </c>
      <c r="U31" s="13">
        <f t="shared" si="11"/>
        <v>4.8252024660956863E-2</v>
      </c>
      <c r="V31" s="13">
        <f t="shared" si="11"/>
        <v>6.9750870931257258E-2</v>
      </c>
      <c r="W31" s="13">
        <f t="shared" si="11"/>
        <v>-8.4638754896566859E-2</v>
      </c>
      <c r="X31" s="13">
        <f t="shared" si="11"/>
        <v>-1.0380495739052236E-2</v>
      </c>
      <c r="Y31" s="13">
        <f t="shared" si="11"/>
        <v>-6.3452345087008977E-2</v>
      </c>
    </row>
    <row r="32" spans="1:25" x14ac:dyDescent="0.25">
      <c r="A32" s="14">
        <f>[1]Data!A35</f>
        <v>38384</v>
      </c>
      <c r="B32" s="15">
        <f>[1]Data!B35</f>
        <v>2.0688724278982062E-2</v>
      </c>
      <c r="C32" s="15">
        <f>[1]Data!C35</f>
        <v>1.3671822992324192E-2</v>
      </c>
      <c r="D32" s="16">
        <f>[1]Data!F35</f>
        <v>1.6971610815911909E-2</v>
      </c>
      <c r="E32" s="17">
        <f>[1]Data!G35</f>
        <v>-4.8764277817778066E-3</v>
      </c>
      <c r="F32" s="16">
        <f>[1]Data!H35</f>
        <v>1.6035526165009389E-2</v>
      </c>
      <c r="G32" s="17">
        <f>[1]Data!I35</f>
        <v>2.1386087064852059E-2</v>
      </c>
      <c r="H32" s="18">
        <f t="shared" si="0"/>
        <v>-1</v>
      </c>
      <c r="I32" s="19">
        <f t="shared" si="10"/>
        <v>-1</v>
      </c>
      <c r="J32" s="13">
        <f t="shared" si="1"/>
        <v>0</v>
      </c>
      <c r="K32" s="13">
        <f t="shared" si="2"/>
        <v>-1.6971610815911909E-2</v>
      </c>
      <c r="L32" s="13">
        <f t="shared" si="3"/>
        <v>0</v>
      </c>
      <c r="M32" s="13">
        <f t="shared" si="4"/>
        <v>-4.8764277817778066E-3</v>
      </c>
      <c r="N32" s="13">
        <f t="shared" si="5"/>
        <v>0</v>
      </c>
      <c r="O32" s="13">
        <f t="shared" si="6"/>
        <v>-1.6035526165009389E-2</v>
      </c>
      <c r="P32" s="13">
        <f t="shared" si="7"/>
        <v>0</v>
      </c>
      <c r="Q32" s="13">
        <f t="shared" si="8"/>
        <v>2.1386087064852059E-2</v>
      </c>
      <c r="R32" s="13">
        <f t="shared" si="11"/>
        <v>8.5012275519823127E-2</v>
      </c>
      <c r="S32" s="13">
        <f t="shared" si="11"/>
        <v>0.10889563819534324</v>
      </c>
      <c r="T32" s="13">
        <f t="shared" si="11"/>
        <v>-5.5754195990888253E-2</v>
      </c>
      <c r="U32" s="13">
        <f t="shared" si="11"/>
        <v>4.3375596879179058E-2</v>
      </c>
      <c r="V32" s="13">
        <f t="shared" si="11"/>
        <v>6.9750870931257258E-2</v>
      </c>
      <c r="W32" s="13">
        <f t="shared" si="11"/>
        <v>-0.10067428106157625</v>
      </c>
      <c r="X32" s="13">
        <f t="shared" si="11"/>
        <v>-1.0380495739052236E-2</v>
      </c>
      <c r="Y32" s="13">
        <f t="shared" si="11"/>
        <v>-4.2066258022156917E-2</v>
      </c>
    </row>
    <row r="33" spans="1:25" x14ac:dyDescent="0.25">
      <c r="A33" s="14">
        <f>[1]Data!A36</f>
        <v>38412</v>
      </c>
      <c r="B33" s="15">
        <f>[1]Data!B36</f>
        <v>-1.8462502172189858E-2</v>
      </c>
      <c r="C33" s="15">
        <f>[1]Data!C36</f>
        <v>-2.4812336581095905E-3</v>
      </c>
      <c r="D33" s="16">
        <f>[1]Data!F36</f>
        <v>-1.1862885700992623E-3</v>
      </c>
      <c r="E33" s="17">
        <f>[1]Data!G36</f>
        <v>1.0237580699193637E-2</v>
      </c>
      <c r="F33" s="16">
        <f>[1]Data!H36</f>
        <v>1.7747835247511494E-2</v>
      </c>
      <c r="G33" s="17">
        <f>[1]Data!I36</f>
        <v>1.2535334232020304E-2</v>
      </c>
      <c r="H33" s="18">
        <f t="shared" si="0"/>
        <v>1</v>
      </c>
      <c r="I33" s="19">
        <f t="shared" si="10"/>
        <v>1</v>
      </c>
      <c r="J33" s="13">
        <f t="shared" si="1"/>
        <v>-1.1862885700992623E-3</v>
      </c>
      <c r="K33" s="13">
        <f t="shared" si="2"/>
        <v>0</v>
      </c>
      <c r="L33" s="13">
        <f t="shared" si="3"/>
        <v>-1.0237580699193637E-2</v>
      </c>
      <c r="M33" s="13">
        <f t="shared" si="4"/>
        <v>0</v>
      </c>
      <c r="N33" s="13">
        <f t="shared" si="5"/>
        <v>1.7747835247511494E-2</v>
      </c>
      <c r="O33" s="13">
        <f t="shared" si="6"/>
        <v>0</v>
      </c>
      <c r="P33" s="13">
        <f t="shared" si="7"/>
        <v>-1.2535334232020304E-2</v>
      </c>
      <c r="Q33" s="13">
        <f t="shared" si="8"/>
        <v>0</v>
      </c>
      <c r="R33" s="13">
        <f t="shared" si="11"/>
        <v>8.382598694972386E-2</v>
      </c>
      <c r="S33" s="13">
        <f t="shared" si="11"/>
        <v>0.10889563819534324</v>
      </c>
      <c r="T33" s="13">
        <f t="shared" si="11"/>
        <v>-6.5991776690081883E-2</v>
      </c>
      <c r="U33" s="13">
        <f t="shared" si="11"/>
        <v>4.3375596879179058E-2</v>
      </c>
      <c r="V33" s="13">
        <f t="shared" si="11"/>
        <v>8.7498706178768759E-2</v>
      </c>
      <c r="W33" s="13">
        <f t="shared" si="11"/>
        <v>-0.10067428106157625</v>
      </c>
      <c r="X33" s="13">
        <f t="shared" si="11"/>
        <v>-2.291582997107254E-2</v>
      </c>
      <c r="Y33" s="13">
        <f t="shared" si="11"/>
        <v>-4.2066258022156917E-2</v>
      </c>
    </row>
    <row r="34" spans="1:25" x14ac:dyDescent="0.25">
      <c r="A34" s="14">
        <f>[1]Data!A37</f>
        <v>38443</v>
      </c>
      <c r="B34" s="15">
        <f>[1]Data!B37</f>
        <v>-1.8912752545091678E-2</v>
      </c>
      <c r="C34" s="15">
        <f>[1]Data!C37</f>
        <v>-3.5700334724594038E-2</v>
      </c>
      <c r="D34" s="16">
        <f>[1]Data!F37</f>
        <v>-2.2443399410768516E-3</v>
      </c>
      <c r="E34" s="17">
        <f>[1]Data!G37</f>
        <v>1.8892977603744671E-2</v>
      </c>
      <c r="F34" s="16">
        <f>[1]Data!H37</f>
        <v>1.0792942654148012E-2</v>
      </c>
      <c r="G34" s="17">
        <f>[1]Data!I37</f>
        <v>-4.05231105981758E-3</v>
      </c>
      <c r="H34" s="18">
        <f t="shared" si="0"/>
        <v>1</v>
      </c>
      <c r="I34" s="19">
        <f t="shared" si="10"/>
        <v>-1</v>
      </c>
      <c r="J34" s="13">
        <f t="shared" si="1"/>
        <v>-2.2443399410768516E-3</v>
      </c>
      <c r="K34" s="13">
        <f t="shared" si="2"/>
        <v>0</v>
      </c>
      <c r="L34" s="13">
        <f t="shared" si="3"/>
        <v>-1.8892977603744671E-2</v>
      </c>
      <c r="M34" s="13">
        <f t="shared" si="4"/>
        <v>0</v>
      </c>
      <c r="N34" s="13">
        <f t="shared" si="5"/>
        <v>0</v>
      </c>
      <c r="O34" s="13">
        <f t="shared" si="6"/>
        <v>-1.0792942654148012E-2</v>
      </c>
      <c r="P34" s="13">
        <f t="shared" si="7"/>
        <v>0</v>
      </c>
      <c r="Q34" s="13">
        <f t="shared" si="8"/>
        <v>-4.05231105981758E-3</v>
      </c>
      <c r="R34" s="13">
        <f t="shared" si="11"/>
        <v>8.1581647008647007E-2</v>
      </c>
      <c r="S34" s="13">
        <f t="shared" si="11"/>
        <v>0.10889563819534324</v>
      </c>
      <c r="T34" s="13">
        <f t="shared" si="11"/>
        <v>-8.4884754293826553E-2</v>
      </c>
      <c r="U34" s="13">
        <f t="shared" si="11"/>
        <v>4.3375596879179058E-2</v>
      </c>
      <c r="V34" s="13">
        <f t="shared" si="11"/>
        <v>8.7498706178768759E-2</v>
      </c>
      <c r="W34" s="13">
        <f t="shared" si="11"/>
        <v>-0.11146722371572426</v>
      </c>
      <c r="X34" s="13">
        <f t="shared" si="11"/>
        <v>-2.291582997107254E-2</v>
      </c>
      <c r="Y34" s="13">
        <f t="shared" ref="Y34:Y97" si="12">Q34+Y33</f>
        <v>-4.6118569081974495E-2</v>
      </c>
    </row>
    <row r="35" spans="1:25" x14ac:dyDescent="0.25">
      <c r="A35" s="14">
        <f>[1]Data!A38</f>
        <v>38473</v>
      </c>
      <c r="B35" s="15">
        <f>[1]Data!B38</f>
        <v>3.1716339268027298E-2</v>
      </c>
      <c r="C35" s="15">
        <f>[1]Data!C38</f>
        <v>1.4363283865139239E-2</v>
      </c>
      <c r="D35" s="16">
        <f>[1]Data!F38</f>
        <v>3.0175309021802576E-3</v>
      </c>
      <c r="E35" s="17">
        <f>[1]Data!G38</f>
        <v>1.6557043536769383E-2</v>
      </c>
      <c r="F35" s="16">
        <f>[1]Data!H38</f>
        <v>1.1510013127153601E-2</v>
      </c>
      <c r="G35" s="17">
        <f>[1]Data!I38</f>
        <v>-1.1465711361094623E-2</v>
      </c>
      <c r="H35" s="18">
        <f t="shared" si="0"/>
        <v>-1</v>
      </c>
      <c r="I35" s="19">
        <f t="shared" si="10"/>
        <v>-1</v>
      </c>
      <c r="J35" s="13">
        <f t="shared" si="1"/>
        <v>0</v>
      </c>
      <c r="K35" s="13">
        <f t="shared" si="2"/>
        <v>-3.0175309021802576E-3</v>
      </c>
      <c r="L35" s="13">
        <f t="shared" si="3"/>
        <v>0</v>
      </c>
      <c r="M35" s="13">
        <f t="shared" si="4"/>
        <v>1.6557043536769383E-2</v>
      </c>
      <c r="N35" s="13">
        <f t="shared" si="5"/>
        <v>0</v>
      </c>
      <c r="O35" s="13">
        <f t="shared" si="6"/>
        <v>-1.1510013127153601E-2</v>
      </c>
      <c r="P35" s="13">
        <f t="shared" si="7"/>
        <v>0</v>
      </c>
      <c r="Q35" s="13">
        <f t="shared" si="8"/>
        <v>-1.1465711361094623E-2</v>
      </c>
      <c r="R35" s="13">
        <f t="shared" ref="R35:X71" si="13">J35+R34</f>
        <v>8.1581647008647007E-2</v>
      </c>
      <c r="S35" s="13">
        <f t="shared" si="13"/>
        <v>0.10587810729316299</v>
      </c>
      <c r="T35" s="13">
        <f t="shared" si="13"/>
        <v>-8.4884754293826553E-2</v>
      </c>
      <c r="U35" s="13">
        <f t="shared" si="13"/>
        <v>5.9932640415948438E-2</v>
      </c>
      <c r="V35" s="13">
        <f t="shared" si="13"/>
        <v>8.7498706178768759E-2</v>
      </c>
      <c r="W35" s="13">
        <f t="shared" si="13"/>
        <v>-0.12297723684287787</v>
      </c>
      <c r="X35" s="13">
        <f t="shared" si="13"/>
        <v>-2.291582997107254E-2</v>
      </c>
      <c r="Y35" s="13">
        <f t="shared" si="12"/>
        <v>-5.7584280443069118E-2</v>
      </c>
    </row>
    <row r="36" spans="1:25" x14ac:dyDescent="0.25">
      <c r="A36" s="14">
        <f>[1]Data!A39</f>
        <v>38504</v>
      </c>
      <c r="B36" s="15">
        <f>[1]Data!B39</f>
        <v>1.5138288098725198E-3</v>
      </c>
      <c r="C36" s="15">
        <f>[1]Data!C39</f>
        <v>1.8341199277175608E-2</v>
      </c>
      <c r="D36" s="16">
        <f>[1]Data!F39</f>
        <v>-1.903262277125322E-2</v>
      </c>
      <c r="E36" s="17">
        <f>[1]Data!G39</f>
        <v>1.9212293525328328E-2</v>
      </c>
      <c r="F36" s="16">
        <f>[1]Data!H39</f>
        <v>5.4255543732965568E-3</v>
      </c>
      <c r="G36" s="17">
        <f>[1]Data!I39</f>
        <v>1.9450649407346574E-2</v>
      </c>
      <c r="H36" s="18">
        <f t="shared" si="0"/>
        <v>-1</v>
      </c>
      <c r="I36" s="19">
        <f t="shared" si="10"/>
        <v>1</v>
      </c>
      <c r="J36" s="13">
        <f t="shared" si="1"/>
        <v>0</v>
      </c>
      <c r="K36" s="13">
        <f t="shared" si="2"/>
        <v>1.903262277125322E-2</v>
      </c>
      <c r="L36" s="13">
        <f t="shared" si="3"/>
        <v>0</v>
      </c>
      <c r="M36" s="13">
        <f t="shared" si="4"/>
        <v>1.9212293525328328E-2</v>
      </c>
      <c r="N36" s="13">
        <f t="shared" si="5"/>
        <v>5.4255543732965568E-3</v>
      </c>
      <c r="O36" s="13">
        <f t="shared" si="6"/>
        <v>0</v>
      </c>
      <c r="P36" s="13">
        <f t="shared" si="7"/>
        <v>-1.9450649407346574E-2</v>
      </c>
      <c r="Q36" s="13">
        <f t="shared" si="8"/>
        <v>0</v>
      </c>
      <c r="R36" s="13">
        <f t="shared" si="13"/>
        <v>8.1581647008647007E-2</v>
      </c>
      <c r="S36" s="13">
        <f t="shared" si="13"/>
        <v>0.12491073006441622</v>
      </c>
      <c r="T36" s="13">
        <f t="shared" si="13"/>
        <v>-8.4884754293826553E-2</v>
      </c>
      <c r="U36" s="13">
        <f t="shared" si="13"/>
        <v>7.9144933941276766E-2</v>
      </c>
      <c r="V36" s="13">
        <f t="shared" si="13"/>
        <v>9.2924260552065319E-2</v>
      </c>
      <c r="W36" s="13">
        <f t="shared" si="13"/>
        <v>-0.12297723684287787</v>
      </c>
      <c r="X36" s="13">
        <f t="shared" si="13"/>
        <v>-4.2366479378419114E-2</v>
      </c>
      <c r="Y36" s="13">
        <f t="shared" si="12"/>
        <v>-5.7584280443069118E-2</v>
      </c>
    </row>
    <row r="37" spans="1:25" x14ac:dyDescent="0.25">
      <c r="A37" s="14">
        <f>[1]Data!A40</f>
        <v>38534</v>
      </c>
      <c r="B37" s="15">
        <f>[1]Data!B40</f>
        <v>3.7547313345992178E-2</v>
      </c>
      <c r="C37" s="15">
        <f>[1]Data!C40</f>
        <v>6.5608487152724493E-2</v>
      </c>
      <c r="D37" s="16">
        <f>[1]Data!F40</f>
        <v>1.6172994952600986E-3</v>
      </c>
      <c r="E37" s="17">
        <f>[1]Data!G40</f>
        <v>-4.7140262993998422E-3</v>
      </c>
      <c r="F37" s="16">
        <f>[1]Data!H40</f>
        <v>1.7796759743278781E-2</v>
      </c>
      <c r="G37" s="17">
        <f>[1]Data!I40</f>
        <v>-1.8200037770397685E-2</v>
      </c>
      <c r="H37" s="18">
        <f t="shared" si="0"/>
        <v>-1</v>
      </c>
      <c r="I37" s="19">
        <f t="shared" si="10"/>
        <v>1</v>
      </c>
      <c r="J37" s="13">
        <f t="shared" si="1"/>
        <v>0</v>
      </c>
      <c r="K37" s="13">
        <f t="shared" si="2"/>
        <v>-1.6172994952600986E-3</v>
      </c>
      <c r="L37" s="13">
        <f t="shared" si="3"/>
        <v>0</v>
      </c>
      <c r="M37" s="13">
        <f t="shared" si="4"/>
        <v>-4.7140262993998422E-3</v>
      </c>
      <c r="N37" s="13">
        <f t="shared" si="5"/>
        <v>1.7796759743278781E-2</v>
      </c>
      <c r="O37" s="13">
        <f t="shared" si="6"/>
        <v>0</v>
      </c>
      <c r="P37" s="13">
        <f t="shared" si="7"/>
        <v>1.8200037770397685E-2</v>
      </c>
      <c r="Q37" s="13">
        <f t="shared" si="8"/>
        <v>0</v>
      </c>
      <c r="R37" s="13">
        <f t="shared" si="13"/>
        <v>8.1581647008647007E-2</v>
      </c>
      <c r="S37" s="13">
        <f t="shared" si="13"/>
        <v>0.12329343056915612</v>
      </c>
      <c r="T37" s="13">
        <f t="shared" si="13"/>
        <v>-8.4884754293826553E-2</v>
      </c>
      <c r="U37" s="13">
        <f t="shared" si="13"/>
        <v>7.4430907641876917E-2</v>
      </c>
      <c r="V37" s="13">
        <f t="shared" si="13"/>
        <v>0.1107210202953441</v>
      </c>
      <c r="W37" s="13">
        <f t="shared" si="13"/>
        <v>-0.12297723684287787</v>
      </c>
      <c r="X37" s="13">
        <f t="shared" si="13"/>
        <v>-2.4166441608021429E-2</v>
      </c>
      <c r="Y37" s="13">
        <f t="shared" si="12"/>
        <v>-5.7584280443069118E-2</v>
      </c>
    </row>
    <row r="38" spans="1:25" x14ac:dyDescent="0.25">
      <c r="A38" s="14">
        <f>[1]Data!A41</f>
        <v>38565</v>
      </c>
      <c r="B38" s="15">
        <f>[1]Data!B41</f>
        <v>-9.418476936731526E-3</v>
      </c>
      <c r="C38" s="15">
        <f>[1]Data!C41</f>
        <v>-2.1198097897498016E-2</v>
      </c>
      <c r="D38" s="16">
        <f>[1]Data!F41</f>
        <v>8.9795341574789266E-4</v>
      </c>
      <c r="E38" s="17">
        <f>[1]Data!G41</f>
        <v>2.3292312410693683E-2</v>
      </c>
      <c r="F38" s="16">
        <f>[1]Data!H41</f>
        <v>-6.9743585278697583E-3</v>
      </c>
      <c r="G38" s="17">
        <f>[1]Data!I41</f>
        <v>-1.1983082904433289E-2</v>
      </c>
      <c r="H38" s="18">
        <f t="shared" si="0"/>
        <v>1</v>
      </c>
      <c r="I38" s="19">
        <f t="shared" si="10"/>
        <v>1</v>
      </c>
      <c r="J38" s="13">
        <f t="shared" si="1"/>
        <v>8.9795341574789266E-4</v>
      </c>
      <c r="K38" s="13">
        <f t="shared" si="2"/>
        <v>0</v>
      </c>
      <c r="L38" s="13">
        <f t="shared" si="3"/>
        <v>-2.3292312410693683E-2</v>
      </c>
      <c r="M38" s="13">
        <f t="shared" si="4"/>
        <v>0</v>
      </c>
      <c r="N38" s="13">
        <f t="shared" si="5"/>
        <v>-6.9743585278697583E-3</v>
      </c>
      <c r="O38" s="13">
        <f t="shared" si="6"/>
        <v>0</v>
      </c>
      <c r="P38" s="13">
        <f t="shared" si="7"/>
        <v>1.1983082904433289E-2</v>
      </c>
      <c r="Q38" s="13">
        <f t="shared" si="8"/>
        <v>0</v>
      </c>
      <c r="R38" s="13">
        <f t="shared" si="13"/>
        <v>8.2479600424394894E-2</v>
      </c>
      <c r="S38" s="13">
        <f t="shared" si="13"/>
        <v>0.12329343056915612</v>
      </c>
      <c r="T38" s="13">
        <f t="shared" si="13"/>
        <v>-0.10817706670452024</v>
      </c>
      <c r="U38" s="13">
        <f t="shared" si="13"/>
        <v>7.4430907641876917E-2</v>
      </c>
      <c r="V38" s="13">
        <f t="shared" si="13"/>
        <v>0.10374666176747434</v>
      </c>
      <c r="W38" s="13">
        <f t="shared" si="13"/>
        <v>-0.12297723684287787</v>
      </c>
      <c r="X38" s="13">
        <f t="shared" si="13"/>
        <v>-1.2183358703588139E-2</v>
      </c>
      <c r="Y38" s="13">
        <f t="shared" si="12"/>
        <v>-5.7584280443069118E-2</v>
      </c>
    </row>
    <row r="39" spans="1:25" x14ac:dyDescent="0.25">
      <c r="A39" s="14">
        <f>[1]Data!A42</f>
        <v>38596</v>
      </c>
      <c r="B39" s="15">
        <f>[1]Data!B42</f>
        <v>7.9934270357336478E-3</v>
      </c>
      <c r="C39" s="15">
        <f>[1]Data!C42</f>
        <v>1.8911431047654345E-2</v>
      </c>
      <c r="D39" s="16">
        <f>[1]Data!F42</f>
        <v>1.3912732976948568E-2</v>
      </c>
      <c r="E39" s="17">
        <f>[1]Data!G42</f>
        <v>-1.1967080644273737E-2</v>
      </c>
      <c r="F39" s="16">
        <f>[1]Data!H42</f>
        <v>7.4776549560379903E-3</v>
      </c>
      <c r="G39" s="17">
        <f>[1]Data!I42</f>
        <v>-2.0659862099850244E-2</v>
      </c>
      <c r="H39" s="18">
        <f t="shared" si="0"/>
        <v>-1</v>
      </c>
      <c r="I39" s="19">
        <f t="shared" si="10"/>
        <v>-1</v>
      </c>
      <c r="J39" s="13">
        <f t="shared" si="1"/>
        <v>0</v>
      </c>
      <c r="K39" s="13">
        <f t="shared" si="2"/>
        <v>-1.3912732976948568E-2</v>
      </c>
      <c r="L39" s="13">
        <f t="shared" si="3"/>
        <v>0</v>
      </c>
      <c r="M39" s="13">
        <f t="shared" si="4"/>
        <v>-1.1967080644273737E-2</v>
      </c>
      <c r="N39" s="13">
        <f t="shared" si="5"/>
        <v>0</v>
      </c>
      <c r="O39" s="13">
        <f t="shared" si="6"/>
        <v>-7.4776549560379903E-3</v>
      </c>
      <c r="P39" s="13">
        <f t="shared" si="7"/>
        <v>0</v>
      </c>
      <c r="Q39" s="13">
        <f t="shared" si="8"/>
        <v>-2.0659862099850244E-2</v>
      </c>
      <c r="R39" s="13">
        <f t="shared" si="13"/>
        <v>8.2479600424394894E-2</v>
      </c>
      <c r="S39" s="13">
        <f t="shared" si="13"/>
        <v>0.10938069759220756</v>
      </c>
      <c r="T39" s="13">
        <f t="shared" si="13"/>
        <v>-0.10817706670452024</v>
      </c>
      <c r="U39" s="13">
        <f t="shared" si="13"/>
        <v>6.2463826997603181E-2</v>
      </c>
      <c r="V39" s="13">
        <f t="shared" si="13"/>
        <v>0.10374666176747434</v>
      </c>
      <c r="W39" s="13">
        <f t="shared" si="13"/>
        <v>-0.13045489179891587</v>
      </c>
      <c r="X39" s="13">
        <f t="shared" si="13"/>
        <v>-1.2183358703588139E-2</v>
      </c>
      <c r="Y39" s="13">
        <f t="shared" si="12"/>
        <v>-7.8244142542919365E-2</v>
      </c>
    </row>
    <row r="40" spans="1:25" x14ac:dyDescent="0.25">
      <c r="A40" s="14">
        <f>[1]Data!A43</f>
        <v>38626</v>
      </c>
      <c r="B40" s="15">
        <f>[1]Data!B43</f>
        <v>-2.3934787789252124E-2</v>
      </c>
      <c r="C40" s="15">
        <f>[1]Data!C43</f>
        <v>-3.6271312273709486E-2</v>
      </c>
      <c r="D40" s="16">
        <f>[1]Data!F43</f>
        <v>1.6789064588612849E-2</v>
      </c>
      <c r="E40" s="17">
        <f>[1]Data!G43</f>
        <v>-1.821199276076765E-2</v>
      </c>
      <c r="F40" s="16">
        <f>[1]Data!H43</f>
        <v>-2.827313780995298E-2</v>
      </c>
      <c r="G40" s="17">
        <f>[1]Data!I43</f>
        <v>2.16158148162943E-5</v>
      </c>
      <c r="H40" s="18">
        <f t="shared" si="0"/>
        <v>1</v>
      </c>
      <c r="I40" s="19">
        <f t="shared" si="10"/>
        <v>1</v>
      </c>
      <c r="J40" s="13">
        <f t="shared" si="1"/>
        <v>1.6789064588612849E-2</v>
      </c>
      <c r="K40" s="13">
        <f t="shared" si="2"/>
        <v>0</v>
      </c>
      <c r="L40" s="13">
        <f t="shared" si="3"/>
        <v>1.821199276076765E-2</v>
      </c>
      <c r="M40" s="13">
        <f t="shared" si="4"/>
        <v>0</v>
      </c>
      <c r="N40" s="13">
        <f t="shared" si="5"/>
        <v>-2.827313780995298E-2</v>
      </c>
      <c r="O40" s="13">
        <f t="shared" si="6"/>
        <v>0</v>
      </c>
      <c r="P40" s="13">
        <f t="shared" si="7"/>
        <v>-2.16158148162943E-5</v>
      </c>
      <c r="Q40" s="13">
        <f t="shared" si="8"/>
        <v>0</v>
      </c>
      <c r="R40" s="13">
        <f t="shared" si="13"/>
        <v>9.926866501300774E-2</v>
      </c>
      <c r="S40" s="13">
        <f t="shared" si="13"/>
        <v>0.10938069759220756</v>
      </c>
      <c r="T40" s="13">
        <f t="shared" si="13"/>
        <v>-8.9965073943752583E-2</v>
      </c>
      <c r="U40" s="13">
        <f t="shared" si="13"/>
        <v>6.2463826997603181E-2</v>
      </c>
      <c r="V40" s="13">
        <f t="shared" si="13"/>
        <v>7.5473523957521355E-2</v>
      </c>
      <c r="W40" s="13">
        <f t="shared" si="13"/>
        <v>-0.13045489179891587</v>
      </c>
      <c r="X40" s="13">
        <f t="shared" si="13"/>
        <v>-1.2204974518404434E-2</v>
      </c>
      <c r="Y40" s="13">
        <f t="shared" si="12"/>
        <v>-7.8244142542919365E-2</v>
      </c>
    </row>
    <row r="41" spans="1:25" x14ac:dyDescent="0.25">
      <c r="A41" s="14">
        <f>[1]Data!A44</f>
        <v>38657</v>
      </c>
      <c r="B41" s="15">
        <f>[1]Data!B44</f>
        <v>4.3013436578415935E-2</v>
      </c>
      <c r="C41" s="15">
        <f>[1]Data!C44</f>
        <v>3.4375949860764178E-2</v>
      </c>
      <c r="D41" s="16">
        <f>[1]Data!F44</f>
        <v>-2.7872972755486726E-3</v>
      </c>
      <c r="E41" s="17">
        <f>[1]Data!G44</f>
        <v>-4.5449255439016867E-3</v>
      </c>
      <c r="F41" s="16">
        <f>[1]Data!H44</f>
        <v>1.7329848146017911E-2</v>
      </c>
      <c r="G41" s="17">
        <f>[1]Data!I44</f>
        <v>-1.0831471697630192E-2</v>
      </c>
      <c r="H41" s="18">
        <f t="shared" si="0"/>
        <v>-1</v>
      </c>
      <c r="I41" s="19">
        <f t="shared" si="10"/>
        <v>-1</v>
      </c>
      <c r="J41" s="13">
        <f t="shared" si="1"/>
        <v>0</v>
      </c>
      <c r="K41" s="13">
        <f t="shared" si="2"/>
        <v>2.7872972755486726E-3</v>
      </c>
      <c r="L41" s="13">
        <f t="shared" si="3"/>
        <v>0</v>
      </c>
      <c r="M41" s="13">
        <f t="shared" si="4"/>
        <v>-4.5449255439016867E-3</v>
      </c>
      <c r="N41" s="13">
        <f t="shared" si="5"/>
        <v>0</v>
      </c>
      <c r="O41" s="13">
        <f t="shared" si="6"/>
        <v>-1.7329848146017911E-2</v>
      </c>
      <c r="P41" s="13">
        <f t="shared" si="7"/>
        <v>0</v>
      </c>
      <c r="Q41" s="13">
        <f t="shared" si="8"/>
        <v>-1.0831471697630192E-2</v>
      </c>
      <c r="R41" s="13">
        <f t="shared" si="13"/>
        <v>9.926866501300774E-2</v>
      </c>
      <c r="S41" s="13">
        <f t="shared" si="13"/>
        <v>0.11216799486775623</v>
      </c>
      <c r="T41" s="13">
        <f t="shared" si="13"/>
        <v>-8.9965073943752583E-2</v>
      </c>
      <c r="U41" s="13">
        <f t="shared" si="13"/>
        <v>5.7918901453701495E-2</v>
      </c>
      <c r="V41" s="13">
        <f t="shared" si="13"/>
        <v>7.5473523957521355E-2</v>
      </c>
      <c r="W41" s="13">
        <f t="shared" si="13"/>
        <v>-0.14778473994493377</v>
      </c>
      <c r="X41" s="13">
        <f t="shared" si="13"/>
        <v>-1.2204974518404434E-2</v>
      </c>
      <c r="Y41" s="13">
        <f t="shared" si="12"/>
        <v>-8.907561424054955E-2</v>
      </c>
    </row>
    <row r="42" spans="1:25" x14ac:dyDescent="0.25">
      <c r="A42" s="14">
        <f>[1]Data!A45</f>
        <v>38687</v>
      </c>
      <c r="B42" s="15">
        <f>[1]Data!B45</f>
        <v>-1.9150356828486481E-3</v>
      </c>
      <c r="C42" s="15">
        <f>[1]Data!C45</f>
        <v>1.154915431735965E-4</v>
      </c>
      <c r="D42" s="16">
        <f>[1]Data!F45</f>
        <v>-1.2133900500669722E-2</v>
      </c>
      <c r="E42" s="17">
        <f>[1]Data!G45</f>
        <v>1.9277092901276577E-2</v>
      </c>
      <c r="F42" s="16">
        <f>[1]Data!H45</f>
        <v>5.328284129773749E-3</v>
      </c>
      <c r="G42" s="17">
        <f>[1]Data!I45</f>
        <v>6.700281508490169E-4</v>
      </c>
      <c r="H42" s="18">
        <f t="shared" si="0"/>
        <v>-1</v>
      </c>
      <c r="I42" s="19">
        <f t="shared" si="10"/>
        <v>1</v>
      </c>
      <c r="J42" s="13">
        <f t="shared" si="1"/>
        <v>0</v>
      </c>
      <c r="K42" s="13">
        <f t="shared" si="2"/>
        <v>1.2133900500669722E-2</v>
      </c>
      <c r="L42" s="13">
        <f t="shared" si="3"/>
        <v>0</v>
      </c>
      <c r="M42" s="13">
        <f t="shared" si="4"/>
        <v>1.9277092901276577E-2</v>
      </c>
      <c r="N42" s="13">
        <f t="shared" si="5"/>
        <v>5.328284129773749E-3</v>
      </c>
      <c r="O42" s="13">
        <f t="shared" si="6"/>
        <v>0</v>
      </c>
      <c r="P42" s="13">
        <f t="shared" si="7"/>
        <v>-6.700281508490169E-4</v>
      </c>
      <c r="Q42" s="13">
        <f t="shared" si="8"/>
        <v>0</v>
      </c>
      <c r="R42" s="13">
        <f t="shared" si="13"/>
        <v>9.926866501300774E-2</v>
      </c>
      <c r="S42" s="13">
        <f t="shared" si="13"/>
        <v>0.12430189536842595</v>
      </c>
      <c r="T42" s="13">
        <f t="shared" si="13"/>
        <v>-8.9965073943752583E-2</v>
      </c>
      <c r="U42" s="13">
        <f t="shared" si="13"/>
        <v>7.7195994354978065E-2</v>
      </c>
      <c r="V42" s="13">
        <f t="shared" si="13"/>
        <v>8.0801808087295104E-2</v>
      </c>
      <c r="W42" s="13">
        <f t="shared" si="13"/>
        <v>-0.14778473994493377</v>
      </c>
      <c r="X42" s="13">
        <f t="shared" si="13"/>
        <v>-1.2875002669253451E-2</v>
      </c>
      <c r="Y42" s="13">
        <f t="shared" si="12"/>
        <v>-8.907561424054955E-2</v>
      </c>
    </row>
    <row r="43" spans="1:25" x14ac:dyDescent="0.25">
      <c r="A43" s="14">
        <f>[1]Data!A46</f>
        <v>38718</v>
      </c>
      <c r="B43" s="15">
        <f>[1]Data!B46</f>
        <v>2.3730081677992197E-2</v>
      </c>
      <c r="C43" s="15">
        <f>[1]Data!C46</f>
        <v>1.6251487221031174E-2</v>
      </c>
      <c r="D43" s="16">
        <f>[1]Data!F46</f>
        <v>7.4785944569611563E-3</v>
      </c>
      <c r="E43" s="17">
        <f>[1]Data!G46</f>
        <v>-1.3473956204481519E-2</v>
      </c>
      <c r="F43" s="16">
        <f>[1]Data!H46</f>
        <v>3.3642066642074649E-2</v>
      </c>
      <c r="G43" s="17">
        <f>[1]Data!I46</f>
        <v>-1.3060746137903189E-3</v>
      </c>
      <c r="H43" s="18">
        <f t="shared" si="0"/>
        <v>-1</v>
      </c>
      <c r="I43" s="19">
        <f t="shared" si="10"/>
        <v>1</v>
      </c>
      <c r="J43" s="13">
        <f t="shared" si="1"/>
        <v>0</v>
      </c>
      <c r="K43" s="13">
        <f t="shared" si="2"/>
        <v>-7.4785944569611563E-3</v>
      </c>
      <c r="L43" s="13">
        <f t="shared" si="3"/>
        <v>0</v>
      </c>
      <c r="M43" s="13">
        <f t="shared" si="4"/>
        <v>-1.3473956204481519E-2</v>
      </c>
      <c r="N43" s="13">
        <f t="shared" si="5"/>
        <v>3.3642066642074649E-2</v>
      </c>
      <c r="O43" s="13">
        <f t="shared" si="6"/>
        <v>0</v>
      </c>
      <c r="P43" s="13">
        <f t="shared" si="7"/>
        <v>1.3060746137903189E-3</v>
      </c>
      <c r="Q43" s="13">
        <f t="shared" si="8"/>
        <v>0</v>
      </c>
      <c r="R43" s="13">
        <f t="shared" si="13"/>
        <v>9.926866501300774E-2</v>
      </c>
      <c r="S43" s="13">
        <f t="shared" si="13"/>
        <v>0.1168233009114648</v>
      </c>
      <c r="T43" s="13">
        <f t="shared" si="13"/>
        <v>-8.9965073943752583E-2</v>
      </c>
      <c r="U43" s="13">
        <f t="shared" si="13"/>
        <v>6.3722038150496541E-2</v>
      </c>
      <c r="V43" s="13">
        <f t="shared" si="13"/>
        <v>0.11444387472936976</v>
      </c>
      <c r="W43" s="13">
        <f t="shared" si="13"/>
        <v>-0.14778473994493377</v>
      </c>
      <c r="X43" s="13">
        <f t="shared" si="13"/>
        <v>-1.1568928055463133E-2</v>
      </c>
      <c r="Y43" s="13">
        <f t="shared" si="12"/>
        <v>-8.907561424054955E-2</v>
      </c>
    </row>
    <row r="44" spans="1:25" x14ac:dyDescent="0.25">
      <c r="A44" s="14">
        <f>[1]Data!A47</f>
        <v>38749</v>
      </c>
      <c r="B44" s="15">
        <f>[1]Data!B47</f>
        <v>5.7093160942483807E-3</v>
      </c>
      <c r="C44" s="15">
        <f>[1]Data!C47</f>
        <v>2.0033188771710177E-3</v>
      </c>
      <c r="D44" s="16">
        <f>[1]Data!F47</f>
        <v>-8.0778583310231692E-3</v>
      </c>
      <c r="E44" s="17">
        <f>[1]Data!G47</f>
        <v>-7.6611107314804392E-4</v>
      </c>
      <c r="F44" s="16">
        <f>[1]Data!H47</f>
        <v>-1.5969757563471531E-2</v>
      </c>
      <c r="G44" s="17">
        <f>[1]Data!I47</f>
        <v>2.7739393737873496E-3</v>
      </c>
      <c r="H44" s="18">
        <f t="shared" si="0"/>
        <v>-1</v>
      </c>
      <c r="I44" s="19">
        <f t="shared" si="10"/>
        <v>1</v>
      </c>
      <c r="J44" s="13">
        <f t="shared" si="1"/>
        <v>0</v>
      </c>
      <c r="K44" s="13">
        <f t="shared" si="2"/>
        <v>8.0778583310231692E-3</v>
      </c>
      <c r="L44" s="13">
        <f t="shared" si="3"/>
        <v>0</v>
      </c>
      <c r="M44" s="13">
        <f t="shared" si="4"/>
        <v>-7.6611107314804392E-4</v>
      </c>
      <c r="N44" s="13">
        <f t="shared" si="5"/>
        <v>-1.5969757563471531E-2</v>
      </c>
      <c r="O44" s="13">
        <f t="shared" si="6"/>
        <v>0</v>
      </c>
      <c r="P44" s="13">
        <f t="shared" si="7"/>
        <v>-2.7739393737873496E-3</v>
      </c>
      <c r="Q44" s="13">
        <f t="shared" si="8"/>
        <v>0</v>
      </c>
      <c r="R44" s="13">
        <f t="shared" si="13"/>
        <v>9.926866501300774E-2</v>
      </c>
      <c r="S44" s="13">
        <f t="shared" si="13"/>
        <v>0.12490115924248797</v>
      </c>
      <c r="T44" s="13">
        <f t="shared" si="13"/>
        <v>-8.9965073943752583E-2</v>
      </c>
      <c r="U44" s="13">
        <f t="shared" si="13"/>
        <v>6.2955927077348497E-2</v>
      </c>
      <c r="V44" s="13">
        <f t="shared" si="13"/>
        <v>9.8474117165898226E-2</v>
      </c>
      <c r="W44" s="13">
        <f t="shared" si="13"/>
        <v>-0.14778473994493377</v>
      </c>
      <c r="X44" s="13">
        <f t="shared" si="13"/>
        <v>-1.4342867429250483E-2</v>
      </c>
      <c r="Y44" s="13">
        <f t="shared" si="12"/>
        <v>-8.907561424054955E-2</v>
      </c>
    </row>
    <row r="45" spans="1:25" x14ac:dyDescent="0.25">
      <c r="A45" s="14">
        <f>[1]Data!A48</f>
        <v>38777</v>
      </c>
      <c r="B45" s="15">
        <f>[1]Data!B48</f>
        <v>1.6369067309703361E-2</v>
      </c>
      <c r="C45" s="15">
        <f>[1]Data!C48</f>
        <v>4.2366414650334187E-2</v>
      </c>
      <c r="D45" s="16">
        <f>[1]Data!F48</f>
        <v>1.8502043911465646E-3</v>
      </c>
      <c r="E45" s="17">
        <f>[1]Data!G48</f>
        <v>-1.8928268737331545E-2</v>
      </c>
      <c r="F45" s="16">
        <f>[1]Data!H48</f>
        <v>-2.0299161938544833E-3</v>
      </c>
      <c r="G45" s="17">
        <f>[1]Data!I48</f>
        <v>-2.6944239787582629E-2</v>
      </c>
      <c r="H45" s="18">
        <f t="shared" si="0"/>
        <v>-1</v>
      </c>
      <c r="I45" s="19">
        <f t="shared" si="10"/>
        <v>1</v>
      </c>
      <c r="J45" s="13">
        <f t="shared" si="1"/>
        <v>0</v>
      </c>
      <c r="K45" s="13">
        <f t="shared" si="2"/>
        <v>-1.8502043911465646E-3</v>
      </c>
      <c r="L45" s="13">
        <f t="shared" si="3"/>
        <v>0</v>
      </c>
      <c r="M45" s="13">
        <f t="shared" si="4"/>
        <v>-1.8928268737331545E-2</v>
      </c>
      <c r="N45" s="13">
        <f t="shared" si="5"/>
        <v>-2.0299161938544833E-3</v>
      </c>
      <c r="O45" s="13">
        <f t="shared" si="6"/>
        <v>0</v>
      </c>
      <c r="P45" s="13">
        <f t="shared" si="7"/>
        <v>2.6944239787582629E-2</v>
      </c>
      <c r="Q45" s="13">
        <f t="shared" si="8"/>
        <v>0</v>
      </c>
      <c r="R45" s="13">
        <f t="shared" si="13"/>
        <v>9.926866501300774E-2</v>
      </c>
      <c r="S45" s="13">
        <f t="shared" si="13"/>
        <v>0.1230509548513414</v>
      </c>
      <c r="T45" s="13">
        <f t="shared" si="13"/>
        <v>-8.9965073943752583E-2</v>
      </c>
      <c r="U45" s="13">
        <f t="shared" si="13"/>
        <v>4.4027658340016956E-2</v>
      </c>
      <c r="V45" s="13">
        <f t="shared" si="13"/>
        <v>9.6444200972043745E-2</v>
      </c>
      <c r="W45" s="13">
        <f t="shared" si="13"/>
        <v>-0.14778473994493377</v>
      </c>
      <c r="X45" s="13">
        <f t="shared" si="13"/>
        <v>1.2601372358332147E-2</v>
      </c>
      <c r="Y45" s="13">
        <f t="shared" si="12"/>
        <v>-8.907561424054955E-2</v>
      </c>
    </row>
    <row r="46" spans="1:25" x14ac:dyDescent="0.25">
      <c r="A46" s="14">
        <f>[1]Data!A49</f>
        <v>38808</v>
      </c>
      <c r="B46" s="15">
        <f>[1]Data!B49</f>
        <v>1.2552708122264644E-2</v>
      </c>
      <c r="C46" s="15">
        <f>[1]Data!C49</f>
        <v>2.4616946540269472E-2</v>
      </c>
      <c r="D46" s="16">
        <f>[1]Data!F49</f>
        <v>4.2684736334779446E-3</v>
      </c>
      <c r="E46" s="17">
        <f>[1]Data!G49</f>
        <v>-1.1576703193824237E-2</v>
      </c>
      <c r="F46" s="16">
        <f>[1]Data!H49</f>
        <v>-2.2362709254265378E-3</v>
      </c>
      <c r="G46" s="17">
        <f>[1]Data!I49</f>
        <v>-1.6802783585886997E-2</v>
      </c>
      <c r="H46" s="18">
        <f t="shared" si="0"/>
        <v>-1</v>
      </c>
      <c r="I46" s="19">
        <f t="shared" si="10"/>
        <v>1</v>
      </c>
      <c r="J46" s="13">
        <f t="shared" si="1"/>
        <v>0</v>
      </c>
      <c r="K46" s="13">
        <f t="shared" si="2"/>
        <v>-4.2684736334779446E-3</v>
      </c>
      <c r="L46" s="13">
        <f t="shared" si="3"/>
        <v>0</v>
      </c>
      <c r="M46" s="13">
        <f t="shared" si="4"/>
        <v>-1.1576703193824237E-2</v>
      </c>
      <c r="N46" s="13">
        <f t="shared" si="5"/>
        <v>-2.2362709254265378E-3</v>
      </c>
      <c r="O46" s="13">
        <f t="shared" si="6"/>
        <v>0</v>
      </c>
      <c r="P46" s="13">
        <f t="shared" si="7"/>
        <v>1.6802783585886997E-2</v>
      </c>
      <c r="Q46" s="13">
        <f t="shared" si="8"/>
        <v>0</v>
      </c>
      <c r="R46" s="13">
        <f t="shared" si="13"/>
        <v>9.926866501300774E-2</v>
      </c>
      <c r="S46" s="13">
        <f t="shared" si="13"/>
        <v>0.11878248121786346</v>
      </c>
      <c r="T46" s="13">
        <f t="shared" si="13"/>
        <v>-8.9965073943752583E-2</v>
      </c>
      <c r="U46" s="13">
        <f t="shared" si="13"/>
        <v>3.2450955146192721E-2</v>
      </c>
      <c r="V46" s="13">
        <f t="shared" si="13"/>
        <v>9.4207930046617205E-2</v>
      </c>
      <c r="W46" s="13">
        <f t="shared" si="13"/>
        <v>-0.14778473994493377</v>
      </c>
      <c r="X46" s="13">
        <f t="shared" si="13"/>
        <v>2.9404155944219142E-2</v>
      </c>
      <c r="Y46" s="13">
        <f t="shared" si="12"/>
        <v>-8.907561424054955E-2</v>
      </c>
    </row>
    <row r="47" spans="1:25" x14ac:dyDescent="0.25">
      <c r="A47" s="14">
        <f>[1]Data!A50</f>
        <v>38838</v>
      </c>
      <c r="B47" s="15">
        <f>[1]Data!B50</f>
        <v>-3.058337062707895E-2</v>
      </c>
      <c r="C47" s="15">
        <f>[1]Data!C50</f>
        <v>-4.0936156477608232E-2</v>
      </c>
      <c r="D47" s="16">
        <f>[1]Data!F50</f>
        <v>3.2211743209751634E-3</v>
      </c>
      <c r="E47" s="17">
        <f>[1]Data!G50</f>
        <v>-9.0424605799544061E-3</v>
      </c>
      <c r="F47" s="16">
        <f>[1]Data!H50</f>
        <v>7.9553629311967123E-3</v>
      </c>
      <c r="G47" s="17">
        <f>[1]Data!I50</f>
        <v>-2.7481612293821433E-3</v>
      </c>
      <c r="H47" s="18">
        <f t="shared" si="0"/>
        <v>1</v>
      </c>
      <c r="I47" s="19">
        <f t="shared" si="10"/>
        <v>1</v>
      </c>
      <c r="J47" s="13">
        <f t="shared" si="1"/>
        <v>3.2211743209751634E-3</v>
      </c>
      <c r="K47" s="13">
        <f t="shared" si="2"/>
        <v>0</v>
      </c>
      <c r="L47" s="13">
        <f t="shared" si="3"/>
        <v>9.0424605799544061E-3</v>
      </c>
      <c r="M47" s="13">
        <f t="shared" si="4"/>
        <v>0</v>
      </c>
      <c r="N47" s="13">
        <f t="shared" si="5"/>
        <v>7.9553629311967123E-3</v>
      </c>
      <c r="O47" s="13">
        <f t="shared" si="6"/>
        <v>0</v>
      </c>
      <c r="P47" s="13">
        <f t="shared" si="7"/>
        <v>2.7481612293821433E-3</v>
      </c>
      <c r="Q47" s="13">
        <f t="shared" si="8"/>
        <v>0</v>
      </c>
      <c r="R47" s="13">
        <f t="shared" si="13"/>
        <v>0.1024898393339829</v>
      </c>
      <c r="S47" s="13">
        <f t="shared" si="13"/>
        <v>0.11878248121786346</v>
      </c>
      <c r="T47" s="13">
        <f t="shared" si="13"/>
        <v>-8.0922613363798176E-2</v>
      </c>
      <c r="U47" s="13">
        <f t="shared" si="13"/>
        <v>3.2450955146192721E-2</v>
      </c>
      <c r="V47" s="13">
        <f t="shared" si="13"/>
        <v>0.10216329297781392</v>
      </c>
      <c r="W47" s="13">
        <f t="shared" si="13"/>
        <v>-0.14778473994493377</v>
      </c>
      <c r="X47" s="13">
        <f t="shared" si="13"/>
        <v>3.2152317173601286E-2</v>
      </c>
      <c r="Y47" s="13">
        <f t="shared" si="12"/>
        <v>-8.907561424054955E-2</v>
      </c>
    </row>
    <row r="48" spans="1:25" x14ac:dyDescent="0.25">
      <c r="A48" s="14">
        <f>[1]Data!A51</f>
        <v>38869</v>
      </c>
      <c r="B48" s="15">
        <f>[1]Data!B51</f>
        <v>2.6046786010255167E-3</v>
      </c>
      <c r="C48" s="15">
        <f>[1]Data!C51</f>
        <v>-2.4136279285289729E-2</v>
      </c>
      <c r="D48" s="16">
        <f>[1]Data!F51</f>
        <v>1.7996187837285297E-2</v>
      </c>
      <c r="E48" s="17">
        <f>[1]Data!G51</f>
        <v>2.969314792692611E-3</v>
      </c>
      <c r="F48" s="16">
        <f>[1]Data!H51</f>
        <v>-1.3024734076348625E-2</v>
      </c>
      <c r="G48" s="17">
        <f>[1]Data!I51</f>
        <v>2.0921812409311978E-2</v>
      </c>
      <c r="H48" s="18">
        <f t="shared" si="0"/>
        <v>1</v>
      </c>
      <c r="I48" s="19">
        <f t="shared" si="10"/>
        <v>-1</v>
      </c>
      <c r="J48" s="13">
        <f t="shared" si="1"/>
        <v>1.7996187837285297E-2</v>
      </c>
      <c r="K48" s="13">
        <f t="shared" si="2"/>
        <v>0</v>
      </c>
      <c r="L48" s="13">
        <f t="shared" si="3"/>
        <v>-2.969314792692611E-3</v>
      </c>
      <c r="M48" s="13">
        <f t="shared" si="4"/>
        <v>0</v>
      </c>
      <c r="N48" s="13">
        <f t="shared" si="5"/>
        <v>0</v>
      </c>
      <c r="O48" s="13">
        <f t="shared" si="6"/>
        <v>1.3024734076348625E-2</v>
      </c>
      <c r="P48" s="13">
        <f t="shared" si="7"/>
        <v>0</v>
      </c>
      <c r="Q48" s="13">
        <f t="shared" si="8"/>
        <v>2.0921812409311978E-2</v>
      </c>
      <c r="R48" s="13">
        <f t="shared" si="13"/>
        <v>0.12048602717126819</v>
      </c>
      <c r="S48" s="13">
        <f t="shared" si="13"/>
        <v>0.11878248121786346</v>
      </c>
      <c r="T48" s="13">
        <f t="shared" si="13"/>
        <v>-8.3891928156490783E-2</v>
      </c>
      <c r="U48" s="13">
        <f t="shared" si="13"/>
        <v>3.2450955146192721E-2</v>
      </c>
      <c r="V48" s="13">
        <f t="shared" si="13"/>
        <v>0.10216329297781392</v>
      </c>
      <c r="W48" s="13">
        <f t="shared" si="13"/>
        <v>-0.13476000586858514</v>
      </c>
      <c r="X48" s="13">
        <f t="shared" si="13"/>
        <v>3.2152317173601286E-2</v>
      </c>
      <c r="Y48" s="13">
        <f t="shared" si="12"/>
        <v>-6.8153801831237565E-2</v>
      </c>
    </row>
    <row r="49" spans="1:25" x14ac:dyDescent="0.25">
      <c r="A49" s="14">
        <f>[1]Data!A52</f>
        <v>38899</v>
      </c>
      <c r="B49" s="15">
        <f>[1]Data!B52</f>
        <v>4.468008958796967E-3</v>
      </c>
      <c r="C49" s="15">
        <f>[1]Data!C52</f>
        <v>-2.3649271526161874E-2</v>
      </c>
      <c r="D49" s="16">
        <f>[1]Data!F52</f>
        <v>1.2910411835419359E-2</v>
      </c>
      <c r="E49" s="17">
        <f>[1]Data!G52</f>
        <v>6.195492477974341E-3</v>
      </c>
      <c r="F49" s="16">
        <f>[1]Data!H52</f>
        <v>-3.3842370024011574E-3</v>
      </c>
      <c r="G49" s="17">
        <f>[1]Data!I52</f>
        <v>4.4785110205172026E-3</v>
      </c>
      <c r="H49" s="18">
        <f t="shared" si="0"/>
        <v>1</v>
      </c>
      <c r="I49" s="19">
        <f t="shared" si="10"/>
        <v>-1</v>
      </c>
      <c r="J49" s="13">
        <f t="shared" si="1"/>
        <v>1.2910411835419359E-2</v>
      </c>
      <c r="K49" s="13">
        <f t="shared" si="2"/>
        <v>0</v>
      </c>
      <c r="L49" s="13">
        <f t="shared" si="3"/>
        <v>-6.195492477974341E-3</v>
      </c>
      <c r="M49" s="13">
        <f t="shared" si="4"/>
        <v>0</v>
      </c>
      <c r="N49" s="13">
        <f t="shared" si="5"/>
        <v>0</v>
      </c>
      <c r="O49" s="13">
        <f t="shared" si="6"/>
        <v>3.3842370024011574E-3</v>
      </c>
      <c r="P49" s="13">
        <f t="shared" si="7"/>
        <v>0</v>
      </c>
      <c r="Q49" s="13">
        <f t="shared" si="8"/>
        <v>4.4785110205172026E-3</v>
      </c>
      <c r="R49" s="13">
        <f t="shared" si="13"/>
        <v>0.13339643900668754</v>
      </c>
      <c r="S49" s="13">
        <f t="shared" si="13"/>
        <v>0.11878248121786346</v>
      </c>
      <c r="T49" s="13">
        <f t="shared" si="13"/>
        <v>-9.0087420634465121E-2</v>
      </c>
      <c r="U49" s="13">
        <f t="shared" si="13"/>
        <v>3.2450955146192721E-2</v>
      </c>
      <c r="V49" s="13">
        <f t="shared" si="13"/>
        <v>0.10216329297781392</v>
      </c>
      <c r="W49" s="13">
        <f t="shared" si="13"/>
        <v>-0.13137576886618399</v>
      </c>
      <c r="X49" s="13">
        <f t="shared" si="13"/>
        <v>3.2152317173601286E-2</v>
      </c>
      <c r="Y49" s="13">
        <f t="shared" si="12"/>
        <v>-6.3675290810720361E-2</v>
      </c>
    </row>
    <row r="50" spans="1:25" x14ac:dyDescent="0.25">
      <c r="A50" s="14">
        <f>[1]Data!A53</f>
        <v>38930</v>
      </c>
      <c r="B50" s="15">
        <f>[1]Data!B53</f>
        <v>2.1587907719146763E-2</v>
      </c>
      <c r="C50" s="15">
        <f>[1]Data!C53</f>
        <v>-1.0089722427011503E-3</v>
      </c>
      <c r="D50" s="16">
        <f>[1]Data!F53</f>
        <v>3.9113592680134514E-3</v>
      </c>
      <c r="E50" s="17">
        <f>[1]Data!G53</f>
        <v>1.1418121631058528E-2</v>
      </c>
      <c r="F50" s="16">
        <f>[1]Data!H53</f>
        <v>3.9115179361156726E-4</v>
      </c>
      <c r="G50" s="17">
        <f>[1]Data!I53</f>
        <v>1.0498166980180697E-2</v>
      </c>
      <c r="H50" s="18">
        <f t="shared" si="0"/>
        <v>1</v>
      </c>
      <c r="I50" s="19">
        <f t="shared" si="10"/>
        <v>-1</v>
      </c>
      <c r="J50" s="13">
        <f t="shared" si="1"/>
        <v>3.9113592680134514E-3</v>
      </c>
      <c r="K50" s="13">
        <f t="shared" si="2"/>
        <v>0</v>
      </c>
      <c r="L50" s="13">
        <f t="shared" si="3"/>
        <v>-1.1418121631058528E-2</v>
      </c>
      <c r="M50" s="13">
        <f t="shared" si="4"/>
        <v>0</v>
      </c>
      <c r="N50" s="13">
        <f t="shared" si="5"/>
        <v>0</v>
      </c>
      <c r="O50" s="13">
        <f t="shared" si="6"/>
        <v>-3.9115179361156726E-4</v>
      </c>
      <c r="P50" s="13">
        <f t="shared" si="7"/>
        <v>0</v>
      </c>
      <c r="Q50" s="13">
        <f t="shared" si="8"/>
        <v>1.0498166980180697E-2</v>
      </c>
      <c r="R50" s="13">
        <f t="shared" si="13"/>
        <v>0.13730779827470099</v>
      </c>
      <c r="S50" s="13">
        <f t="shared" si="13"/>
        <v>0.11878248121786346</v>
      </c>
      <c r="T50" s="13">
        <f t="shared" si="13"/>
        <v>-0.10150554226552365</v>
      </c>
      <c r="U50" s="13">
        <f t="shared" si="13"/>
        <v>3.2450955146192721E-2</v>
      </c>
      <c r="V50" s="13">
        <f t="shared" si="13"/>
        <v>0.10216329297781392</v>
      </c>
      <c r="W50" s="13">
        <f t="shared" si="13"/>
        <v>-0.13176692065979556</v>
      </c>
      <c r="X50" s="13">
        <f t="shared" si="13"/>
        <v>3.2152317173601286E-2</v>
      </c>
      <c r="Y50" s="13">
        <f t="shared" si="12"/>
        <v>-5.3177123830539665E-2</v>
      </c>
    </row>
    <row r="51" spans="1:25" x14ac:dyDescent="0.25">
      <c r="A51" s="14">
        <f>[1]Data!A54</f>
        <v>38961</v>
      </c>
      <c r="B51" s="15">
        <f>[1]Data!B54</f>
        <v>2.6643527518460088E-2</v>
      </c>
      <c r="C51" s="15">
        <f>[1]Data!C54</f>
        <v>-1.1261635978117291E-2</v>
      </c>
      <c r="D51" s="16">
        <f>[1]Data!F54</f>
        <v>1.592179277364051E-2</v>
      </c>
      <c r="E51" s="17">
        <f>[1]Data!G54</f>
        <v>-3.0152215371729183E-3</v>
      </c>
      <c r="F51" s="16">
        <f>[1]Data!H54</f>
        <v>-2.7593213246328015E-3</v>
      </c>
      <c r="G51" s="17">
        <f>[1]Data!I54</f>
        <v>-4.570561007088669E-3</v>
      </c>
      <c r="H51" s="18">
        <f t="shared" si="0"/>
        <v>1</v>
      </c>
      <c r="I51" s="19">
        <f t="shared" si="10"/>
        <v>-1</v>
      </c>
      <c r="J51" s="13">
        <f t="shared" si="1"/>
        <v>1.592179277364051E-2</v>
      </c>
      <c r="K51" s="13">
        <f t="shared" si="2"/>
        <v>0</v>
      </c>
      <c r="L51" s="13">
        <f t="shared" si="3"/>
        <v>3.0152215371729183E-3</v>
      </c>
      <c r="M51" s="13">
        <f t="shared" si="4"/>
        <v>0</v>
      </c>
      <c r="N51" s="13">
        <f t="shared" si="5"/>
        <v>0</v>
      </c>
      <c r="O51" s="13">
        <f t="shared" si="6"/>
        <v>2.7593213246328015E-3</v>
      </c>
      <c r="P51" s="13">
        <f t="shared" si="7"/>
        <v>0</v>
      </c>
      <c r="Q51" s="13">
        <f t="shared" si="8"/>
        <v>-4.570561007088669E-3</v>
      </c>
      <c r="R51" s="13">
        <f t="shared" si="13"/>
        <v>0.1532295910483415</v>
      </c>
      <c r="S51" s="13">
        <f t="shared" si="13"/>
        <v>0.11878248121786346</v>
      </c>
      <c r="T51" s="13">
        <f t="shared" si="13"/>
        <v>-9.8490320728350733E-2</v>
      </c>
      <c r="U51" s="13">
        <f t="shared" si="13"/>
        <v>3.2450955146192721E-2</v>
      </c>
      <c r="V51" s="13">
        <f t="shared" si="13"/>
        <v>0.10216329297781392</v>
      </c>
      <c r="W51" s="13">
        <f t="shared" si="13"/>
        <v>-0.12900759933516276</v>
      </c>
      <c r="X51" s="13">
        <f t="shared" si="13"/>
        <v>3.2152317173601286E-2</v>
      </c>
      <c r="Y51" s="13">
        <f t="shared" si="12"/>
        <v>-5.7747684837628335E-2</v>
      </c>
    </row>
    <row r="52" spans="1:25" x14ac:dyDescent="0.25">
      <c r="A52" s="14">
        <f>[1]Data!A55</f>
        <v>38991</v>
      </c>
      <c r="B52" s="15">
        <f>[1]Data!B55</f>
        <v>3.1030163088766955E-2</v>
      </c>
      <c r="C52" s="15">
        <f>[1]Data!C55</f>
        <v>4.1168317493083292E-2</v>
      </c>
      <c r="D52" s="16">
        <f>[1]Data!F55</f>
        <v>6.918260549522319E-3</v>
      </c>
      <c r="E52" s="17">
        <f>[1]Data!G55</f>
        <v>2.548778546364891E-2</v>
      </c>
      <c r="F52" s="16">
        <f>[1]Data!H55</f>
        <v>1.0648340267244209E-2</v>
      </c>
      <c r="G52" s="17">
        <f>[1]Data!I55</f>
        <v>-8.8649682893671145E-3</v>
      </c>
      <c r="H52" s="18">
        <f t="shared" si="0"/>
        <v>-1</v>
      </c>
      <c r="I52" s="19">
        <f t="shared" si="10"/>
        <v>-1</v>
      </c>
      <c r="J52" s="13">
        <f t="shared" si="1"/>
        <v>0</v>
      </c>
      <c r="K52" s="13">
        <f t="shared" si="2"/>
        <v>-6.918260549522319E-3</v>
      </c>
      <c r="L52" s="13">
        <f t="shared" si="3"/>
        <v>0</v>
      </c>
      <c r="M52" s="13">
        <f t="shared" si="4"/>
        <v>2.548778546364891E-2</v>
      </c>
      <c r="N52" s="13">
        <f t="shared" si="5"/>
        <v>0</v>
      </c>
      <c r="O52" s="13">
        <f t="shared" si="6"/>
        <v>-1.0648340267244209E-2</v>
      </c>
      <c r="P52" s="13">
        <f t="shared" si="7"/>
        <v>0</v>
      </c>
      <c r="Q52" s="13">
        <f t="shared" si="8"/>
        <v>-8.8649682893671145E-3</v>
      </c>
      <c r="R52" s="13">
        <f t="shared" si="13"/>
        <v>0.1532295910483415</v>
      </c>
      <c r="S52" s="13">
        <f t="shared" si="13"/>
        <v>0.11186422066834115</v>
      </c>
      <c r="T52" s="13">
        <f t="shared" si="13"/>
        <v>-9.8490320728350733E-2</v>
      </c>
      <c r="U52" s="13">
        <f t="shared" si="13"/>
        <v>5.7938740609841631E-2</v>
      </c>
      <c r="V52" s="13">
        <f t="shared" si="13"/>
        <v>0.10216329297781392</v>
      </c>
      <c r="W52" s="13">
        <f t="shared" si="13"/>
        <v>-0.13965593960240696</v>
      </c>
      <c r="X52" s="13">
        <f t="shared" si="13"/>
        <v>3.2152317173601286E-2</v>
      </c>
      <c r="Y52" s="13">
        <f t="shared" si="12"/>
        <v>-6.661265312699545E-2</v>
      </c>
    </row>
    <row r="53" spans="1:25" x14ac:dyDescent="0.25">
      <c r="A53" s="14">
        <f>[1]Data!A56</f>
        <v>39022</v>
      </c>
      <c r="B53" s="15">
        <f>[1]Data!B56</f>
        <v>1.9690075438344244E-2</v>
      </c>
      <c r="C53" s="15">
        <f>[1]Data!C56</f>
        <v>1.1072758939932151E-2</v>
      </c>
      <c r="D53" s="16">
        <f>[1]Data!F56</f>
        <v>-7.8262594549686451E-4</v>
      </c>
      <c r="E53" s="17">
        <f>[1]Data!G56</f>
        <v>1.3419337735648712E-2</v>
      </c>
      <c r="F53" s="16">
        <f>[1]Data!H56</f>
        <v>5.9328951483249934E-3</v>
      </c>
      <c r="G53" s="17">
        <f>[1]Data!I56</f>
        <v>-2.9666651849128926E-3</v>
      </c>
      <c r="H53" s="18">
        <f t="shared" si="0"/>
        <v>-1</v>
      </c>
      <c r="I53" s="19">
        <f t="shared" si="10"/>
        <v>1</v>
      </c>
      <c r="J53" s="13">
        <f t="shared" si="1"/>
        <v>0</v>
      </c>
      <c r="K53" s="13">
        <f t="shared" si="2"/>
        <v>7.8262594549686451E-4</v>
      </c>
      <c r="L53" s="13">
        <f t="shared" si="3"/>
        <v>0</v>
      </c>
      <c r="M53" s="13">
        <f t="shared" si="4"/>
        <v>1.3419337735648712E-2</v>
      </c>
      <c r="N53" s="13">
        <f t="shared" si="5"/>
        <v>5.9328951483249934E-3</v>
      </c>
      <c r="O53" s="13">
        <f t="shared" si="6"/>
        <v>0</v>
      </c>
      <c r="P53" s="13">
        <f t="shared" si="7"/>
        <v>2.9666651849128926E-3</v>
      </c>
      <c r="Q53" s="13">
        <f t="shared" si="8"/>
        <v>0</v>
      </c>
      <c r="R53" s="13">
        <f t="shared" si="13"/>
        <v>0.1532295910483415</v>
      </c>
      <c r="S53" s="13">
        <f t="shared" si="13"/>
        <v>0.11264684661383802</v>
      </c>
      <c r="T53" s="13">
        <f t="shared" si="13"/>
        <v>-9.8490320728350733E-2</v>
      </c>
      <c r="U53" s="13">
        <f t="shared" si="13"/>
        <v>7.135807834549035E-2</v>
      </c>
      <c r="V53" s="13">
        <f t="shared" si="13"/>
        <v>0.10809618812613891</v>
      </c>
      <c r="W53" s="13">
        <f t="shared" si="13"/>
        <v>-0.13965593960240696</v>
      </c>
      <c r="X53" s="13">
        <f t="shared" si="13"/>
        <v>3.5118982358514177E-2</v>
      </c>
      <c r="Y53" s="13">
        <f t="shared" si="12"/>
        <v>-6.661265312699545E-2</v>
      </c>
    </row>
    <row r="54" spans="1:25" x14ac:dyDescent="0.25">
      <c r="A54" s="14">
        <f>[1]Data!A57</f>
        <v>39052</v>
      </c>
      <c r="B54" s="15">
        <f>[1]Data!B57</f>
        <v>1.3282696711612991E-2</v>
      </c>
      <c r="C54" s="15">
        <f>[1]Data!C57</f>
        <v>2.5508959424920759E-2</v>
      </c>
      <c r="D54" s="16">
        <f>[1]Data!F57</f>
        <v>-1.7694179454963432E-16</v>
      </c>
      <c r="E54" s="17">
        <f>[1]Data!G57</f>
        <v>-1.510077938741145E-2</v>
      </c>
      <c r="F54" s="16">
        <f>[1]Data!H57</f>
        <v>4.4733305016389814E-3</v>
      </c>
      <c r="G54" s="17">
        <f>[1]Data!I57</f>
        <v>-3.1642057175023061E-3</v>
      </c>
      <c r="H54" s="18">
        <f t="shared" si="0"/>
        <v>-1</v>
      </c>
      <c r="I54" s="19">
        <f t="shared" si="10"/>
        <v>1</v>
      </c>
      <c r="J54" s="13">
        <f t="shared" si="1"/>
        <v>0</v>
      </c>
      <c r="K54" s="13">
        <f t="shared" si="2"/>
        <v>1.7694179454963432E-16</v>
      </c>
      <c r="L54" s="13">
        <f t="shared" si="3"/>
        <v>0</v>
      </c>
      <c r="M54" s="13">
        <f t="shared" si="4"/>
        <v>-1.510077938741145E-2</v>
      </c>
      <c r="N54" s="13">
        <f t="shared" si="5"/>
        <v>4.4733305016389814E-3</v>
      </c>
      <c r="O54" s="13">
        <f t="shared" si="6"/>
        <v>0</v>
      </c>
      <c r="P54" s="13">
        <f t="shared" si="7"/>
        <v>3.1642057175023061E-3</v>
      </c>
      <c r="Q54" s="13">
        <f t="shared" si="8"/>
        <v>0</v>
      </c>
      <c r="R54" s="13">
        <f t="shared" si="13"/>
        <v>0.1532295910483415</v>
      </c>
      <c r="S54" s="13">
        <f t="shared" si="13"/>
        <v>0.1126468466138382</v>
      </c>
      <c r="T54" s="13">
        <f t="shared" si="13"/>
        <v>-9.8490320728350733E-2</v>
      </c>
      <c r="U54" s="13">
        <f t="shared" si="13"/>
        <v>5.6257298958078898E-2</v>
      </c>
      <c r="V54" s="13">
        <f t="shared" si="13"/>
        <v>0.11256951862777789</v>
      </c>
      <c r="W54" s="13">
        <f t="shared" si="13"/>
        <v>-0.13965593960240696</v>
      </c>
      <c r="X54" s="13">
        <f t="shared" si="13"/>
        <v>3.8283188076016481E-2</v>
      </c>
      <c r="Y54" s="13">
        <f t="shared" si="12"/>
        <v>-6.661265312699545E-2</v>
      </c>
    </row>
    <row r="55" spans="1:25" x14ac:dyDescent="0.25">
      <c r="A55" s="14">
        <f>[1]Data!A58</f>
        <v>39083</v>
      </c>
      <c r="B55" s="15">
        <f>[1]Data!B58</f>
        <v>1.4928488844230672E-2</v>
      </c>
      <c r="C55" s="15">
        <f>[1]Data!C58</f>
        <v>2.5634941222122259E-2</v>
      </c>
      <c r="D55" s="16">
        <f>[1]Data!F58</f>
        <v>-1.3903654065319159E-3</v>
      </c>
      <c r="E55" s="17">
        <f>[1]Data!G58</f>
        <v>-6.8607160114793689E-4</v>
      </c>
      <c r="F55" s="16">
        <f>[1]Data!H58</f>
        <v>-3.8910623244477879E-3</v>
      </c>
      <c r="G55" s="17">
        <f>[1]Data!I58</f>
        <v>1.0573022287509958E-2</v>
      </c>
      <c r="H55" s="18">
        <f t="shared" si="0"/>
        <v>-1</v>
      </c>
      <c r="I55" s="19">
        <f t="shared" si="10"/>
        <v>1</v>
      </c>
      <c r="J55" s="13">
        <f t="shared" si="1"/>
        <v>0</v>
      </c>
      <c r="K55" s="13">
        <f t="shared" si="2"/>
        <v>1.3903654065319159E-3</v>
      </c>
      <c r="L55" s="13">
        <f t="shared" si="3"/>
        <v>0</v>
      </c>
      <c r="M55" s="13">
        <f t="shared" si="4"/>
        <v>-6.8607160114793689E-4</v>
      </c>
      <c r="N55" s="13">
        <f t="shared" si="5"/>
        <v>-3.8910623244477879E-3</v>
      </c>
      <c r="O55" s="13">
        <f t="shared" si="6"/>
        <v>0</v>
      </c>
      <c r="P55" s="13">
        <f t="shared" si="7"/>
        <v>-1.0573022287509958E-2</v>
      </c>
      <c r="Q55" s="13">
        <f t="shared" si="8"/>
        <v>0</v>
      </c>
      <c r="R55" s="13">
        <f t="shared" si="13"/>
        <v>0.1532295910483415</v>
      </c>
      <c r="S55" s="13">
        <f t="shared" si="13"/>
        <v>0.11403721202037011</v>
      </c>
      <c r="T55" s="13">
        <f t="shared" si="13"/>
        <v>-9.8490320728350733E-2</v>
      </c>
      <c r="U55" s="13">
        <f t="shared" si="13"/>
        <v>5.5571227356930958E-2</v>
      </c>
      <c r="V55" s="13">
        <f t="shared" si="13"/>
        <v>0.1086784563033301</v>
      </c>
      <c r="W55" s="13">
        <f t="shared" si="13"/>
        <v>-0.13965593960240696</v>
      </c>
      <c r="X55" s="13">
        <f t="shared" si="13"/>
        <v>2.7710165788506522E-2</v>
      </c>
      <c r="Y55" s="13">
        <f t="shared" si="12"/>
        <v>-6.661265312699545E-2</v>
      </c>
    </row>
    <row r="56" spans="1:25" x14ac:dyDescent="0.25">
      <c r="A56" s="14">
        <f>[1]Data!A59</f>
        <v>39114</v>
      </c>
      <c r="B56" s="15">
        <f>[1]Data!B59</f>
        <v>-1.9812716514843898E-2</v>
      </c>
      <c r="C56" s="15">
        <f>[1]Data!C59</f>
        <v>3.0659186013294124E-3</v>
      </c>
      <c r="D56" s="16">
        <f>[1]Data!F59</f>
        <v>-3.445253757602991E-2</v>
      </c>
      <c r="E56" s="17">
        <f>[1]Data!G59</f>
        <v>2.1754926771803795E-2</v>
      </c>
      <c r="F56" s="16">
        <f>[1]Data!H59</f>
        <v>1.0104817526538145E-2</v>
      </c>
      <c r="G56" s="17">
        <f>[1]Data!I59</f>
        <v>9.8723633273717394E-3</v>
      </c>
      <c r="H56" s="18">
        <f t="shared" si="0"/>
        <v>-1</v>
      </c>
      <c r="I56" s="19">
        <f t="shared" si="10"/>
        <v>1</v>
      </c>
      <c r="J56" s="13">
        <f t="shared" si="1"/>
        <v>0</v>
      </c>
      <c r="K56" s="13">
        <f t="shared" si="2"/>
        <v>3.445253757602991E-2</v>
      </c>
      <c r="L56" s="13">
        <f t="shared" si="3"/>
        <v>0</v>
      </c>
      <c r="M56" s="13">
        <f t="shared" si="4"/>
        <v>2.1754926771803795E-2</v>
      </c>
      <c r="N56" s="13">
        <f t="shared" si="5"/>
        <v>1.0104817526538145E-2</v>
      </c>
      <c r="O56" s="13">
        <f t="shared" si="6"/>
        <v>0</v>
      </c>
      <c r="P56" s="13">
        <f t="shared" si="7"/>
        <v>-9.8723633273717394E-3</v>
      </c>
      <c r="Q56" s="13">
        <f t="shared" si="8"/>
        <v>0</v>
      </c>
      <c r="R56" s="13">
        <f t="shared" si="13"/>
        <v>0.1532295910483415</v>
      </c>
      <c r="S56" s="13">
        <f t="shared" si="13"/>
        <v>0.14848974959640002</v>
      </c>
      <c r="T56" s="13">
        <f t="shared" si="13"/>
        <v>-9.8490320728350733E-2</v>
      </c>
      <c r="U56" s="13">
        <f t="shared" si="13"/>
        <v>7.7326154128734753E-2</v>
      </c>
      <c r="V56" s="13">
        <f t="shared" si="13"/>
        <v>0.11878327382986825</v>
      </c>
      <c r="W56" s="13">
        <f t="shared" si="13"/>
        <v>-0.13965593960240696</v>
      </c>
      <c r="X56" s="13">
        <f t="shared" si="13"/>
        <v>1.7837802461134783E-2</v>
      </c>
      <c r="Y56" s="13">
        <f t="shared" si="12"/>
        <v>-6.661265312699545E-2</v>
      </c>
    </row>
    <row r="57" spans="1:25" x14ac:dyDescent="0.25">
      <c r="A57" s="14">
        <f>[1]Data!A60</f>
        <v>39142</v>
      </c>
      <c r="B57" s="15">
        <f>[1]Data!B60</f>
        <v>1.1522851077644499E-2</v>
      </c>
      <c r="C57" s="15">
        <f>[1]Data!C60</f>
        <v>2.1201145163857352E-2</v>
      </c>
      <c r="D57" s="16">
        <f>[1]Data!F60</f>
        <v>-9.0430043580398967E-3</v>
      </c>
      <c r="E57" s="17">
        <f>[1]Data!G60</f>
        <v>-1.6514017261077919E-2</v>
      </c>
      <c r="F57" s="16">
        <f>[1]Data!H60</f>
        <v>-9.7683223735969844E-3</v>
      </c>
      <c r="G57" s="17">
        <f>[1]Data!I60</f>
        <v>6.9130557163929254E-3</v>
      </c>
      <c r="H57" s="18">
        <f t="shared" si="0"/>
        <v>-1</v>
      </c>
      <c r="I57" s="19">
        <f t="shared" si="10"/>
        <v>1</v>
      </c>
      <c r="J57" s="13">
        <f t="shared" si="1"/>
        <v>0</v>
      </c>
      <c r="K57" s="13">
        <f t="shared" si="2"/>
        <v>9.0430043580398967E-3</v>
      </c>
      <c r="L57" s="13">
        <f t="shared" si="3"/>
        <v>0</v>
      </c>
      <c r="M57" s="13">
        <f t="shared" si="4"/>
        <v>-1.6514017261077919E-2</v>
      </c>
      <c r="N57" s="13">
        <f t="shared" si="5"/>
        <v>-9.7683223735969844E-3</v>
      </c>
      <c r="O57" s="13">
        <f t="shared" si="6"/>
        <v>0</v>
      </c>
      <c r="P57" s="13">
        <f t="shared" si="7"/>
        <v>-6.9130557163929254E-3</v>
      </c>
      <c r="Q57" s="13">
        <f t="shared" si="8"/>
        <v>0</v>
      </c>
      <c r="R57" s="13">
        <f t="shared" si="13"/>
        <v>0.1532295910483415</v>
      </c>
      <c r="S57" s="13">
        <f t="shared" si="13"/>
        <v>0.15753275395443991</v>
      </c>
      <c r="T57" s="13">
        <f t="shared" si="13"/>
        <v>-9.8490320728350733E-2</v>
      </c>
      <c r="U57" s="13">
        <f t="shared" si="13"/>
        <v>6.0812136867656838E-2</v>
      </c>
      <c r="V57" s="13">
        <f t="shared" si="13"/>
        <v>0.10901495145627127</v>
      </c>
      <c r="W57" s="13">
        <f t="shared" si="13"/>
        <v>-0.13965593960240696</v>
      </c>
      <c r="X57" s="13">
        <f t="shared" si="13"/>
        <v>1.0924746744741858E-2</v>
      </c>
      <c r="Y57" s="13">
        <f t="shared" si="12"/>
        <v>-6.661265312699545E-2</v>
      </c>
    </row>
    <row r="58" spans="1:25" x14ac:dyDescent="0.25">
      <c r="A58" s="14">
        <f>[1]Data!A61</f>
        <v>39173</v>
      </c>
      <c r="B58" s="15">
        <f>[1]Data!B61</f>
        <v>4.3342227295940484E-2</v>
      </c>
      <c r="C58" s="15">
        <f>[1]Data!C61</f>
        <v>3.5941124397633951E-2</v>
      </c>
      <c r="D58" s="16">
        <f>[1]Data!F61</f>
        <v>1.551807768923278E-3</v>
      </c>
      <c r="E58" s="17">
        <f>[1]Data!G61</f>
        <v>3.1591196779816285E-3</v>
      </c>
      <c r="F58" s="16">
        <f>[1]Data!H61</f>
        <v>1.7036627436698187E-2</v>
      </c>
      <c r="G58" s="17">
        <f>[1]Data!I61</f>
        <v>-8.9536555089582623E-3</v>
      </c>
      <c r="H58" s="18">
        <f t="shared" si="0"/>
        <v>-1</v>
      </c>
      <c r="I58" s="19">
        <f t="shared" si="10"/>
        <v>1</v>
      </c>
      <c r="J58" s="13">
        <f t="shared" si="1"/>
        <v>0</v>
      </c>
      <c r="K58" s="13">
        <f t="shared" si="2"/>
        <v>-1.551807768923278E-3</v>
      </c>
      <c r="L58" s="13">
        <f t="shared" si="3"/>
        <v>0</v>
      </c>
      <c r="M58" s="13">
        <f t="shared" si="4"/>
        <v>3.1591196779816285E-3</v>
      </c>
      <c r="N58" s="13">
        <f t="shared" si="5"/>
        <v>1.7036627436698187E-2</v>
      </c>
      <c r="O58" s="13">
        <f t="shared" si="6"/>
        <v>0</v>
      </c>
      <c r="P58" s="13">
        <f t="shared" si="7"/>
        <v>8.9536555089582623E-3</v>
      </c>
      <c r="Q58" s="13">
        <f t="shared" si="8"/>
        <v>0</v>
      </c>
      <c r="R58" s="13">
        <f t="shared" si="13"/>
        <v>0.1532295910483415</v>
      </c>
      <c r="S58" s="13">
        <f t="shared" si="13"/>
        <v>0.15598094618551664</v>
      </c>
      <c r="T58" s="13">
        <f t="shared" si="13"/>
        <v>-9.8490320728350733E-2</v>
      </c>
      <c r="U58" s="13">
        <f t="shared" si="13"/>
        <v>6.3971256545638469E-2</v>
      </c>
      <c r="V58" s="13">
        <f t="shared" si="13"/>
        <v>0.12605157889296945</v>
      </c>
      <c r="W58" s="13">
        <f t="shared" si="13"/>
        <v>-0.13965593960240696</v>
      </c>
      <c r="X58" s="13">
        <f t="shared" si="13"/>
        <v>1.987840225370012E-2</v>
      </c>
      <c r="Y58" s="13">
        <f t="shared" si="12"/>
        <v>-6.661265312699545E-2</v>
      </c>
    </row>
    <row r="59" spans="1:25" x14ac:dyDescent="0.25">
      <c r="A59" s="14">
        <f>[1]Data!A62</f>
        <v>39203</v>
      </c>
      <c r="B59" s="15">
        <f>[1]Data!B62</f>
        <v>3.3357697017391309E-2</v>
      </c>
      <c r="C59" s="15">
        <f>[1]Data!C62</f>
        <v>4.2332386488612969E-2</v>
      </c>
      <c r="D59" s="16">
        <f>[1]Data!F62</f>
        <v>5.1009769890597006E-3</v>
      </c>
      <c r="E59" s="17">
        <f>[1]Data!G62</f>
        <v>-9.3337323194785105E-3</v>
      </c>
      <c r="F59" s="16">
        <f>[1]Data!H62</f>
        <v>1.7778846546448492E-2</v>
      </c>
      <c r="G59" s="17">
        <f>[1]Data!I62</f>
        <v>4.6719227697911373E-3</v>
      </c>
      <c r="H59" s="18">
        <f t="shared" si="0"/>
        <v>-1</v>
      </c>
      <c r="I59" s="19">
        <f t="shared" si="10"/>
        <v>1</v>
      </c>
      <c r="J59" s="13">
        <f t="shared" si="1"/>
        <v>0</v>
      </c>
      <c r="K59" s="13">
        <f t="shared" si="2"/>
        <v>-5.1009769890597006E-3</v>
      </c>
      <c r="L59" s="13">
        <f t="shared" si="3"/>
        <v>0</v>
      </c>
      <c r="M59" s="13">
        <f t="shared" si="4"/>
        <v>-9.3337323194785105E-3</v>
      </c>
      <c r="N59" s="13">
        <f t="shared" si="5"/>
        <v>1.7778846546448492E-2</v>
      </c>
      <c r="O59" s="13">
        <f t="shared" si="6"/>
        <v>0</v>
      </c>
      <c r="P59" s="13">
        <f t="shared" si="7"/>
        <v>-4.6719227697911373E-3</v>
      </c>
      <c r="Q59" s="13">
        <f t="shared" si="8"/>
        <v>0</v>
      </c>
      <c r="R59" s="13">
        <f t="shared" si="13"/>
        <v>0.1532295910483415</v>
      </c>
      <c r="S59" s="13">
        <f t="shared" si="13"/>
        <v>0.15087996919645694</v>
      </c>
      <c r="T59" s="13">
        <f t="shared" si="13"/>
        <v>-9.8490320728350733E-2</v>
      </c>
      <c r="U59" s="13">
        <f t="shared" si="13"/>
        <v>5.4637524226159959E-2</v>
      </c>
      <c r="V59" s="13">
        <f t="shared" si="13"/>
        <v>0.14383042543941793</v>
      </c>
      <c r="W59" s="13">
        <f t="shared" si="13"/>
        <v>-0.13965593960240696</v>
      </c>
      <c r="X59" s="13">
        <f t="shared" si="13"/>
        <v>1.5206479483908983E-2</v>
      </c>
      <c r="Y59" s="13">
        <f t="shared" si="12"/>
        <v>-6.661265312699545E-2</v>
      </c>
    </row>
    <row r="60" spans="1:25" x14ac:dyDescent="0.25">
      <c r="A60" s="14">
        <f>[1]Data!A63</f>
        <v>39234</v>
      </c>
      <c r="B60" s="15">
        <f>[1]Data!B63</f>
        <v>-1.4729290126719493E-2</v>
      </c>
      <c r="C60" s="15">
        <f>[1]Data!C63</f>
        <v>2.8869478110362581E-2</v>
      </c>
      <c r="D60" s="16">
        <f>[1]Data!F63</f>
        <v>-1.0251694244875603E-2</v>
      </c>
      <c r="E60" s="17">
        <f>[1]Data!G63</f>
        <v>2.3161209195956461E-2</v>
      </c>
      <c r="F60" s="16">
        <f>[1]Data!H63</f>
        <v>-2.7910441280711164E-2</v>
      </c>
      <c r="G60" s="17">
        <f>[1]Data!I63</f>
        <v>-2.5566861285420323E-2</v>
      </c>
      <c r="H60" s="18">
        <f t="shared" si="0"/>
        <v>-1</v>
      </c>
      <c r="I60" s="19">
        <f t="shared" si="10"/>
        <v>1</v>
      </c>
      <c r="J60" s="13">
        <f t="shared" si="1"/>
        <v>0</v>
      </c>
      <c r="K60" s="13">
        <f t="shared" si="2"/>
        <v>1.0251694244875603E-2</v>
      </c>
      <c r="L60" s="13">
        <f t="shared" si="3"/>
        <v>0</v>
      </c>
      <c r="M60" s="13">
        <f t="shared" si="4"/>
        <v>2.3161209195956461E-2</v>
      </c>
      <c r="N60" s="13">
        <f t="shared" si="5"/>
        <v>-2.7910441280711164E-2</v>
      </c>
      <c r="O60" s="13">
        <f t="shared" si="6"/>
        <v>0</v>
      </c>
      <c r="P60" s="13">
        <f t="shared" si="7"/>
        <v>2.5566861285420323E-2</v>
      </c>
      <c r="Q60" s="13">
        <f t="shared" si="8"/>
        <v>0</v>
      </c>
      <c r="R60" s="13">
        <f t="shared" si="13"/>
        <v>0.1532295910483415</v>
      </c>
      <c r="S60" s="13">
        <f t="shared" si="13"/>
        <v>0.16113166344133253</v>
      </c>
      <c r="T60" s="13">
        <f t="shared" si="13"/>
        <v>-9.8490320728350733E-2</v>
      </c>
      <c r="U60" s="13">
        <f t="shared" si="13"/>
        <v>7.779873342211642E-2</v>
      </c>
      <c r="V60" s="13">
        <f t="shared" si="13"/>
        <v>0.11591998415870677</v>
      </c>
      <c r="W60" s="13">
        <f t="shared" si="13"/>
        <v>-0.13965593960240696</v>
      </c>
      <c r="X60" s="13">
        <f t="shared" si="13"/>
        <v>4.0773340769329307E-2</v>
      </c>
      <c r="Y60" s="13">
        <f t="shared" si="12"/>
        <v>-6.661265312699545E-2</v>
      </c>
    </row>
    <row r="61" spans="1:25" x14ac:dyDescent="0.25">
      <c r="A61" s="14">
        <f>[1]Data!A64</f>
        <v>39264</v>
      </c>
      <c r="B61" s="15">
        <f>[1]Data!B64</f>
        <v>-3.1810472206891816E-2</v>
      </c>
      <c r="C61" s="15">
        <f>[1]Data!C64</f>
        <v>1.1822252926382917E-2</v>
      </c>
      <c r="D61" s="16">
        <f>[1]Data!F64</f>
        <v>-5.5070868179035531E-2</v>
      </c>
      <c r="E61" s="17">
        <f>[1]Data!G64</f>
        <v>2.1212947571695843E-2</v>
      </c>
      <c r="F61" s="16">
        <f>[1]Data!H64</f>
        <v>1.7594133247710406E-2</v>
      </c>
      <c r="G61" s="17">
        <f>[1]Data!I64</f>
        <v>-1.2620057206138119E-2</v>
      </c>
      <c r="H61" s="18">
        <f t="shared" si="0"/>
        <v>-1</v>
      </c>
      <c r="I61" s="19">
        <f t="shared" si="10"/>
        <v>1</v>
      </c>
      <c r="J61" s="13">
        <f t="shared" si="1"/>
        <v>0</v>
      </c>
      <c r="K61" s="13">
        <f t="shared" si="2"/>
        <v>5.5070868179035531E-2</v>
      </c>
      <c r="L61" s="13">
        <f t="shared" si="3"/>
        <v>0</v>
      </c>
      <c r="M61" s="13">
        <f t="shared" si="4"/>
        <v>2.1212947571695843E-2</v>
      </c>
      <c r="N61" s="13">
        <f t="shared" si="5"/>
        <v>1.7594133247710406E-2</v>
      </c>
      <c r="O61" s="13">
        <f t="shared" si="6"/>
        <v>0</v>
      </c>
      <c r="P61" s="13">
        <f t="shared" si="7"/>
        <v>1.2620057206138119E-2</v>
      </c>
      <c r="Q61" s="13">
        <f t="shared" si="8"/>
        <v>0</v>
      </c>
      <c r="R61" s="13">
        <f t="shared" si="13"/>
        <v>0.1532295910483415</v>
      </c>
      <c r="S61" s="13">
        <f t="shared" si="13"/>
        <v>0.21620253162036807</v>
      </c>
      <c r="T61" s="13">
        <f t="shared" si="13"/>
        <v>-9.8490320728350733E-2</v>
      </c>
      <c r="U61" s="13">
        <f t="shared" si="13"/>
        <v>9.9011680993812259E-2</v>
      </c>
      <c r="V61" s="13">
        <f t="shared" si="13"/>
        <v>0.13351411740641717</v>
      </c>
      <c r="W61" s="13">
        <f t="shared" si="13"/>
        <v>-0.13965593960240696</v>
      </c>
      <c r="X61" s="13">
        <f t="shared" si="13"/>
        <v>5.3393397975467424E-2</v>
      </c>
      <c r="Y61" s="13">
        <f t="shared" si="12"/>
        <v>-6.661265312699545E-2</v>
      </c>
    </row>
    <row r="62" spans="1:25" x14ac:dyDescent="0.25">
      <c r="A62" s="14">
        <f>[1]Data!A65</f>
        <v>39295</v>
      </c>
      <c r="B62" s="15">
        <f>[1]Data!B65</f>
        <v>1.2751780789011489E-2</v>
      </c>
      <c r="C62" s="15">
        <f>[1]Data!C65</f>
        <v>-4.7597881591381836E-3</v>
      </c>
      <c r="D62" s="16">
        <f>[1]Data!F65</f>
        <v>1.8187597839126296E-2</v>
      </c>
      <c r="E62" s="17">
        <f>[1]Data!G65</f>
        <v>1.8395138144748135E-2</v>
      </c>
      <c r="F62" s="16">
        <f>[1]Data!H65</f>
        <v>1.3970246636689356E-2</v>
      </c>
      <c r="G62" s="17">
        <f>[1]Data!I65</f>
        <v>-1.134035193226488E-3</v>
      </c>
      <c r="H62" s="18">
        <f t="shared" si="0"/>
        <v>1</v>
      </c>
      <c r="I62" s="19">
        <f t="shared" si="10"/>
        <v>1</v>
      </c>
      <c r="J62" s="13">
        <f t="shared" si="1"/>
        <v>1.8187597839126296E-2</v>
      </c>
      <c r="K62" s="13">
        <f t="shared" si="2"/>
        <v>0</v>
      </c>
      <c r="L62" s="13">
        <f t="shared" si="3"/>
        <v>-1.8395138144748135E-2</v>
      </c>
      <c r="M62" s="13">
        <f t="shared" si="4"/>
        <v>0</v>
      </c>
      <c r="N62" s="13">
        <f t="shared" si="5"/>
        <v>1.3970246636689356E-2</v>
      </c>
      <c r="O62" s="13">
        <f t="shared" si="6"/>
        <v>0</v>
      </c>
      <c r="P62" s="13">
        <f t="shared" si="7"/>
        <v>1.134035193226488E-3</v>
      </c>
      <c r="Q62" s="13">
        <f t="shared" si="8"/>
        <v>0</v>
      </c>
      <c r="R62" s="13">
        <f t="shared" si="13"/>
        <v>0.17141718888746779</v>
      </c>
      <c r="S62" s="13">
        <f t="shared" si="13"/>
        <v>0.21620253162036807</v>
      </c>
      <c r="T62" s="13">
        <f t="shared" si="13"/>
        <v>-0.11688545887309887</v>
      </c>
      <c r="U62" s="13">
        <f t="shared" si="13"/>
        <v>9.9011680993812259E-2</v>
      </c>
      <c r="V62" s="13">
        <f t="shared" si="13"/>
        <v>0.14748436404310653</v>
      </c>
      <c r="W62" s="13">
        <f t="shared" si="13"/>
        <v>-0.13965593960240696</v>
      </c>
      <c r="X62" s="13">
        <f t="shared" si="13"/>
        <v>5.4527433168693913E-2</v>
      </c>
      <c r="Y62" s="13">
        <f t="shared" si="12"/>
        <v>-6.661265312699545E-2</v>
      </c>
    </row>
    <row r="63" spans="1:25" x14ac:dyDescent="0.25">
      <c r="A63" s="14">
        <f>[1]Data!A66</f>
        <v>39326</v>
      </c>
      <c r="B63" s="15">
        <f>[1]Data!B66</f>
        <v>3.7983341542592759E-2</v>
      </c>
      <c r="C63" s="15">
        <f>[1]Data!C66</f>
        <v>3.6412706546078213E-2</v>
      </c>
      <c r="D63" s="16">
        <f>[1]Data!F66</f>
        <v>5.8500372931473447E-3</v>
      </c>
      <c r="E63" s="17">
        <f>[1]Data!G66</f>
        <v>6.5590289954891544E-3</v>
      </c>
      <c r="F63" s="16">
        <f>[1]Data!H66</f>
        <v>-1.2271275016065175E-2</v>
      </c>
      <c r="G63" s="17">
        <f>[1]Data!I66</f>
        <v>2.7653821555618539E-2</v>
      </c>
      <c r="H63" s="18">
        <f t="shared" si="0"/>
        <v>-1</v>
      </c>
      <c r="I63" s="19">
        <f t="shared" si="10"/>
        <v>-1</v>
      </c>
      <c r="J63" s="13">
        <f t="shared" si="1"/>
        <v>0</v>
      </c>
      <c r="K63" s="13">
        <f t="shared" si="2"/>
        <v>-5.8500372931473447E-3</v>
      </c>
      <c r="L63" s="13">
        <f t="shared" si="3"/>
        <v>0</v>
      </c>
      <c r="M63" s="13">
        <f t="shared" si="4"/>
        <v>6.5590289954891544E-3</v>
      </c>
      <c r="N63" s="13">
        <f t="shared" si="5"/>
        <v>0</v>
      </c>
      <c r="O63" s="13">
        <f t="shared" si="6"/>
        <v>1.2271275016065175E-2</v>
      </c>
      <c r="P63" s="13">
        <f t="shared" si="7"/>
        <v>0</v>
      </c>
      <c r="Q63" s="13">
        <f t="shared" si="8"/>
        <v>2.7653821555618539E-2</v>
      </c>
      <c r="R63" s="13">
        <f t="shared" si="13"/>
        <v>0.17141718888746779</v>
      </c>
      <c r="S63" s="13">
        <f t="shared" si="13"/>
        <v>0.21035249432722072</v>
      </c>
      <c r="T63" s="13">
        <f t="shared" si="13"/>
        <v>-0.11688545887309887</v>
      </c>
      <c r="U63" s="13">
        <f t="shared" si="13"/>
        <v>0.10557070998930142</v>
      </c>
      <c r="V63" s="13">
        <f t="shared" si="13"/>
        <v>0.14748436404310653</v>
      </c>
      <c r="W63" s="13">
        <f t="shared" si="13"/>
        <v>-0.12738466458634179</v>
      </c>
      <c r="X63" s="13">
        <f t="shared" si="13"/>
        <v>5.4527433168693913E-2</v>
      </c>
      <c r="Y63" s="13">
        <f t="shared" si="12"/>
        <v>-3.895883157137691E-2</v>
      </c>
    </row>
    <row r="64" spans="1:25" x14ac:dyDescent="0.25">
      <c r="A64" s="14">
        <f>[1]Data!A67</f>
        <v>39356</v>
      </c>
      <c r="B64" s="15">
        <f>[1]Data!B67</f>
        <v>1.3475387113586527E-2</v>
      </c>
      <c r="C64" s="15">
        <f>[1]Data!C67</f>
        <v>-4.2575200815451401E-2</v>
      </c>
      <c r="D64" s="16">
        <f>[1]Data!F67</f>
        <v>3.2731933153520125E-2</v>
      </c>
      <c r="E64" s="17">
        <f>[1]Data!G67</f>
        <v>-5.3200496574762907E-3</v>
      </c>
      <c r="F64" s="16">
        <f>[1]Data!H67</f>
        <v>2.1204747316324019E-2</v>
      </c>
      <c r="G64" s="17">
        <f>[1]Data!I67</f>
        <v>-1.0757589157916643E-3</v>
      </c>
      <c r="H64" s="18">
        <f t="shared" si="0"/>
        <v>1</v>
      </c>
      <c r="I64" s="19">
        <f t="shared" si="10"/>
        <v>1</v>
      </c>
      <c r="J64" s="13">
        <f t="shared" si="1"/>
        <v>3.2731933153520125E-2</v>
      </c>
      <c r="K64" s="13">
        <f t="shared" si="2"/>
        <v>0</v>
      </c>
      <c r="L64" s="13">
        <f t="shared" si="3"/>
        <v>5.3200496574762907E-3</v>
      </c>
      <c r="M64" s="13">
        <f t="shared" si="4"/>
        <v>0</v>
      </c>
      <c r="N64" s="13">
        <f t="shared" si="5"/>
        <v>2.1204747316324019E-2</v>
      </c>
      <c r="O64" s="13">
        <f t="shared" si="6"/>
        <v>0</v>
      </c>
      <c r="P64" s="13">
        <f t="shared" si="7"/>
        <v>1.0757589157916643E-3</v>
      </c>
      <c r="Q64" s="13">
        <f t="shared" si="8"/>
        <v>0</v>
      </c>
      <c r="R64" s="13">
        <f t="shared" si="13"/>
        <v>0.20414912204098792</v>
      </c>
      <c r="S64" s="13">
        <f t="shared" si="13"/>
        <v>0.21035249432722072</v>
      </c>
      <c r="T64" s="13">
        <f t="shared" si="13"/>
        <v>-0.11156540921562258</v>
      </c>
      <c r="U64" s="13">
        <f t="shared" si="13"/>
        <v>0.10557070998930142</v>
      </c>
      <c r="V64" s="13">
        <f t="shared" si="13"/>
        <v>0.16868911135943054</v>
      </c>
      <c r="W64" s="13">
        <f t="shared" si="13"/>
        <v>-0.12738466458634179</v>
      </c>
      <c r="X64" s="13">
        <f t="shared" si="13"/>
        <v>5.5603192084485581E-2</v>
      </c>
      <c r="Y64" s="13">
        <f t="shared" si="12"/>
        <v>-3.895883157137691E-2</v>
      </c>
    </row>
    <row r="65" spans="1:25" x14ac:dyDescent="0.25">
      <c r="A65" s="14">
        <f>[1]Data!A68</f>
        <v>39387</v>
      </c>
      <c r="B65" s="15">
        <f>[1]Data!B68</f>
        <v>-3.9503124324463262E-2</v>
      </c>
      <c r="C65" s="15">
        <f>[1]Data!C68</f>
        <v>-0.12982080217176881</v>
      </c>
      <c r="D65" s="16">
        <f>[1]Data!F68</f>
        <v>4.8090248698228664E-2</v>
      </c>
      <c r="E65" s="17">
        <f>[1]Data!G68</f>
        <v>9.9023938313787772E-3</v>
      </c>
      <c r="F65" s="16">
        <f>[1]Data!H68</f>
        <v>-4.4560724455551218E-2</v>
      </c>
      <c r="G65" s="17">
        <f>[1]Data!I68</f>
        <v>1.2578626784887359E-2</v>
      </c>
      <c r="H65" s="18">
        <f t="shared" si="0"/>
        <v>1</v>
      </c>
      <c r="I65" s="19">
        <f t="shared" si="10"/>
        <v>-1</v>
      </c>
      <c r="J65" s="13">
        <f t="shared" si="1"/>
        <v>4.8090248698228664E-2</v>
      </c>
      <c r="K65" s="13">
        <f t="shared" si="2"/>
        <v>0</v>
      </c>
      <c r="L65" s="13">
        <f t="shared" si="3"/>
        <v>-9.9023938313787772E-3</v>
      </c>
      <c r="M65" s="13">
        <f t="shared" si="4"/>
        <v>0</v>
      </c>
      <c r="N65" s="13">
        <f t="shared" si="5"/>
        <v>0</v>
      </c>
      <c r="O65" s="13">
        <f t="shared" si="6"/>
        <v>4.4560724455551218E-2</v>
      </c>
      <c r="P65" s="13">
        <f t="shared" si="7"/>
        <v>0</v>
      </c>
      <c r="Q65" s="13">
        <f t="shared" si="8"/>
        <v>1.2578626784887359E-2</v>
      </c>
      <c r="R65" s="13">
        <f t="shared" si="13"/>
        <v>0.2522393707392166</v>
      </c>
      <c r="S65" s="13">
        <f t="shared" si="13"/>
        <v>0.21035249432722072</v>
      </c>
      <c r="T65" s="13">
        <f t="shared" si="13"/>
        <v>-0.12146780304700136</v>
      </c>
      <c r="U65" s="13">
        <f t="shared" si="13"/>
        <v>0.10557070998930142</v>
      </c>
      <c r="V65" s="13">
        <f t="shared" si="13"/>
        <v>0.16868911135943054</v>
      </c>
      <c r="W65" s="13">
        <f t="shared" si="13"/>
        <v>-8.2823940130790571E-2</v>
      </c>
      <c r="X65" s="13">
        <f t="shared" si="13"/>
        <v>5.5603192084485581E-2</v>
      </c>
      <c r="Y65" s="13">
        <f t="shared" si="12"/>
        <v>-2.6380204786489551E-2</v>
      </c>
    </row>
    <row r="66" spans="1:25" x14ac:dyDescent="0.25">
      <c r="A66" s="14">
        <f>[1]Data!A69</f>
        <v>39417</v>
      </c>
      <c r="B66" s="15">
        <f>[1]Data!B69</f>
        <v>-1.1324158619732719E-2</v>
      </c>
      <c r="C66" s="15">
        <f>[1]Data!C69</f>
        <v>2.6863865089404471E-2</v>
      </c>
      <c r="D66" s="16">
        <f>[1]Data!F69</f>
        <v>-1.3046219688631715E-2</v>
      </c>
      <c r="E66" s="17">
        <f>[1]Data!G69</f>
        <v>1.8845038864491397E-2</v>
      </c>
      <c r="F66" s="16">
        <f>[1]Data!H69</f>
        <v>1.5021888411573397E-2</v>
      </c>
      <c r="G66" s="17">
        <f>[1]Data!I69</f>
        <v>-2.4270087329901366E-2</v>
      </c>
      <c r="H66" s="18">
        <f t="shared" ref="H66:H129" si="14">IF(C66&gt;0,-1,1)</f>
        <v>-1</v>
      </c>
      <c r="I66" s="19">
        <f t="shared" si="10"/>
        <v>-1</v>
      </c>
      <c r="J66" s="13">
        <f t="shared" ref="J66:J129" si="15">IF(H66=1,D66,0)</f>
        <v>0</v>
      </c>
      <c r="K66" s="13">
        <f t="shared" ref="K66:K129" si="16">IF(H66=-1,-D66,0)</f>
        <v>1.3046219688631715E-2</v>
      </c>
      <c r="L66" s="13">
        <f t="shared" ref="L66:L129" si="17">IF(H66=1,-E66,0)</f>
        <v>0</v>
      </c>
      <c r="M66" s="13">
        <f t="shared" ref="M66:M129" si="18">IF(H66=-1,E66,0)</f>
        <v>1.8845038864491397E-2</v>
      </c>
      <c r="N66" s="13">
        <f t="shared" ref="N66:N129" si="19">IF(I66=1,F66,0)</f>
        <v>0</v>
      </c>
      <c r="O66" s="13">
        <f t="shared" ref="O66:O129" si="20">IF(I66=-1,-F66,0)</f>
        <v>-1.5021888411573397E-2</v>
      </c>
      <c r="P66" s="13">
        <f t="shared" ref="P66:P129" si="21">IF(I66=1,-G66,0)</f>
        <v>0</v>
      </c>
      <c r="Q66" s="13">
        <f t="shared" ref="Q66:Q129" si="22">IF(I66=-1,G66,0)</f>
        <v>-2.4270087329901366E-2</v>
      </c>
      <c r="R66" s="13">
        <f t="shared" si="13"/>
        <v>0.2522393707392166</v>
      </c>
      <c r="S66" s="13">
        <f t="shared" si="13"/>
        <v>0.22339871401585243</v>
      </c>
      <c r="T66" s="13">
        <f t="shared" si="13"/>
        <v>-0.12146780304700136</v>
      </c>
      <c r="U66" s="13">
        <f t="shared" si="13"/>
        <v>0.12441574885379281</v>
      </c>
      <c r="V66" s="13">
        <f t="shared" si="13"/>
        <v>0.16868911135943054</v>
      </c>
      <c r="W66" s="13">
        <f t="shared" si="13"/>
        <v>-9.7845828542363969E-2</v>
      </c>
      <c r="X66" s="13">
        <f t="shared" si="13"/>
        <v>5.5603192084485581E-2</v>
      </c>
      <c r="Y66" s="13">
        <f t="shared" si="12"/>
        <v>-5.0650292116390917E-2</v>
      </c>
    </row>
    <row r="67" spans="1:25" x14ac:dyDescent="0.25">
      <c r="A67" s="14">
        <f>[1]Data!A70</f>
        <v>39448</v>
      </c>
      <c r="B67" s="15">
        <f>[1]Data!B70</f>
        <v>-6.2365995504664359E-2</v>
      </c>
      <c r="C67" s="15">
        <f>[1]Data!C70</f>
        <v>-0.12258340301776818</v>
      </c>
      <c r="D67" s="16">
        <f>[1]Data!F70</f>
        <v>2.5883299944655578E-2</v>
      </c>
      <c r="E67" s="17">
        <f>[1]Data!G70</f>
        <v>-1.3592269705264792E-2</v>
      </c>
      <c r="F67" s="16">
        <f>[1]Data!H70</f>
        <v>-5.1217686338903806E-2</v>
      </c>
      <c r="G67" s="17">
        <f>[1]Data!I70</f>
        <v>1.6310164955915724E-2</v>
      </c>
      <c r="H67" s="18">
        <f t="shared" si="14"/>
        <v>1</v>
      </c>
      <c r="I67" s="19">
        <f t="shared" ref="I67:I130" si="23">IF(C66&gt;0,1,-1)</f>
        <v>1</v>
      </c>
      <c r="J67" s="13">
        <f t="shared" si="15"/>
        <v>2.5883299944655578E-2</v>
      </c>
      <c r="K67" s="13">
        <f t="shared" si="16"/>
        <v>0</v>
      </c>
      <c r="L67" s="13">
        <f t="shared" si="17"/>
        <v>1.3592269705264792E-2</v>
      </c>
      <c r="M67" s="13">
        <f t="shared" si="18"/>
        <v>0</v>
      </c>
      <c r="N67" s="13">
        <f t="shared" si="19"/>
        <v>-5.1217686338903806E-2</v>
      </c>
      <c r="O67" s="13">
        <f t="shared" si="20"/>
        <v>0</v>
      </c>
      <c r="P67" s="13">
        <f t="shared" si="21"/>
        <v>-1.6310164955915724E-2</v>
      </c>
      <c r="Q67" s="13">
        <f t="shared" si="22"/>
        <v>0</v>
      </c>
      <c r="R67" s="13">
        <f t="shared" si="13"/>
        <v>0.2781226706838722</v>
      </c>
      <c r="S67" s="13">
        <f t="shared" si="13"/>
        <v>0.22339871401585243</v>
      </c>
      <c r="T67" s="13">
        <f t="shared" si="13"/>
        <v>-0.10787553334173657</v>
      </c>
      <c r="U67" s="13">
        <f t="shared" si="13"/>
        <v>0.12441574885379281</v>
      </c>
      <c r="V67" s="13">
        <f t="shared" si="13"/>
        <v>0.11747142502052674</v>
      </c>
      <c r="W67" s="13">
        <f t="shared" si="13"/>
        <v>-9.7845828542363969E-2</v>
      </c>
      <c r="X67" s="13">
        <f t="shared" si="13"/>
        <v>3.9293027128569857E-2</v>
      </c>
      <c r="Y67" s="13">
        <f t="shared" si="12"/>
        <v>-5.0650292116390917E-2</v>
      </c>
    </row>
    <row r="68" spans="1:25" x14ac:dyDescent="0.25">
      <c r="A68" s="14">
        <f>[1]Data!A71</f>
        <v>39479</v>
      </c>
      <c r="B68" s="15">
        <f>[1]Data!B71</f>
        <v>-2.6182343269458896E-2</v>
      </c>
      <c r="C68" s="15">
        <f>[1]Data!C71</f>
        <v>1.5475285837679532E-2</v>
      </c>
      <c r="D68" s="16">
        <f>[1]Data!F71</f>
        <v>-1.3360992604450964E-2</v>
      </c>
      <c r="E68" s="17">
        <f>[1]Data!G71</f>
        <v>2.3732619931614615E-2</v>
      </c>
      <c r="F68" s="16">
        <f>[1]Data!H71</f>
        <v>-2.5360782468309414E-2</v>
      </c>
      <c r="G68" s="17">
        <f>[1]Data!I71</f>
        <v>-2.1581226637696842E-2</v>
      </c>
      <c r="H68" s="18">
        <f t="shared" si="14"/>
        <v>-1</v>
      </c>
      <c r="I68" s="19">
        <f t="shared" si="23"/>
        <v>-1</v>
      </c>
      <c r="J68" s="13">
        <f t="shared" si="15"/>
        <v>0</v>
      </c>
      <c r="K68" s="13">
        <f t="shared" si="16"/>
        <v>1.3360992604450964E-2</v>
      </c>
      <c r="L68" s="13">
        <f t="shared" si="17"/>
        <v>0</v>
      </c>
      <c r="M68" s="13">
        <f t="shared" si="18"/>
        <v>2.3732619931614615E-2</v>
      </c>
      <c r="N68" s="13">
        <f t="shared" si="19"/>
        <v>0</v>
      </c>
      <c r="O68" s="13">
        <f t="shared" si="20"/>
        <v>2.5360782468309414E-2</v>
      </c>
      <c r="P68" s="13">
        <f t="shared" si="21"/>
        <v>0</v>
      </c>
      <c r="Q68" s="13">
        <f t="shared" si="22"/>
        <v>-2.1581226637696842E-2</v>
      </c>
      <c r="R68" s="13">
        <f t="shared" si="13"/>
        <v>0.2781226706838722</v>
      </c>
      <c r="S68" s="13">
        <f t="shared" si="13"/>
        <v>0.23675970662030338</v>
      </c>
      <c r="T68" s="13">
        <f t="shared" si="13"/>
        <v>-0.10787553334173657</v>
      </c>
      <c r="U68" s="13">
        <f t="shared" si="13"/>
        <v>0.14814836878540744</v>
      </c>
      <c r="V68" s="13">
        <f t="shared" si="13"/>
        <v>0.11747142502052674</v>
      </c>
      <c r="W68" s="13">
        <f t="shared" si="13"/>
        <v>-7.2485046074054552E-2</v>
      </c>
      <c r="X68" s="13">
        <f t="shared" si="13"/>
        <v>3.9293027128569857E-2</v>
      </c>
      <c r="Y68" s="13">
        <f t="shared" si="12"/>
        <v>-7.2231518754087759E-2</v>
      </c>
    </row>
    <row r="69" spans="1:25" x14ac:dyDescent="0.25">
      <c r="A69" s="14">
        <f>[1]Data!A72</f>
        <v>39508</v>
      </c>
      <c r="B69" s="15">
        <f>[1]Data!B72</f>
        <v>-8.982463454304028E-3</v>
      </c>
      <c r="C69" s="15">
        <f>[1]Data!C72</f>
        <v>-3.3501588531891918E-3</v>
      </c>
      <c r="D69" s="16">
        <f>[1]Data!F72</f>
        <v>-2.0623916972411824E-2</v>
      </c>
      <c r="E69" s="17">
        <f>[1]Data!G72</f>
        <v>6.1725656370662622E-3</v>
      </c>
      <c r="F69" s="16">
        <f>[1]Data!H72</f>
        <v>-3.1194416202091686E-2</v>
      </c>
      <c r="G69" s="17">
        <f>[1]Data!I72</f>
        <v>-1.7752867451748675E-2</v>
      </c>
      <c r="H69" s="18">
        <f t="shared" si="14"/>
        <v>1</v>
      </c>
      <c r="I69" s="19">
        <f t="shared" si="23"/>
        <v>1</v>
      </c>
      <c r="J69" s="13">
        <f t="shared" si="15"/>
        <v>-2.0623916972411824E-2</v>
      </c>
      <c r="K69" s="13">
        <f t="shared" si="16"/>
        <v>0</v>
      </c>
      <c r="L69" s="13">
        <f t="shared" si="17"/>
        <v>-6.1725656370662622E-3</v>
      </c>
      <c r="M69" s="13">
        <f t="shared" si="18"/>
        <v>0</v>
      </c>
      <c r="N69" s="13">
        <f t="shared" si="19"/>
        <v>-3.1194416202091686E-2</v>
      </c>
      <c r="O69" s="13">
        <f t="shared" si="20"/>
        <v>0</v>
      </c>
      <c r="P69" s="13">
        <f t="shared" si="21"/>
        <v>1.7752867451748675E-2</v>
      </c>
      <c r="Q69" s="13">
        <f t="shared" si="22"/>
        <v>0</v>
      </c>
      <c r="R69" s="13">
        <f t="shared" si="13"/>
        <v>0.25749875371146036</v>
      </c>
      <c r="S69" s="13">
        <f t="shared" si="13"/>
        <v>0.23675970662030338</v>
      </c>
      <c r="T69" s="13">
        <f t="shared" si="13"/>
        <v>-0.11404809897880283</v>
      </c>
      <c r="U69" s="13">
        <f t="shared" si="13"/>
        <v>0.14814836878540744</v>
      </c>
      <c r="V69" s="13">
        <f t="shared" si="13"/>
        <v>8.6277008818435058E-2</v>
      </c>
      <c r="W69" s="13">
        <f t="shared" si="13"/>
        <v>-7.2485046074054552E-2</v>
      </c>
      <c r="X69" s="13">
        <f t="shared" si="13"/>
        <v>5.7045894580318529E-2</v>
      </c>
      <c r="Y69" s="13">
        <f t="shared" si="12"/>
        <v>-7.2231518754087759E-2</v>
      </c>
    </row>
    <row r="70" spans="1:25" x14ac:dyDescent="0.25">
      <c r="A70" s="14">
        <f>[1]Data!A73</f>
        <v>39539</v>
      </c>
      <c r="B70" s="15">
        <f>[1]Data!B73</f>
        <v>4.6561022288474016E-2</v>
      </c>
      <c r="C70" s="15">
        <f>[1]Data!C73</f>
        <v>7.3511936997365329E-2</v>
      </c>
      <c r="D70" s="16">
        <f>[1]Data!F73</f>
        <v>-2.0953301015842283E-3</v>
      </c>
      <c r="E70" s="17">
        <f>[1]Data!G73</f>
        <v>-3.2288246608653745E-4</v>
      </c>
      <c r="F70" s="16">
        <f>[1]Data!H73</f>
        <v>3.7114346151723543E-2</v>
      </c>
      <c r="G70" s="17">
        <f>[1]Data!I73</f>
        <v>-8.2450445561075072E-3</v>
      </c>
      <c r="H70" s="18">
        <f t="shared" si="14"/>
        <v>-1</v>
      </c>
      <c r="I70" s="19">
        <f t="shared" si="23"/>
        <v>-1</v>
      </c>
      <c r="J70" s="13">
        <f t="shared" si="15"/>
        <v>0</v>
      </c>
      <c r="K70" s="13">
        <f t="shared" si="16"/>
        <v>2.0953301015842283E-3</v>
      </c>
      <c r="L70" s="13">
        <f t="shared" si="17"/>
        <v>0</v>
      </c>
      <c r="M70" s="13">
        <f t="shared" si="18"/>
        <v>-3.2288246608653745E-4</v>
      </c>
      <c r="N70" s="13">
        <f t="shared" si="19"/>
        <v>0</v>
      </c>
      <c r="O70" s="13">
        <f t="shared" si="20"/>
        <v>-3.7114346151723543E-2</v>
      </c>
      <c r="P70" s="13">
        <f t="shared" si="21"/>
        <v>0</v>
      </c>
      <c r="Q70" s="13">
        <f t="shared" si="22"/>
        <v>-8.2450445561075072E-3</v>
      </c>
      <c r="R70" s="13">
        <f t="shared" si="13"/>
        <v>0.25749875371146036</v>
      </c>
      <c r="S70" s="13">
        <f t="shared" si="13"/>
        <v>0.2388550367218876</v>
      </c>
      <c r="T70" s="13">
        <f t="shared" si="13"/>
        <v>-0.11404809897880283</v>
      </c>
      <c r="U70" s="13">
        <f t="shared" si="13"/>
        <v>0.14782548631932091</v>
      </c>
      <c r="V70" s="13">
        <f t="shared" si="13"/>
        <v>8.6277008818435058E-2</v>
      </c>
      <c r="W70" s="13">
        <f t="shared" si="13"/>
        <v>-0.10959939222577809</v>
      </c>
      <c r="X70" s="13">
        <f t="shared" si="13"/>
        <v>5.7045894580318529E-2</v>
      </c>
      <c r="Y70" s="13">
        <f t="shared" si="12"/>
        <v>-8.0476563310195259E-2</v>
      </c>
    </row>
    <row r="71" spans="1:25" x14ac:dyDescent="0.25">
      <c r="A71" s="14">
        <f>[1]Data!A74</f>
        <v>39569</v>
      </c>
      <c r="B71" s="15">
        <f>[1]Data!B74</f>
        <v>1.5003711755008559E-2</v>
      </c>
      <c r="C71" s="15">
        <f>[1]Data!C74</f>
        <v>1.2247545635428347E-2</v>
      </c>
      <c r="D71" s="16">
        <f>[1]Data!F74</f>
        <v>6.1464440310737348E-3</v>
      </c>
      <c r="E71" s="17">
        <f>[1]Data!G74</f>
        <v>-2.3859812651107898E-2</v>
      </c>
      <c r="F71" s="16">
        <f>[1]Data!H74</f>
        <v>9.0723271434295545E-3</v>
      </c>
      <c r="G71" s="17">
        <f>[1]Data!I74</f>
        <v>-1.5577079066678637E-2</v>
      </c>
      <c r="H71" s="18">
        <f t="shared" si="14"/>
        <v>-1</v>
      </c>
      <c r="I71" s="19">
        <f t="shared" si="23"/>
        <v>1</v>
      </c>
      <c r="J71" s="13">
        <f t="shared" si="15"/>
        <v>0</v>
      </c>
      <c r="K71" s="13">
        <f t="shared" si="16"/>
        <v>-6.1464440310737348E-3</v>
      </c>
      <c r="L71" s="13">
        <f t="shared" si="17"/>
        <v>0</v>
      </c>
      <c r="M71" s="13">
        <f t="shared" si="18"/>
        <v>-2.3859812651107898E-2</v>
      </c>
      <c r="N71" s="13">
        <f t="shared" si="19"/>
        <v>9.0723271434295545E-3</v>
      </c>
      <c r="O71" s="13">
        <f t="shared" si="20"/>
        <v>0</v>
      </c>
      <c r="P71" s="13">
        <f t="shared" si="21"/>
        <v>1.5577079066678637E-2</v>
      </c>
      <c r="Q71" s="13">
        <f t="shared" si="22"/>
        <v>0</v>
      </c>
      <c r="R71" s="13">
        <f t="shared" si="13"/>
        <v>0.25749875371146036</v>
      </c>
      <c r="S71" s="13">
        <f t="shared" si="13"/>
        <v>0.23270859269081387</v>
      </c>
      <c r="T71" s="13">
        <f t="shared" si="13"/>
        <v>-0.11404809897880283</v>
      </c>
      <c r="U71" s="13">
        <f t="shared" ref="U71:Y127" si="24">M71+U70</f>
        <v>0.12396567366821301</v>
      </c>
      <c r="V71" s="13">
        <f t="shared" si="24"/>
        <v>9.5349335961864609E-2</v>
      </c>
      <c r="W71" s="13">
        <f t="shared" si="24"/>
        <v>-0.10959939222577809</v>
      </c>
      <c r="X71" s="13">
        <f t="shared" si="24"/>
        <v>7.2622973646997172E-2</v>
      </c>
      <c r="Y71" s="13">
        <f t="shared" si="12"/>
        <v>-8.0476563310195259E-2</v>
      </c>
    </row>
    <row r="72" spans="1:25" x14ac:dyDescent="0.25">
      <c r="A72" s="14">
        <f>[1]Data!A75</f>
        <v>39600</v>
      </c>
      <c r="B72" s="15">
        <f>[1]Data!B75</f>
        <v>-8.7275760081046691E-2</v>
      </c>
      <c r="C72" s="15">
        <f>[1]Data!C75</f>
        <v>-5.7943533327620284E-2</v>
      </c>
      <c r="D72" s="16">
        <f>[1]Data!F75</f>
        <v>-2.774087241653813E-2</v>
      </c>
      <c r="E72" s="17">
        <f>[1]Data!G75</f>
        <v>2.778135210967049E-2</v>
      </c>
      <c r="F72" s="16">
        <f>[1]Data!H75</f>
        <v>-2.9354430812414938E-2</v>
      </c>
      <c r="G72" s="17">
        <f>[1]Data!I75</f>
        <v>8.9322170775613212E-3</v>
      </c>
      <c r="H72" s="18">
        <f t="shared" si="14"/>
        <v>1</v>
      </c>
      <c r="I72" s="19">
        <f t="shared" si="23"/>
        <v>1</v>
      </c>
      <c r="J72" s="13">
        <f t="shared" si="15"/>
        <v>-2.774087241653813E-2</v>
      </c>
      <c r="K72" s="13">
        <f t="shared" si="16"/>
        <v>0</v>
      </c>
      <c r="L72" s="13">
        <f t="shared" si="17"/>
        <v>-2.778135210967049E-2</v>
      </c>
      <c r="M72" s="13">
        <f t="shared" si="18"/>
        <v>0</v>
      </c>
      <c r="N72" s="13">
        <f t="shared" si="19"/>
        <v>-2.9354430812414938E-2</v>
      </c>
      <c r="O72" s="13">
        <f t="shared" si="20"/>
        <v>0</v>
      </c>
      <c r="P72" s="13">
        <f t="shared" si="21"/>
        <v>-8.9322170775613212E-3</v>
      </c>
      <c r="Q72" s="13">
        <f t="shared" si="22"/>
        <v>0</v>
      </c>
      <c r="R72" s="13">
        <f t="shared" ref="R72:V135" si="25">J72+R71</f>
        <v>0.22975788129492222</v>
      </c>
      <c r="S72" s="13">
        <f t="shared" si="25"/>
        <v>0.23270859269081387</v>
      </c>
      <c r="T72" s="13">
        <f t="shared" si="25"/>
        <v>-0.14182945108847334</v>
      </c>
      <c r="U72" s="13">
        <f t="shared" si="24"/>
        <v>0.12396567366821301</v>
      </c>
      <c r="V72" s="13">
        <f t="shared" si="24"/>
        <v>6.5994905149449667E-2</v>
      </c>
      <c r="W72" s="13">
        <f t="shared" si="24"/>
        <v>-0.10959939222577809</v>
      </c>
      <c r="X72" s="13">
        <f t="shared" si="24"/>
        <v>6.3690756569435847E-2</v>
      </c>
      <c r="Y72" s="13">
        <f t="shared" si="12"/>
        <v>-8.0476563310195259E-2</v>
      </c>
    </row>
    <row r="73" spans="1:25" x14ac:dyDescent="0.25">
      <c r="A73" s="14">
        <f>[1]Data!A76</f>
        <v>39630</v>
      </c>
      <c r="B73" s="15">
        <f>[1]Data!B76</f>
        <v>-9.0265962793679762E-3</v>
      </c>
      <c r="C73" s="15">
        <f>[1]Data!C76</f>
        <v>1.4269385985783891E-2</v>
      </c>
      <c r="D73" s="16">
        <f>[1]Data!F76</f>
        <v>-5.1116427214111925E-3</v>
      </c>
      <c r="E73" s="17">
        <f>[1]Data!G76</f>
        <v>1.4504345505090999E-2</v>
      </c>
      <c r="F73" s="16">
        <f>[1]Data!H76</f>
        <v>-5.7993387194488731E-3</v>
      </c>
      <c r="G73" s="17">
        <f>[1]Data!I76</f>
        <v>1.1691531132829544E-2</v>
      </c>
      <c r="H73" s="18">
        <f t="shared" si="14"/>
        <v>-1</v>
      </c>
      <c r="I73" s="19">
        <f t="shared" si="23"/>
        <v>-1</v>
      </c>
      <c r="J73" s="13">
        <f t="shared" si="15"/>
        <v>0</v>
      </c>
      <c r="K73" s="13">
        <f t="shared" si="16"/>
        <v>5.1116427214111925E-3</v>
      </c>
      <c r="L73" s="13">
        <f t="shared" si="17"/>
        <v>0</v>
      </c>
      <c r="M73" s="13">
        <f t="shared" si="18"/>
        <v>1.4504345505090999E-2</v>
      </c>
      <c r="N73" s="13">
        <f t="shared" si="19"/>
        <v>0</v>
      </c>
      <c r="O73" s="13">
        <f t="shared" si="20"/>
        <v>5.7993387194488731E-3</v>
      </c>
      <c r="P73" s="13">
        <f t="shared" si="21"/>
        <v>0</v>
      </c>
      <c r="Q73" s="13">
        <f t="shared" si="22"/>
        <v>1.1691531132829544E-2</v>
      </c>
      <c r="R73" s="13">
        <f t="shared" si="25"/>
        <v>0.22975788129492222</v>
      </c>
      <c r="S73" s="13">
        <f t="shared" si="25"/>
        <v>0.23782023541222505</v>
      </c>
      <c r="T73" s="13">
        <f t="shared" si="25"/>
        <v>-0.14182945108847334</v>
      </c>
      <c r="U73" s="13">
        <f t="shared" si="24"/>
        <v>0.13847001917330401</v>
      </c>
      <c r="V73" s="13">
        <f t="shared" si="24"/>
        <v>6.5994905149449667E-2</v>
      </c>
      <c r="W73" s="13">
        <f t="shared" si="24"/>
        <v>-0.10380005350632922</v>
      </c>
      <c r="X73" s="13">
        <f t="shared" si="24"/>
        <v>6.3690756569435847E-2</v>
      </c>
      <c r="Y73" s="13">
        <f t="shared" si="12"/>
        <v>-6.8785032177365715E-2</v>
      </c>
    </row>
    <row r="74" spans="1:25" x14ac:dyDescent="0.25">
      <c r="A74" s="14">
        <f>[1]Data!A77</f>
        <v>39661</v>
      </c>
      <c r="B74" s="15">
        <f>[1]Data!B77</f>
        <v>1.5335311854992307E-2</v>
      </c>
      <c r="C74" s="15">
        <f>[1]Data!C77</f>
        <v>-1.1917921483408683E-2</v>
      </c>
      <c r="D74" s="16">
        <f>[1]Data!F77</f>
        <v>7.716392942728769E-3</v>
      </c>
      <c r="E74" s="17">
        <f>[1]Data!G77</f>
        <v>7.4875066438296074E-3</v>
      </c>
      <c r="F74" s="16">
        <f>[1]Data!H77</f>
        <v>1.4180227433267766E-3</v>
      </c>
      <c r="G74" s="17">
        <f>[1]Data!I77</f>
        <v>4.5010293523597318E-3</v>
      </c>
      <c r="H74" s="18">
        <f t="shared" si="14"/>
        <v>1</v>
      </c>
      <c r="I74" s="19">
        <f t="shared" si="23"/>
        <v>1</v>
      </c>
      <c r="J74" s="13">
        <f t="shared" si="15"/>
        <v>7.716392942728769E-3</v>
      </c>
      <c r="K74" s="13">
        <f t="shared" si="16"/>
        <v>0</v>
      </c>
      <c r="L74" s="13">
        <f t="shared" si="17"/>
        <v>-7.4875066438296074E-3</v>
      </c>
      <c r="M74" s="13">
        <f t="shared" si="18"/>
        <v>0</v>
      </c>
      <c r="N74" s="13">
        <f t="shared" si="19"/>
        <v>1.4180227433267766E-3</v>
      </c>
      <c r="O74" s="13">
        <f t="shared" si="20"/>
        <v>0</v>
      </c>
      <c r="P74" s="13">
        <f t="shared" si="21"/>
        <v>-4.5010293523597318E-3</v>
      </c>
      <c r="Q74" s="13">
        <f t="shared" si="22"/>
        <v>0</v>
      </c>
      <c r="R74" s="13">
        <f t="shared" si="25"/>
        <v>0.237474274237651</v>
      </c>
      <c r="S74" s="13">
        <f t="shared" si="25"/>
        <v>0.23782023541222505</v>
      </c>
      <c r="T74" s="13">
        <f t="shared" si="25"/>
        <v>-0.14931695773230294</v>
      </c>
      <c r="U74" s="13">
        <f t="shared" si="24"/>
        <v>0.13847001917330401</v>
      </c>
      <c r="V74" s="13">
        <f t="shared" si="24"/>
        <v>6.7412927892776447E-2</v>
      </c>
      <c r="W74" s="13">
        <f t="shared" si="24"/>
        <v>-0.10380005350632922</v>
      </c>
      <c r="X74" s="13">
        <f t="shared" si="24"/>
        <v>5.9189727217076119E-2</v>
      </c>
      <c r="Y74" s="13">
        <f t="shared" si="12"/>
        <v>-6.8785032177365715E-2</v>
      </c>
    </row>
    <row r="75" spans="1:25" x14ac:dyDescent="0.25">
      <c r="A75" s="14">
        <f>[1]Data!A78</f>
        <v>39692</v>
      </c>
      <c r="B75" s="15">
        <f>[1]Data!B78</f>
        <v>-9.890755281492844E-2</v>
      </c>
      <c r="C75" s="15">
        <f>[1]Data!C78</f>
        <v>-5.8969739441932872E-2</v>
      </c>
      <c r="D75" s="16">
        <f>[1]Data!F78</f>
        <v>-4.4845344924539204E-2</v>
      </c>
      <c r="E75" s="17">
        <f>[1]Data!G78</f>
        <v>9.7439888345378749E-3</v>
      </c>
      <c r="F75" s="16">
        <f>[1]Data!H78</f>
        <v>-1.4075041619453138E-2</v>
      </c>
      <c r="G75" s="17">
        <f>[1]Data!I78</f>
        <v>2.5136179560376823E-2</v>
      </c>
      <c r="H75" s="18">
        <f t="shared" si="14"/>
        <v>1</v>
      </c>
      <c r="I75" s="19">
        <f t="shared" si="23"/>
        <v>-1</v>
      </c>
      <c r="J75" s="13">
        <f t="shared" si="15"/>
        <v>-4.4845344924539204E-2</v>
      </c>
      <c r="K75" s="13">
        <f t="shared" si="16"/>
        <v>0</v>
      </c>
      <c r="L75" s="13">
        <f t="shared" si="17"/>
        <v>-9.7439888345378749E-3</v>
      </c>
      <c r="M75" s="13">
        <f t="shared" si="18"/>
        <v>0</v>
      </c>
      <c r="N75" s="13">
        <f t="shared" si="19"/>
        <v>0</v>
      </c>
      <c r="O75" s="13">
        <f t="shared" si="20"/>
        <v>1.4075041619453138E-2</v>
      </c>
      <c r="P75" s="13">
        <f t="shared" si="21"/>
        <v>0</v>
      </c>
      <c r="Q75" s="13">
        <f t="shared" si="22"/>
        <v>2.5136179560376823E-2</v>
      </c>
      <c r="R75" s="13">
        <f t="shared" si="25"/>
        <v>0.19262892931311179</v>
      </c>
      <c r="S75" s="13">
        <f t="shared" si="25"/>
        <v>0.23782023541222505</v>
      </c>
      <c r="T75" s="13">
        <f t="shared" si="25"/>
        <v>-0.15906094656684081</v>
      </c>
      <c r="U75" s="13">
        <f t="shared" si="24"/>
        <v>0.13847001917330401</v>
      </c>
      <c r="V75" s="13">
        <f t="shared" si="24"/>
        <v>6.7412927892776447E-2</v>
      </c>
      <c r="W75" s="13">
        <f t="shared" si="24"/>
        <v>-8.972501188687608E-2</v>
      </c>
      <c r="X75" s="13">
        <f t="shared" si="24"/>
        <v>5.9189727217076119E-2</v>
      </c>
      <c r="Y75" s="13">
        <f t="shared" si="12"/>
        <v>-4.3648852616988892E-2</v>
      </c>
    </row>
    <row r="76" spans="1:25" x14ac:dyDescent="0.25">
      <c r="A76" s="14">
        <f>[1]Data!A79</f>
        <v>39722</v>
      </c>
      <c r="B76" s="15">
        <f>[1]Data!B79</f>
        <v>-0.18054711096471043</v>
      </c>
      <c r="C76" s="15">
        <f>[1]Data!C79</f>
        <v>-0.19620275757356803</v>
      </c>
      <c r="D76" s="16">
        <f>[1]Data!F79</f>
        <v>1.0068129945736335E-2</v>
      </c>
      <c r="E76" s="17">
        <f>[1]Data!G79</f>
        <v>-2.4369465220447126E-2</v>
      </c>
      <c r="F76" s="16">
        <f>[1]Data!H79</f>
        <v>-0.14803368672747119</v>
      </c>
      <c r="G76" s="17">
        <f>[1]Data!I79</f>
        <v>4.4253709808859856E-2</v>
      </c>
      <c r="H76" s="18">
        <f t="shared" si="14"/>
        <v>1</v>
      </c>
      <c r="I76" s="19">
        <f t="shared" si="23"/>
        <v>-1</v>
      </c>
      <c r="J76" s="13">
        <f t="shared" si="15"/>
        <v>1.0068129945736335E-2</v>
      </c>
      <c r="K76" s="13">
        <f t="shared" si="16"/>
        <v>0</v>
      </c>
      <c r="L76" s="13">
        <f t="shared" si="17"/>
        <v>2.4369465220447126E-2</v>
      </c>
      <c r="M76" s="13">
        <f t="shared" si="18"/>
        <v>0</v>
      </c>
      <c r="N76" s="13">
        <f t="shared" si="19"/>
        <v>0</v>
      </c>
      <c r="O76" s="13">
        <f t="shared" si="20"/>
        <v>0.14803368672747119</v>
      </c>
      <c r="P76" s="13">
        <f t="shared" si="21"/>
        <v>0</v>
      </c>
      <c r="Q76" s="13">
        <f t="shared" si="22"/>
        <v>4.4253709808859856E-2</v>
      </c>
      <c r="R76" s="13">
        <f t="shared" si="25"/>
        <v>0.20269705925884812</v>
      </c>
      <c r="S76" s="13">
        <f t="shared" si="25"/>
        <v>0.23782023541222505</v>
      </c>
      <c r="T76" s="13">
        <f t="shared" si="25"/>
        <v>-0.13469148134639369</v>
      </c>
      <c r="U76" s="13">
        <f t="shared" si="24"/>
        <v>0.13847001917330401</v>
      </c>
      <c r="V76" s="13">
        <f t="shared" si="24"/>
        <v>6.7412927892776447E-2</v>
      </c>
      <c r="W76" s="13">
        <f t="shared" si="24"/>
        <v>5.8308674840595112E-2</v>
      </c>
      <c r="X76" s="13">
        <f t="shared" si="24"/>
        <v>5.9189727217076119E-2</v>
      </c>
      <c r="Y76" s="13">
        <f t="shared" si="12"/>
        <v>6.0485719187096387E-4</v>
      </c>
    </row>
    <row r="77" spans="1:25" x14ac:dyDescent="0.25">
      <c r="A77" s="14">
        <f>[1]Data!A80</f>
        <v>39753</v>
      </c>
      <c r="B77" s="15">
        <f>[1]Data!B80</f>
        <v>-7.2147486555183452E-2</v>
      </c>
      <c r="C77" s="15">
        <f>[1]Data!C80</f>
        <v>-0.30412362735782883</v>
      </c>
      <c r="D77" s="16">
        <f>[1]Data!F80</f>
        <v>0.12480061733340533</v>
      </c>
      <c r="E77" s="17">
        <f>[1]Data!G80</f>
        <v>2.6842809415822497E-2</v>
      </c>
      <c r="F77" s="16">
        <f>[1]Data!H80</f>
        <v>-3.11523790794331E-2</v>
      </c>
      <c r="G77" s="17">
        <f>[1]Data!I80</f>
        <v>1.9281268616307877E-2</v>
      </c>
      <c r="H77" s="18">
        <f t="shared" si="14"/>
        <v>1</v>
      </c>
      <c r="I77" s="19">
        <f t="shared" si="23"/>
        <v>-1</v>
      </c>
      <c r="J77" s="13">
        <f t="shared" si="15"/>
        <v>0.12480061733340533</v>
      </c>
      <c r="K77" s="13">
        <f t="shared" si="16"/>
        <v>0</v>
      </c>
      <c r="L77" s="13">
        <f t="shared" si="17"/>
        <v>-2.6842809415822497E-2</v>
      </c>
      <c r="M77" s="13">
        <f t="shared" si="18"/>
        <v>0</v>
      </c>
      <c r="N77" s="13">
        <f t="shared" si="19"/>
        <v>0</v>
      </c>
      <c r="O77" s="13">
        <f t="shared" si="20"/>
        <v>3.11523790794331E-2</v>
      </c>
      <c r="P77" s="13">
        <f t="shared" si="21"/>
        <v>0</v>
      </c>
      <c r="Q77" s="13">
        <f t="shared" si="22"/>
        <v>1.9281268616307877E-2</v>
      </c>
      <c r="R77" s="13">
        <f t="shared" si="25"/>
        <v>0.32749767659225348</v>
      </c>
      <c r="S77" s="13">
        <f t="shared" si="25"/>
        <v>0.23782023541222505</v>
      </c>
      <c r="T77" s="13">
        <f t="shared" si="25"/>
        <v>-0.1615342907622162</v>
      </c>
      <c r="U77" s="13">
        <f t="shared" si="24"/>
        <v>0.13847001917330401</v>
      </c>
      <c r="V77" s="13">
        <f t="shared" si="24"/>
        <v>6.7412927892776447E-2</v>
      </c>
      <c r="W77" s="13">
        <f t="shared" si="24"/>
        <v>8.9461053920028205E-2</v>
      </c>
      <c r="X77" s="13">
        <f t="shared" si="24"/>
        <v>5.9189727217076119E-2</v>
      </c>
      <c r="Y77" s="13">
        <f t="shared" si="12"/>
        <v>1.9886125808178841E-2</v>
      </c>
    </row>
    <row r="78" spans="1:25" x14ac:dyDescent="0.25">
      <c r="A78" s="14">
        <f>[1]Data!A81</f>
        <v>39783</v>
      </c>
      <c r="B78" s="15">
        <f>[1]Data!B81</f>
        <v>9.7482817931282707E-3</v>
      </c>
      <c r="C78" s="15">
        <f>[1]Data!C81</f>
        <v>-0.1619503820234223</v>
      </c>
      <c r="D78" s="16">
        <f>[1]Data!F81</f>
        <v>2.297884092475954E-2</v>
      </c>
      <c r="E78" s="17">
        <f>[1]Data!G81</f>
        <v>-2.0746129755802568E-2</v>
      </c>
      <c r="F78" s="16">
        <f>[1]Data!H81</f>
        <v>-2.4268353581620418E-2</v>
      </c>
      <c r="G78" s="17">
        <f>[1]Data!I81</f>
        <v>4.7403740448031056E-2</v>
      </c>
      <c r="H78" s="18">
        <f t="shared" si="14"/>
        <v>1</v>
      </c>
      <c r="I78" s="19">
        <f t="shared" si="23"/>
        <v>-1</v>
      </c>
      <c r="J78" s="13">
        <f t="shared" si="15"/>
        <v>2.297884092475954E-2</v>
      </c>
      <c r="K78" s="13">
        <f t="shared" si="16"/>
        <v>0</v>
      </c>
      <c r="L78" s="13">
        <f t="shared" si="17"/>
        <v>2.0746129755802568E-2</v>
      </c>
      <c r="M78" s="13">
        <f t="shared" si="18"/>
        <v>0</v>
      </c>
      <c r="N78" s="13">
        <f t="shared" si="19"/>
        <v>0</v>
      </c>
      <c r="O78" s="13">
        <f t="shared" si="20"/>
        <v>2.4268353581620418E-2</v>
      </c>
      <c r="P78" s="13">
        <f t="shared" si="21"/>
        <v>0</v>
      </c>
      <c r="Q78" s="13">
        <f t="shared" si="22"/>
        <v>4.7403740448031056E-2</v>
      </c>
      <c r="R78" s="13">
        <f t="shared" si="25"/>
        <v>0.35047651751701303</v>
      </c>
      <c r="S78" s="13">
        <f t="shared" si="25"/>
        <v>0.23782023541222505</v>
      </c>
      <c r="T78" s="13">
        <f t="shared" si="25"/>
        <v>-0.14078816100641364</v>
      </c>
      <c r="U78" s="13">
        <f t="shared" si="24"/>
        <v>0.13847001917330401</v>
      </c>
      <c r="V78" s="13">
        <f t="shared" si="24"/>
        <v>6.7412927892776447E-2</v>
      </c>
      <c r="W78" s="13">
        <f t="shared" si="24"/>
        <v>0.11372940750164862</v>
      </c>
      <c r="X78" s="13">
        <f t="shared" si="24"/>
        <v>5.9189727217076119E-2</v>
      </c>
      <c r="Y78" s="13">
        <f t="shared" si="12"/>
        <v>6.728986625620989E-2</v>
      </c>
    </row>
    <row r="79" spans="1:25" x14ac:dyDescent="0.25">
      <c r="A79" s="14">
        <f>[1]Data!A82</f>
        <v>39814</v>
      </c>
      <c r="B79" s="15">
        <f>[1]Data!B82</f>
        <v>-8.5682300123382751E-2</v>
      </c>
      <c r="C79" s="15">
        <f>[1]Data!C82</f>
        <v>2.0495995468137723E-2</v>
      </c>
      <c r="D79" s="16">
        <f>[1]Data!F82</f>
        <v>-3.3749252063286078E-3</v>
      </c>
      <c r="E79" s="17">
        <f>[1]Data!G82</f>
        <v>-3.7272034079666887E-2</v>
      </c>
      <c r="F79" s="16">
        <f>[1]Data!H82</f>
        <v>8.8264838307612926E-3</v>
      </c>
      <c r="G79" s="17">
        <f>[1]Data!I82</f>
        <v>-5.8573695954333246E-2</v>
      </c>
      <c r="H79" s="18">
        <f t="shared" si="14"/>
        <v>-1</v>
      </c>
      <c r="I79" s="19">
        <f t="shared" si="23"/>
        <v>-1</v>
      </c>
      <c r="J79" s="13">
        <f t="shared" si="15"/>
        <v>0</v>
      </c>
      <c r="K79" s="13">
        <f t="shared" si="16"/>
        <v>3.3749252063286078E-3</v>
      </c>
      <c r="L79" s="13">
        <f t="shared" si="17"/>
        <v>0</v>
      </c>
      <c r="M79" s="13">
        <f t="shared" si="18"/>
        <v>-3.7272034079666887E-2</v>
      </c>
      <c r="N79" s="13">
        <f t="shared" si="19"/>
        <v>0</v>
      </c>
      <c r="O79" s="13">
        <f t="shared" si="20"/>
        <v>-8.8264838307612926E-3</v>
      </c>
      <c r="P79" s="13">
        <f t="shared" si="21"/>
        <v>0</v>
      </c>
      <c r="Q79" s="13">
        <f t="shared" si="22"/>
        <v>-5.8573695954333246E-2</v>
      </c>
      <c r="R79" s="13">
        <f t="shared" si="25"/>
        <v>0.35047651751701303</v>
      </c>
      <c r="S79" s="13">
        <f t="shared" si="25"/>
        <v>0.24119516061855367</v>
      </c>
      <c r="T79" s="13">
        <f t="shared" si="25"/>
        <v>-0.14078816100641364</v>
      </c>
      <c r="U79" s="13">
        <f t="shared" si="24"/>
        <v>0.10119798509363712</v>
      </c>
      <c r="V79" s="13">
        <f t="shared" si="24"/>
        <v>6.7412927892776447E-2</v>
      </c>
      <c r="W79" s="13">
        <f t="shared" si="24"/>
        <v>0.10490292367088733</v>
      </c>
      <c r="X79" s="13">
        <f t="shared" si="24"/>
        <v>5.9189727217076119E-2</v>
      </c>
      <c r="Y79" s="13">
        <f t="shared" si="12"/>
        <v>8.716170301876644E-3</v>
      </c>
    </row>
    <row r="80" spans="1:25" x14ac:dyDescent="0.25">
      <c r="A80" s="14">
        <f>[1]Data!A83</f>
        <v>39845</v>
      </c>
      <c r="B80" s="15">
        <f>[1]Data!B83</f>
        <v>-0.1136715402197348</v>
      </c>
      <c r="C80" s="15">
        <f>[1]Data!C83</f>
        <v>-0.11756308018695301</v>
      </c>
      <c r="D80" s="16">
        <f>[1]Data!F83</f>
        <v>-9.6916675981411626E-3</v>
      </c>
      <c r="E80" s="17">
        <f>[1]Data!G83</f>
        <v>-2.9021138768274671E-2</v>
      </c>
      <c r="F80" s="16">
        <f>[1]Data!H83</f>
        <v>4.8887995871712525E-2</v>
      </c>
      <c r="G80" s="17">
        <f>[1]Data!I83</f>
        <v>-1.1421455800217998E-2</v>
      </c>
      <c r="H80" s="18">
        <f t="shared" si="14"/>
        <v>1</v>
      </c>
      <c r="I80" s="19">
        <f t="shared" si="23"/>
        <v>1</v>
      </c>
      <c r="J80" s="13">
        <f t="shared" si="15"/>
        <v>-9.6916675981411626E-3</v>
      </c>
      <c r="K80" s="13">
        <f t="shared" si="16"/>
        <v>0</v>
      </c>
      <c r="L80" s="13">
        <f t="shared" si="17"/>
        <v>2.9021138768274671E-2</v>
      </c>
      <c r="M80" s="13">
        <f t="shared" si="18"/>
        <v>0</v>
      </c>
      <c r="N80" s="13">
        <f t="shared" si="19"/>
        <v>4.8887995871712525E-2</v>
      </c>
      <c r="O80" s="13">
        <f t="shared" si="20"/>
        <v>0</v>
      </c>
      <c r="P80" s="13">
        <f t="shared" si="21"/>
        <v>1.1421455800217998E-2</v>
      </c>
      <c r="Q80" s="13">
        <f t="shared" si="22"/>
        <v>0</v>
      </c>
      <c r="R80" s="13">
        <f t="shared" si="25"/>
        <v>0.34078484991887187</v>
      </c>
      <c r="S80" s="13">
        <f t="shared" si="25"/>
        <v>0.24119516061855367</v>
      </c>
      <c r="T80" s="13">
        <f t="shared" si="25"/>
        <v>-0.11176702223813897</v>
      </c>
      <c r="U80" s="13">
        <f t="shared" si="24"/>
        <v>0.10119798509363712</v>
      </c>
      <c r="V80" s="13">
        <f t="shared" si="24"/>
        <v>0.11630092376448897</v>
      </c>
      <c r="W80" s="13">
        <f t="shared" si="24"/>
        <v>0.10490292367088733</v>
      </c>
      <c r="X80" s="13">
        <f t="shared" si="24"/>
        <v>7.0611183017294119E-2</v>
      </c>
      <c r="Y80" s="13">
        <f t="shared" si="12"/>
        <v>8.716170301876644E-3</v>
      </c>
    </row>
    <row r="81" spans="1:25" x14ac:dyDescent="0.25">
      <c r="A81" s="14">
        <f>[1]Data!A84</f>
        <v>39873</v>
      </c>
      <c r="B81" s="15">
        <f>[1]Data!B84</f>
        <v>8.002180958571993E-2</v>
      </c>
      <c r="C81" s="15">
        <f>[1]Data!C84</f>
        <v>2.1447876437045502E-2</v>
      </c>
      <c r="D81" s="16">
        <f>[1]Data!F84</f>
        <v>3.5976669272090499E-2</v>
      </c>
      <c r="E81" s="17">
        <f>[1]Data!G84</f>
        <v>1.7077905766788592E-2</v>
      </c>
      <c r="F81" s="16">
        <f>[1]Data!H84</f>
        <v>-7.0172294294610374E-2</v>
      </c>
      <c r="G81" s="17">
        <f>[1]Data!I84</f>
        <v>2.5864066943576604E-2</v>
      </c>
      <c r="H81" s="18">
        <f t="shared" si="14"/>
        <v>-1</v>
      </c>
      <c r="I81" s="19">
        <f t="shared" si="23"/>
        <v>-1</v>
      </c>
      <c r="J81" s="13">
        <f t="shared" si="15"/>
        <v>0</v>
      </c>
      <c r="K81" s="13">
        <f t="shared" si="16"/>
        <v>-3.5976669272090499E-2</v>
      </c>
      <c r="L81" s="13">
        <f t="shared" si="17"/>
        <v>0</v>
      </c>
      <c r="M81" s="13">
        <f t="shared" si="18"/>
        <v>1.7077905766788592E-2</v>
      </c>
      <c r="N81" s="13">
        <f t="shared" si="19"/>
        <v>0</v>
      </c>
      <c r="O81" s="13">
        <f t="shared" si="20"/>
        <v>7.0172294294610374E-2</v>
      </c>
      <c r="P81" s="13">
        <f t="shared" si="21"/>
        <v>0</v>
      </c>
      <c r="Q81" s="13">
        <f t="shared" si="22"/>
        <v>2.5864066943576604E-2</v>
      </c>
      <c r="R81" s="13">
        <f t="shared" si="25"/>
        <v>0.34078484991887187</v>
      </c>
      <c r="S81" s="13">
        <f t="shared" si="25"/>
        <v>0.20521849134646317</v>
      </c>
      <c r="T81" s="13">
        <f t="shared" si="25"/>
        <v>-0.11176702223813897</v>
      </c>
      <c r="U81" s="13">
        <f t="shared" si="24"/>
        <v>0.11827589086042571</v>
      </c>
      <c r="V81" s="13">
        <f t="shared" si="24"/>
        <v>0.11630092376448897</v>
      </c>
      <c r="W81" s="13">
        <f t="shared" si="24"/>
        <v>0.17507521796549769</v>
      </c>
      <c r="X81" s="13">
        <f t="shared" si="24"/>
        <v>7.0611183017294119E-2</v>
      </c>
      <c r="Y81" s="13">
        <f t="shared" si="12"/>
        <v>3.4580237245453248E-2</v>
      </c>
    </row>
    <row r="82" spans="1:25" x14ac:dyDescent="0.25">
      <c r="A82" s="14">
        <f>[1]Data!A85</f>
        <v>39904</v>
      </c>
      <c r="B82" s="15">
        <f>[1]Data!B85</f>
        <v>9.4715707038457247E-2</v>
      </c>
      <c r="C82" s="15">
        <f>[1]Data!C85</f>
        <v>9.801054784327469E-2</v>
      </c>
      <c r="D82" s="16">
        <f>[1]Data!F85</f>
        <v>3.3500061768666572E-2</v>
      </c>
      <c r="E82" s="17">
        <f>[1]Data!G85</f>
        <v>-3.5259229711041645E-2</v>
      </c>
      <c r="F82" s="16">
        <f>[1]Data!H85</f>
        <v>2.6433555277714221E-2</v>
      </c>
      <c r="G82" s="17">
        <f>[1]Data!I85</f>
        <v>-2.5636747867464199E-2</v>
      </c>
      <c r="H82" s="18">
        <f t="shared" si="14"/>
        <v>-1</v>
      </c>
      <c r="I82" s="19">
        <f t="shared" si="23"/>
        <v>1</v>
      </c>
      <c r="J82" s="13">
        <f t="shared" si="15"/>
        <v>0</v>
      </c>
      <c r="K82" s="13">
        <f t="shared" si="16"/>
        <v>-3.3500061768666572E-2</v>
      </c>
      <c r="L82" s="13">
        <f t="shared" si="17"/>
        <v>0</v>
      </c>
      <c r="M82" s="13">
        <f t="shared" si="18"/>
        <v>-3.5259229711041645E-2</v>
      </c>
      <c r="N82" s="13">
        <f t="shared" si="19"/>
        <v>2.6433555277714221E-2</v>
      </c>
      <c r="O82" s="13">
        <f t="shared" si="20"/>
        <v>0</v>
      </c>
      <c r="P82" s="13">
        <f t="shared" si="21"/>
        <v>2.5636747867464199E-2</v>
      </c>
      <c r="Q82" s="13">
        <f t="shared" si="22"/>
        <v>0</v>
      </c>
      <c r="R82" s="13">
        <f t="shared" si="25"/>
        <v>0.34078484991887187</v>
      </c>
      <c r="S82" s="13">
        <f t="shared" si="25"/>
        <v>0.17171842957779659</v>
      </c>
      <c r="T82" s="13">
        <f t="shared" si="25"/>
        <v>-0.11176702223813897</v>
      </c>
      <c r="U82" s="13">
        <f t="shared" si="24"/>
        <v>8.3016661149384066E-2</v>
      </c>
      <c r="V82" s="13">
        <f t="shared" si="24"/>
        <v>0.14273447904220318</v>
      </c>
      <c r="W82" s="13">
        <f t="shared" si="24"/>
        <v>0.17507521796549769</v>
      </c>
      <c r="X82" s="13">
        <f t="shared" si="24"/>
        <v>9.6247930884758318E-2</v>
      </c>
      <c r="Y82" s="13">
        <f t="shared" si="12"/>
        <v>3.4580237245453248E-2</v>
      </c>
    </row>
    <row r="83" spans="1:25" x14ac:dyDescent="0.25">
      <c r="A83" s="14">
        <f>[1]Data!A86</f>
        <v>39934</v>
      </c>
      <c r="B83" s="15">
        <f>[1]Data!B86</f>
        <v>5.6808595314450996E-2</v>
      </c>
      <c r="C83" s="15">
        <f>[1]Data!C86</f>
        <v>5.3575320842129799E-2</v>
      </c>
      <c r="D83" s="16">
        <f>[1]Data!F86</f>
        <v>3.653985077891922E-2</v>
      </c>
      <c r="E83" s="17">
        <f>[1]Data!G86</f>
        <v>-4.3436024232404169E-3</v>
      </c>
      <c r="F83" s="16">
        <f>[1]Data!H86</f>
        <v>3.8595962824860552E-2</v>
      </c>
      <c r="G83" s="17">
        <f>[1]Data!I86</f>
        <v>-3.1931842833874777E-2</v>
      </c>
      <c r="H83" s="18">
        <f t="shared" si="14"/>
        <v>-1</v>
      </c>
      <c r="I83" s="19">
        <f t="shared" si="23"/>
        <v>1</v>
      </c>
      <c r="J83" s="13">
        <f t="shared" si="15"/>
        <v>0</v>
      </c>
      <c r="K83" s="13">
        <f t="shared" si="16"/>
        <v>-3.653985077891922E-2</v>
      </c>
      <c r="L83" s="13">
        <f t="shared" si="17"/>
        <v>0</v>
      </c>
      <c r="M83" s="13">
        <f t="shared" si="18"/>
        <v>-4.3436024232404169E-3</v>
      </c>
      <c r="N83" s="13">
        <f t="shared" si="19"/>
        <v>3.8595962824860552E-2</v>
      </c>
      <c r="O83" s="13">
        <f t="shared" si="20"/>
        <v>0</v>
      </c>
      <c r="P83" s="13">
        <f t="shared" si="21"/>
        <v>3.1931842833874777E-2</v>
      </c>
      <c r="Q83" s="13">
        <f t="shared" si="22"/>
        <v>0</v>
      </c>
      <c r="R83" s="13">
        <f t="shared" si="25"/>
        <v>0.34078484991887187</v>
      </c>
      <c r="S83" s="13">
        <f t="shared" si="25"/>
        <v>0.13517857879887737</v>
      </c>
      <c r="T83" s="13">
        <f t="shared" si="25"/>
        <v>-0.11176702223813897</v>
      </c>
      <c r="U83" s="13">
        <f t="shared" si="24"/>
        <v>7.8673058726143649E-2</v>
      </c>
      <c r="V83" s="13">
        <f t="shared" si="24"/>
        <v>0.18133044186706374</v>
      </c>
      <c r="W83" s="13">
        <f t="shared" si="24"/>
        <v>0.17507521796549769</v>
      </c>
      <c r="X83" s="13">
        <f t="shared" si="24"/>
        <v>0.12817977371863309</v>
      </c>
      <c r="Y83" s="13">
        <f t="shared" si="12"/>
        <v>3.4580237245453248E-2</v>
      </c>
    </row>
    <row r="84" spans="1:25" x14ac:dyDescent="0.25">
      <c r="A84" s="14">
        <f>[1]Data!A87</f>
        <v>39965</v>
      </c>
      <c r="B84" s="15">
        <f>[1]Data!B87</f>
        <v>-6.5515346036946337E-4</v>
      </c>
      <c r="C84" s="15">
        <f>[1]Data!C87</f>
        <v>2.3766718566967129E-2</v>
      </c>
      <c r="D84" s="16">
        <f>[1]Data!F87</f>
        <v>-9.7813048108637973E-4</v>
      </c>
      <c r="E84" s="17">
        <f>[1]Data!G87</f>
        <v>3.0926709557410309E-2</v>
      </c>
      <c r="F84" s="16">
        <f>[1]Data!H87</f>
        <v>2.1595681978511538E-2</v>
      </c>
      <c r="G84" s="17">
        <f>[1]Data!I87</f>
        <v>-4.3826907261720928E-2</v>
      </c>
      <c r="H84" s="18">
        <f t="shared" si="14"/>
        <v>-1</v>
      </c>
      <c r="I84" s="19">
        <f t="shared" si="23"/>
        <v>1</v>
      </c>
      <c r="J84" s="13">
        <f t="shared" si="15"/>
        <v>0</v>
      </c>
      <c r="K84" s="13">
        <f t="shared" si="16"/>
        <v>9.7813048108637973E-4</v>
      </c>
      <c r="L84" s="13">
        <f t="shared" si="17"/>
        <v>0</v>
      </c>
      <c r="M84" s="13">
        <f t="shared" si="18"/>
        <v>3.0926709557410309E-2</v>
      </c>
      <c r="N84" s="13">
        <f t="shared" si="19"/>
        <v>2.1595681978511538E-2</v>
      </c>
      <c r="O84" s="13">
        <f t="shared" si="20"/>
        <v>0</v>
      </c>
      <c r="P84" s="13">
        <f t="shared" si="21"/>
        <v>4.3826907261720928E-2</v>
      </c>
      <c r="Q84" s="13">
        <f t="shared" si="22"/>
        <v>0</v>
      </c>
      <c r="R84" s="13">
        <f t="shared" si="25"/>
        <v>0.34078484991887187</v>
      </c>
      <c r="S84" s="13">
        <f t="shared" si="25"/>
        <v>0.13615670927996376</v>
      </c>
      <c r="T84" s="13">
        <f t="shared" si="25"/>
        <v>-0.11176702223813897</v>
      </c>
      <c r="U84" s="13">
        <f t="shared" si="24"/>
        <v>0.10959976828355396</v>
      </c>
      <c r="V84" s="13">
        <f t="shared" si="24"/>
        <v>0.20292612384557526</v>
      </c>
      <c r="W84" s="13">
        <f t="shared" si="24"/>
        <v>0.17507521796549769</v>
      </c>
      <c r="X84" s="13">
        <f t="shared" si="24"/>
        <v>0.17200668098035402</v>
      </c>
      <c r="Y84" s="13">
        <f t="shared" si="12"/>
        <v>3.4580237245453248E-2</v>
      </c>
    </row>
    <row r="85" spans="1:25" x14ac:dyDescent="0.25">
      <c r="A85" s="14">
        <f>[1]Data!A88</f>
        <v>39995</v>
      </c>
      <c r="B85" s="15">
        <f>[1]Data!B88</f>
        <v>7.1953975697299832E-2</v>
      </c>
      <c r="C85" s="15">
        <f>[1]Data!C88</f>
        <v>5.5059796275394278E-2</v>
      </c>
      <c r="D85" s="16">
        <f>[1]Data!F88</f>
        <v>3.3548635272751461E-2</v>
      </c>
      <c r="E85" s="17">
        <f>[1]Data!G88</f>
        <v>2.239829747071214E-2</v>
      </c>
      <c r="F85" s="16">
        <f>[1]Data!H88</f>
        <v>-4.3908050801202997E-2</v>
      </c>
      <c r="G85" s="17">
        <f>[1]Data!I88</f>
        <v>2.3411687946837036E-2</v>
      </c>
      <c r="H85" s="18">
        <f t="shared" si="14"/>
        <v>-1</v>
      </c>
      <c r="I85" s="19">
        <f t="shared" si="23"/>
        <v>1</v>
      </c>
      <c r="J85" s="13">
        <f t="shared" si="15"/>
        <v>0</v>
      </c>
      <c r="K85" s="13">
        <f t="shared" si="16"/>
        <v>-3.3548635272751461E-2</v>
      </c>
      <c r="L85" s="13">
        <f t="shared" si="17"/>
        <v>0</v>
      </c>
      <c r="M85" s="13">
        <f t="shared" si="18"/>
        <v>2.239829747071214E-2</v>
      </c>
      <c r="N85" s="13">
        <f t="shared" si="19"/>
        <v>-4.3908050801202997E-2</v>
      </c>
      <c r="O85" s="13">
        <f t="shared" si="20"/>
        <v>0</v>
      </c>
      <c r="P85" s="13">
        <f t="shared" si="21"/>
        <v>-2.3411687946837036E-2</v>
      </c>
      <c r="Q85" s="13">
        <f t="shared" si="22"/>
        <v>0</v>
      </c>
      <c r="R85" s="13">
        <f t="shared" si="25"/>
        <v>0.34078484991887187</v>
      </c>
      <c r="S85" s="13">
        <f t="shared" si="25"/>
        <v>0.10260807400721231</v>
      </c>
      <c r="T85" s="13">
        <f t="shared" si="25"/>
        <v>-0.11176702223813897</v>
      </c>
      <c r="U85" s="13">
        <f t="shared" si="24"/>
        <v>0.13199806575426609</v>
      </c>
      <c r="V85" s="13">
        <f t="shared" si="24"/>
        <v>0.15901807304437227</v>
      </c>
      <c r="W85" s="13">
        <f t="shared" si="24"/>
        <v>0.17507521796549769</v>
      </c>
      <c r="X85" s="13">
        <f t="shared" si="24"/>
        <v>0.14859499303351698</v>
      </c>
      <c r="Y85" s="13">
        <f t="shared" si="12"/>
        <v>3.4580237245453248E-2</v>
      </c>
    </row>
    <row r="86" spans="1:25" x14ac:dyDescent="0.25">
      <c r="A86" s="14">
        <f>[1]Data!A89</f>
        <v>40026</v>
      </c>
      <c r="B86" s="15">
        <f>[1]Data!B89</f>
        <v>3.6273804212503244E-2</v>
      </c>
      <c r="C86" s="15">
        <f>[1]Data!C89</f>
        <v>4.8909073110767309E-2</v>
      </c>
      <c r="D86" s="16">
        <f>[1]Data!F89</f>
        <v>-4.9651334214506999E-3</v>
      </c>
      <c r="E86" s="17">
        <f>[1]Data!G89</f>
        <v>2.9733299099166034E-2</v>
      </c>
      <c r="F86" s="16">
        <f>[1]Data!H89</f>
        <v>2.390030444295372E-2</v>
      </c>
      <c r="G86" s="17">
        <f>[1]Data!I89</f>
        <v>-4.327580822953906E-2</v>
      </c>
      <c r="H86" s="18">
        <f t="shared" si="14"/>
        <v>-1</v>
      </c>
      <c r="I86" s="19">
        <f t="shared" si="23"/>
        <v>1</v>
      </c>
      <c r="J86" s="13">
        <f t="shared" si="15"/>
        <v>0</v>
      </c>
      <c r="K86" s="13">
        <f t="shared" si="16"/>
        <v>4.9651334214506999E-3</v>
      </c>
      <c r="L86" s="13">
        <f t="shared" si="17"/>
        <v>0</v>
      </c>
      <c r="M86" s="13">
        <f t="shared" si="18"/>
        <v>2.9733299099166034E-2</v>
      </c>
      <c r="N86" s="13">
        <f t="shared" si="19"/>
        <v>2.390030444295372E-2</v>
      </c>
      <c r="O86" s="13">
        <f t="shared" si="20"/>
        <v>0</v>
      </c>
      <c r="P86" s="13">
        <f t="shared" si="21"/>
        <v>4.327580822953906E-2</v>
      </c>
      <c r="Q86" s="13">
        <f t="shared" si="22"/>
        <v>0</v>
      </c>
      <c r="R86" s="13">
        <f t="shared" si="25"/>
        <v>0.34078484991887187</v>
      </c>
      <c r="S86" s="13">
        <f t="shared" si="25"/>
        <v>0.10757320742866301</v>
      </c>
      <c r="T86" s="13">
        <f t="shared" si="25"/>
        <v>-0.11176702223813897</v>
      </c>
      <c r="U86" s="13">
        <f t="shared" si="24"/>
        <v>0.16173136485343212</v>
      </c>
      <c r="V86" s="13">
        <f t="shared" si="24"/>
        <v>0.18291837748732598</v>
      </c>
      <c r="W86" s="13">
        <f t="shared" si="24"/>
        <v>0.17507521796549769</v>
      </c>
      <c r="X86" s="13">
        <f t="shared" si="24"/>
        <v>0.19187080126305603</v>
      </c>
      <c r="Y86" s="13">
        <f t="shared" si="12"/>
        <v>3.4580237245453248E-2</v>
      </c>
    </row>
    <row r="87" spans="1:25" x14ac:dyDescent="0.25">
      <c r="A87" s="14">
        <f>[1]Data!A90</f>
        <v>40057</v>
      </c>
      <c r="B87" s="15">
        <f>[1]Data!B90</f>
        <v>3.4842797854699271E-2</v>
      </c>
      <c r="C87" s="15">
        <f>[1]Data!C90</f>
        <v>4.9936506861409422E-2</v>
      </c>
      <c r="D87" s="16">
        <f>[1]Data!F90</f>
        <v>-1.3919254700457517E-2</v>
      </c>
      <c r="E87" s="17">
        <f>[1]Data!G90</f>
        <v>2.5459274108480295E-2</v>
      </c>
      <c r="F87" s="16">
        <f>[1]Data!H90</f>
        <v>4.6736664666109477E-3</v>
      </c>
      <c r="G87" s="17">
        <f>[1]Data!I90</f>
        <v>-1.8372162761097995E-2</v>
      </c>
      <c r="H87" s="18">
        <f t="shared" si="14"/>
        <v>-1</v>
      </c>
      <c r="I87" s="19">
        <f t="shared" si="23"/>
        <v>1</v>
      </c>
      <c r="J87" s="13">
        <f t="shared" si="15"/>
        <v>0</v>
      </c>
      <c r="K87" s="13">
        <f t="shared" si="16"/>
        <v>1.3919254700457517E-2</v>
      </c>
      <c r="L87" s="13">
        <f t="shared" si="17"/>
        <v>0</v>
      </c>
      <c r="M87" s="13">
        <f t="shared" si="18"/>
        <v>2.5459274108480295E-2</v>
      </c>
      <c r="N87" s="13">
        <f t="shared" si="19"/>
        <v>4.6736664666109477E-3</v>
      </c>
      <c r="O87" s="13">
        <f t="shared" si="20"/>
        <v>0</v>
      </c>
      <c r="P87" s="13">
        <f t="shared" si="21"/>
        <v>1.8372162761097995E-2</v>
      </c>
      <c r="Q87" s="13">
        <f t="shared" si="22"/>
        <v>0</v>
      </c>
      <c r="R87" s="13">
        <f t="shared" si="25"/>
        <v>0.34078484991887187</v>
      </c>
      <c r="S87" s="13">
        <f t="shared" si="25"/>
        <v>0.12149246212912053</v>
      </c>
      <c r="T87" s="13">
        <f t="shared" si="25"/>
        <v>-0.11176702223813897</v>
      </c>
      <c r="U87" s="13">
        <f t="shared" si="24"/>
        <v>0.1871906389619124</v>
      </c>
      <c r="V87" s="13">
        <f t="shared" si="24"/>
        <v>0.18759204395393692</v>
      </c>
      <c r="W87" s="13">
        <f t="shared" si="24"/>
        <v>0.17507521796549769</v>
      </c>
      <c r="X87" s="13">
        <f t="shared" si="24"/>
        <v>0.21024296402415402</v>
      </c>
      <c r="Y87" s="13">
        <f t="shared" si="12"/>
        <v>3.4580237245453248E-2</v>
      </c>
    </row>
    <row r="88" spans="1:25" x14ac:dyDescent="0.25">
      <c r="A88" s="14">
        <f>[1]Data!A91</f>
        <v>40087</v>
      </c>
      <c r="B88" s="15">
        <f>[1]Data!B91</f>
        <v>-1.9411782913633595E-2</v>
      </c>
      <c r="C88" s="15">
        <f>[1]Data!C91</f>
        <v>4.7453294846567455E-2</v>
      </c>
      <c r="D88" s="16">
        <f>[1]Data!F91</f>
        <v>-4.4106576876944373E-2</v>
      </c>
      <c r="E88" s="17">
        <f>[1]Data!G91</f>
        <v>-3.7503702916482813E-3</v>
      </c>
      <c r="F88" s="16">
        <f>[1]Data!H91</f>
        <v>1.9868053007839003E-3</v>
      </c>
      <c r="G88" s="17">
        <f>[1]Data!I91</f>
        <v>8.4731731355965813E-3</v>
      </c>
      <c r="H88" s="18">
        <f t="shared" si="14"/>
        <v>-1</v>
      </c>
      <c r="I88" s="19">
        <f t="shared" si="23"/>
        <v>1</v>
      </c>
      <c r="J88" s="13">
        <f t="shared" si="15"/>
        <v>0</v>
      </c>
      <c r="K88" s="13">
        <f t="shared" si="16"/>
        <v>4.4106576876944373E-2</v>
      </c>
      <c r="L88" s="13">
        <f t="shared" si="17"/>
        <v>0</v>
      </c>
      <c r="M88" s="13">
        <f t="shared" si="18"/>
        <v>-3.7503702916482813E-3</v>
      </c>
      <c r="N88" s="13">
        <f t="shared" si="19"/>
        <v>1.9868053007839003E-3</v>
      </c>
      <c r="O88" s="13">
        <f t="shared" si="20"/>
        <v>0</v>
      </c>
      <c r="P88" s="13">
        <f t="shared" si="21"/>
        <v>-8.4731731355965813E-3</v>
      </c>
      <c r="Q88" s="13">
        <f t="shared" si="22"/>
        <v>0</v>
      </c>
      <c r="R88" s="13">
        <f t="shared" si="25"/>
        <v>0.34078484991887187</v>
      </c>
      <c r="S88" s="13">
        <f t="shared" si="25"/>
        <v>0.1655990390060649</v>
      </c>
      <c r="T88" s="13">
        <f t="shared" si="25"/>
        <v>-0.11176702223813897</v>
      </c>
      <c r="U88" s="13">
        <f t="shared" si="24"/>
        <v>0.18344026867026411</v>
      </c>
      <c r="V88" s="13">
        <f t="shared" si="24"/>
        <v>0.18957884925472082</v>
      </c>
      <c r="W88" s="13">
        <f t="shared" si="24"/>
        <v>0.17507521796549769</v>
      </c>
      <c r="X88" s="13">
        <f t="shared" si="24"/>
        <v>0.20176979088855743</v>
      </c>
      <c r="Y88" s="13">
        <f t="shared" si="12"/>
        <v>3.4580237245453248E-2</v>
      </c>
    </row>
    <row r="89" spans="1:25" x14ac:dyDescent="0.25">
      <c r="A89" s="14">
        <f>[1]Data!A92</f>
        <v>40118</v>
      </c>
      <c r="B89" s="15">
        <f>[1]Data!B92</f>
        <v>5.9782943383755421E-2</v>
      </c>
      <c r="C89" s="15">
        <f>[1]Data!C92</f>
        <v>5.8826983518770241E-2</v>
      </c>
      <c r="D89" s="16">
        <f>[1]Data!F92</f>
        <v>4.6498215260903477E-3</v>
      </c>
      <c r="E89" s="17">
        <f>[1]Data!G92</f>
        <v>1.5749377171585151E-2</v>
      </c>
      <c r="F89" s="16">
        <f>[1]Data!H92</f>
        <v>3.3891316938851543E-2</v>
      </c>
      <c r="G89" s="17">
        <f>[1]Data!I92</f>
        <v>-2.2692270289249587E-2</v>
      </c>
      <c r="H89" s="18">
        <f t="shared" si="14"/>
        <v>-1</v>
      </c>
      <c r="I89" s="19">
        <f t="shared" si="23"/>
        <v>1</v>
      </c>
      <c r="J89" s="13">
        <f t="shared" si="15"/>
        <v>0</v>
      </c>
      <c r="K89" s="13">
        <f t="shared" si="16"/>
        <v>-4.6498215260903477E-3</v>
      </c>
      <c r="L89" s="13">
        <f t="shared" si="17"/>
        <v>0</v>
      </c>
      <c r="M89" s="13">
        <f t="shared" si="18"/>
        <v>1.5749377171585151E-2</v>
      </c>
      <c r="N89" s="13">
        <f t="shared" si="19"/>
        <v>3.3891316938851543E-2</v>
      </c>
      <c r="O89" s="13">
        <f t="shared" si="20"/>
        <v>0</v>
      </c>
      <c r="P89" s="13">
        <f t="shared" si="21"/>
        <v>2.2692270289249587E-2</v>
      </c>
      <c r="Q89" s="13">
        <f t="shared" si="22"/>
        <v>0</v>
      </c>
      <c r="R89" s="13">
        <f t="shared" si="25"/>
        <v>0.34078484991887187</v>
      </c>
      <c r="S89" s="13">
        <f t="shared" si="25"/>
        <v>0.16094921747997457</v>
      </c>
      <c r="T89" s="13">
        <f t="shared" si="25"/>
        <v>-0.11176702223813897</v>
      </c>
      <c r="U89" s="13">
        <f t="shared" si="24"/>
        <v>0.19918964584184926</v>
      </c>
      <c r="V89" s="13">
        <f t="shared" si="24"/>
        <v>0.22347016619357235</v>
      </c>
      <c r="W89" s="13">
        <f t="shared" si="24"/>
        <v>0.17507521796549769</v>
      </c>
      <c r="X89" s="13">
        <f t="shared" si="24"/>
        <v>0.22446206117780701</v>
      </c>
      <c r="Y89" s="13">
        <f t="shared" si="12"/>
        <v>3.4580237245453248E-2</v>
      </c>
    </row>
    <row r="90" spans="1:25" x14ac:dyDescent="0.25">
      <c r="A90" s="14">
        <f>[1]Data!A93</f>
        <v>40148</v>
      </c>
      <c r="B90" s="15">
        <f>[1]Data!B93</f>
        <v>1.8920949771908339E-2</v>
      </c>
      <c r="C90" s="15">
        <f>[1]Data!C93</f>
        <v>7.3242798882717841E-2</v>
      </c>
      <c r="D90" s="16">
        <f>[1]Data!F93</f>
        <v>9.8771482780942062E-4</v>
      </c>
      <c r="E90" s="17">
        <f>[1]Data!G93</f>
        <v>-1.0249812146695618E-2</v>
      </c>
      <c r="F90" s="16">
        <f>[1]Data!H93</f>
        <v>8.1530246985003253E-3</v>
      </c>
      <c r="G90" s="17">
        <f>[1]Data!I93</f>
        <v>-3.0173918317881927E-2</v>
      </c>
      <c r="H90" s="18">
        <f t="shared" si="14"/>
        <v>-1</v>
      </c>
      <c r="I90" s="19">
        <f t="shared" si="23"/>
        <v>1</v>
      </c>
      <c r="J90" s="13">
        <f t="shared" si="15"/>
        <v>0</v>
      </c>
      <c r="K90" s="13">
        <f t="shared" si="16"/>
        <v>-9.8771482780942062E-4</v>
      </c>
      <c r="L90" s="13">
        <f t="shared" si="17"/>
        <v>0</v>
      </c>
      <c r="M90" s="13">
        <f t="shared" si="18"/>
        <v>-1.0249812146695618E-2</v>
      </c>
      <c r="N90" s="13">
        <f t="shared" si="19"/>
        <v>8.1530246985003253E-3</v>
      </c>
      <c r="O90" s="13">
        <f t="shared" si="20"/>
        <v>0</v>
      </c>
      <c r="P90" s="13">
        <f t="shared" si="21"/>
        <v>3.0173918317881927E-2</v>
      </c>
      <c r="Q90" s="13">
        <f t="shared" si="22"/>
        <v>0</v>
      </c>
      <c r="R90" s="13">
        <f t="shared" si="25"/>
        <v>0.34078484991887187</v>
      </c>
      <c r="S90" s="13">
        <f t="shared" si="25"/>
        <v>0.15996150265216513</v>
      </c>
      <c r="T90" s="13">
        <f t="shared" si="25"/>
        <v>-0.11176702223813897</v>
      </c>
      <c r="U90" s="13">
        <f t="shared" si="24"/>
        <v>0.18893983369515363</v>
      </c>
      <c r="V90" s="13">
        <f t="shared" si="24"/>
        <v>0.23162319089207267</v>
      </c>
      <c r="W90" s="13">
        <f t="shared" si="24"/>
        <v>0.17507521796549769</v>
      </c>
      <c r="X90" s="13">
        <f t="shared" si="24"/>
        <v>0.25463597949568895</v>
      </c>
      <c r="Y90" s="13">
        <f t="shared" si="12"/>
        <v>3.4580237245453248E-2</v>
      </c>
    </row>
    <row r="91" spans="1:25" x14ac:dyDescent="0.25">
      <c r="A91" s="14">
        <f>[1]Data!A94</f>
        <v>40179</v>
      </c>
      <c r="B91" s="15">
        <f>[1]Data!B94</f>
        <v>-3.7019149344959271E-2</v>
      </c>
      <c r="C91" s="15">
        <f>[1]Data!C94</f>
        <v>-3.3725192630316064E-2</v>
      </c>
      <c r="D91" s="16">
        <f>[1]Data!F94</f>
        <v>-2.1920220191200289E-2</v>
      </c>
      <c r="E91" s="17">
        <f>[1]Data!G94</f>
        <v>7.9396683716295279E-3</v>
      </c>
      <c r="F91" s="16">
        <f>[1]Data!H94</f>
        <v>2.7699643178202574E-2</v>
      </c>
      <c r="G91" s="17">
        <f>[1]Data!I94</f>
        <v>-6.6965270499072345E-3</v>
      </c>
      <c r="H91" s="18">
        <f t="shared" si="14"/>
        <v>1</v>
      </c>
      <c r="I91" s="19">
        <f t="shared" si="23"/>
        <v>1</v>
      </c>
      <c r="J91" s="13">
        <f t="shared" si="15"/>
        <v>-2.1920220191200289E-2</v>
      </c>
      <c r="K91" s="13">
        <f t="shared" si="16"/>
        <v>0</v>
      </c>
      <c r="L91" s="13">
        <f t="shared" si="17"/>
        <v>-7.9396683716295279E-3</v>
      </c>
      <c r="M91" s="13">
        <f t="shared" si="18"/>
        <v>0</v>
      </c>
      <c r="N91" s="13">
        <f t="shared" si="19"/>
        <v>2.7699643178202574E-2</v>
      </c>
      <c r="O91" s="13">
        <f t="shared" si="20"/>
        <v>0</v>
      </c>
      <c r="P91" s="13">
        <f t="shared" si="21"/>
        <v>6.6965270499072345E-3</v>
      </c>
      <c r="Q91" s="13">
        <f t="shared" si="22"/>
        <v>0</v>
      </c>
      <c r="R91" s="13">
        <f t="shared" si="25"/>
        <v>0.3188646297276716</v>
      </c>
      <c r="S91" s="13">
        <f t="shared" si="25"/>
        <v>0.15996150265216513</v>
      </c>
      <c r="T91" s="13">
        <f t="shared" si="25"/>
        <v>-0.1197066906097685</v>
      </c>
      <c r="U91" s="13">
        <f t="shared" si="24"/>
        <v>0.18893983369515363</v>
      </c>
      <c r="V91" s="13">
        <f t="shared" si="24"/>
        <v>0.25932283407027523</v>
      </c>
      <c r="W91" s="13">
        <f t="shared" si="24"/>
        <v>0.17507521796549769</v>
      </c>
      <c r="X91" s="13">
        <f t="shared" si="24"/>
        <v>0.2613325065455962</v>
      </c>
      <c r="Y91" s="13">
        <f t="shared" si="12"/>
        <v>3.4580237245453248E-2</v>
      </c>
    </row>
    <row r="92" spans="1:25" x14ac:dyDescent="0.25">
      <c r="A92" s="14">
        <f>[1]Data!A95</f>
        <v>40210</v>
      </c>
      <c r="B92" s="15">
        <f>[1]Data!B95</f>
        <v>3.0718048149783808E-2</v>
      </c>
      <c r="C92" s="15">
        <f>[1]Data!C95</f>
        <v>6.6594822994535133E-2</v>
      </c>
      <c r="D92" s="16">
        <f>[1]Data!F95</f>
        <v>-3.7855505150790692E-3</v>
      </c>
      <c r="E92" s="17">
        <f>[1]Data!G95</f>
        <v>2.8660594151537433E-2</v>
      </c>
      <c r="F92" s="16">
        <f>[1]Data!H95</f>
        <v>-6.8211104954099752E-3</v>
      </c>
      <c r="G92" s="17">
        <f>[1]Data!I95</f>
        <v>-5.5146272291639598E-5</v>
      </c>
      <c r="H92" s="18">
        <f t="shared" si="14"/>
        <v>-1</v>
      </c>
      <c r="I92" s="19">
        <f t="shared" si="23"/>
        <v>-1</v>
      </c>
      <c r="J92" s="13">
        <f t="shared" si="15"/>
        <v>0</v>
      </c>
      <c r="K92" s="13">
        <f t="shared" si="16"/>
        <v>3.7855505150790692E-3</v>
      </c>
      <c r="L92" s="13">
        <f t="shared" si="17"/>
        <v>0</v>
      </c>
      <c r="M92" s="13">
        <f t="shared" si="18"/>
        <v>2.8660594151537433E-2</v>
      </c>
      <c r="N92" s="13">
        <f t="shared" si="19"/>
        <v>0</v>
      </c>
      <c r="O92" s="13">
        <f t="shared" si="20"/>
        <v>6.8211104954099752E-3</v>
      </c>
      <c r="P92" s="13">
        <f t="shared" si="21"/>
        <v>0</v>
      </c>
      <c r="Q92" s="13">
        <f t="shared" si="22"/>
        <v>-5.5146272291639598E-5</v>
      </c>
      <c r="R92" s="13">
        <f t="shared" si="25"/>
        <v>0.3188646297276716</v>
      </c>
      <c r="S92" s="13">
        <f t="shared" si="25"/>
        <v>0.16374705316724419</v>
      </c>
      <c r="T92" s="13">
        <f t="shared" si="25"/>
        <v>-0.1197066906097685</v>
      </c>
      <c r="U92" s="13">
        <f t="shared" si="24"/>
        <v>0.21760042784669106</v>
      </c>
      <c r="V92" s="13">
        <f t="shared" si="24"/>
        <v>0.25932283407027523</v>
      </c>
      <c r="W92" s="13">
        <f t="shared" si="24"/>
        <v>0.18189632846090767</v>
      </c>
      <c r="X92" s="13">
        <f t="shared" si="24"/>
        <v>0.2613325065455962</v>
      </c>
      <c r="Y92" s="13">
        <f t="shared" si="12"/>
        <v>3.4525090973161608E-2</v>
      </c>
    </row>
    <row r="93" spans="1:25" x14ac:dyDescent="0.25">
      <c r="A93" s="14">
        <f>[1]Data!A96</f>
        <v>40238</v>
      </c>
      <c r="B93" s="15">
        <f>[1]Data!B96</f>
        <v>5.909822548618765E-2</v>
      </c>
      <c r="C93" s="15">
        <f>[1]Data!C96</f>
        <v>5.1570035638853699E-2</v>
      </c>
      <c r="D93" s="16">
        <f>[1]Data!F96</f>
        <v>8.842323624737046E-3</v>
      </c>
      <c r="E93" s="17">
        <f>[1]Data!G96</f>
        <v>-1.94739712481884E-2</v>
      </c>
      <c r="F93" s="16">
        <f>[1]Data!H96</f>
        <v>3.1203610946212136E-2</v>
      </c>
      <c r="G93" s="17">
        <f>[1]Data!I96</f>
        <v>-1.2221374596437497E-2</v>
      </c>
      <c r="H93" s="18">
        <f t="shared" si="14"/>
        <v>-1</v>
      </c>
      <c r="I93" s="19">
        <f t="shared" si="23"/>
        <v>1</v>
      </c>
      <c r="J93" s="13">
        <f t="shared" si="15"/>
        <v>0</v>
      </c>
      <c r="K93" s="13">
        <f t="shared" si="16"/>
        <v>-8.842323624737046E-3</v>
      </c>
      <c r="L93" s="13">
        <f t="shared" si="17"/>
        <v>0</v>
      </c>
      <c r="M93" s="13">
        <f t="shared" si="18"/>
        <v>-1.94739712481884E-2</v>
      </c>
      <c r="N93" s="13">
        <f t="shared" si="19"/>
        <v>3.1203610946212136E-2</v>
      </c>
      <c r="O93" s="13">
        <f t="shared" si="20"/>
        <v>0</v>
      </c>
      <c r="P93" s="13">
        <f t="shared" si="21"/>
        <v>1.2221374596437497E-2</v>
      </c>
      <c r="Q93" s="13">
        <f t="shared" si="22"/>
        <v>0</v>
      </c>
      <c r="R93" s="13">
        <f t="shared" si="25"/>
        <v>0.3188646297276716</v>
      </c>
      <c r="S93" s="13">
        <f t="shared" si="25"/>
        <v>0.15490472954250714</v>
      </c>
      <c r="T93" s="13">
        <f t="shared" si="25"/>
        <v>-0.1197066906097685</v>
      </c>
      <c r="U93" s="13">
        <f t="shared" si="24"/>
        <v>0.19812645659850267</v>
      </c>
      <c r="V93" s="13">
        <f t="shared" si="24"/>
        <v>0.29052644501648739</v>
      </c>
      <c r="W93" s="13">
        <f t="shared" si="24"/>
        <v>0.18189632846090767</v>
      </c>
      <c r="X93" s="13">
        <f t="shared" si="24"/>
        <v>0.27355388114203372</v>
      </c>
      <c r="Y93" s="13">
        <f t="shared" si="12"/>
        <v>3.4525090973161608E-2</v>
      </c>
    </row>
    <row r="94" spans="1:25" x14ac:dyDescent="0.25">
      <c r="A94" s="14">
        <f>[1]Data!A97</f>
        <v>40269</v>
      </c>
      <c r="B94" s="15">
        <f>[1]Data!B97</f>
        <v>1.5351467843928393E-2</v>
      </c>
      <c r="C94" s="15">
        <f>[1]Data!C97</f>
        <v>1.9728627815878648E-2</v>
      </c>
      <c r="D94" s="16">
        <f>[1]Data!F97</f>
        <v>-1.8430637828679652E-2</v>
      </c>
      <c r="E94" s="17">
        <f>[1]Data!G97</f>
        <v>1.8625766436423614E-2</v>
      </c>
      <c r="F94" s="16">
        <f>[1]Data!H97</f>
        <v>1.5014859619956678E-2</v>
      </c>
      <c r="G94" s="17">
        <f>[1]Data!I97</f>
        <v>-4.4740134800659711E-3</v>
      </c>
      <c r="H94" s="18">
        <f t="shared" si="14"/>
        <v>-1</v>
      </c>
      <c r="I94" s="19">
        <f t="shared" si="23"/>
        <v>1</v>
      </c>
      <c r="J94" s="13">
        <f t="shared" si="15"/>
        <v>0</v>
      </c>
      <c r="K94" s="13">
        <f t="shared" si="16"/>
        <v>1.8430637828679652E-2</v>
      </c>
      <c r="L94" s="13">
        <f t="shared" si="17"/>
        <v>0</v>
      </c>
      <c r="M94" s="13">
        <f t="shared" si="18"/>
        <v>1.8625766436423614E-2</v>
      </c>
      <c r="N94" s="13">
        <f t="shared" si="19"/>
        <v>1.5014859619956678E-2</v>
      </c>
      <c r="O94" s="13">
        <f t="shared" si="20"/>
        <v>0</v>
      </c>
      <c r="P94" s="13">
        <f t="shared" si="21"/>
        <v>4.4740134800659711E-3</v>
      </c>
      <c r="Q94" s="13">
        <f t="shared" si="22"/>
        <v>0</v>
      </c>
      <c r="R94" s="13">
        <f t="shared" si="25"/>
        <v>0.3188646297276716</v>
      </c>
      <c r="S94" s="13">
        <f t="shared" si="25"/>
        <v>0.17333536737118679</v>
      </c>
      <c r="T94" s="13">
        <f t="shared" si="25"/>
        <v>-0.1197066906097685</v>
      </c>
      <c r="U94" s="13">
        <f t="shared" si="24"/>
        <v>0.21675222303492628</v>
      </c>
      <c r="V94" s="13">
        <f t="shared" si="24"/>
        <v>0.30554130463644408</v>
      </c>
      <c r="W94" s="13">
        <f t="shared" si="24"/>
        <v>0.18189632846090767</v>
      </c>
      <c r="X94" s="13">
        <f t="shared" si="24"/>
        <v>0.2780278946220997</v>
      </c>
      <c r="Y94" s="13">
        <f t="shared" si="12"/>
        <v>3.4525090973161608E-2</v>
      </c>
    </row>
    <row r="95" spans="1:25" x14ac:dyDescent="0.25">
      <c r="A95" s="14">
        <f>[1]Data!A98</f>
        <v>40299</v>
      </c>
      <c r="B95" s="15">
        <f>[1]Data!B98</f>
        <v>-8.2788827756031969E-2</v>
      </c>
      <c r="C95" s="15">
        <f>[1]Data!C98</f>
        <v>-0.15479273333131618</v>
      </c>
      <c r="D95" s="16">
        <f>[1]Data!F98</f>
        <v>2.3801980914239778E-3</v>
      </c>
      <c r="E95" s="17">
        <f>[1]Data!G98</f>
        <v>-1.9803080916954784E-2</v>
      </c>
      <c r="F95" s="16">
        <f>[1]Data!H98</f>
        <v>-6.5655644081729692E-2</v>
      </c>
      <c r="G95" s="17">
        <f>[1]Data!I98</f>
        <v>4.0241350490839059E-2</v>
      </c>
      <c r="H95" s="18">
        <f t="shared" si="14"/>
        <v>1</v>
      </c>
      <c r="I95" s="19">
        <f t="shared" si="23"/>
        <v>1</v>
      </c>
      <c r="J95" s="13">
        <f t="shared" si="15"/>
        <v>2.3801980914239778E-3</v>
      </c>
      <c r="K95" s="13">
        <f t="shared" si="16"/>
        <v>0</v>
      </c>
      <c r="L95" s="13">
        <f t="shared" si="17"/>
        <v>1.9803080916954784E-2</v>
      </c>
      <c r="M95" s="13">
        <f t="shared" si="18"/>
        <v>0</v>
      </c>
      <c r="N95" s="13">
        <f t="shared" si="19"/>
        <v>-6.5655644081729692E-2</v>
      </c>
      <c r="O95" s="13">
        <f t="shared" si="20"/>
        <v>0</v>
      </c>
      <c r="P95" s="13">
        <f t="shared" si="21"/>
        <v>-4.0241350490839059E-2</v>
      </c>
      <c r="Q95" s="13">
        <f t="shared" si="22"/>
        <v>0</v>
      </c>
      <c r="R95" s="13">
        <f t="shared" si="25"/>
        <v>0.32124482781909558</v>
      </c>
      <c r="S95" s="13">
        <f t="shared" si="25"/>
        <v>0.17333536737118679</v>
      </c>
      <c r="T95" s="13">
        <f t="shared" si="25"/>
        <v>-9.9903609692813727E-2</v>
      </c>
      <c r="U95" s="13">
        <f t="shared" si="24"/>
        <v>0.21675222303492628</v>
      </c>
      <c r="V95" s="13">
        <f t="shared" si="24"/>
        <v>0.23988566055471439</v>
      </c>
      <c r="W95" s="13">
        <f t="shared" si="24"/>
        <v>0.18189632846090767</v>
      </c>
      <c r="X95" s="13">
        <f t="shared" si="24"/>
        <v>0.23778654413126066</v>
      </c>
      <c r="Y95" s="13">
        <f t="shared" si="12"/>
        <v>3.4525090973161608E-2</v>
      </c>
    </row>
    <row r="96" spans="1:25" x14ac:dyDescent="0.25">
      <c r="A96" s="14">
        <f>[1]Data!A99</f>
        <v>40330</v>
      </c>
      <c r="B96" s="15">
        <f>[1]Data!B99</f>
        <v>-5.3127346754694202E-2</v>
      </c>
      <c r="C96" s="15">
        <f>[1]Data!C99</f>
        <v>1.0455843488229056E-2</v>
      </c>
      <c r="D96" s="16">
        <f>[1]Data!F99</f>
        <v>-7.6353994440147149E-2</v>
      </c>
      <c r="E96" s="17">
        <f>[1]Data!G99</f>
        <v>4.3588862174197593E-2</v>
      </c>
      <c r="F96" s="16">
        <f>[1]Data!H99</f>
        <v>-3.6120480229898555E-2</v>
      </c>
      <c r="G96" s="17">
        <f>[1]Data!I99</f>
        <v>2.4303732224755216E-2</v>
      </c>
      <c r="H96" s="18">
        <f t="shared" si="14"/>
        <v>-1</v>
      </c>
      <c r="I96" s="19">
        <f t="shared" si="23"/>
        <v>-1</v>
      </c>
      <c r="J96" s="13">
        <f t="shared" si="15"/>
        <v>0</v>
      </c>
      <c r="K96" s="13">
        <f t="shared" si="16"/>
        <v>7.6353994440147149E-2</v>
      </c>
      <c r="L96" s="13">
        <f t="shared" si="17"/>
        <v>0</v>
      </c>
      <c r="M96" s="13">
        <f t="shared" si="18"/>
        <v>4.3588862174197593E-2</v>
      </c>
      <c r="N96" s="13">
        <f t="shared" si="19"/>
        <v>0</v>
      </c>
      <c r="O96" s="13">
        <f t="shared" si="20"/>
        <v>3.6120480229898555E-2</v>
      </c>
      <c r="P96" s="13">
        <f t="shared" si="21"/>
        <v>0</v>
      </c>
      <c r="Q96" s="13">
        <f t="shared" si="22"/>
        <v>2.4303732224755216E-2</v>
      </c>
      <c r="R96" s="13">
        <f t="shared" si="25"/>
        <v>0.32124482781909558</v>
      </c>
      <c r="S96" s="13">
        <f t="shared" si="25"/>
        <v>0.24968936181133394</v>
      </c>
      <c r="T96" s="13">
        <f t="shared" si="25"/>
        <v>-9.9903609692813727E-2</v>
      </c>
      <c r="U96" s="13">
        <f t="shared" si="24"/>
        <v>0.26034108520912386</v>
      </c>
      <c r="V96" s="13">
        <f t="shared" si="24"/>
        <v>0.23988566055471439</v>
      </c>
      <c r="W96" s="13">
        <f t="shared" si="24"/>
        <v>0.21801680869080622</v>
      </c>
      <c r="X96" s="13">
        <f t="shared" si="24"/>
        <v>0.23778654413126066</v>
      </c>
      <c r="Y96" s="13">
        <f t="shared" si="12"/>
        <v>5.8828823197916824E-2</v>
      </c>
    </row>
    <row r="97" spans="1:25" x14ac:dyDescent="0.25">
      <c r="A97" s="14">
        <f>[1]Data!A100</f>
        <v>40360</v>
      </c>
      <c r="B97" s="15">
        <f>[1]Data!B100</f>
        <v>6.6069227994284135E-2</v>
      </c>
      <c r="C97" s="15">
        <f>[1]Data!C100</f>
        <v>6.4528953593492214E-2</v>
      </c>
      <c r="D97" s="16">
        <f>[1]Data!F100</f>
        <v>7.3731516911021699E-3</v>
      </c>
      <c r="E97" s="17">
        <f>[1]Data!G100</f>
        <v>-3.6757305634966091E-3</v>
      </c>
      <c r="F97" s="16">
        <f>[1]Data!H100</f>
        <v>3.7460486685886106E-2</v>
      </c>
      <c r="G97" s="17">
        <f>[1]Data!I100</f>
        <v>-1.6398782841599815E-2</v>
      </c>
      <c r="H97" s="18">
        <f t="shared" si="14"/>
        <v>-1</v>
      </c>
      <c r="I97" s="19">
        <f t="shared" si="23"/>
        <v>1</v>
      </c>
      <c r="J97" s="13">
        <f t="shared" si="15"/>
        <v>0</v>
      </c>
      <c r="K97" s="13">
        <f t="shared" si="16"/>
        <v>-7.3731516911021699E-3</v>
      </c>
      <c r="L97" s="13">
        <f t="shared" si="17"/>
        <v>0</v>
      </c>
      <c r="M97" s="13">
        <f t="shared" si="18"/>
        <v>-3.6757305634966091E-3</v>
      </c>
      <c r="N97" s="13">
        <f t="shared" si="19"/>
        <v>3.7460486685886106E-2</v>
      </c>
      <c r="O97" s="13">
        <f t="shared" si="20"/>
        <v>0</v>
      </c>
      <c r="P97" s="13">
        <f t="shared" si="21"/>
        <v>1.6398782841599815E-2</v>
      </c>
      <c r="Q97" s="13">
        <f t="shared" si="22"/>
        <v>0</v>
      </c>
      <c r="R97" s="13">
        <f t="shared" si="25"/>
        <v>0.32124482781909558</v>
      </c>
      <c r="S97" s="13">
        <f t="shared" si="25"/>
        <v>0.24231621012023177</v>
      </c>
      <c r="T97" s="13">
        <f t="shared" si="25"/>
        <v>-9.9903609692813727E-2</v>
      </c>
      <c r="U97" s="13">
        <f t="shared" si="24"/>
        <v>0.25666535464562723</v>
      </c>
      <c r="V97" s="13">
        <f t="shared" si="24"/>
        <v>0.27734614724060047</v>
      </c>
      <c r="W97" s="13">
        <f t="shared" si="24"/>
        <v>0.21801680869080622</v>
      </c>
      <c r="X97" s="13">
        <f t="shared" si="24"/>
        <v>0.25418532697286045</v>
      </c>
      <c r="Y97" s="13">
        <f t="shared" si="12"/>
        <v>5.8828823197916824E-2</v>
      </c>
    </row>
    <row r="98" spans="1:25" x14ac:dyDescent="0.25">
      <c r="A98" s="14">
        <f>[1]Data!A101</f>
        <v>40391</v>
      </c>
      <c r="B98" s="15">
        <f>[1]Data!B101</f>
        <v>-4.602343801877113E-2</v>
      </c>
      <c r="C98" s="15">
        <f>[1]Data!C101</f>
        <v>-8.2249279696153935E-2</v>
      </c>
      <c r="D98" s="16">
        <f>[1]Data!F101</f>
        <v>-2.0861276025051084E-2</v>
      </c>
      <c r="E98" s="17">
        <f>[1]Data!G101</f>
        <v>2.3487258857520472E-2</v>
      </c>
      <c r="F98" s="16">
        <f>[1]Data!H101</f>
        <v>1.9043057457593913E-2</v>
      </c>
      <c r="G98" s="17">
        <f>[1]Data!I101</f>
        <v>-5.5898549810119887E-4</v>
      </c>
      <c r="H98" s="18">
        <f t="shared" si="14"/>
        <v>1</v>
      </c>
      <c r="I98" s="19">
        <f t="shared" si="23"/>
        <v>1</v>
      </c>
      <c r="J98" s="13">
        <f t="shared" si="15"/>
        <v>-2.0861276025051084E-2</v>
      </c>
      <c r="K98" s="13">
        <f t="shared" si="16"/>
        <v>0</v>
      </c>
      <c r="L98" s="13">
        <f t="shared" si="17"/>
        <v>-2.3487258857520472E-2</v>
      </c>
      <c r="M98" s="13">
        <f t="shared" si="18"/>
        <v>0</v>
      </c>
      <c r="N98" s="13">
        <f t="shared" si="19"/>
        <v>1.9043057457593913E-2</v>
      </c>
      <c r="O98" s="13">
        <f t="shared" si="20"/>
        <v>0</v>
      </c>
      <c r="P98" s="13">
        <f t="shared" si="21"/>
        <v>5.5898549810119887E-4</v>
      </c>
      <c r="Q98" s="13">
        <f t="shared" si="22"/>
        <v>0</v>
      </c>
      <c r="R98" s="13">
        <f t="shared" si="25"/>
        <v>0.30038355179404452</v>
      </c>
      <c r="S98" s="13">
        <f t="shared" si="25"/>
        <v>0.24231621012023177</v>
      </c>
      <c r="T98" s="13">
        <f t="shared" si="25"/>
        <v>-0.1233908685503342</v>
      </c>
      <c r="U98" s="13">
        <f t="shared" si="24"/>
        <v>0.25666535464562723</v>
      </c>
      <c r="V98" s="13">
        <f t="shared" si="24"/>
        <v>0.29638920469819441</v>
      </c>
      <c r="W98" s="13">
        <f t="shared" si="24"/>
        <v>0.21801680869080622</v>
      </c>
      <c r="X98" s="13">
        <f t="shared" si="24"/>
        <v>0.25474431247096163</v>
      </c>
      <c r="Y98" s="13">
        <f t="shared" si="24"/>
        <v>5.8828823197916824E-2</v>
      </c>
    </row>
    <row r="99" spans="1:25" x14ac:dyDescent="0.25">
      <c r="A99" s="14">
        <f>[1]Data!A102</f>
        <v>40422</v>
      </c>
      <c r="B99" s="15">
        <f>[1]Data!B102</f>
        <v>8.5769125249920253E-2</v>
      </c>
      <c r="C99" s="15">
        <f>[1]Data!C102</f>
        <v>0.11362177955830798</v>
      </c>
      <c r="D99" s="16">
        <f>[1]Data!F102</f>
        <v>6.240736642519955E-3</v>
      </c>
      <c r="E99" s="17">
        <f>[1]Data!G102</f>
        <v>8.5666762399880525E-3</v>
      </c>
      <c r="F99" s="16">
        <f>[1]Data!H102</f>
        <v>4.7292186893843326E-2</v>
      </c>
      <c r="G99" s="17">
        <f>[1]Data!I102</f>
        <v>-3.1706809809755807E-2</v>
      </c>
      <c r="H99" s="18">
        <f t="shared" si="14"/>
        <v>-1</v>
      </c>
      <c r="I99" s="19">
        <f t="shared" si="23"/>
        <v>-1</v>
      </c>
      <c r="J99" s="13">
        <f t="shared" si="15"/>
        <v>0</v>
      </c>
      <c r="K99" s="13">
        <f t="shared" si="16"/>
        <v>-6.240736642519955E-3</v>
      </c>
      <c r="L99" s="13">
        <f t="shared" si="17"/>
        <v>0</v>
      </c>
      <c r="M99" s="13">
        <f t="shared" si="18"/>
        <v>8.5666762399880525E-3</v>
      </c>
      <c r="N99" s="13">
        <f t="shared" si="19"/>
        <v>0</v>
      </c>
      <c r="O99" s="13">
        <f t="shared" si="20"/>
        <v>-4.7292186893843326E-2</v>
      </c>
      <c r="P99" s="13">
        <f t="shared" si="21"/>
        <v>0</v>
      </c>
      <c r="Q99" s="13">
        <f t="shared" si="22"/>
        <v>-3.1706809809755807E-2</v>
      </c>
      <c r="R99" s="13">
        <f t="shared" si="25"/>
        <v>0.30038355179404452</v>
      </c>
      <c r="S99" s="13">
        <f t="shared" si="25"/>
        <v>0.23607547347771182</v>
      </c>
      <c r="T99" s="13">
        <f t="shared" si="25"/>
        <v>-0.1233908685503342</v>
      </c>
      <c r="U99" s="13">
        <f t="shared" si="24"/>
        <v>0.26523203088561531</v>
      </c>
      <c r="V99" s="13">
        <f t="shared" si="24"/>
        <v>0.29638920469819441</v>
      </c>
      <c r="W99" s="13">
        <f t="shared" si="24"/>
        <v>0.17072462179696291</v>
      </c>
      <c r="X99" s="13">
        <f t="shared" si="24"/>
        <v>0.25474431247096163</v>
      </c>
      <c r="Y99" s="13">
        <f t="shared" si="24"/>
        <v>2.7122013388161018E-2</v>
      </c>
    </row>
    <row r="100" spans="1:25" x14ac:dyDescent="0.25">
      <c r="A100" s="14">
        <f>[1]Data!A103</f>
        <v>40452</v>
      </c>
      <c r="B100" s="15">
        <f>[1]Data!B103</f>
        <v>3.7490064254904455E-2</v>
      </c>
      <c r="C100" s="15">
        <f>[1]Data!C103</f>
        <v>7.7385044365241976E-2</v>
      </c>
      <c r="D100" s="16">
        <f>[1]Data!F103</f>
        <v>3.0426703911319722E-3</v>
      </c>
      <c r="E100" s="17">
        <f>[1]Data!G103</f>
        <v>-2.7849417185137771E-3</v>
      </c>
      <c r="F100" s="16">
        <f>[1]Data!H103</f>
        <v>1.5303284473528573E-2</v>
      </c>
      <c r="G100" s="17">
        <f>[1]Data!I103</f>
        <v>-4.1756817289685371E-3</v>
      </c>
      <c r="H100" s="18">
        <f t="shared" si="14"/>
        <v>-1</v>
      </c>
      <c r="I100" s="19">
        <f t="shared" si="23"/>
        <v>1</v>
      </c>
      <c r="J100" s="13">
        <f t="shared" si="15"/>
        <v>0</v>
      </c>
      <c r="K100" s="13">
        <f t="shared" si="16"/>
        <v>-3.0426703911319722E-3</v>
      </c>
      <c r="L100" s="13">
        <f t="shared" si="17"/>
        <v>0</v>
      </c>
      <c r="M100" s="13">
        <f t="shared" si="18"/>
        <v>-2.7849417185137771E-3</v>
      </c>
      <c r="N100" s="13">
        <f t="shared" si="19"/>
        <v>1.5303284473528573E-2</v>
      </c>
      <c r="O100" s="13">
        <f t="shared" si="20"/>
        <v>0</v>
      </c>
      <c r="P100" s="13">
        <f t="shared" si="21"/>
        <v>4.1756817289685371E-3</v>
      </c>
      <c r="Q100" s="13">
        <f t="shared" si="22"/>
        <v>0</v>
      </c>
      <c r="R100" s="13">
        <f t="shared" si="25"/>
        <v>0.30038355179404452</v>
      </c>
      <c r="S100" s="13">
        <f t="shared" si="25"/>
        <v>0.23303280308657984</v>
      </c>
      <c r="T100" s="13">
        <f t="shared" si="25"/>
        <v>-0.1233908685503342</v>
      </c>
      <c r="U100" s="13">
        <f t="shared" si="24"/>
        <v>0.26244708916710152</v>
      </c>
      <c r="V100" s="13">
        <f t="shared" si="24"/>
        <v>0.31169248917172299</v>
      </c>
      <c r="W100" s="13">
        <f t="shared" si="24"/>
        <v>0.17072462179696291</v>
      </c>
      <c r="X100" s="13">
        <f t="shared" si="24"/>
        <v>0.25891999419993017</v>
      </c>
      <c r="Y100" s="13">
        <f t="shared" si="24"/>
        <v>2.7122013388161018E-2</v>
      </c>
    </row>
    <row r="101" spans="1:25" x14ac:dyDescent="0.25">
      <c r="A101" s="14">
        <f>[1]Data!A104</f>
        <v>40483</v>
      </c>
      <c r="B101" s="15">
        <f>[1]Data!B104</f>
        <v>6.5052130349130266E-17</v>
      </c>
      <c r="C101" s="15">
        <f>[1]Data!C104</f>
        <v>5.0781011356552067E-2</v>
      </c>
      <c r="D101" s="16">
        <f>[1]Data!F104</f>
        <v>-1.5077008879145756E-2</v>
      </c>
      <c r="E101" s="17">
        <f>[1]Data!G104</f>
        <v>1.8666783578866121E-2</v>
      </c>
      <c r="F101" s="16">
        <f>[1]Data!H104</f>
        <v>3.5076620434392254E-2</v>
      </c>
      <c r="G101" s="17">
        <f>[1]Data!I104</f>
        <v>-2.1416579957927919E-2</v>
      </c>
      <c r="H101" s="18">
        <f t="shared" si="14"/>
        <v>-1</v>
      </c>
      <c r="I101" s="19">
        <f t="shared" si="23"/>
        <v>1</v>
      </c>
      <c r="J101" s="13">
        <f t="shared" si="15"/>
        <v>0</v>
      </c>
      <c r="K101" s="13">
        <f t="shared" si="16"/>
        <v>1.5077008879145756E-2</v>
      </c>
      <c r="L101" s="13">
        <f t="shared" si="17"/>
        <v>0</v>
      </c>
      <c r="M101" s="13">
        <f t="shared" si="18"/>
        <v>1.8666783578866121E-2</v>
      </c>
      <c r="N101" s="13">
        <f t="shared" si="19"/>
        <v>3.5076620434392254E-2</v>
      </c>
      <c r="O101" s="13">
        <f t="shared" si="20"/>
        <v>0</v>
      </c>
      <c r="P101" s="13">
        <f t="shared" si="21"/>
        <v>2.1416579957927919E-2</v>
      </c>
      <c r="Q101" s="13">
        <f t="shared" si="22"/>
        <v>0</v>
      </c>
      <c r="R101" s="13">
        <f t="shared" si="25"/>
        <v>0.30038355179404452</v>
      </c>
      <c r="S101" s="13">
        <f t="shared" si="25"/>
        <v>0.2481098119657256</v>
      </c>
      <c r="T101" s="13">
        <f t="shared" si="25"/>
        <v>-0.1233908685503342</v>
      </c>
      <c r="U101" s="13">
        <f t="shared" si="24"/>
        <v>0.28111387274596766</v>
      </c>
      <c r="V101" s="13">
        <f t="shared" si="24"/>
        <v>0.34676910960611523</v>
      </c>
      <c r="W101" s="13">
        <f t="shared" si="24"/>
        <v>0.17072462179696291</v>
      </c>
      <c r="X101" s="13">
        <f t="shared" si="24"/>
        <v>0.28033657415785806</v>
      </c>
      <c r="Y101" s="13">
        <f t="shared" si="24"/>
        <v>2.7122013388161018E-2</v>
      </c>
    </row>
    <row r="102" spans="1:25" x14ac:dyDescent="0.25">
      <c r="A102" s="14">
        <f>[1]Data!A105</f>
        <v>40513</v>
      </c>
      <c r="B102" s="15">
        <f>[1]Data!B105</f>
        <v>6.4712799042164357E-2</v>
      </c>
      <c r="C102" s="15">
        <f>[1]Data!C105</f>
        <v>0.10646943777769211</v>
      </c>
      <c r="D102" s="16">
        <f>[1]Data!F105</f>
        <v>2.8669971944770634E-3</v>
      </c>
      <c r="E102" s="17">
        <f>[1]Data!G105</f>
        <v>6.9315945518318755E-3</v>
      </c>
      <c r="F102" s="16">
        <f>[1]Data!H105</f>
        <v>3.5972658271478268E-2</v>
      </c>
      <c r="G102" s="17">
        <f>[1]Data!I105</f>
        <v>-4.0579746542867293E-2</v>
      </c>
      <c r="H102" s="18">
        <f t="shared" si="14"/>
        <v>-1</v>
      </c>
      <c r="I102" s="19">
        <f t="shared" si="23"/>
        <v>1</v>
      </c>
      <c r="J102" s="13">
        <f t="shared" si="15"/>
        <v>0</v>
      </c>
      <c r="K102" s="13">
        <f t="shared" si="16"/>
        <v>-2.8669971944770634E-3</v>
      </c>
      <c r="L102" s="13">
        <f t="shared" si="17"/>
        <v>0</v>
      </c>
      <c r="M102" s="13">
        <f t="shared" si="18"/>
        <v>6.9315945518318755E-3</v>
      </c>
      <c r="N102" s="13">
        <f t="shared" si="19"/>
        <v>3.5972658271478268E-2</v>
      </c>
      <c r="O102" s="13">
        <f t="shared" si="20"/>
        <v>0</v>
      </c>
      <c r="P102" s="13">
        <f t="shared" si="21"/>
        <v>4.0579746542867293E-2</v>
      </c>
      <c r="Q102" s="13">
        <f t="shared" si="22"/>
        <v>0</v>
      </c>
      <c r="R102" s="13">
        <f t="shared" si="25"/>
        <v>0.30038355179404452</v>
      </c>
      <c r="S102" s="13">
        <f t="shared" si="25"/>
        <v>0.24524281477124854</v>
      </c>
      <c r="T102" s="13">
        <f t="shared" si="25"/>
        <v>-0.1233908685503342</v>
      </c>
      <c r="U102" s="13">
        <f t="shared" si="24"/>
        <v>0.28804546729779956</v>
      </c>
      <c r="V102" s="13">
        <f t="shared" si="24"/>
        <v>0.38274176787759351</v>
      </c>
      <c r="W102" s="13">
        <f t="shared" si="24"/>
        <v>0.17072462179696291</v>
      </c>
      <c r="X102" s="13">
        <f t="shared" si="24"/>
        <v>0.32091632070072534</v>
      </c>
      <c r="Y102" s="13">
        <f t="shared" si="24"/>
        <v>2.7122013388161018E-2</v>
      </c>
    </row>
    <row r="103" spans="1:25" x14ac:dyDescent="0.25">
      <c r="A103" s="14">
        <f>[1]Data!A106</f>
        <v>40544</v>
      </c>
      <c r="B103" s="15">
        <f>[1]Data!B106</f>
        <v>2.3032483431824631E-2</v>
      </c>
      <c r="C103" s="15">
        <f>[1]Data!C106</f>
        <v>5.3867286825819503E-2</v>
      </c>
      <c r="D103" s="16">
        <f>[1]Data!F106</f>
        <v>-3.2589175746798212E-3</v>
      </c>
      <c r="E103" s="17">
        <f>[1]Data!G106</f>
        <v>-3.7201022767263097E-3</v>
      </c>
      <c r="F103" s="16">
        <f>[1]Data!H106</f>
        <v>1.0992931250250252E-2</v>
      </c>
      <c r="G103" s="17">
        <f>[1]Data!I106</f>
        <v>-1.8984611662390113E-2</v>
      </c>
      <c r="H103" s="18">
        <f t="shared" si="14"/>
        <v>-1</v>
      </c>
      <c r="I103" s="19">
        <f t="shared" si="23"/>
        <v>1</v>
      </c>
      <c r="J103" s="13">
        <f t="shared" si="15"/>
        <v>0</v>
      </c>
      <c r="K103" s="13">
        <f t="shared" si="16"/>
        <v>3.2589175746798212E-3</v>
      </c>
      <c r="L103" s="13">
        <f t="shared" si="17"/>
        <v>0</v>
      </c>
      <c r="M103" s="13">
        <f t="shared" si="18"/>
        <v>-3.7201022767263097E-3</v>
      </c>
      <c r="N103" s="13">
        <f t="shared" si="19"/>
        <v>1.0992931250250252E-2</v>
      </c>
      <c r="O103" s="13">
        <f t="shared" si="20"/>
        <v>0</v>
      </c>
      <c r="P103" s="13">
        <f t="shared" si="21"/>
        <v>1.8984611662390113E-2</v>
      </c>
      <c r="Q103" s="13">
        <f t="shared" si="22"/>
        <v>0</v>
      </c>
      <c r="R103" s="13">
        <f t="shared" si="25"/>
        <v>0.30038355179404452</v>
      </c>
      <c r="S103" s="13">
        <f t="shared" si="25"/>
        <v>0.24850173234592837</v>
      </c>
      <c r="T103" s="13">
        <f t="shared" si="25"/>
        <v>-0.1233908685503342</v>
      </c>
      <c r="U103" s="13">
        <f t="shared" si="24"/>
        <v>0.28432536502107325</v>
      </c>
      <c r="V103" s="13">
        <f t="shared" si="24"/>
        <v>0.39373469912784376</v>
      </c>
      <c r="W103" s="13">
        <f t="shared" si="24"/>
        <v>0.17072462179696291</v>
      </c>
      <c r="X103" s="13">
        <f t="shared" si="24"/>
        <v>0.33990093236311547</v>
      </c>
      <c r="Y103" s="13">
        <f t="shared" si="24"/>
        <v>2.7122013388161018E-2</v>
      </c>
    </row>
    <row r="104" spans="1:25" x14ac:dyDescent="0.25">
      <c r="A104" s="14">
        <f>[1]Data!A107</f>
        <v>40575</v>
      </c>
      <c r="B104" s="15">
        <f>[1]Data!B107</f>
        <v>3.4147896129455652E-2</v>
      </c>
      <c r="C104" s="15">
        <f>[1]Data!C107</f>
        <v>2.4955819672714742E-2</v>
      </c>
      <c r="D104" s="16">
        <f>[1]Data!F107</f>
        <v>9.9631628237515472E-3</v>
      </c>
      <c r="E104" s="17">
        <f>[1]Data!G107</f>
        <v>1.713858103672319E-2</v>
      </c>
      <c r="F104" s="16">
        <f>[1]Data!H107</f>
        <v>2.5246273405220673E-2</v>
      </c>
      <c r="G104" s="17">
        <f>[1]Data!I107</f>
        <v>-1.8094982092443285E-2</v>
      </c>
      <c r="H104" s="18">
        <f t="shared" si="14"/>
        <v>-1</v>
      </c>
      <c r="I104" s="19">
        <f t="shared" si="23"/>
        <v>1</v>
      </c>
      <c r="J104" s="13">
        <f t="shared" si="15"/>
        <v>0</v>
      </c>
      <c r="K104" s="13">
        <f t="shared" si="16"/>
        <v>-9.9631628237515472E-3</v>
      </c>
      <c r="L104" s="13">
        <f t="shared" si="17"/>
        <v>0</v>
      </c>
      <c r="M104" s="13">
        <f t="shared" si="18"/>
        <v>1.713858103672319E-2</v>
      </c>
      <c r="N104" s="13">
        <f t="shared" si="19"/>
        <v>2.5246273405220673E-2</v>
      </c>
      <c r="O104" s="13">
        <f t="shared" si="20"/>
        <v>0</v>
      </c>
      <c r="P104" s="13">
        <f t="shared" si="21"/>
        <v>1.8094982092443285E-2</v>
      </c>
      <c r="Q104" s="13">
        <f t="shared" si="22"/>
        <v>0</v>
      </c>
      <c r="R104" s="13">
        <f t="shared" si="25"/>
        <v>0.30038355179404452</v>
      </c>
      <c r="S104" s="13">
        <f t="shared" si="25"/>
        <v>0.23853856952217684</v>
      </c>
      <c r="T104" s="13">
        <f t="shared" si="25"/>
        <v>-0.1233908685503342</v>
      </c>
      <c r="U104" s="13">
        <f t="shared" si="24"/>
        <v>0.30146394605779642</v>
      </c>
      <c r="V104" s="13">
        <f t="shared" si="24"/>
        <v>0.41898097253306443</v>
      </c>
      <c r="W104" s="13">
        <f t="shared" si="24"/>
        <v>0.17072462179696291</v>
      </c>
      <c r="X104" s="13">
        <f t="shared" si="24"/>
        <v>0.35799591445555878</v>
      </c>
      <c r="Y104" s="13">
        <f t="shared" si="24"/>
        <v>2.7122013388161018E-2</v>
      </c>
    </row>
    <row r="105" spans="1:25" x14ac:dyDescent="0.25">
      <c r="A105" s="14">
        <f>[1]Data!A108</f>
        <v>40603</v>
      </c>
      <c r="B105" s="15">
        <f>[1]Data!B108</f>
        <v>1.2004505130044354E-4</v>
      </c>
      <c r="C105" s="15">
        <f>[1]Data!C108</f>
        <v>-3.0332399673355659E-2</v>
      </c>
      <c r="D105" s="16">
        <f>[1]Data!F108</f>
        <v>2.1729271074726723E-2</v>
      </c>
      <c r="E105" s="17">
        <f>[1]Data!G108</f>
        <v>-8.4305377911230092E-3</v>
      </c>
      <c r="F105" s="16">
        <f>[1]Data!H108</f>
        <v>-1.3002218478200513E-2</v>
      </c>
      <c r="G105" s="17">
        <f>[1]Data!I108</f>
        <v>-2.0545886200125804E-2</v>
      </c>
      <c r="H105" s="18">
        <f t="shared" si="14"/>
        <v>1</v>
      </c>
      <c r="I105" s="19">
        <f t="shared" si="23"/>
        <v>1</v>
      </c>
      <c r="J105" s="13">
        <f t="shared" si="15"/>
        <v>2.1729271074726723E-2</v>
      </c>
      <c r="K105" s="13">
        <f t="shared" si="16"/>
        <v>0</v>
      </c>
      <c r="L105" s="13">
        <f t="shared" si="17"/>
        <v>8.4305377911230092E-3</v>
      </c>
      <c r="M105" s="13">
        <f t="shared" si="18"/>
        <v>0</v>
      </c>
      <c r="N105" s="13">
        <f t="shared" si="19"/>
        <v>-1.3002218478200513E-2</v>
      </c>
      <c r="O105" s="13">
        <f t="shared" si="20"/>
        <v>0</v>
      </c>
      <c r="P105" s="13">
        <f t="shared" si="21"/>
        <v>2.0545886200125804E-2</v>
      </c>
      <c r="Q105" s="13">
        <f t="shared" si="22"/>
        <v>0</v>
      </c>
      <c r="R105" s="13">
        <f t="shared" si="25"/>
        <v>0.32211282286877124</v>
      </c>
      <c r="S105" s="13">
        <f t="shared" si="25"/>
        <v>0.23853856952217684</v>
      </c>
      <c r="T105" s="13">
        <f t="shared" si="25"/>
        <v>-0.11496033075921119</v>
      </c>
      <c r="U105" s="13">
        <f t="shared" si="24"/>
        <v>0.30146394605779642</v>
      </c>
      <c r="V105" s="13">
        <f t="shared" si="24"/>
        <v>0.40597875405486394</v>
      </c>
      <c r="W105" s="13">
        <f t="shared" si="24"/>
        <v>0.17072462179696291</v>
      </c>
      <c r="X105" s="13">
        <f t="shared" si="24"/>
        <v>0.3785418006556846</v>
      </c>
      <c r="Y105" s="13">
        <f t="shared" si="24"/>
        <v>2.7122013388161018E-2</v>
      </c>
    </row>
    <row r="106" spans="1:25" x14ac:dyDescent="0.25">
      <c r="A106" s="14">
        <f>[1]Data!A109</f>
        <v>40634</v>
      </c>
      <c r="B106" s="15">
        <f>[1]Data!B109</f>
        <v>2.8550198825919967E-2</v>
      </c>
      <c r="C106" s="15">
        <f>[1]Data!C109</f>
        <v>-3.5155922672446601E-4</v>
      </c>
      <c r="D106" s="16">
        <f>[1]Data!F109</f>
        <v>1.9615172371777657E-2</v>
      </c>
      <c r="E106" s="17">
        <f>[1]Data!G109</f>
        <v>1.3834555326560119E-2</v>
      </c>
      <c r="F106" s="16">
        <f>[1]Data!H109</f>
        <v>5.4909260099414974E-3</v>
      </c>
      <c r="G106" s="17">
        <f>[1]Data!I109</f>
        <v>-1.5200546732369025E-2</v>
      </c>
      <c r="H106" s="18">
        <f t="shared" si="14"/>
        <v>1</v>
      </c>
      <c r="I106" s="19">
        <f t="shared" si="23"/>
        <v>-1</v>
      </c>
      <c r="J106" s="13">
        <f t="shared" si="15"/>
        <v>1.9615172371777657E-2</v>
      </c>
      <c r="K106" s="13">
        <f t="shared" si="16"/>
        <v>0</v>
      </c>
      <c r="L106" s="13">
        <f t="shared" si="17"/>
        <v>-1.3834555326560119E-2</v>
      </c>
      <c r="M106" s="13">
        <f t="shared" si="18"/>
        <v>0</v>
      </c>
      <c r="N106" s="13">
        <f t="shared" si="19"/>
        <v>0</v>
      </c>
      <c r="O106" s="13">
        <f t="shared" si="20"/>
        <v>-5.4909260099414974E-3</v>
      </c>
      <c r="P106" s="13">
        <f t="shared" si="21"/>
        <v>0</v>
      </c>
      <c r="Q106" s="13">
        <f t="shared" si="22"/>
        <v>-1.5200546732369025E-2</v>
      </c>
      <c r="R106" s="13">
        <f t="shared" si="25"/>
        <v>0.34172799524054892</v>
      </c>
      <c r="S106" s="13">
        <f t="shared" si="25"/>
        <v>0.23853856952217684</v>
      </c>
      <c r="T106" s="13">
        <f t="shared" si="25"/>
        <v>-0.1287948860857713</v>
      </c>
      <c r="U106" s="13">
        <f t="shared" si="24"/>
        <v>0.30146394605779642</v>
      </c>
      <c r="V106" s="13">
        <f t="shared" si="24"/>
        <v>0.40597875405486394</v>
      </c>
      <c r="W106" s="13">
        <f t="shared" si="24"/>
        <v>0.16523369578702141</v>
      </c>
      <c r="X106" s="13">
        <f t="shared" si="24"/>
        <v>0.3785418006556846</v>
      </c>
      <c r="Y106" s="13">
        <f t="shared" si="24"/>
        <v>1.1921466655791992E-2</v>
      </c>
    </row>
    <row r="107" spans="1:25" x14ac:dyDescent="0.25">
      <c r="A107" s="14">
        <f>[1]Data!A110</f>
        <v>40664</v>
      </c>
      <c r="B107" s="15">
        <f>[1]Data!B110</f>
        <v>-1.1277764128790937E-2</v>
      </c>
      <c r="C107" s="15">
        <f>[1]Data!C110</f>
        <v>-4.0272204820622513E-2</v>
      </c>
      <c r="D107" s="16">
        <f>[1]Data!F110</f>
        <v>9.6088047945949943E-3</v>
      </c>
      <c r="E107" s="17">
        <f>[1]Data!G110</f>
        <v>1.4270795268562422E-2</v>
      </c>
      <c r="F107" s="16">
        <f>[1]Data!H110</f>
        <v>-1.6480593819797634E-2</v>
      </c>
      <c r="G107" s="17">
        <f>[1]Data!I110</f>
        <v>1.6759048487742442E-2</v>
      </c>
      <c r="H107" s="18">
        <f t="shared" si="14"/>
        <v>1</v>
      </c>
      <c r="I107" s="19">
        <f t="shared" si="23"/>
        <v>-1</v>
      </c>
      <c r="J107" s="13">
        <f t="shared" si="15"/>
        <v>9.6088047945949943E-3</v>
      </c>
      <c r="K107" s="13">
        <f t="shared" si="16"/>
        <v>0</v>
      </c>
      <c r="L107" s="13">
        <f t="shared" si="17"/>
        <v>-1.4270795268562422E-2</v>
      </c>
      <c r="M107" s="13">
        <f t="shared" si="18"/>
        <v>0</v>
      </c>
      <c r="N107" s="13">
        <f t="shared" si="19"/>
        <v>0</v>
      </c>
      <c r="O107" s="13">
        <f t="shared" si="20"/>
        <v>1.6480593819797634E-2</v>
      </c>
      <c r="P107" s="13">
        <f t="shared" si="21"/>
        <v>0</v>
      </c>
      <c r="Q107" s="13">
        <f t="shared" si="22"/>
        <v>1.6759048487742442E-2</v>
      </c>
      <c r="R107" s="13">
        <f t="shared" si="25"/>
        <v>0.35133680003514389</v>
      </c>
      <c r="S107" s="13">
        <f t="shared" si="25"/>
        <v>0.23853856952217684</v>
      </c>
      <c r="T107" s="13">
        <f t="shared" si="25"/>
        <v>-0.14306568135433373</v>
      </c>
      <c r="U107" s="13">
        <f t="shared" si="24"/>
        <v>0.30146394605779642</v>
      </c>
      <c r="V107" s="13">
        <f t="shared" si="24"/>
        <v>0.40597875405486394</v>
      </c>
      <c r="W107" s="13">
        <f t="shared" si="24"/>
        <v>0.18171428960681904</v>
      </c>
      <c r="X107" s="13">
        <f t="shared" si="24"/>
        <v>0.3785418006556846</v>
      </c>
      <c r="Y107" s="13">
        <f t="shared" si="24"/>
        <v>2.8680515143534435E-2</v>
      </c>
    </row>
    <row r="108" spans="1:25" x14ac:dyDescent="0.25">
      <c r="A108" s="14">
        <f>[1]Data!A111</f>
        <v>40695</v>
      </c>
      <c r="B108" s="15">
        <f>[1]Data!B111</f>
        <v>-1.7013925060328533E-2</v>
      </c>
      <c r="C108" s="15">
        <f>[1]Data!C111</f>
        <v>-3.890533164843319E-2</v>
      </c>
      <c r="D108" s="16">
        <f>[1]Data!F111</f>
        <v>1.927997340252488E-2</v>
      </c>
      <c r="E108" s="17">
        <f>[1]Data!G111</f>
        <v>-2.6116251818565899E-2</v>
      </c>
      <c r="F108" s="16">
        <f>[1]Data!H111</f>
        <v>-4.5031748679545007E-2</v>
      </c>
      <c r="G108" s="17">
        <f>[1]Data!I111</f>
        <v>-3.0986630731380639E-3</v>
      </c>
      <c r="H108" s="18">
        <f t="shared" si="14"/>
        <v>1</v>
      </c>
      <c r="I108" s="19">
        <f t="shared" si="23"/>
        <v>-1</v>
      </c>
      <c r="J108" s="13">
        <f t="shared" si="15"/>
        <v>1.927997340252488E-2</v>
      </c>
      <c r="K108" s="13">
        <f t="shared" si="16"/>
        <v>0</v>
      </c>
      <c r="L108" s="13">
        <f t="shared" si="17"/>
        <v>2.6116251818565899E-2</v>
      </c>
      <c r="M108" s="13">
        <f t="shared" si="18"/>
        <v>0</v>
      </c>
      <c r="N108" s="13">
        <f t="shared" si="19"/>
        <v>0</v>
      </c>
      <c r="O108" s="13">
        <f t="shared" si="20"/>
        <v>4.5031748679545007E-2</v>
      </c>
      <c r="P108" s="13">
        <f t="shared" si="21"/>
        <v>0</v>
      </c>
      <c r="Q108" s="13">
        <f t="shared" si="22"/>
        <v>-3.0986630731380639E-3</v>
      </c>
      <c r="R108" s="13">
        <f t="shared" si="25"/>
        <v>0.37061677343766875</v>
      </c>
      <c r="S108" s="13">
        <f t="shared" si="25"/>
        <v>0.23853856952217684</v>
      </c>
      <c r="T108" s="13">
        <f t="shared" si="25"/>
        <v>-0.11694942953576783</v>
      </c>
      <c r="U108" s="13">
        <f t="shared" si="24"/>
        <v>0.30146394605779642</v>
      </c>
      <c r="V108" s="13">
        <f t="shared" si="24"/>
        <v>0.40597875405486394</v>
      </c>
      <c r="W108" s="13">
        <f t="shared" si="24"/>
        <v>0.22674603828636405</v>
      </c>
      <c r="X108" s="13">
        <f t="shared" si="24"/>
        <v>0.3785418006556846</v>
      </c>
      <c r="Y108" s="13">
        <f t="shared" si="24"/>
        <v>2.5581852070396371E-2</v>
      </c>
    </row>
    <row r="109" spans="1:25" x14ac:dyDescent="0.25">
      <c r="A109" s="14">
        <f>[1]Data!A112</f>
        <v>40725</v>
      </c>
      <c r="B109" s="15">
        <f>[1]Data!B112</f>
        <v>-2.0207538717317289E-2</v>
      </c>
      <c r="C109" s="15">
        <f>[1]Data!C112</f>
        <v>-4.3330813625459073E-3</v>
      </c>
      <c r="D109" s="16">
        <f>[1]Data!F112</f>
        <v>-3.979188427792512E-2</v>
      </c>
      <c r="E109" s="17">
        <f>[1]Data!G112</f>
        <v>1.9281706382704929E-2</v>
      </c>
      <c r="F109" s="16">
        <f>[1]Data!H112</f>
        <v>1.8245685977121447E-2</v>
      </c>
      <c r="G109" s="17">
        <f>[1]Data!I112</f>
        <v>1.6811771954745092E-2</v>
      </c>
      <c r="H109" s="18">
        <f t="shared" si="14"/>
        <v>1</v>
      </c>
      <c r="I109" s="19">
        <f t="shared" si="23"/>
        <v>-1</v>
      </c>
      <c r="J109" s="13">
        <f t="shared" si="15"/>
        <v>-3.979188427792512E-2</v>
      </c>
      <c r="K109" s="13">
        <f t="shared" si="16"/>
        <v>0</v>
      </c>
      <c r="L109" s="13">
        <f t="shared" si="17"/>
        <v>-1.9281706382704929E-2</v>
      </c>
      <c r="M109" s="13">
        <f t="shared" si="18"/>
        <v>0</v>
      </c>
      <c r="N109" s="13">
        <f t="shared" si="19"/>
        <v>0</v>
      </c>
      <c r="O109" s="13">
        <f t="shared" si="20"/>
        <v>-1.8245685977121447E-2</v>
      </c>
      <c r="P109" s="13">
        <f t="shared" si="21"/>
        <v>0</v>
      </c>
      <c r="Q109" s="13">
        <f t="shared" si="22"/>
        <v>1.6811771954745092E-2</v>
      </c>
      <c r="R109" s="13">
        <f t="shared" si="25"/>
        <v>0.33082488915974362</v>
      </c>
      <c r="S109" s="13">
        <f t="shared" si="25"/>
        <v>0.23853856952217684</v>
      </c>
      <c r="T109" s="13">
        <f t="shared" si="25"/>
        <v>-0.13623113591847275</v>
      </c>
      <c r="U109" s="13">
        <f t="shared" si="24"/>
        <v>0.30146394605779642</v>
      </c>
      <c r="V109" s="13">
        <f t="shared" si="24"/>
        <v>0.40597875405486394</v>
      </c>
      <c r="W109" s="13">
        <f t="shared" si="24"/>
        <v>0.2085003523092426</v>
      </c>
      <c r="X109" s="13">
        <f t="shared" si="24"/>
        <v>0.3785418006556846</v>
      </c>
      <c r="Y109" s="13">
        <f t="shared" si="24"/>
        <v>4.2393624025141463E-2</v>
      </c>
    </row>
    <row r="110" spans="1:25" x14ac:dyDescent="0.25">
      <c r="A110" s="14">
        <f>[1]Data!A113</f>
        <v>40756</v>
      </c>
      <c r="B110" s="15">
        <f>[1]Data!B113</f>
        <v>-5.6544384857879895E-2</v>
      </c>
      <c r="C110" s="15">
        <f>[1]Data!C113</f>
        <v>-0.26867430397222858</v>
      </c>
      <c r="D110" s="16">
        <f>[1]Data!F113</f>
        <v>8.162601999394177E-2</v>
      </c>
      <c r="E110" s="17">
        <f>[1]Data!G113</f>
        <v>-3.8221473300384987E-2</v>
      </c>
      <c r="F110" s="16">
        <f>[1]Data!H113</f>
        <v>-7.4208900453684459E-2</v>
      </c>
      <c r="G110" s="17">
        <f>[1]Data!I113</f>
        <v>4.7278273792321988E-2</v>
      </c>
      <c r="H110" s="18">
        <f t="shared" si="14"/>
        <v>1</v>
      </c>
      <c r="I110" s="19">
        <f t="shared" si="23"/>
        <v>-1</v>
      </c>
      <c r="J110" s="13">
        <f t="shared" si="15"/>
        <v>8.162601999394177E-2</v>
      </c>
      <c r="K110" s="13">
        <f t="shared" si="16"/>
        <v>0</v>
      </c>
      <c r="L110" s="13">
        <f t="shared" si="17"/>
        <v>3.8221473300384987E-2</v>
      </c>
      <c r="M110" s="13">
        <f t="shared" si="18"/>
        <v>0</v>
      </c>
      <c r="N110" s="13">
        <f t="shared" si="19"/>
        <v>0</v>
      </c>
      <c r="O110" s="13">
        <f t="shared" si="20"/>
        <v>7.4208900453684459E-2</v>
      </c>
      <c r="P110" s="13">
        <f t="shared" si="21"/>
        <v>0</v>
      </c>
      <c r="Q110" s="13">
        <f t="shared" si="22"/>
        <v>4.7278273792321988E-2</v>
      </c>
      <c r="R110" s="13">
        <f t="shared" si="25"/>
        <v>0.41245090915368537</v>
      </c>
      <c r="S110" s="13">
        <f t="shared" si="25"/>
        <v>0.23853856952217684</v>
      </c>
      <c r="T110" s="13">
        <f t="shared" si="25"/>
        <v>-9.8009662618087759E-2</v>
      </c>
      <c r="U110" s="13">
        <f t="shared" si="24"/>
        <v>0.30146394605779642</v>
      </c>
      <c r="V110" s="13">
        <f t="shared" si="24"/>
        <v>0.40597875405486394</v>
      </c>
      <c r="W110" s="13">
        <f t="shared" si="24"/>
        <v>0.28270925276292708</v>
      </c>
      <c r="X110" s="13">
        <f t="shared" si="24"/>
        <v>0.3785418006556846</v>
      </c>
      <c r="Y110" s="13">
        <f t="shared" si="24"/>
        <v>8.9671897817463458E-2</v>
      </c>
    </row>
    <row r="111" spans="1:25" x14ac:dyDescent="0.25">
      <c r="A111" s="14">
        <f>[1]Data!A114</f>
        <v>40787</v>
      </c>
      <c r="B111" s="15">
        <f>[1]Data!B114</f>
        <v>-7.1948067164102666E-2</v>
      </c>
      <c r="C111" s="15">
        <f>[1]Data!C114</f>
        <v>-0.21757850379320046</v>
      </c>
      <c r="D111" s="16">
        <f>[1]Data!F114</f>
        <v>2.5666604860091757E-3</v>
      </c>
      <c r="E111" s="17">
        <f>[1]Data!G114</f>
        <v>-1.9024245740489446E-2</v>
      </c>
      <c r="F111" s="16">
        <f>[1]Data!H114</f>
        <v>-2.6363096536001364E-2</v>
      </c>
      <c r="G111" s="17">
        <f>[1]Data!I114</f>
        <v>5.2946010994901239E-2</v>
      </c>
      <c r="H111" s="18">
        <f t="shared" si="14"/>
        <v>1</v>
      </c>
      <c r="I111" s="19">
        <f t="shared" si="23"/>
        <v>-1</v>
      </c>
      <c r="J111" s="13">
        <f t="shared" si="15"/>
        <v>2.5666604860091757E-3</v>
      </c>
      <c r="K111" s="13">
        <f t="shared" si="16"/>
        <v>0</v>
      </c>
      <c r="L111" s="13">
        <f t="shared" si="17"/>
        <v>1.9024245740489446E-2</v>
      </c>
      <c r="M111" s="13">
        <f t="shared" si="18"/>
        <v>0</v>
      </c>
      <c r="N111" s="13">
        <f t="shared" si="19"/>
        <v>0</v>
      </c>
      <c r="O111" s="13">
        <f t="shared" si="20"/>
        <v>2.6363096536001364E-2</v>
      </c>
      <c r="P111" s="13">
        <f t="shared" si="21"/>
        <v>0</v>
      </c>
      <c r="Q111" s="13">
        <f t="shared" si="22"/>
        <v>5.2946010994901239E-2</v>
      </c>
      <c r="R111" s="13">
        <f t="shared" si="25"/>
        <v>0.41501756963969455</v>
      </c>
      <c r="S111" s="13">
        <f t="shared" si="25"/>
        <v>0.23853856952217684</v>
      </c>
      <c r="T111" s="13">
        <f t="shared" si="25"/>
        <v>-7.8985416877598316E-2</v>
      </c>
      <c r="U111" s="13">
        <f t="shared" si="24"/>
        <v>0.30146394605779642</v>
      </c>
      <c r="V111" s="13">
        <f t="shared" si="24"/>
        <v>0.40597875405486394</v>
      </c>
      <c r="W111" s="13">
        <f t="shared" si="24"/>
        <v>0.30907234929892846</v>
      </c>
      <c r="X111" s="13">
        <f t="shared" si="24"/>
        <v>0.3785418006556846</v>
      </c>
      <c r="Y111" s="13">
        <f t="shared" si="24"/>
        <v>0.14261790881236469</v>
      </c>
    </row>
    <row r="112" spans="1:25" x14ac:dyDescent="0.25">
      <c r="A112" s="14">
        <f>[1]Data!A115</f>
        <v>40817</v>
      </c>
      <c r="B112" s="15">
        <f>[1]Data!B115</f>
        <v>0.10359142321300968</v>
      </c>
      <c r="C112" s="15">
        <f>[1]Data!C115</f>
        <v>0.15438671107540722</v>
      </c>
      <c r="D112" s="16">
        <f>[1]Data!F115</f>
        <v>1.2266253356363208E-2</v>
      </c>
      <c r="E112" s="17">
        <f>[1]Data!G115</f>
        <v>2.4017114349233752E-2</v>
      </c>
      <c r="F112" s="16">
        <f>[1]Data!H115</f>
        <v>2.2372794256617923E-2</v>
      </c>
      <c r="G112" s="17">
        <f>[1]Data!I115</f>
        <v>-1.8882671401672109E-2</v>
      </c>
      <c r="H112" s="18">
        <f t="shared" si="14"/>
        <v>-1</v>
      </c>
      <c r="I112" s="19">
        <f t="shared" si="23"/>
        <v>-1</v>
      </c>
      <c r="J112" s="13">
        <f t="shared" si="15"/>
        <v>0</v>
      </c>
      <c r="K112" s="13">
        <f t="shared" si="16"/>
        <v>-1.2266253356363208E-2</v>
      </c>
      <c r="L112" s="13">
        <f t="shared" si="17"/>
        <v>0</v>
      </c>
      <c r="M112" s="13">
        <f t="shared" si="18"/>
        <v>2.4017114349233752E-2</v>
      </c>
      <c r="N112" s="13">
        <f t="shared" si="19"/>
        <v>0</v>
      </c>
      <c r="O112" s="13">
        <f t="shared" si="20"/>
        <v>-2.2372794256617923E-2</v>
      </c>
      <c r="P112" s="13">
        <f t="shared" si="21"/>
        <v>0</v>
      </c>
      <c r="Q112" s="13">
        <f t="shared" si="22"/>
        <v>-1.8882671401672109E-2</v>
      </c>
      <c r="R112" s="13">
        <f t="shared" si="25"/>
        <v>0.41501756963969455</v>
      </c>
      <c r="S112" s="13">
        <f t="shared" si="25"/>
        <v>0.22627231616581361</v>
      </c>
      <c r="T112" s="13">
        <f t="shared" si="25"/>
        <v>-7.8985416877598316E-2</v>
      </c>
      <c r="U112" s="13">
        <f t="shared" si="24"/>
        <v>0.32548106040703018</v>
      </c>
      <c r="V112" s="13">
        <f t="shared" si="24"/>
        <v>0.40597875405486394</v>
      </c>
      <c r="W112" s="13">
        <f t="shared" si="24"/>
        <v>0.28669955504231054</v>
      </c>
      <c r="X112" s="13">
        <f t="shared" si="24"/>
        <v>0.3785418006556846</v>
      </c>
      <c r="Y112" s="13">
        <f t="shared" si="24"/>
        <v>0.12373523741069259</v>
      </c>
    </row>
    <row r="113" spans="1:25" x14ac:dyDescent="0.25">
      <c r="A113" s="14">
        <f>[1]Data!A116</f>
        <v>40848</v>
      </c>
      <c r="B113" s="15">
        <f>[1]Data!B116</f>
        <v>-4.072108220249622E-3</v>
      </c>
      <c r="C113" s="15">
        <f>[1]Data!C116</f>
        <v>-8.558827985879304E-2</v>
      </c>
      <c r="D113" s="16">
        <f>[1]Data!F116</f>
        <v>4.3579189455223197E-2</v>
      </c>
      <c r="E113" s="17">
        <f>[1]Data!G116</f>
        <v>-1.8241588904745618E-2</v>
      </c>
      <c r="F113" s="16">
        <f>[1]Data!H116</f>
        <v>6.0374496991784897E-3</v>
      </c>
      <c r="G113" s="17">
        <f>[1]Data!I116</f>
        <v>1.4081265123699026E-2</v>
      </c>
      <c r="H113" s="18">
        <f t="shared" si="14"/>
        <v>1</v>
      </c>
      <c r="I113" s="19">
        <f t="shared" si="23"/>
        <v>1</v>
      </c>
      <c r="J113" s="13">
        <f t="shared" si="15"/>
        <v>4.3579189455223197E-2</v>
      </c>
      <c r="K113" s="13">
        <f t="shared" si="16"/>
        <v>0</v>
      </c>
      <c r="L113" s="13">
        <f t="shared" si="17"/>
        <v>1.8241588904745618E-2</v>
      </c>
      <c r="M113" s="13">
        <f t="shared" si="18"/>
        <v>0</v>
      </c>
      <c r="N113" s="13">
        <f t="shared" si="19"/>
        <v>6.0374496991784897E-3</v>
      </c>
      <c r="O113" s="13">
        <f t="shared" si="20"/>
        <v>0</v>
      </c>
      <c r="P113" s="13">
        <f t="shared" si="21"/>
        <v>-1.4081265123699026E-2</v>
      </c>
      <c r="Q113" s="13">
        <f t="shared" si="22"/>
        <v>0</v>
      </c>
      <c r="R113" s="13">
        <f t="shared" si="25"/>
        <v>0.45859675909491776</v>
      </c>
      <c r="S113" s="13">
        <f t="shared" si="25"/>
        <v>0.22627231616581361</v>
      </c>
      <c r="T113" s="13">
        <f t="shared" si="25"/>
        <v>-6.0743827972852701E-2</v>
      </c>
      <c r="U113" s="13">
        <f t="shared" si="24"/>
        <v>0.32548106040703018</v>
      </c>
      <c r="V113" s="13">
        <f t="shared" si="24"/>
        <v>0.41201620375404241</v>
      </c>
      <c r="W113" s="13">
        <f t="shared" si="24"/>
        <v>0.28669955504231054</v>
      </c>
      <c r="X113" s="13">
        <f t="shared" si="24"/>
        <v>0.3644605355319856</v>
      </c>
      <c r="Y113" s="13">
        <f t="shared" si="24"/>
        <v>0.12373523741069259</v>
      </c>
    </row>
    <row r="114" spans="1:25" x14ac:dyDescent="0.25">
      <c r="A114" s="14">
        <f>[1]Data!A117</f>
        <v>40878</v>
      </c>
      <c r="B114" s="15">
        <f>[1]Data!B117</f>
        <v>1.0394239366066014E-2</v>
      </c>
      <c r="C114" s="15">
        <f>[1]Data!C117</f>
        <v>-1.3019924017450286E-2</v>
      </c>
      <c r="D114" s="16">
        <f>[1]Data!F117</f>
        <v>1.0654518659416193E-2</v>
      </c>
      <c r="E114" s="17">
        <f>[1]Data!G117</f>
        <v>2.1109373590297395E-2</v>
      </c>
      <c r="F114" s="16">
        <f>[1]Data!H117</f>
        <v>1.3825319904160062E-2</v>
      </c>
      <c r="G114" s="17">
        <f>[1]Data!I117</f>
        <v>8.5004242264216006E-4</v>
      </c>
      <c r="H114" s="18">
        <f t="shared" si="14"/>
        <v>1</v>
      </c>
      <c r="I114" s="19">
        <f t="shared" si="23"/>
        <v>-1</v>
      </c>
      <c r="J114" s="13">
        <f t="shared" si="15"/>
        <v>1.0654518659416193E-2</v>
      </c>
      <c r="K114" s="13">
        <f t="shared" si="16"/>
        <v>0</v>
      </c>
      <c r="L114" s="13">
        <f t="shared" si="17"/>
        <v>-2.1109373590297395E-2</v>
      </c>
      <c r="M114" s="13">
        <f t="shared" si="18"/>
        <v>0</v>
      </c>
      <c r="N114" s="13">
        <f t="shared" si="19"/>
        <v>0</v>
      </c>
      <c r="O114" s="13">
        <f t="shared" si="20"/>
        <v>-1.3825319904160062E-2</v>
      </c>
      <c r="P114" s="13">
        <f t="shared" si="21"/>
        <v>0</v>
      </c>
      <c r="Q114" s="13">
        <f t="shared" si="22"/>
        <v>8.5004242264216006E-4</v>
      </c>
      <c r="R114" s="13">
        <f t="shared" si="25"/>
        <v>0.46925127775433395</v>
      </c>
      <c r="S114" s="13">
        <f t="shared" si="25"/>
        <v>0.22627231616581361</v>
      </c>
      <c r="T114" s="13">
        <f t="shared" si="25"/>
        <v>-8.1853201563150096E-2</v>
      </c>
      <c r="U114" s="13">
        <f t="shared" si="24"/>
        <v>0.32548106040703018</v>
      </c>
      <c r="V114" s="13">
        <f t="shared" si="24"/>
        <v>0.41201620375404241</v>
      </c>
      <c r="W114" s="13">
        <f t="shared" si="24"/>
        <v>0.27287423513815046</v>
      </c>
      <c r="X114" s="13">
        <f t="shared" si="24"/>
        <v>0.3644605355319856</v>
      </c>
      <c r="Y114" s="13">
        <f t="shared" si="24"/>
        <v>0.12458527983333476</v>
      </c>
    </row>
    <row r="115" spans="1:25" x14ac:dyDescent="0.25">
      <c r="A115" s="14">
        <f>[1]Data!A118</f>
        <v>40909</v>
      </c>
      <c r="B115" s="15">
        <f>[1]Data!B118</f>
        <v>4.5331251108184228E-2</v>
      </c>
      <c r="C115" s="15">
        <f>[1]Data!C118</f>
        <v>8.6789695614172074E-2</v>
      </c>
      <c r="D115" s="16">
        <f>[1]Data!F118</f>
        <v>-1.065421663953015E-3</v>
      </c>
      <c r="E115" s="17">
        <f>[1]Data!G118</f>
        <v>3.7088764635217292E-2</v>
      </c>
      <c r="F115" s="16">
        <f>[1]Data!H118</f>
        <v>1.9880556128924105E-2</v>
      </c>
      <c r="G115" s="17">
        <f>[1]Data!I118</f>
        <v>-2.2772392072328458E-2</v>
      </c>
      <c r="H115" s="18">
        <f t="shared" si="14"/>
        <v>-1</v>
      </c>
      <c r="I115" s="19">
        <f t="shared" si="23"/>
        <v>-1</v>
      </c>
      <c r="J115" s="13">
        <f t="shared" si="15"/>
        <v>0</v>
      </c>
      <c r="K115" s="13">
        <f t="shared" si="16"/>
        <v>1.065421663953015E-3</v>
      </c>
      <c r="L115" s="13">
        <f t="shared" si="17"/>
        <v>0</v>
      </c>
      <c r="M115" s="13">
        <f t="shared" si="18"/>
        <v>3.7088764635217292E-2</v>
      </c>
      <c r="N115" s="13">
        <f t="shared" si="19"/>
        <v>0</v>
      </c>
      <c r="O115" s="13">
        <f t="shared" si="20"/>
        <v>-1.9880556128924105E-2</v>
      </c>
      <c r="P115" s="13">
        <f t="shared" si="21"/>
        <v>0</v>
      </c>
      <c r="Q115" s="13">
        <f t="shared" si="22"/>
        <v>-2.2772392072328458E-2</v>
      </c>
      <c r="R115" s="13">
        <f t="shared" si="25"/>
        <v>0.46925127775433395</v>
      </c>
      <c r="S115" s="13">
        <f t="shared" si="25"/>
        <v>0.22733773782976663</v>
      </c>
      <c r="T115" s="13">
        <f t="shared" si="25"/>
        <v>-8.1853201563150096E-2</v>
      </c>
      <c r="U115" s="13">
        <f t="shared" si="24"/>
        <v>0.36256982504224744</v>
      </c>
      <c r="V115" s="13">
        <f t="shared" si="24"/>
        <v>0.41201620375404241</v>
      </c>
      <c r="W115" s="13">
        <f t="shared" si="24"/>
        <v>0.25299367900922637</v>
      </c>
      <c r="X115" s="13">
        <f t="shared" si="24"/>
        <v>0.3644605355319856</v>
      </c>
      <c r="Y115" s="13">
        <f t="shared" si="24"/>
        <v>0.1018128877610063</v>
      </c>
    </row>
    <row r="116" spans="1:25" x14ac:dyDescent="0.25">
      <c r="A116" s="14">
        <f>[1]Data!A119</f>
        <v>40940</v>
      </c>
      <c r="B116" s="15">
        <f>[1]Data!B119</f>
        <v>4.2489821219877516E-2</v>
      </c>
      <c r="C116" s="15">
        <f>[1]Data!C119</f>
        <v>6.7445147980817521E-2</v>
      </c>
      <c r="D116" s="16">
        <f>[1]Data!F119</f>
        <v>7.2514587926275475E-3</v>
      </c>
      <c r="E116" s="17">
        <f>[1]Data!G119</f>
        <v>5.89311887905738E-3</v>
      </c>
      <c r="F116" s="16">
        <f>[1]Data!H119</f>
        <v>2.6080853381627578E-2</v>
      </c>
      <c r="G116" s="17">
        <f>[1]Data!I119</f>
        <v>-3.6241142283388358E-2</v>
      </c>
      <c r="H116" s="18">
        <f t="shared" si="14"/>
        <v>-1</v>
      </c>
      <c r="I116" s="19">
        <f t="shared" si="23"/>
        <v>1</v>
      </c>
      <c r="J116" s="13">
        <f t="shared" si="15"/>
        <v>0</v>
      </c>
      <c r="K116" s="13">
        <f t="shared" si="16"/>
        <v>-7.2514587926275475E-3</v>
      </c>
      <c r="L116" s="13">
        <f t="shared" si="17"/>
        <v>0</v>
      </c>
      <c r="M116" s="13">
        <f t="shared" si="18"/>
        <v>5.89311887905738E-3</v>
      </c>
      <c r="N116" s="13">
        <f t="shared" si="19"/>
        <v>2.6080853381627578E-2</v>
      </c>
      <c r="O116" s="13">
        <f t="shared" si="20"/>
        <v>0</v>
      </c>
      <c r="P116" s="13">
        <f t="shared" si="21"/>
        <v>3.6241142283388358E-2</v>
      </c>
      <c r="Q116" s="13">
        <f t="shared" si="22"/>
        <v>0</v>
      </c>
      <c r="R116" s="13">
        <f t="shared" si="25"/>
        <v>0.46925127775433395</v>
      </c>
      <c r="S116" s="13">
        <f t="shared" si="25"/>
        <v>0.22008627903713909</v>
      </c>
      <c r="T116" s="13">
        <f t="shared" si="25"/>
        <v>-8.1853201563150096E-2</v>
      </c>
      <c r="U116" s="13">
        <f t="shared" si="24"/>
        <v>0.3684629439213048</v>
      </c>
      <c r="V116" s="13">
        <f t="shared" si="24"/>
        <v>0.43809705713566999</v>
      </c>
      <c r="W116" s="13">
        <f t="shared" si="24"/>
        <v>0.25299367900922637</v>
      </c>
      <c r="X116" s="13">
        <f t="shared" si="24"/>
        <v>0.40070167781537397</v>
      </c>
      <c r="Y116" s="13">
        <f t="shared" si="24"/>
        <v>0.1018128877610063</v>
      </c>
    </row>
    <row r="117" spans="1:25" x14ac:dyDescent="0.25">
      <c r="A117" s="14">
        <f>[1]Data!A120</f>
        <v>40969</v>
      </c>
      <c r="B117" s="15">
        <f>[1]Data!B120</f>
        <v>3.1657201195968959E-2</v>
      </c>
      <c r="C117" s="15">
        <f>[1]Data!C120</f>
        <v>7.4331433200827773E-2</v>
      </c>
      <c r="D117" s="16">
        <f>[1]Data!F120</f>
        <v>4.2696125022608136E-3</v>
      </c>
      <c r="E117" s="17">
        <f>[1]Data!G120</f>
        <v>3.661080840336825E-3</v>
      </c>
      <c r="F117" s="16">
        <f>[1]Data!H120</f>
        <v>-9.7543535179439658E-3</v>
      </c>
      <c r="G117" s="17">
        <f>[1]Data!I120</f>
        <v>-2.1616281091293649E-3</v>
      </c>
      <c r="H117" s="18">
        <f t="shared" si="14"/>
        <v>-1</v>
      </c>
      <c r="I117" s="19">
        <f t="shared" si="23"/>
        <v>1</v>
      </c>
      <c r="J117" s="13">
        <f t="shared" si="15"/>
        <v>0</v>
      </c>
      <c r="K117" s="13">
        <f t="shared" si="16"/>
        <v>-4.2696125022608136E-3</v>
      </c>
      <c r="L117" s="13">
        <f t="shared" si="17"/>
        <v>0</v>
      </c>
      <c r="M117" s="13">
        <f t="shared" si="18"/>
        <v>3.661080840336825E-3</v>
      </c>
      <c r="N117" s="13">
        <f t="shared" si="19"/>
        <v>-9.7543535179439658E-3</v>
      </c>
      <c r="O117" s="13">
        <f t="shared" si="20"/>
        <v>0</v>
      </c>
      <c r="P117" s="13">
        <f t="shared" si="21"/>
        <v>2.1616281091293649E-3</v>
      </c>
      <c r="Q117" s="13">
        <f t="shared" si="22"/>
        <v>0</v>
      </c>
      <c r="R117" s="13">
        <f t="shared" si="25"/>
        <v>0.46925127775433395</v>
      </c>
      <c r="S117" s="13">
        <f t="shared" si="25"/>
        <v>0.21581666653487827</v>
      </c>
      <c r="T117" s="13">
        <f t="shared" si="25"/>
        <v>-8.1853201563150096E-2</v>
      </c>
      <c r="U117" s="13">
        <f t="shared" si="24"/>
        <v>0.37212402476164164</v>
      </c>
      <c r="V117" s="13">
        <f t="shared" si="24"/>
        <v>0.42834270361772603</v>
      </c>
      <c r="W117" s="13">
        <f t="shared" si="24"/>
        <v>0.25299367900922637</v>
      </c>
      <c r="X117" s="13">
        <f t="shared" si="24"/>
        <v>0.40286330592450331</v>
      </c>
      <c r="Y117" s="13">
        <f t="shared" si="24"/>
        <v>0.1018128877610063</v>
      </c>
    </row>
    <row r="118" spans="1:25" x14ac:dyDescent="0.25">
      <c r="A118" s="14">
        <f>[1]Data!A121</f>
        <v>41000</v>
      </c>
      <c r="B118" s="15">
        <f>[1]Data!B121</f>
        <v>-6.6975610043536115E-3</v>
      </c>
      <c r="C118" s="15">
        <f>[1]Data!C121</f>
        <v>-8.1276005959366626E-2</v>
      </c>
      <c r="D118" s="16">
        <f>[1]Data!F121</f>
        <v>2.2266788322080872E-2</v>
      </c>
      <c r="E118" s="17">
        <f>[1]Data!G121</f>
        <v>-5.1017262227358012E-3</v>
      </c>
      <c r="F118" s="16">
        <f>[1]Data!H121</f>
        <v>-1.856489592984403E-2</v>
      </c>
      <c r="G118" s="17">
        <f>[1]Data!I121</f>
        <v>3.2008037126986931E-2</v>
      </c>
      <c r="H118" s="18">
        <f t="shared" si="14"/>
        <v>1</v>
      </c>
      <c r="I118" s="19">
        <f t="shared" si="23"/>
        <v>1</v>
      </c>
      <c r="J118" s="13">
        <f t="shared" si="15"/>
        <v>2.2266788322080872E-2</v>
      </c>
      <c r="K118" s="13">
        <f t="shared" si="16"/>
        <v>0</v>
      </c>
      <c r="L118" s="13">
        <f t="shared" si="17"/>
        <v>5.1017262227358012E-3</v>
      </c>
      <c r="M118" s="13">
        <f t="shared" si="18"/>
        <v>0</v>
      </c>
      <c r="N118" s="13">
        <f t="shared" si="19"/>
        <v>-1.856489592984403E-2</v>
      </c>
      <c r="O118" s="13">
        <f t="shared" si="20"/>
        <v>0</v>
      </c>
      <c r="P118" s="13">
        <f t="shared" si="21"/>
        <v>-3.2008037126986931E-2</v>
      </c>
      <c r="Q118" s="13">
        <f t="shared" si="22"/>
        <v>0</v>
      </c>
      <c r="R118" s="13">
        <f t="shared" si="25"/>
        <v>0.49151806607641479</v>
      </c>
      <c r="S118" s="13">
        <f t="shared" si="25"/>
        <v>0.21581666653487827</v>
      </c>
      <c r="T118" s="13">
        <f t="shared" si="25"/>
        <v>-7.6751475340414294E-2</v>
      </c>
      <c r="U118" s="13">
        <f t="shared" si="24"/>
        <v>0.37212402476164164</v>
      </c>
      <c r="V118" s="13">
        <f t="shared" si="24"/>
        <v>0.40977780768788202</v>
      </c>
      <c r="W118" s="13">
        <f t="shared" si="24"/>
        <v>0.25299367900922637</v>
      </c>
      <c r="X118" s="13">
        <f t="shared" si="24"/>
        <v>0.3708552687975164</v>
      </c>
      <c r="Y118" s="13">
        <f t="shared" si="24"/>
        <v>0.1018128877610063</v>
      </c>
    </row>
    <row r="119" spans="1:25" x14ac:dyDescent="0.25">
      <c r="A119" s="14">
        <f>[1]Data!A122</f>
        <v>41030</v>
      </c>
      <c r="B119" s="15">
        <f>[1]Data!B122</f>
        <v>-6.1934980313862131E-2</v>
      </c>
      <c r="C119" s="15">
        <f>[1]Data!C122</f>
        <v>-0.11544675407236324</v>
      </c>
      <c r="D119" s="16">
        <f>[1]Data!F122</f>
        <v>-3.7958725346883613E-3</v>
      </c>
      <c r="E119" s="17">
        <f>[1]Data!G122</f>
        <v>2.9102305244142909E-2</v>
      </c>
      <c r="F119" s="16">
        <f>[1]Data!H122</f>
        <v>-2.0003078795206145E-2</v>
      </c>
      <c r="G119" s="17">
        <f>[1]Data!I122</f>
        <v>9.5497825615567713E-3</v>
      </c>
      <c r="H119" s="18">
        <f t="shared" si="14"/>
        <v>1</v>
      </c>
      <c r="I119" s="19">
        <f t="shared" si="23"/>
        <v>-1</v>
      </c>
      <c r="J119" s="13">
        <f t="shared" si="15"/>
        <v>-3.7958725346883613E-3</v>
      </c>
      <c r="K119" s="13">
        <f t="shared" si="16"/>
        <v>0</v>
      </c>
      <c r="L119" s="13">
        <f t="shared" si="17"/>
        <v>-2.9102305244142909E-2</v>
      </c>
      <c r="M119" s="13">
        <f t="shared" si="18"/>
        <v>0</v>
      </c>
      <c r="N119" s="13">
        <f t="shared" si="19"/>
        <v>0</v>
      </c>
      <c r="O119" s="13">
        <f t="shared" si="20"/>
        <v>2.0003078795206145E-2</v>
      </c>
      <c r="P119" s="13">
        <f t="shared" si="21"/>
        <v>0</v>
      </c>
      <c r="Q119" s="13">
        <f t="shared" si="22"/>
        <v>9.5497825615567713E-3</v>
      </c>
      <c r="R119" s="13">
        <f t="shared" si="25"/>
        <v>0.48772219354172641</v>
      </c>
      <c r="S119" s="13">
        <f t="shared" si="25"/>
        <v>0.21581666653487827</v>
      </c>
      <c r="T119" s="13">
        <f t="shared" si="25"/>
        <v>-0.1058537805845572</v>
      </c>
      <c r="U119" s="13">
        <f t="shared" si="24"/>
        <v>0.37212402476164164</v>
      </c>
      <c r="V119" s="13">
        <f t="shared" si="24"/>
        <v>0.40977780768788202</v>
      </c>
      <c r="W119" s="13">
        <f t="shared" si="24"/>
        <v>0.2729967578044325</v>
      </c>
      <c r="X119" s="13">
        <f t="shared" si="24"/>
        <v>0.3708552687975164</v>
      </c>
      <c r="Y119" s="13">
        <f t="shared" si="24"/>
        <v>0.11136267032256307</v>
      </c>
    </row>
    <row r="120" spans="1:25" x14ac:dyDescent="0.25">
      <c r="A120" s="14">
        <f>[1]Data!A123</f>
        <v>41061</v>
      </c>
      <c r="B120" s="15">
        <f>[1]Data!B123</f>
        <v>3.9779032348415816E-2</v>
      </c>
      <c r="C120" s="15">
        <f>[1]Data!C123</f>
        <v>1.7454644709188637E-2</v>
      </c>
      <c r="D120" s="16">
        <f>[1]Data!F123</f>
        <v>2.7260132793923905E-2</v>
      </c>
      <c r="E120" s="17">
        <f>[1]Data!G123</f>
        <v>-1.1988335207081851E-2</v>
      </c>
      <c r="F120" s="16">
        <f>[1]Data!H123</f>
        <v>4.4016722021644897E-3</v>
      </c>
      <c r="G120" s="17">
        <f>[1]Data!I123</f>
        <v>-1.6604999560539613E-2</v>
      </c>
      <c r="H120" s="18">
        <f t="shared" si="14"/>
        <v>-1</v>
      </c>
      <c r="I120" s="19">
        <f t="shared" si="23"/>
        <v>-1</v>
      </c>
      <c r="J120" s="13">
        <f t="shared" si="15"/>
        <v>0</v>
      </c>
      <c r="K120" s="13">
        <f t="shared" si="16"/>
        <v>-2.7260132793923905E-2</v>
      </c>
      <c r="L120" s="13">
        <f t="shared" si="17"/>
        <v>0</v>
      </c>
      <c r="M120" s="13">
        <f t="shared" si="18"/>
        <v>-1.1988335207081851E-2</v>
      </c>
      <c r="N120" s="13">
        <f t="shared" si="19"/>
        <v>0</v>
      </c>
      <c r="O120" s="13">
        <f t="shared" si="20"/>
        <v>-4.4016722021644897E-3</v>
      </c>
      <c r="P120" s="13">
        <f t="shared" si="21"/>
        <v>0</v>
      </c>
      <c r="Q120" s="13">
        <f t="shared" si="22"/>
        <v>-1.6604999560539613E-2</v>
      </c>
      <c r="R120" s="13">
        <f t="shared" si="25"/>
        <v>0.48772219354172641</v>
      </c>
      <c r="S120" s="13">
        <f t="shared" si="25"/>
        <v>0.18855653374095438</v>
      </c>
      <c r="T120" s="13">
        <f t="shared" si="25"/>
        <v>-0.1058537805845572</v>
      </c>
      <c r="U120" s="13">
        <f t="shared" si="24"/>
        <v>0.36013568955455977</v>
      </c>
      <c r="V120" s="13">
        <f t="shared" si="24"/>
        <v>0.40977780768788202</v>
      </c>
      <c r="W120" s="13">
        <f t="shared" si="24"/>
        <v>0.26859508560226802</v>
      </c>
      <c r="X120" s="13">
        <f t="shared" si="24"/>
        <v>0.3708552687975164</v>
      </c>
      <c r="Y120" s="13">
        <f t="shared" si="24"/>
        <v>9.475767076202346E-2</v>
      </c>
    </row>
    <row r="121" spans="1:25" x14ac:dyDescent="0.25">
      <c r="A121" s="14">
        <f>[1]Data!A124</f>
        <v>41091</v>
      </c>
      <c r="B121" s="15">
        <f>[1]Data!B124</f>
        <v>1.1760430159140101E-2</v>
      </c>
      <c r="C121" s="15">
        <f>[1]Data!C124</f>
        <v>-5.3279894770597469E-2</v>
      </c>
      <c r="D121" s="16">
        <f>[1]Data!F124</f>
        <v>1.9209046741155276E-2</v>
      </c>
      <c r="E121" s="17">
        <f>[1]Data!G124</f>
        <v>-8.3687163696615566E-3</v>
      </c>
      <c r="F121" s="16">
        <f>[1]Data!H124</f>
        <v>-5.7472773109411967E-3</v>
      </c>
      <c r="G121" s="17">
        <f>[1]Data!I124</f>
        <v>2.5673379215753946E-2</v>
      </c>
      <c r="H121" s="18">
        <f t="shared" si="14"/>
        <v>1</v>
      </c>
      <c r="I121" s="19">
        <f t="shared" si="23"/>
        <v>1</v>
      </c>
      <c r="J121" s="13">
        <f t="shared" si="15"/>
        <v>1.9209046741155276E-2</v>
      </c>
      <c r="K121" s="13">
        <f t="shared" si="16"/>
        <v>0</v>
      </c>
      <c r="L121" s="13">
        <f t="shared" si="17"/>
        <v>8.3687163696615566E-3</v>
      </c>
      <c r="M121" s="13">
        <f t="shared" si="18"/>
        <v>0</v>
      </c>
      <c r="N121" s="13">
        <f t="shared" si="19"/>
        <v>-5.7472773109411967E-3</v>
      </c>
      <c r="O121" s="13">
        <f t="shared" si="20"/>
        <v>0</v>
      </c>
      <c r="P121" s="13">
        <f t="shared" si="21"/>
        <v>-2.5673379215753946E-2</v>
      </c>
      <c r="Q121" s="13">
        <f t="shared" si="22"/>
        <v>0</v>
      </c>
      <c r="R121" s="13">
        <f t="shared" si="25"/>
        <v>0.50693124028288172</v>
      </c>
      <c r="S121" s="13">
        <f t="shared" si="25"/>
        <v>0.18855653374095438</v>
      </c>
      <c r="T121" s="13">
        <f t="shared" si="25"/>
        <v>-9.7485064214895639E-2</v>
      </c>
      <c r="U121" s="13">
        <f t="shared" si="24"/>
        <v>0.36013568955455977</v>
      </c>
      <c r="V121" s="13">
        <f t="shared" si="24"/>
        <v>0.40403053037694081</v>
      </c>
      <c r="W121" s="13">
        <f t="shared" si="24"/>
        <v>0.26859508560226802</v>
      </c>
      <c r="X121" s="13">
        <f t="shared" si="24"/>
        <v>0.34518188958176244</v>
      </c>
      <c r="Y121" s="13">
        <f t="shared" si="24"/>
        <v>9.475767076202346E-2</v>
      </c>
    </row>
    <row r="122" spans="1:25" x14ac:dyDescent="0.25">
      <c r="A122" s="14">
        <f>[1]Data!A125</f>
        <v>41122</v>
      </c>
      <c r="B122" s="15">
        <f>[1]Data!B125</f>
        <v>2.4743700121654916E-2</v>
      </c>
      <c r="C122" s="15">
        <f>[1]Data!C125</f>
        <v>8.4889605268528373E-2</v>
      </c>
      <c r="D122" s="16">
        <f>[1]Data!F125</f>
        <v>-4.2413178444685486E-3</v>
      </c>
      <c r="E122" s="17">
        <f>[1]Data!G125</f>
        <v>4.2627540726792826E-2</v>
      </c>
      <c r="F122" s="16">
        <f>[1]Data!H125</f>
        <v>1.8775498094816039E-2</v>
      </c>
      <c r="G122" s="17">
        <f>[1]Data!I125</f>
        <v>-2.81850807339276E-2</v>
      </c>
      <c r="H122" s="18">
        <f t="shared" si="14"/>
        <v>-1</v>
      </c>
      <c r="I122" s="19">
        <f t="shared" si="23"/>
        <v>-1</v>
      </c>
      <c r="J122" s="13">
        <f t="shared" si="15"/>
        <v>0</v>
      </c>
      <c r="K122" s="13">
        <f t="shared" si="16"/>
        <v>4.2413178444685486E-3</v>
      </c>
      <c r="L122" s="13">
        <f t="shared" si="17"/>
        <v>0</v>
      </c>
      <c r="M122" s="13">
        <f t="shared" si="18"/>
        <v>4.2627540726792826E-2</v>
      </c>
      <c r="N122" s="13">
        <f t="shared" si="19"/>
        <v>0</v>
      </c>
      <c r="O122" s="13">
        <f t="shared" si="20"/>
        <v>-1.8775498094816039E-2</v>
      </c>
      <c r="P122" s="13">
        <f t="shared" si="21"/>
        <v>0</v>
      </c>
      <c r="Q122" s="13">
        <f t="shared" si="22"/>
        <v>-2.81850807339276E-2</v>
      </c>
      <c r="R122" s="13">
        <f t="shared" si="25"/>
        <v>0.50693124028288172</v>
      </c>
      <c r="S122" s="13">
        <f t="shared" si="25"/>
        <v>0.19279785158542292</v>
      </c>
      <c r="T122" s="13">
        <f t="shared" si="25"/>
        <v>-9.7485064214895639E-2</v>
      </c>
      <c r="U122" s="13">
        <f t="shared" si="24"/>
        <v>0.40276323028135258</v>
      </c>
      <c r="V122" s="13">
        <f t="shared" si="24"/>
        <v>0.40403053037694081</v>
      </c>
      <c r="W122" s="13">
        <f t="shared" si="24"/>
        <v>0.24981958750745198</v>
      </c>
      <c r="X122" s="13">
        <f t="shared" si="24"/>
        <v>0.34518188958176244</v>
      </c>
      <c r="Y122" s="13">
        <f t="shared" si="24"/>
        <v>6.657259002809586E-2</v>
      </c>
    </row>
    <row r="123" spans="1:25" x14ac:dyDescent="0.25">
      <c r="A123" s="14">
        <f>[1]Data!A126</f>
        <v>41153</v>
      </c>
      <c r="B123" s="15">
        <f>[1]Data!B126</f>
        <v>2.5035320071267811E-2</v>
      </c>
      <c r="C123" s="15">
        <f>[1]Data!C126</f>
        <v>7.6233389647209854E-2</v>
      </c>
      <c r="D123" s="16">
        <f>[1]Data!F126</f>
        <v>-1.1601137605010026E-2</v>
      </c>
      <c r="E123" s="17">
        <f>[1]Data!G126</f>
        <v>1.3942539917190222E-2</v>
      </c>
      <c r="F123" s="16">
        <f>[1]Data!H126</f>
        <v>1.6510877464287747E-2</v>
      </c>
      <c r="G123" s="17">
        <f>[1]Data!I126</f>
        <v>-2.4768830726444532E-2</v>
      </c>
      <c r="H123" s="18">
        <f t="shared" si="14"/>
        <v>-1</v>
      </c>
      <c r="I123" s="19">
        <f t="shared" si="23"/>
        <v>1</v>
      </c>
      <c r="J123" s="13">
        <f t="shared" si="15"/>
        <v>0</v>
      </c>
      <c r="K123" s="13">
        <f t="shared" si="16"/>
        <v>1.1601137605010026E-2</v>
      </c>
      <c r="L123" s="13">
        <f t="shared" si="17"/>
        <v>0</v>
      </c>
      <c r="M123" s="13">
        <f t="shared" si="18"/>
        <v>1.3942539917190222E-2</v>
      </c>
      <c r="N123" s="13">
        <f t="shared" si="19"/>
        <v>1.6510877464287747E-2</v>
      </c>
      <c r="O123" s="13">
        <f t="shared" si="20"/>
        <v>0</v>
      </c>
      <c r="P123" s="13">
        <f t="shared" si="21"/>
        <v>2.4768830726444532E-2</v>
      </c>
      <c r="Q123" s="13">
        <f t="shared" si="22"/>
        <v>0</v>
      </c>
      <c r="R123" s="13">
        <f t="shared" si="25"/>
        <v>0.50693124028288172</v>
      </c>
      <c r="S123" s="13">
        <f t="shared" si="25"/>
        <v>0.20439898919043295</v>
      </c>
      <c r="T123" s="13">
        <f t="shared" si="25"/>
        <v>-9.7485064214895639E-2</v>
      </c>
      <c r="U123" s="13">
        <f t="shared" si="24"/>
        <v>0.41670577019854282</v>
      </c>
      <c r="V123" s="13">
        <f t="shared" si="24"/>
        <v>0.42054140784122857</v>
      </c>
      <c r="W123" s="13">
        <f t="shared" si="24"/>
        <v>0.24981958750745198</v>
      </c>
      <c r="X123" s="13">
        <f t="shared" si="24"/>
        <v>0.36995072030820697</v>
      </c>
      <c r="Y123" s="13">
        <f t="shared" si="24"/>
        <v>6.657259002809586E-2</v>
      </c>
    </row>
    <row r="124" spans="1:25" x14ac:dyDescent="0.25">
      <c r="A124" s="14">
        <f>[1]Data!A127</f>
        <v>41183</v>
      </c>
      <c r="B124" s="15">
        <f>[1]Data!B127</f>
        <v>-1.8366171419647966E-2</v>
      </c>
      <c r="C124" s="15">
        <f>[1]Data!C127</f>
        <v>1.4033698405142916E-2</v>
      </c>
      <c r="D124" s="16">
        <f>[1]Data!F127</f>
        <v>-1.4329111832685686E-2</v>
      </c>
      <c r="E124" s="17">
        <f>[1]Data!G127</f>
        <v>1.32200099464526E-2</v>
      </c>
      <c r="F124" s="16">
        <f>[1]Data!H127</f>
        <v>1.4959708941337522E-2</v>
      </c>
      <c r="G124" s="17">
        <f>[1]Data!I127</f>
        <v>-2.2929085591977691E-2</v>
      </c>
      <c r="H124" s="18">
        <f t="shared" si="14"/>
        <v>-1</v>
      </c>
      <c r="I124" s="19">
        <f t="shared" si="23"/>
        <v>1</v>
      </c>
      <c r="J124" s="13">
        <f t="shared" si="15"/>
        <v>0</v>
      </c>
      <c r="K124" s="13">
        <f t="shared" si="16"/>
        <v>1.4329111832685686E-2</v>
      </c>
      <c r="L124" s="13">
        <f t="shared" si="17"/>
        <v>0</v>
      </c>
      <c r="M124" s="13">
        <f t="shared" si="18"/>
        <v>1.32200099464526E-2</v>
      </c>
      <c r="N124" s="13">
        <f t="shared" si="19"/>
        <v>1.4959708941337522E-2</v>
      </c>
      <c r="O124" s="13">
        <f t="shared" si="20"/>
        <v>0</v>
      </c>
      <c r="P124" s="13">
        <f t="shared" si="21"/>
        <v>2.2929085591977691E-2</v>
      </c>
      <c r="Q124" s="13">
        <f t="shared" si="22"/>
        <v>0</v>
      </c>
      <c r="R124" s="13">
        <f t="shared" si="25"/>
        <v>0.50693124028288172</v>
      </c>
      <c r="S124" s="13">
        <f t="shared" si="25"/>
        <v>0.21872810102311863</v>
      </c>
      <c r="T124" s="13">
        <f t="shared" si="25"/>
        <v>-9.7485064214895639E-2</v>
      </c>
      <c r="U124" s="13">
        <f t="shared" si="24"/>
        <v>0.42992578014499544</v>
      </c>
      <c r="V124" s="13">
        <f t="shared" si="24"/>
        <v>0.43550111678256609</v>
      </c>
      <c r="W124" s="13">
        <f t="shared" si="24"/>
        <v>0.24981958750745198</v>
      </c>
      <c r="X124" s="13">
        <f t="shared" si="24"/>
        <v>0.39287980590018468</v>
      </c>
      <c r="Y124" s="13">
        <f t="shared" si="24"/>
        <v>6.657259002809586E-2</v>
      </c>
    </row>
    <row r="125" spans="1:25" x14ac:dyDescent="0.25">
      <c r="A125" s="14">
        <f>[1]Data!A128</f>
        <v>41214</v>
      </c>
      <c r="B125" s="15">
        <f>[1]Data!B128</f>
        <v>5.6436240375966973E-3</v>
      </c>
      <c r="C125" s="15">
        <f>[1]Data!C128</f>
        <v>-2.1364392975294761E-2</v>
      </c>
      <c r="D125" s="16">
        <f>[1]Data!F128</f>
        <v>1.9176554052706411E-2</v>
      </c>
      <c r="E125" s="17">
        <f>[1]Data!G128</f>
        <v>3.6933538055764388E-3</v>
      </c>
      <c r="F125" s="16">
        <f>[1]Data!H128</f>
        <v>-1.1598737326005268E-2</v>
      </c>
      <c r="G125" s="17">
        <f>[1]Data!I128</f>
        <v>5.1734979782019058E-3</v>
      </c>
      <c r="H125" s="18">
        <f t="shared" si="14"/>
        <v>1</v>
      </c>
      <c r="I125" s="19">
        <f t="shared" si="23"/>
        <v>1</v>
      </c>
      <c r="J125" s="13">
        <f t="shared" si="15"/>
        <v>1.9176554052706411E-2</v>
      </c>
      <c r="K125" s="13">
        <f t="shared" si="16"/>
        <v>0</v>
      </c>
      <c r="L125" s="13">
        <f t="shared" si="17"/>
        <v>-3.6933538055764388E-3</v>
      </c>
      <c r="M125" s="13">
        <f t="shared" si="18"/>
        <v>0</v>
      </c>
      <c r="N125" s="13">
        <f t="shared" si="19"/>
        <v>-1.1598737326005268E-2</v>
      </c>
      <c r="O125" s="13">
        <f t="shared" si="20"/>
        <v>0</v>
      </c>
      <c r="P125" s="13">
        <f t="shared" si="21"/>
        <v>-5.1734979782019058E-3</v>
      </c>
      <c r="Q125" s="13">
        <f t="shared" si="22"/>
        <v>0</v>
      </c>
      <c r="R125" s="13">
        <f t="shared" si="25"/>
        <v>0.52610779433558819</v>
      </c>
      <c r="S125" s="13">
        <f t="shared" si="25"/>
        <v>0.21872810102311863</v>
      </c>
      <c r="T125" s="13">
        <f t="shared" si="25"/>
        <v>-0.10117841802047207</v>
      </c>
      <c r="U125" s="13">
        <f t="shared" si="24"/>
        <v>0.42992578014499544</v>
      </c>
      <c r="V125" s="13">
        <f t="shared" si="24"/>
        <v>0.42390237945656084</v>
      </c>
      <c r="W125" s="13">
        <f t="shared" si="24"/>
        <v>0.24981958750745198</v>
      </c>
      <c r="X125" s="13">
        <f t="shared" si="24"/>
        <v>0.3877063079219828</v>
      </c>
      <c r="Y125" s="13">
        <f t="shared" si="24"/>
        <v>6.657259002809586E-2</v>
      </c>
    </row>
    <row r="126" spans="1:25" x14ac:dyDescent="0.25">
      <c r="A126" s="14">
        <f>[1]Data!A129</f>
        <v>41244</v>
      </c>
      <c r="B126" s="15">
        <f>[1]Data!B129</f>
        <v>8.8949475774528775E-3</v>
      </c>
      <c r="C126" s="15">
        <f>[1]Data!C129</f>
        <v>3.0158788094618787E-2</v>
      </c>
      <c r="D126" s="16">
        <f>[1]Data!F129</f>
        <v>-2.6645609742020418E-3</v>
      </c>
      <c r="E126" s="17">
        <f>[1]Data!G129</f>
        <v>-6.5922084497466657E-3</v>
      </c>
      <c r="F126" s="16">
        <f>[1]Data!H129</f>
        <v>1.827475613518047E-3</v>
      </c>
      <c r="G126" s="17">
        <f>[1]Data!I129</f>
        <v>-9.2406043706672741E-4</v>
      </c>
      <c r="H126" s="18">
        <f t="shared" si="14"/>
        <v>-1</v>
      </c>
      <c r="I126" s="19">
        <f t="shared" si="23"/>
        <v>-1</v>
      </c>
      <c r="J126" s="13">
        <f t="shared" si="15"/>
        <v>0</v>
      </c>
      <c r="K126" s="13">
        <f t="shared" si="16"/>
        <v>2.6645609742020418E-3</v>
      </c>
      <c r="L126" s="13">
        <f t="shared" si="17"/>
        <v>0</v>
      </c>
      <c r="M126" s="13">
        <f t="shared" si="18"/>
        <v>-6.5922084497466657E-3</v>
      </c>
      <c r="N126" s="13">
        <f t="shared" si="19"/>
        <v>0</v>
      </c>
      <c r="O126" s="13">
        <f t="shared" si="20"/>
        <v>-1.827475613518047E-3</v>
      </c>
      <c r="P126" s="13">
        <f t="shared" si="21"/>
        <v>0</v>
      </c>
      <c r="Q126" s="13">
        <f t="shared" si="22"/>
        <v>-9.2406043706672741E-4</v>
      </c>
      <c r="R126" s="13">
        <f t="shared" si="25"/>
        <v>0.52610779433558819</v>
      </c>
      <c r="S126" s="13">
        <f t="shared" si="25"/>
        <v>0.22139266199732066</v>
      </c>
      <c r="T126" s="13">
        <f t="shared" si="25"/>
        <v>-0.10117841802047207</v>
      </c>
      <c r="U126" s="13">
        <f t="shared" si="24"/>
        <v>0.42333357169524877</v>
      </c>
      <c r="V126" s="13">
        <f t="shared" si="24"/>
        <v>0.42390237945656084</v>
      </c>
      <c r="W126" s="13">
        <f t="shared" si="24"/>
        <v>0.24799211189393394</v>
      </c>
      <c r="X126" s="13">
        <f t="shared" si="24"/>
        <v>0.3877063079219828</v>
      </c>
      <c r="Y126" s="13">
        <f t="shared" si="24"/>
        <v>6.5648529591029126E-2</v>
      </c>
    </row>
    <row r="127" spans="1:25" x14ac:dyDescent="0.25">
      <c r="A127" s="14">
        <f>[1]Data!A130</f>
        <v>41275</v>
      </c>
      <c r="B127" s="15">
        <f>[1]Data!B130</f>
        <v>4.9922956647863635E-2</v>
      </c>
      <c r="C127" s="15">
        <f>[1]Data!C130</f>
        <v>5.6752336255235368E-2</v>
      </c>
      <c r="D127" s="16">
        <f>[1]Data!F130</f>
        <v>2.2065633821715322E-3</v>
      </c>
      <c r="E127" s="17">
        <f>[1]Data!G130</f>
        <v>-2.3336161633466711E-2</v>
      </c>
      <c r="F127" s="16">
        <f>[1]Data!H130</f>
        <v>2.1809195648912344E-2</v>
      </c>
      <c r="G127" s="17">
        <f>[1]Data!I130</f>
        <v>-1.6223186609208844E-2</v>
      </c>
      <c r="H127" s="18">
        <f t="shared" si="14"/>
        <v>-1</v>
      </c>
      <c r="I127" s="19">
        <f t="shared" si="23"/>
        <v>1</v>
      </c>
      <c r="J127" s="13">
        <f t="shared" si="15"/>
        <v>0</v>
      </c>
      <c r="K127" s="13">
        <f t="shared" si="16"/>
        <v>-2.2065633821715322E-3</v>
      </c>
      <c r="L127" s="13">
        <f t="shared" si="17"/>
        <v>0</v>
      </c>
      <c r="M127" s="13">
        <f t="shared" si="18"/>
        <v>-2.3336161633466711E-2</v>
      </c>
      <c r="N127" s="13">
        <f t="shared" si="19"/>
        <v>2.1809195648912344E-2</v>
      </c>
      <c r="O127" s="13">
        <f t="shared" si="20"/>
        <v>0</v>
      </c>
      <c r="P127" s="13">
        <f t="shared" si="21"/>
        <v>1.6223186609208844E-2</v>
      </c>
      <c r="Q127" s="13">
        <f t="shared" si="22"/>
        <v>0</v>
      </c>
      <c r="R127" s="13">
        <f t="shared" si="25"/>
        <v>0.52610779433558819</v>
      </c>
      <c r="S127" s="13">
        <f t="shared" si="25"/>
        <v>0.21918609861514912</v>
      </c>
      <c r="T127" s="13">
        <f t="shared" si="25"/>
        <v>-0.10117841802047207</v>
      </c>
      <c r="U127" s="13">
        <f t="shared" si="24"/>
        <v>0.39999741006178208</v>
      </c>
      <c r="V127" s="13">
        <f t="shared" si="24"/>
        <v>0.44571157510547321</v>
      </c>
      <c r="W127" s="13">
        <f t="shared" ref="W127:Y190" si="26">O127+W126</f>
        <v>0.24799211189393394</v>
      </c>
      <c r="X127" s="13">
        <f t="shared" si="26"/>
        <v>0.40392949453119165</v>
      </c>
      <c r="Y127" s="13">
        <f t="shared" si="26"/>
        <v>6.5648529591029126E-2</v>
      </c>
    </row>
    <row r="128" spans="1:25" x14ac:dyDescent="0.25">
      <c r="A128" s="14">
        <f>[1]Data!A131</f>
        <v>41306</v>
      </c>
      <c r="B128" s="15">
        <f>[1]Data!B131</f>
        <v>1.2678190377662671E-2</v>
      </c>
      <c r="C128" s="15">
        <f>[1]Data!C131</f>
        <v>1.4779559686182501E-2</v>
      </c>
      <c r="D128" s="16">
        <f>[1]Data!F131</f>
        <v>-1.8452529120968008E-3</v>
      </c>
      <c r="E128" s="17">
        <f>[1]Data!G131</f>
        <v>1.2567078769891262E-2</v>
      </c>
      <c r="F128" s="16">
        <f>[1]Data!H131</f>
        <v>8.3821187481050424E-3</v>
      </c>
      <c r="G128" s="17">
        <f>[1]Data!I131</f>
        <v>-3.3375634364996307E-3</v>
      </c>
      <c r="H128" s="18">
        <f t="shared" si="14"/>
        <v>-1</v>
      </c>
      <c r="I128" s="19">
        <f t="shared" si="23"/>
        <v>1</v>
      </c>
      <c r="J128" s="13">
        <f t="shared" si="15"/>
        <v>0</v>
      </c>
      <c r="K128" s="13">
        <f t="shared" si="16"/>
        <v>1.8452529120968008E-3</v>
      </c>
      <c r="L128" s="13">
        <f t="shared" si="17"/>
        <v>0</v>
      </c>
      <c r="M128" s="13">
        <f t="shared" si="18"/>
        <v>1.2567078769891262E-2</v>
      </c>
      <c r="N128" s="13">
        <f t="shared" si="19"/>
        <v>8.3821187481050424E-3</v>
      </c>
      <c r="O128" s="13">
        <f t="shared" si="20"/>
        <v>0</v>
      </c>
      <c r="P128" s="13">
        <f t="shared" si="21"/>
        <v>3.3375634364996307E-3</v>
      </c>
      <c r="Q128" s="13">
        <f t="shared" si="22"/>
        <v>0</v>
      </c>
      <c r="R128" s="13">
        <f t="shared" si="25"/>
        <v>0.52610779433558819</v>
      </c>
      <c r="S128" s="13">
        <f t="shared" si="25"/>
        <v>0.22103135152724593</v>
      </c>
      <c r="T128" s="13">
        <f t="shared" si="25"/>
        <v>-0.10117841802047207</v>
      </c>
      <c r="U128" s="13">
        <f t="shared" si="25"/>
        <v>0.41256448883167335</v>
      </c>
      <c r="V128" s="13">
        <f t="shared" si="25"/>
        <v>0.45409369385357823</v>
      </c>
      <c r="W128" s="13">
        <f t="shared" si="26"/>
        <v>0.24799211189393394</v>
      </c>
      <c r="X128" s="13">
        <f t="shared" si="26"/>
        <v>0.4072670579676913</v>
      </c>
      <c r="Y128" s="13">
        <f t="shared" si="26"/>
        <v>6.5648529591029126E-2</v>
      </c>
    </row>
    <row r="129" spans="1:25" x14ac:dyDescent="0.25">
      <c r="A129" s="14">
        <f>[1]Data!A132</f>
        <v>41334</v>
      </c>
      <c r="B129" s="15">
        <f>[1]Data!B132</f>
        <v>3.7267814819473839E-2</v>
      </c>
      <c r="C129" s="15">
        <f>[1]Data!C132</f>
        <v>3.1043190208220332E-2</v>
      </c>
      <c r="D129" s="16">
        <f>[1]Data!F132</f>
        <v>1.4853967495249289E-2</v>
      </c>
      <c r="E129" s="17">
        <f>[1]Data!G132</f>
        <v>4.4263857643941909E-3</v>
      </c>
      <c r="F129" s="16">
        <f>[1]Data!H132</f>
        <v>2.0693186775401946E-2</v>
      </c>
      <c r="G129" s="17">
        <f>[1]Data!I132</f>
        <v>-1.9606992574929406E-2</v>
      </c>
      <c r="H129" s="18">
        <f t="shared" si="14"/>
        <v>-1</v>
      </c>
      <c r="I129" s="19">
        <f t="shared" si="23"/>
        <v>1</v>
      </c>
      <c r="J129" s="13">
        <f t="shared" si="15"/>
        <v>0</v>
      </c>
      <c r="K129" s="13">
        <f t="shared" si="16"/>
        <v>-1.4853967495249289E-2</v>
      </c>
      <c r="L129" s="13">
        <f t="shared" si="17"/>
        <v>0</v>
      </c>
      <c r="M129" s="13">
        <f t="shared" si="18"/>
        <v>4.4263857643941909E-3</v>
      </c>
      <c r="N129" s="13">
        <f t="shared" si="19"/>
        <v>2.0693186775401946E-2</v>
      </c>
      <c r="O129" s="13">
        <f t="shared" si="20"/>
        <v>0</v>
      </c>
      <c r="P129" s="13">
        <f t="shared" si="21"/>
        <v>1.9606992574929406E-2</v>
      </c>
      <c r="Q129" s="13">
        <f t="shared" si="22"/>
        <v>0</v>
      </c>
      <c r="R129" s="13">
        <f t="shared" si="25"/>
        <v>0.52610779433558819</v>
      </c>
      <c r="S129" s="13">
        <f t="shared" si="25"/>
        <v>0.20617738403199665</v>
      </c>
      <c r="T129" s="13">
        <f t="shared" si="25"/>
        <v>-0.10117841802047207</v>
      </c>
      <c r="U129" s="13">
        <f t="shared" si="25"/>
        <v>0.41699087459606754</v>
      </c>
      <c r="V129" s="13">
        <f t="shared" si="25"/>
        <v>0.47478688062898017</v>
      </c>
      <c r="W129" s="13">
        <f t="shared" si="26"/>
        <v>0.24799211189393394</v>
      </c>
      <c r="X129" s="13">
        <f t="shared" si="26"/>
        <v>0.42687405054262073</v>
      </c>
      <c r="Y129" s="13">
        <f t="shared" si="26"/>
        <v>6.5648529591029126E-2</v>
      </c>
    </row>
    <row r="130" spans="1:25" x14ac:dyDescent="0.25">
      <c r="A130" s="14">
        <f>[1]Data!A133</f>
        <v>41365</v>
      </c>
      <c r="B130" s="15">
        <f>[1]Data!B133</f>
        <v>1.9030244935242618E-2</v>
      </c>
      <c r="C130" s="15">
        <f>[1]Data!C133</f>
        <v>-5.194430551878669E-2</v>
      </c>
      <c r="D130" s="16">
        <f>[1]Data!F133</f>
        <v>2.6654525547146174E-2</v>
      </c>
      <c r="E130" s="17">
        <f>[1]Data!G133</f>
        <v>1.4646363612147695E-3</v>
      </c>
      <c r="F130" s="16">
        <f>[1]Data!H133</f>
        <v>-9.6847429248380166E-3</v>
      </c>
      <c r="G130" s="17">
        <f>[1]Data!I133</f>
        <v>4.4238386904684776E-2</v>
      </c>
      <c r="H130" s="18">
        <f t="shared" ref="H130:H193" si="27">IF(C130&gt;0,-1,1)</f>
        <v>1</v>
      </c>
      <c r="I130" s="19">
        <f t="shared" si="23"/>
        <v>1</v>
      </c>
      <c r="J130" s="13">
        <f t="shared" ref="J130:J193" si="28">IF(H130=1,D130,0)</f>
        <v>2.6654525547146174E-2</v>
      </c>
      <c r="K130" s="13">
        <f t="shared" ref="K130:K193" si="29">IF(H130=-1,-D130,0)</f>
        <v>0</v>
      </c>
      <c r="L130" s="13">
        <f t="shared" ref="L130:L193" si="30">IF(H130=1,-E130,0)</f>
        <v>-1.4646363612147695E-3</v>
      </c>
      <c r="M130" s="13">
        <f t="shared" ref="M130:M193" si="31">IF(H130=-1,E130,0)</f>
        <v>0</v>
      </c>
      <c r="N130" s="13">
        <f t="shared" ref="N130:N193" si="32">IF(I130=1,F130,0)</f>
        <v>-9.6847429248380166E-3</v>
      </c>
      <c r="O130" s="13">
        <f t="shared" ref="O130:O193" si="33">IF(I130=-1,-F130,0)</f>
        <v>0</v>
      </c>
      <c r="P130" s="13">
        <f t="shared" ref="P130:P193" si="34">IF(I130=1,-G130,0)</f>
        <v>-4.4238386904684776E-2</v>
      </c>
      <c r="Q130" s="13">
        <f t="shared" ref="Q130:Q193" si="35">IF(I130=-1,G130,0)</f>
        <v>0</v>
      </c>
      <c r="R130" s="13">
        <f t="shared" si="25"/>
        <v>0.55276231988273439</v>
      </c>
      <c r="S130" s="13">
        <f t="shared" si="25"/>
        <v>0.20617738403199665</v>
      </c>
      <c r="T130" s="13">
        <f t="shared" si="25"/>
        <v>-0.10264305438168685</v>
      </c>
      <c r="U130" s="13">
        <f t="shared" si="25"/>
        <v>0.41699087459606754</v>
      </c>
      <c r="V130" s="13">
        <f t="shared" si="25"/>
        <v>0.46510213770414216</v>
      </c>
      <c r="W130" s="13">
        <f t="shared" si="26"/>
        <v>0.24799211189393394</v>
      </c>
      <c r="X130" s="13">
        <f t="shared" si="26"/>
        <v>0.38263566363793594</v>
      </c>
      <c r="Y130" s="13">
        <f t="shared" si="26"/>
        <v>6.5648529591029126E-2</v>
      </c>
    </row>
    <row r="131" spans="1:25" x14ac:dyDescent="0.25">
      <c r="A131" s="14">
        <f>[1]Data!A134</f>
        <v>41395</v>
      </c>
      <c r="B131" s="15">
        <f>[1]Data!B134</f>
        <v>2.3335496472425946E-2</v>
      </c>
      <c r="C131" s="15">
        <f>[1]Data!C134</f>
        <v>8.6654437978827673E-2</v>
      </c>
      <c r="D131" s="16">
        <f>[1]Data!F134</f>
        <v>-2.2504156813585439E-2</v>
      </c>
      <c r="E131" s="17">
        <f>[1]Data!G134</f>
        <v>-2.9188843619167491E-2</v>
      </c>
      <c r="F131" s="16">
        <f>[1]Data!H134</f>
        <v>1.8121498020384631E-2</v>
      </c>
      <c r="G131" s="17">
        <f>[1]Data!I134</f>
        <v>-2.1317605440437412E-2</v>
      </c>
      <c r="H131" s="18">
        <f t="shared" si="27"/>
        <v>-1</v>
      </c>
      <c r="I131" s="19">
        <f t="shared" ref="I131:I194" si="36">IF(C130&gt;0,1,-1)</f>
        <v>-1</v>
      </c>
      <c r="J131" s="13">
        <f t="shared" si="28"/>
        <v>0</v>
      </c>
      <c r="K131" s="13">
        <f t="shared" si="29"/>
        <v>2.2504156813585439E-2</v>
      </c>
      <c r="L131" s="13">
        <f t="shared" si="30"/>
        <v>0</v>
      </c>
      <c r="M131" s="13">
        <f t="shared" si="31"/>
        <v>-2.9188843619167491E-2</v>
      </c>
      <c r="N131" s="13">
        <f t="shared" si="32"/>
        <v>0</v>
      </c>
      <c r="O131" s="13">
        <f t="shared" si="33"/>
        <v>-1.8121498020384631E-2</v>
      </c>
      <c r="P131" s="13">
        <f t="shared" si="34"/>
        <v>0</v>
      </c>
      <c r="Q131" s="13">
        <f t="shared" si="35"/>
        <v>-2.1317605440437412E-2</v>
      </c>
      <c r="R131" s="13">
        <f t="shared" si="25"/>
        <v>0.55276231988273439</v>
      </c>
      <c r="S131" s="13">
        <f t="shared" si="25"/>
        <v>0.22868154084558209</v>
      </c>
      <c r="T131" s="13">
        <f t="shared" si="25"/>
        <v>-0.10264305438168685</v>
      </c>
      <c r="U131" s="13">
        <f t="shared" si="25"/>
        <v>0.38780203097690003</v>
      </c>
      <c r="V131" s="13">
        <f t="shared" si="25"/>
        <v>0.46510213770414216</v>
      </c>
      <c r="W131" s="13">
        <f t="shared" si="26"/>
        <v>0.22987061387354932</v>
      </c>
      <c r="X131" s="13">
        <f t="shared" si="26"/>
        <v>0.38263566363793594</v>
      </c>
      <c r="Y131" s="13">
        <f t="shared" si="26"/>
        <v>4.4330924150591713E-2</v>
      </c>
    </row>
    <row r="132" spans="1:25" x14ac:dyDescent="0.25">
      <c r="A132" s="14">
        <f>[1]Data!A135</f>
        <v>41426</v>
      </c>
      <c r="B132" s="15">
        <f>[1]Data!B135</f>
        <v>-1.3434459342048375E-2</v>
      </c>
      <c r="C132" s="15">
        <f>[1]Data!C135</f>
        <v>3.0018815692336921E-2</v>
      </c>
      <c r="D132" s="16">
        <f>[1]Data!F135</f>
        <v>8.4509075095197637E-3</v>
      </c>
      <c r="E132" s="17">
        <f>[1]Data!G135</f>
        <v>1.864379831240106E-2</v>
      </c>
      <c r="F132" s="16">
        <f>[1]Data!H135</f>
        <v>8.2257846729030561E-3</v>
      </c>
      <c r="G132" s="17">
        <f>[1]Data!I135</f>
        <v>-8.9288896184721283E-3</v>
      </c>
      <c r="H132" s="18">
        <f t="shared" si="27"/>
        <v>-1</v>
      </c>
      <c r="I132" s="19">
        <f t="shared" si="36"/>
        <v>1</v>
      </c>
      <c r="J132" s="13">
        <f t="shared" si="28"/>
        <v>0</v>
      </c>
      <c r="K132" s="13">
        <f t="shared" si="29"/>
        <v>-8.4509075095197637E-3</v>
      </c>
      <c r="L132" s="13">
        <f t="shared" si="30"/>
        <v>0</v>
      </c>
      <c r="M132" s="13">
        <f t="shared" si="31"/>
        <v>1.864379831240106E-2</v>
      </c>
      <c r="N132" s="13">
        <f t="shared" si="32"/>
        <v>8.2257846729030561E-3</v>
      </c>
      <c r="O132" s="13">
        <f t="shared" si="33"/>
        <v>0</v>
      </c>
      <c r="P132" s="13">
        <f t="shared" si="34"/>
        <v>8.9288896184721283E-3</v>
      </c>
      <c r="Q132" s="13">
        <f t="shared" si="35"/>
        <v>0</v>
      </c>
      <c r="R132" s="13">
        <f t="shared" si="25"/>
        <v>0.55276231988273439</v>
      </c>
      <c r="S132" s="13">
        <f t="shared" si="25"/>
        <v>0.22023063333606233</v>
      </c>
      <c r="T132" s="13">
        <f t="shared" si="25"/>
        <v>-0.10264305438168685</v>
      </c>
      <c r="U132" s="13">
        <f t="shared" si="25"/>
        <v>0.40644582928930106</v>
      </c>
      <c r="V132" s="13">
        <f t="shared" si="25"/>
        <v>0.47332792237704524</v>
      </c>
      <c r="W132" s="13">
        <f t="shared" si="26"/>
        <v>0.22987061387354932</v>
      </c>
      <c r="X132" s="13">
        <f t="shared" si="26"/>
        <v>0.39156455325640804</v>
      </c>
      <c r="Y132" s="13">
        <f t="shared" si="26"/>
        <v>4.4330924150591713E-2</v>
      </c>
    </row>
    <row r="133" spans="1:25" x14ac:dyDescent="0.25">
      <c r="A133" s="14">
        <f>[1]Data!A136</f>
        <v>41456</v>
      </c>
      <c r="B133" s="15">
        <f>[1]Data!B136</f>
        <v>5.0386066825862129E-2</v>
      </c>
      <c r="C133" s="15">
        <f>[1]Data!C136</f>
        <v>6.2600037934992706E-2</v>
      </c>
      <c r="D133" s="16">
        <f>[1]Data!F136</f>
        <v>-4.6718772956767327E-3</v>
      </c>
      <c r="E133" s="17">
        <f>[1]Data!G136</f>
        <v>-1.5295859344960876E-2</v>
      </c>
      <c r="F133" s="16">
        <f>[1]Data!H136</f>
        <v>2.1766430283560859E-2</v>
      </c>
      <c r="G133" s="17">
        <f>[1]Data!I136</f>
        <v>-2.6652367865186946E-2</v>
      </c>
      <c r="H133" s="18">
        <f t="shared" si="27"/>
        <v>-1</v>
      </c>
      <c r="I133" s="19">
        <f t="shared" si="36"/>
        <v>1</v>
      </c>
      <c r="J133" s="13">
        <f t="shared" si="28"/>
        <v>0</v>
      </c>
      <c r="K133" s="13">
        <f t="shared" si="29"/>
        <v>4.6718772956767327E-3</v>
      </c>
      <c r="L133" s="13">
        <f t="shared" si="30"/>
        <v>0</v>
      </c>
      <c r="M133" s="13">
        <f t="shared" si="31"/>
        <v>-1.5295859344960876E-2</v>
      </c>
      <c r="N133" s="13">
        <f t="shared" si="32"/>
        <v>2.1766430283560859E-2</v>
      </c>
      <c r="O133" s="13">
        <f t="shared" si="33"/>
        <v>0</v>
      </c>
      <c r="P133" s="13">
        <f t="shared" si="34"/>
        <v>2.6652367865186946E-2</v>
      </c>
      <c r="Q133" s="13">
        <f t="shared" si="35"/>
        <v>0</v>
      </c>
      <c r="R133" s="13">
        <f t="shared" si="25"/>
        <v>0.55276231988273439</v>
      </c>
      <c r="S133" s="13">
        <f t="shared" si="25"/>
        <v>0.22490251063173905</v>
      </c>
      <c r="T133" s="13">
        <f t="shared" si="25"/>
        <v>-0.10264305438168685</v>
      </c>
      <c r="U133" s="13">
        <f t="shared" si="25"/>
        <v>0.3911499699443402</v>
      </c>
      <c r="V133" s="13">
        <f t="shared" si="25"/>
        <v>0.49509435266060609</v>
      </c>
      <c r="W133" s="13">
        <f t="shared" si="26"/>
        <v>0.22987061387354932</v>
      </c>
      <c r="X133" s="13">
        <f t="shared" si="26"/>
        <v>0.41821692112159498</v>
      </c>
      <c r="Y133" s="13">
        <f t="shared" si="26"/>
        <v>4.4330924150591713E-2</v>
      </c>
    </row>
    <row r="134" spans="1:25" x14ac:dyDescent="0.25">
      <c r="A134" s="14">
        <f>[1]Data!A137</f>
        <v>41487</v>
      </c>
      <c r="B134" s="15">
        <f>[1]Data!B137</f>
        <v>-3.0451293131387565E-2</v>
      </c>
      <c r="C134" s="15">
        <f>[1]Data!C137</f>
        <v>2.5687274559438564E-2</v>
      </c>
      <c r="D134" s="16">
        <f>[1]Data!F137</f>
        <v>-5.5454360670213719E-3</v>
      </c>
      <c r="E134" s="17">
        <f>[1]Data!G137</f>
        <v>3.7098944833011585E-2</v>
      </c>
      <c r="F134" s="16">
        <f>[1]Data!H137</f>
        <v>2.7818948816240403E-3</v>
      </c>
      <c r="G134" s="17">
        <f>[1]Data!I137</f>
        <v>-5.8814672931020691E-3</v>
      </c>
      <c r="H134" s="18">
        <f t="shared" si="27"/>
        <v>-1</v>
      </c>
      <c r="I134" s="19">
        <f t="shared" si="36"/>
        <v>1</v>
      </c>
      <c r="J134" s="13">
        <f t="shared" si="28"/>
        <v>0</v>
      </c>
      <c r="K134" s="13">
        <f t="shared" si="29"/>
        <v>5.5454360670213719E-3</v>
      </c>
      <c r="L134" s="13">
        <f t="shared" si="30"/>
        <v>0</v>
      </c>
      <c r="M134" s="13">
        <f t="shared" si="31"/>
        <v>3.7098944833011585E-2</v>
      </c>
      <c r="N134" s="13">
        <f t="shared" si="32"/>
        <v>2.7818948816240403E-3</v>
      </c>
      <c r="O134" s="13">
        <f t="shared" si="33"/>
        <v>0</v>
      </c>
      <c r="P134" s="13">
        <f t="shared" si="34"/>
        <v>5.8814672931020691E-3</v>
      </c>
      <c r="Q134" s="13">
        <f t="shared" si="35"/>
        <v>0</v>
      </c>
      <c r="R134" s="13">
        <f t="shared" si="25"/>
        <v>0.55276231988273439</v>
      </c>
      <c r="S134" s="13">
        <f t="shared" si="25"/>
        <v>0.23044794669876043</v>
      </c>
      <c r="T134" s="13">
        <f t="shared" si="25"/>
        <v>-0.10264305438168685</v>
      </c>
      <c r="U134" s="13">
        <f t="shared" si="25"/>
        <v>0.42824891477735177</v>
      </c>
      <c r="V134" s="13">
        <f t="shared" si="25"/>
        <v>0.49787624754223014</v>
      </c>
      <c r="W134" s="13">
        <f t="shared" si="26"/>
        <v>0.22987061387354932</v>
      </c>
      <c r="X134" s="13">
        <f t="shared" si="26"/>
        <v>0.42409838841469705</v>
      </c>
      <c r="Y134" s="13">
        <f t="shared" si="26"/>
        <v>4.4330924150591713E-2</v>
      </c>
    </row>
    <row r="135" spans="1:25" x14ac:dyDescent="0.25">
      <c r="A135" s="14">
        <f>[1]Data!A138</f>
        <v>41518</v>
      </c>
      <c r="B135" s="15">
        <f>[1]Data!B138</f>
        <v>3.1156271217842636E-2</v>
      </c>
      <c r="C135" s="15">
        <f>[1]Data!C138</f>
        <v>4.271853352354326E-2</v>
      </c>
      <c r="D135" s="16">
        <f>[1]Data!F138</f>
        <v>-1.1362589132228687E-2</v>
      </c>
      <c r="E135" s="17">
        <f>[1]Data!G138</f>
        <v>6.695969945125127E-3</v>
      </c>
      <c r="F135" s="16">
        <f>[1]Data!H138</f>
        <v>2.4029239055914524E-2</v>
      </c>
      <c r="G135" s="17">
        <f>[1]Data!I138</f>
        <v>-2.5010337846288627E-2</v>
      </c>
      <c r="H135" s="18">
        <f t="shared" si="27"/>
        <v>-1</v>
      </c>
      <c r="I135" s="19">
        <f t="shared" si="36"/>
        <v>1</v>
      </c>
      <c r="J135" s="13">
        <f t="shared" si="28"/>
        <v>0</v>
      </c>
      <c r="K135" s="13">
        <f t="shared" si="29"/>
        <v>1.1362589132228687E-2</v>
      </c>
      <c r="L135" s="13">
        <f t="shared" si="30"/>
        <v>0</v>
      </c>
      <c r="M135" s="13">
        <f t="shared" si="31"/>
        <v>6.695969945125127E-3</v>
      </c>
      <c r="N135" s="13">
        <f t="shared" si="32"/>
        <v>2.4029239055914524E-2</v>
      </c>
      <c r="O135" s="13">
        <f t="shared" si="33"/>
        <v>0</v>
      </c>
      <c r="P135" s="13">
        <f t="shared" si="34"/>
        <v>2.5010337846288627E-2</v>
      </c>
      <c r="Q135" s="13">
        <f t="shared" si="35"/>
        <v>0</v>
      </c>
      <c r="R135" s="13">
        <f t="shared" si="25"/>
        <v>0.55276231988273439</v>
      </c>
      <c r="S135" s="13">
        <f t="shared" si="25"/>
        <v>0.2418105358309891</v>
      </c>
      <c r="T135" s="13">
        <f t="shared" si="25"/>
        <v>-0.10264305438168685</v>
      </c>
      <c r="U135" s="13">
        <f t="shared" si="25"/>
        <v>0.43494488472247689</v>
      </c>
      <c r="V135" s="13">
        <f t="shared" si="25"/>
        <v>0.52190548659814462</v>
      </c>
      <c r="W135" s="13">
        <f t="shared" si="26"/>
        <v>0.22987061387354932</v>
      </c>
      <c r="X135" s="13">
        <f t="shared" si="26"/>
        <v>0.44910872626098569</v>
      </c>
      <c r="Y135" s="13">
        <f t="shared" si="26"/>
        <v>4.4330924150591713E-2</v>
      </c>
    </row>
    <row r="136" spans="1:25" x14ac:dyDescent="0.25">
      <c r="A136" s="14">
        <f>[1]Data!A139</f>
        <v>41548</v>
      </c>
      <c r="B136" s="15">
        <f>[1]Data!B139</f>
        <v>4.5265907890214986E-2</v>
      </c>
      <c r="C136" s="15">
        <f>[1]Data!C139</f>
        <v>3.1895853535162097E-2</v>
      </c>
      <c r="D136" s="16">
        <f>[1]Data!F139</f>
        <v>7.9384439573847148E-3</v>
      </c>
      <c r="E136" s="17">
        <f>[1]Data!G139</f>
        <v>8.7705908782456151E-3</v>
      </c>
      <c r="F136" s="16">
        <f>[1]Data!H139</f>
        <v>-3.4585024641157359E-3</v>
      </c>
      <c r="G136" s="17">
        <f>[1]Data!I139</f>
        <v>1.6917837140625804E-4</v>
      </c>
      <c r="H136" s="18">
        <f t="shared" si="27"/>
        <v>-1</v>
      </c>
      <c r="I136" s="19">
        <f t="shared" si="36"/>
        <v>1</v>
      </c>
      <c r="J136" s="13">
        <f t="shared" si="28"/>
        <v>0</v>
      </c>
      <c r="K136" s="13">
        <f t="shared" si="29"/>
        <v>-7.9384439573847148E-3</v>
      </c>
      <c r="L136" s="13">
        <f t="shared" si="30"/>
        <v>0</v>
      </c>
      <c r="M136" s="13">
        <f t="shared" si="31"/>
        <v>8.7705908782456151E-3</v>
      </c>
      <c r="N136" s="13">
        <f t="shared" si="32"/>
        <v>-3.4585024641157359E-3</v>
      </c>
      <c r="O136" s="13">
        <f t="shared" si="33"/>
        <v>0</v>
      </c>
      <c r="P136" s="13">
        <f t="shared" si="34"/>
        <v>-1.6917837140625804E-4</v>
      </c>
      <c r="Q136" s="13">
        <f t="shared" si="35"/>
        <v>0</v>
      </c>
      <c r="R136" s="13">
        <f t="shared" ref="R136:V186" si="37">J136+R135</f>
        <v>0.55276231988273439</v>
      </c>
      <c r="S136" s="13">
        <f t="shared" si="37"/>
        <v>0.23387209187360439</v>
      </c>
      <c r="T136" s="13">
        <f t="shared" si="37"/>
        <v>-0.10264305438168685</v>
      </c>
      <c r="U136" s="13">
        <f t="shared" si="37"/>
        <v>0.4437154756007225</v>
      </c>
      <c r="V136" s="13">
        <f t="shared" si="37"/>
        <v>0.5184469841340289</v>
      </c>
      <c r="W136" s="13">
        <f t="shared" si="26"/>
        <v>0.22987061387354932</v>
      </c>
      <c r="X136" s="13">
        <f t="shared" si="26"/>
        <v>0.44893954788957946</v>
      </c>
      <c r="Y136" s="13">
        <f t="shared" si="26"/>
        <v>4.4330924150591713E-2</v>
      </c>
    </row>
    <row r="137" spans="1:25" x14ac:dyDescent="0.25">
      <c r="A137" s="14">
        <f>[1]Data!A140</f>
        <v>41579</v>
      </c>
      <c r="B137" s="15">
        <f>[1]Data!B140</f>
        <v>2.920710217632325E-2</v>
      </c>
      <c r="C137" s="15">
        <f>[1]Data!C140</f>
        <v>6.5036453962394089E-2</v>
      </c>
      <c r="D137" s="16">
        <f>[1]Data!F140</f>
        <v>6.0399916583899569E-3</v>
      </c>
      <c r="E137" s="17">
        <f>[1]Data!G140</f>
        <v>1.4464837081395749E-2</v>
      </c>
      <c r="F137" s="16">
        <f>[1]Data!H140</f>
        <v>-4.9038568950418963E-3</v>
      </c>
      <c r="G137" s="17">
        <f>[1]Data!I140</f>
        <v>-1.3050836595594313E-2</v>
      </c>
      <c r="H137" s="18">
        <f t="shared" si="27"/>
        <v>-1</v>
      </c>
      <c r="I137" s="19">
        <f t="shared" si="36"/>
        <v>1</v>
      </c>
      <c r="J137" s="13">
        <f t="shared" si="28"/>
        <v>0</v>
      </c>
      <c r="K137" s="13">
        <f t="shared" si="29"/>
        <v>-6.0399916583899569E-3</v>
      </c>
      <c r="L137" s="13">
        <f t="shared" si="30"/>
        <v>0</v>
      </c>
      <c r="M137" s="13">
        <f t="shared" si="31"/>
        <v>1.4464837081395749E-2</v>
      </c>
      <c r="N137" s="13">
        <f t="shared" si="32"/>
        <v>-4.9038568950418963E-3</v>
      </c>
      <c r="O137" s="13">
        <f t="shared" si="33"/>
        <v>0</v>
      </c>
      <c r="P137" s="13">
        <f t="shared" si="34"/>
        <v>1.3050836595594313E-2</v>
      </c>
      <c r="Q137" s="13">
        <f t="shared" si="35"/>
        <v>0</v>
      </c>
      <c r="R137" s="13">
        <f t="shared" si="37"/>
        <v>0.55276231988273439</v>
      </c>
      <c r="S137" s="13">
        <f t="shared" si="37"/>
        <v>0.22783210021521444</v>
      </c>
      <c r="T137" s="13">
        <f t="shared" si="37"/>
        <v>-0.10264305438168685</v>
      </c>
      <c r="U137" s="13">
        <f t="shared" si="37"/>
        <v>0.45818031268211823</v>
      </c>
      <c r="V137" s="13">
        <f t="shared" si="37"/>
        <v>0.51354312723898699</v>
      </c>
      <c r="W137" s="13">
        <f t="shared" si="26"/>
        <v>0.22987061387354932</v>
      </c>
      <c r="X137" s="13">
        <f t="shared" si="26"/>
        <v>0.46199038448517377</v>
      </c>
      <c r="Y137" s="13">
        <f t="shared" si="26"/>
        <v>4.4330924150591713E-2</v>
      </c>
    </row>
    <row r="138" spans="1:25" x14ac:dyDescent="0.25">
      <c r="A138" s="14">
        <f>[1]Data!A141</f>
        <v>41609</v>
      </c>
      <c r="B138" s="15">
        <f>[1]Data!B141</f>
        <v>2.5596487779456702E-2</v>
      </c>
      <c r="C138" s="15">
        <f>[1]Data!C141</f>
        <v>7.4478869860950016E-3</v>
      </c>
      <c r="D138" s="16">
        <f>[1]Data!F141</f>
        <v>1.7092852679268359E-2</v>
      </c>
      <c r="E138" s="17">
        <f>[1]Data!G141</f>
        <v>-1.9929216336758784E-2</v>
      </c>
      <c r="F138" s="16">
        <f>[1]Data!H141</f>
        <v>-3.3168428079503876E-4</v>
      </c>
      <c r="G138" s="17">
        <f>[1]Data!I141</f>
        <v>-1.1783673687023415E-2</v>
      </c>
      <c r="H138" s="18">
        <f t="shared" si="27"/>
        <v>-1</v>
      </c>
      <c r="I138" s="19">
        <f t="shared" si="36"/>
        <v>1</v>
      </c>
      <c r="J138" s="13">
        <f t="shared" si="28"/>
        <v>0</v>
      </c>
      <c r="K138" s="13">
        <f t="shared" si="29"/>
        <v>-1.7092852679268359E-2</v>
      </c>
      <c r="L138" s="13">
        <f t="shared" si="30"/>
        <v>0</v>
      </c>
      <c r="M138" s="13">
        <f t="shared" si="31"/>
        <v>-1.9929216336758784E-2</v>
      </c>
      <c r="N138" s="13">
        <f t="shared" si="32"/>
        <v>-3.3168428079503876E-4</v>
      </c>
      <c r="O138" s="13">
        <f t="shared" si="33"/>
        <v>0</v>
      </c>
      <c r="P138" s="13">
        <f t="shared" si="34"/>
        <v>1.1783673687023415E-2</v>
      </c>
      <c r="Q138" s="13">
        <f t="shared" si="35"/>
        <v>0</v>
      </c>
      <c r="R138" s="13">
        <f t="shared" si="37"/>
        <v>0.55276231988273439</v>
      </c>
      <c r="S138" s="13">
        <f t="shared" si="37"/>
        <v>0.21073924753594608</v>
      </c>
      <c r="T138" s="13">
        <f t="shared" si="37"/>
        <v>-0.10264305438168685</v>
      </c>
      <c r="U138" s="13">
        <f t="shared" si="37"/>
        <v>0.43825109634535947</v>
      </c>
      <c r="V138" s="13">
        <f t="shared" si="37"/>
        <v>0.51321144295819199</v>
      </c>
      <c r="W138" s="13">
        <f t="shared" si="26"/>
        <v>0.22987061387354932</v>
      </c>
      <c r="X138" s="13">
        <f t="shared" si="26"/>
        <v>0.4737740581721972</v>
      </c>
      <c r="Y138" s="13">
        <f t="shared" si="26"/>
        <v>4.4330924150591713E-2</v>
      </c>
    </row>
    <row r="139" spans="1:25" x14ac:dyDescent="0.25">
      <c r="A139" s="14">
        <f>[1]Data!A142</f>
        <v>41640</v>
      </c>
      <c r="B139" s="15">
        <f>[1]Data!B142</f>
        <v>-3.5884832374277587E-2</v>
      </c>
      <c r="C139" s="15">
        <f>[1]Data!C142</f>
        <v>-5.7606663173614812E-2</v>
      </c>
      <c r="D139" s="16">
        <f>[1]Data!F142</f>
        <v>-2.5543672746040948E-2</v>
      </c>
      <c r="E139" s="17">
        <f>[1]Data!G142</f>
        <v>1.3855692819023779E-2</v>
      </c>
      <c r="F139" s="16">
        <f>[1]Data!H142</f>
        <v>-6.3551146934423533E-3</v>
      </c>
      <c r="G139" s="17">
        <f>[1]Data!I142</f>
        <v>7.0442276873245637E-3</v>
      </c>
      <c r="H139" s="18">
        <f t="shared" si="27"/>
        <v>1</v>
      </c>
      <c r="I139" s="19">
        <f t="shared" si="36"/>
        <v>1</v>
      </c>
      <c r="J139" s="13">
        <f t="shared" si="28"/>
        <v>-2.5543672746040948E-2</v>
      </c>
      <c r="K139" s="13">
        <f t="shared" si="29"/>
        <v>0</v>
      </c>
      <c r="L139" s="13">
        <f t="shared" si="30"/>
        <v>-1.3855692819023779E-2</v>
      </c>
      <c r="M139" s="13">
        <f t="shared" si="31"/>
        <v>0</v>
      </c>
      <c r="N139" s="13">
        <f t="shared" si="32"/>
        <v>-6.3551146934423533E-3</v>
      </c>
      <c r="O139" s="13">
        <f t="shared" si="33"/>
        <v>0</v>
      </c>
      <c r="P139" s="13">
        <f t="shared" si="34"/>
        <v>-7.0442276873245637E-3</v>
      </c>
      <c r="Q139" s="13">
        <f t="shared" si="35"/>
        <v>0</v>
      </c>
      <c r="R139" s="13">
        <f t="shared" si="37"/>
        <v>0.52721864713669342</v>
      </c>
      <c r="S139" s="13">
        <f t="shared" si="37"/>
        <v>0.21073924753594608</v>
      </c>
      <c r="T139" s="13">
        <f t="shared" si="37"/>
        <v>-0.11649874720071063</v>
      </c>
      <c r="U139" s="13">
        <f t="shared" si="37"/>
        <v>0.43825109634535947</v>
      </c>
      <c r="V139" s="13">
        <f t="shared" si="37"/>
        <v>0.50685632826474969</v>
      </c>
      <c r="W139" s="13">
        <f t="shared" si="26"/>
        <v>0.22987061387354932</v>
      </c>
      <c r="X139" s="13">
        <f t="shared" si="26"/>
        <v>0.46672983048487265</v>
      </c>
      <c r="Y139" s="13">
        <f t="shared" si="26"/>
        <v>4.4330924150591713E-2</v>
      </c>
    </row>
    <row r="140" spans="1:25" x14ac:dyDescent="0.25">
      <c r="A140" s="14">
        <f>[1]Data!A143</f>
        <v>41671</v>
      </c>
      <c r="B140" s="15">
        <f>[1]Data!B143</f>
        <v>4.4510681913880017E-2</v>
      </c>
      <c r="C140" s="15">
        <f>[1]Data!C143</f>
        <v>5.2038071955602172E-2</v>
      </c>
      <c r="D140" s="16">
        <f>[1]Data!F143</f>
        <v>7.43543068712804E-3</v>
      </c>
      <c r="E140" s="17">
        <f>[1]Data!G143</f>
        <v>2.0189452425049874E-2</v>
      </c>
      <c r="F140" s="16">
        <f>[1]Data!H143</f>
        <v>8.3832583804043254E-3</v>
      </c>
      <c r="G140" s="17">
        <f>[1]Data!I143</f>
        <v>-1.1303611344157445E-2</v>
      </c>
      <c r="H140" s="18">
        <f t="shared" si="27"/>
        <v>-1</v>
      </c>
      <c r="I140" s="19">
        <f t="shared" si="36"/>
        <v>-1</v>
      </c>
      <c r="J140" s="13">
        <f t="shared" si="28"/>
        <v>0</v>
      </c>
      <c r="K140" s="13">
        <f t="shared" si="29"/>
        <v>-7.43543068712804E-3</v>
      </c>
      <c r="L140" s="13">
        <f t="shared" si="30"/>
        <v>0</v>
      </c>
      <c r="M140" s="13">
        <f t="shared" si="31"/>
        <v>2.0189452425049874E-2</v>
      </c>
      <c r="N140" s="13">
        <f t="shared" si="32"/>
        <v>0</v>
      </c>
      <c r="O140" s="13">
        <f t="shared" si="33"/>
        <v>-8.3832583804043254E-3</v>
      </c>
      <c r="P140" s="13">
        <f t="shared" si="34"/>
        <v>0</v>
      </c>
      <c r="Q140" s="13">
        <f t="shared" si="35"/>
        <v>-1.1303611344157445E-2</v>
      </c>
      <c r="R140" s="13">
        <f t="shared" si="37"/>
        <v>0.52721864713669342</v>
      </c>
      <c r="S140" s="13">
        <f t="shared" si="37"/>
        <v>0.20330381684881804</v>
      </c>
      <c r="T140" s="13">
        <f t="shared" si="37"/>
        <v>-0.11649874720071063</v>
      </c>
      <c r="U140" s="13">
        <f t="shared" si="37"/>
        <v>0.45844054877040935</v>
      </c>
      <c r="V140" s="13">
        <f t="shared" si="37"/>
        <v>0.50685632826474969</v>
      </c>
      <c r="W140" s="13">
        <f t="shared" si="26"/>
        <v>0.22148735549314499</v>
      </c>
      <c r="X140" s="13">
        <f t="shared" si="26"/>
        <v>0.46672983048487265</v>
      </c>
      <c r="Y140" s="13">
        <f t="shared" si="26"/>
        <v>3.302731280643427E-2</v>
      </c>
    </row>
    <row r="141" spans="1:25" x14ac:dyDescent="0.25">
      <c r="A141" s="14">
        <f>[1]Data!A144</f>
        <v>41699</v>
      </c>
      <c r="B141" s="15">
        <f>[1]Data!B144</f>
        <v>8.261260744244877E-3</v>
      </c>
      <c r="C141" s="15">
        <f>[1]Data!C144</f>
        <v>4.6308562504127123E-3</v>
      </c>
      <c r="D141" s="16">
        <f>[1]Data!F144</f>
        <v>4.3409963714916332E-3</v>
      </c>
      <c r="E141" s="17">
        <f>[1]Data!G144</f>
        <v>8.0059352866194301E-3</v>
      </c>
      <c r="F141" s="16">
        <f>[1]Data!H144</f>
        <v>1.0519160187812208E-2</v>
      </c>
      <c r="G141" s="17">
        <f>[1]Data!I144</f>
        <v>-2.2569149314126617E-2</v>
      </c>
      <c r="H141" s="18">
        <f t="shared" si="27"/>
        <v>-1</v>
      </c>
      <c r="I141" s="19">
        <f t="shared" si="36"/>
        <v>1</v>
      </c>
      <c r="J141" s="13">
        <f t="shared" si="28"/>
        <v>0</v>
      </c>
      <c r="K141" s="13">
        <f t="shared" si="29"/>
        <v>-4.3409963714916332E-3</v>
      </c>
      <c r="L141" s="13">
        <f t="shared" si="30"/>
        <v>0</v>
      </c>
      <c r="M141" s="13">
        <f t="shared" si="31"/>
        <v>8.0059352866194301E-3</v>
      </c>
      <c r="N141" s="13">
        <f t="shared" si="32"/>
        <v>1.0519160187812208E-2</v>
      </c>
      <c r="O141" s="13">
        <f t="shared" si="33"/>
        <v>0</v>
      </c>
      <c r="P141" s="13">
        <f t="shared" si="34"/>
        <v>2.2569149314126617E-2</v>
      </c>
      <c r="Q141" s="13">
        <f t="shared" si="35"/>
        <v>0</v>
      </c>
      <c r="R141" s="13">
        <f t="shared" si="37"/>
        <v>0.52721864713669342</v>
      </c>
      <c r="S141" s="13">
        <f t="shared" si="37"/>
        <v>0.19896282047732641</v>
      </c>
      <c r="T141" s="13">
        <f t="shared" si="37"/>
        <v>-0.11649874720071063</v>
      </c>
      <c r="U141" s="13">
        <f t="shared" si="37"/>
        <v>0.46644648405702877</v>
      </c>
      <c r="V141" s="13">
        <f t="shared" si="37"/>
        <v>0.51737548845256187</v>
      </c>
      <c r="W141" s="13">
        <f t="shared" si="26"/>
        <v>0.22148735549314499</v>
      </c>
      <c r="X141" s="13">
        <f t="shared" si="26"/>
        <v>0.48929897979899928</v>
      </c>
      <c r="Y141" s="13">
        <f t="shared" si="26"/>
        <v>3.302731280643427E-2</v>
      </c>
    </row>
    <row r="142" spans="1:25" x14ac:dyDescent="0.25">
      <c r="A142" s="14">
        <f>[1]Data!A145</f>
        <v>41730</v>
      </c>
      <c r="B142" s="15">
        <f>[1]Data!B145</f>
        <v>6.9271787675743383E-3</v>
      </c>
      <c r="C142" s="15">
        <f>[1]Data!C145</f>
        <v>-9.0872182205124809E-3</v>
      </c>
      <c r="D142" s="16">
        <f>[1]Data!F145</f>
        <v>2.2328598019322244E-3</v>
      </c>
      <c r="E142" s="17">
        <f>[1]Data!G145</f>
        <v>6.95412991192133E-3</v>
      </c>
      <c r="F142" s="16">
        <f>[1]Data!H145</f>
        <v>-1.438041450549481E-2</v>
      </c>
      <c r="G142" s="17">
        <f>[1]Data!I145</f>
        <v>2.6613784614609092E-3</v>
      </c>
      <c r="H142" s="18">
        <f t="shared" si="27"/>
        <v>1</v>
      </c>
      <c r="I142" s="19">
        <f t="shared" si="36"/>
        <v>1</v>
      </c>
      <c r="J142" s="13">
        <f t="shared" si="28"/>
        <v>2.2328598019322244E-3</v>
      </c>
      <c r="K142" s="13">
        <f t="shared" si="29"/>
        <v>0</v>
      </c>
      <c r="L142" s="13">
        <f t="shared" si="30"/>
        <v>-6.95412991192133E-3</v>
      </c>
      <c r="M142" s="13">
        <f t="shared" si="31"/>
        <v>0</v>
      </c>
      <c r="N142" s="13">
        <f t="shared" si="32"/>
        <v>-1.438041450549481E-2</v>
      </c>
      <c r="O142" s="13">
        <f t="shared" si="33"/>
        <v>0</v>
      </c>
      <c r="P142" s="13">
        <f t="shared" si="34"/>
        <v>-2.6613784614609092E-3</v>
      </c>
      <c r="Q142" s="13">
        <f t="shared" si="35"/>
        <v>0</v>
      </c>
      <c r="R142" s="13">
        <f t="shared" si="37"/>
        <v>0.52945150693862564</v>
      </c>
      <c r="S142" s="13">
        <f t="shared" si="37"/>
        <v>0.19896282047732641</v>
      </c>
      <c r="T142" s="13">
        <f t="shared" si="37"/>
        <v>-0.12345287711263196</v>
      </c>
      <c r="U142" s="13">
        <f t="shared" si="37"/>
        <v>0.46644648405702877</v>
      </c>
      <c r="V142" s="13">
        <f t="shared" si="37"/>
        <v>0.50299507394706711</v>
      </c>
      <c r="W142" s="13">
        <f t="shared" si="26"/>
        <v>0.22148735549314499</v>
      </c>
      <c r="X142" s="13">
        <f t="shared" si="26"/>
        <v>0.48663760133753836</v>
      </c>
      <c r="Y142" s="13">
        <f t="shared" si="26"/>
        <v>3.302731280643427E-2</v>
      </c>
    </row>
    <row r="143" spans="1:25" x14ac:dyDescent="0.25">
      <c r="A143" s="14">
        <f>[1]Data!A146</f>
        <v>41760</v>
      </c>
      <c r="B143" s="15">
        <f>[1]Data!B146</f>
        <v>2.2940834571251054E-2</v>
      </c>
      <c r="C143" s="15">
        <f>[1]Data!C146</f>
        <v>-8.4663293622192735E-3</v>
      </c>
      <c r="D143" s="16">
        <f>[1]Data!F146</f>
        <v>1.8595814523711462E-2</v>
      </c>
      <c r="E143" s="17">
        <f>[1]Data!G146</f>
        <v>1.6257243407320737E-2</v>
      </c>
      <c r="F143" s="16">
        <f>[1]Data!H146</f>
        <v>-2.2860627922248302E-3</v>
      </c>
      <c r="G143" s="17">
        <f>[1]Data!I146</f>
        <v>1.1206014391874592E-2</v>
      </c>
      <c r="H143" s="18">
        <f t="shared" si="27"/>
        <v>1</v>
      </c>
      <c r="I143" s="19">
        <f t="shared" si="36"/>
        <v>-1</v>
      </c>
      <c r="J143" s="13">
        <f t="shared" si="28"/>
        <v>1.8595814523711462E-2</v>
      </c>
      <c r="K143" s="13">
        <f t="shared" si="29"/>
        <v>0</v>
      </c>
      <c r="L143" s="13">
        <f t="shared" si="30"/>
        <v>-1.6257243407320737E-2</v>
      </c>
      <c r="M143" s="13">
        <f t="shared" si="31"/>
        <v>0</v>
      </c>
      <c r="N143" s="13">
        <f t="shared" si="32"/>
        <v>0</v>
      </c>
      <c r="O143" s="13">
        <f t="shared" si="33"/>
        <v>2.2860627922248302E-3</v>
      </c>
      <c r="P143" s="13">
        <f t="shared" si="34"/>
        <v>0</v>
      </c>
      <c r="Q143" s="13">
        <f t="shared" si="35"/>
        <v>1.1206014391874592E-2</v>
      </c>
      <c r="R143" s="13">
        <f t="shared" si="37"/>
        <v>0.54804732146233714</v>
      </c>
      <c r="S143" s="13">
        <f t="shared" si="37"/>
        <v>0.19896282047732641</v>
      </c>
      <c r="T143" s="13">
        <f t="shared" si="37"/>
        <v>-0.13971012051995269</v>
      </c>
      <c r="U143" s="13">
        <f t="shared" si="37"/>
        <v>0.46644648405702877</v>
      </c>
      <c r="V143" s="13">
        <f t="shared" si="37"/>
        <v>0.50299507394706711</v>
      </c>
      <c r="W143" s="13">
        <f t="shared" si="26"/>
        <v>0.22377341828536981</v>
      </c>
      <c r="X143" s="13">
        <f t="shared" si="26"/>
        <v>0.48663760133753836</v>
      </c>
      <c r="Y143" s="13">
        <f t="shared" si="26"/>
        <v>4.4233327198308858E-2</v>
      </c>
    </row>
    <row r="144" spans="1:25" x14ac:dyDescent="0.25">
      <c r="A144" s="14">
        <f>[1]Data!A147</f>
        <v>41791</v>
      </c>
      <c r="B144" s="15">
        <f>[1]Data!B147</f>
        <v>2.043521183378955E-2</v>
      </c>
      <c r="C144" s="15">
        <f>[1]Data!C147</f>
        <v>3.9341876036557089E-2</v>
      </c>
      <c r="D144" s="16">
        <f>[1]Data!F147</f>
        <v>-1.1232785605316427E-3</v>
      </c>
      <c r="E144" s="17">
        <f>[1]Data!G147</f>
        <v>1.5267166968324891E-2</v>
      </c>
      <c r="F144" s="16">
        <f>[1]Data!H147</f>
        <v>1.3916117027030609E-2</v>
      </c>
      <c r="G144" s="17">
        <f>[1]Data!I147</f>
        <v>-1.9664099111772634E-2</v>
      </c>
      <c r="H144" s="18">
        <f t="shared" si="27"/>
        <v>-1</v>
      </c>
      <c r="I144" s="19">
        <f t="shared" si="36"/>
        <v>-1</v>
      </c>
      <c r="J144" s="13">
        <f t="shared" si="28"/>
        <v>0</v>
      </c>
      <c r="K144" s="13">
        <f t="shared" si="29"/>
        <v>1.1232785605316427E-3</v>
      </c>
      <c r="L144" s="13">
        <f t="shared" si="30"/>
        <v>0</v>
      </c>
      <c r="M144" s="13">
        <f t="shared" si="31"/>
        <v>1.5267166968324891E-2</v>
      </c>
      <c r="N144" s="13">
        <f t="shared" si="32"/>
        <v>0</v>
      </c>
      <c r="O144" s="13">
        <f t="shared" si="33"/>
        <v>-1.3916117027030609E-2</v>
      </c>
      <c r="P144" s="13">
        <f t="shared" si="34"/>
        <v>0</v>
      </c>
      <c r="Q144" s="13">
        <f t="shared" si="35"/>
        <v>-1.9664099111772634E-2</v>
      </c>
      <c r="R144" s="13">
        <f t="shared" si="37"/>
        <v>0.54804732146233714</v>
      </c>
      <c r="S144" s="13">
        <f t="shared" si="37"/>
        <v>0.20008609903785807</v>
      </c>
      <c r="T144" s="13">
        <f t="shared" si="37"/>
        <v>-0.13971012051995269</v>
      </c>
      <c r="U144" s="13">
        <f t="shared" si="37"/>
        <v>0.48171365102535368</v>
      </c>
      <c r="V144" s="13">
        <f t="shared" si="37"/>
        <v>0.50299507394706711</v>
      </c>
      <c r="W144" s="13">
        <f t="shared" si="26"/>
        <v>0.20985730125833921</v>
      </c>
      <c r="X144" s="13">
        <f t="shared" si="26"/>
        <v>0.48663760133753836</v>
      </c>
      <c r="Y144" s="13">
        <f t="shared" si="26"/>
        <v>2.4569228086536225E-2</v>
      </c>
    </row>
    <row r="145" spans="1:25" x14ac:dyDescent="0.25">
      <c r="A145" s="14">
        <f>[1]Data!A148</f>
        <v>41821</v>
      </c>
      <c r="B145" s="15">
        <f>[1]Data!B148</f>
        <v>-1.3528792451361432E-2</v>
      </c>
      <c r="C145" s="15">
        <f>[1]Data!C148</f>
        <v>-5.8028469728762938E-3</v>
      </c>
      <c r="D145" s="16">
        <f>[1]Data!F148</f>
        <v>-2.6120281980454192E-2</v>
      </c>
      <c r="E145" s="17">
        <f>[1]Data!G148</f>
        <v>-1.1774896057303023E-2</v>
      </c>
      <c r="F145" s="16">
        <f>[1]Data!H148</f>
        <v>2.6530085799202916E-3</v>
      </c>
      <c r="G145" s="17">
        <f>[1]Data!I148</f>
        <v>-4.3185877921053002E-3</v>
      </c>
      <c r="H145" s="18">
        <f t="shared" si="27"/>
        <v>1</v>
      </c>
      <c r="I145" s="19">
        <f t="shared" si="36"/>
        <v>1</v>
      </c>
      <c r="J145" s="13">
        <f t="shared" si="28"/>
        <v>-2.6120281980454192E-2</v>
      </c>
      <c r="K145" s="13">
        <f t="shared" si="29"/>
        <v>0</v>
      </c>
      <c r="L145" s="13">
        <f t="shared" si="30"/>
        <v>1.1774896057303023E-2</v>
      </c>
      <c r="M145" s="13">
        <f t="shared" si="31"/>
        <v>0</v>
      </c>
      <c r="N145" s="13">
        <f t="shared" si="32"/>
        <v>2.6530085799202916E-3</v>
      </c>
      <c r="O145" s="13">
        <f t="shared" si="33"/>
        <v>0</v>
      </c>
      <c r="P145" s="13">
        <f t="shared" si="34"/>
        <v>4.3185877921053002E-3</v>
      </c>
      <c r="Q145" s="13">
        <f t="shared" si="35"/>
        <v>0</v>
      </c>
      <c r="R145" s="13">
        <f t="shared" si="37"/>
        <v>0.5219270394818829</v>
      </c>
      <c r="S145" s="13">
        <f t="shared" si="37"/>
        <v>0.20008609903785807</v>
      </c>
      <c r="T145" s="13">
        <f t="shared" si="37"/>
        <v>-0.12793522446264965</v>
      </c>
      <c r="U145" s="13">
        <f t="shared" si="37"/>
        <v>0.48171365102535368</v>
      </c>
      <c r="V145" s="13">
        <f t="shared" si="37"/>
        <v>0.50564808252698745</v>
      </c>
      <c r="W145" s="13">
        <f t="shared" si="26"/>
        <v>0.20985730125833921</v>
      </c>
      <c r="X145" s="13">
        <f t="shared" si="26"/>
        <v>0.49095618912964367</v>
      </c>
      <c r="Y145" s="13">
        <f t="shared" si="26"/>
        <v>2.4569228086536225E-2</v>
      </c>
    </row>
    <row r="146" spans="1:25" x14ac:dyDescent="0.25">
      <c r="A146" s="14">
        <f>[1]Data!A149</f>
        <v>41852</v>
      </c>
      <c r="B146" s="15">
        <f>[1]Data!B149</f>
        <v>3.8704364068411844E-2</v>
      </c>
      <c r="C146" s="15">
        <f>[1]Data!C149</f>
        <v>6.9526367160309653E-3</v>
      </c>
      <c r="D146" s="16">
        <f>[1]Data!F149</f>
        <v>6.0468037390451366E-3</v>
      </c>
      <c r="E146" s="17">
        <f>[1]Data!G149</f>
        <v>2.0451193254643462E-2</v>
      </c>
      <c r="F146" s="16">
        <f>[1]Data!H149</f>
        <v>-1.0726187139792566E-2</v>
      </c>
      <c r="G146" s="17">
        <f>[1]Data!I149</f>
        <v>1.8217794169746691E-2</v>
      </c>
      <c r="H146" s="18">
        <f t="shared" si="27"/>
        <v>-1</v>
      </c>
      <c r="I146" s="19">
        <f t="shared" si="36"/>
        <v>-1</v>
      </c>
      <c r="J146" s="13">
        <f t="shared" si="28"/>
        <v>0</v>
      </c>
      <c r="K146" s="13">
        <f t="shared" si="29"/>
        <v>-6.0468037390451366E-3</v>
      </c>
      <c r="L146" s="13">
        <f t="shared" si="30"/>
        <v>0</v>
      </c>
      <c r="M146" s="13">
        <f t="shared" si="31"/>
        <v>2.0451193254643462E-2</v>
      </c>
      <c r="N146" s="13">
        <f t="shared" si="32"/>
        <v>0</v>
      </c>
      <c r="O146" s="13">
        <f t="shared" si="33"/>
        <v>1.0726187139792566E-2</v>
      </c>
      <c r="P146" s="13">
        <f t="shared" si="34"/>
        <v>0</v>
      </c>
      <c r="Q146" s="13">
        <f t="shared" si="35"/>
        <v>1.8217794169746691E-2</v>
      </c>
      <c r="R146" s="13">
        <f t="shared" si="37"/>
        <v>0.5219270394818829</v>
      </c>
      <c r="S146" s="13">
        <f t="shared" si="37"/>
        <v>0.19403929529881292</v>
      </c>
      <c r="T146" s="13">
        <f t="shared" si="37"/>
        <v>-0.12793522446264965</v>
      </c>
      <c r="U146" s="13">
        <f t="shared" si="37"/>
        <v>0.50216484427999719</v>
      </c>
      <c r="V146" s="13">
        <f t="shared" si="37"/>
        <v>0.50564808252698745</v>
      </c>
      <c r="W146" s="13">
        <f t="shared" si="26"/>
        <v>0.22058348839813177</v>
      </c>
      <c r="X146" s="13">
        <f t="shared" si="26"/>
        <v>0.49095618912964367</v>
      </c>
      <c r="Y146" s="13">
        <f t="shared" si="26"/>
        <v>4.2787022256282919E-2</v>
      </c>
    </row>
    <row r="147" spans="1:25" x14ac:dyDescent="0.25">
      <c r="A147" s="14">
        <f>[1]Data!A150</f>
        <v>41883</v>
      </c>
      <c r="B147" s="15">
        <f>[1]Data!B150</f>
        <v>-1.3891926239782942E-2</v>
      </c>
      <c r="C147" s="15">
        <f>[1]Data!C150</f>
        <v>3.1456303691018588E-2</v>
      </c>
      <c r="D147" s="16">
        <f>[1]Data!F150</f>
        <v>-1.0752948847443551E-2</v>
      </c>
      <c r="E147" s="17">
        <f>[1]Data!G150</f>
        <v>1.3245867480256876E-2</v>
      </c>
      <c r="F147" s="16">
        <f>[1]Data!H150</f>
        <v>-5.9782044308948935E-4</v>
      </c>
      <c r="G147" s="17">
        <f>[1]Data!I150</f>
        <v>-2.5572545522358669E-2</v>
      </c>
      <c r="H147" s="18">
        <f t="shared" si="27"/>
        <v>-1</v>
      </c>
      <c r="I147" s="19">
        <f t="shared" si="36"/>
        <v>1</v>
      </c>
      <c r="J147" s="13">
        <f t="shared" si="28"/>
        <v>0</v>
      </c>
      <c r="K147" s="13">
        <f t="shared" si="29"/>
        <v>1.0752948847443551E-2</v>
      </c>
      <c r="L147" s="13">
        <f t="shared" si="30"/>
        <v>0</v>
      </c>
      <c r="M147" s="13">
        <f t="shared" si="31"/>
        <v>1.3245867480256876E-2</v>
      </c>
      <c r="N147" s="13">
        <f t="shared" si="32"/>
        <v>-5.9782044308948935E-4</v>
      </c>
      <c r="O147" s="13">
        <f t="shared" si="33"/>
        <v>0</v>
      </c>
      <c r="P147" s="13">
        <f t="shared" si="34"/>
        <v>2.5572545522358669E-2</v>
      </c>
      <c r="Q147" s="13">
        <f t="shared" si="35"/>
        <v>0</v>
      </c>
      <c r="R147" s="13">
        <f t="shared" si="37"/>
        <v>0.5219270394818829</v>
      </c>
      <c r="S147" s="13">
        <f t="shared" si="37"/>
        <v>0.20479224414625646</v>
      </c>
      <c r="T147" s="13">
        <f t="shared" si="37"/>
        <v>-0.12793522446264965</v>
      </c>
      <c r="U147" s="13">
        <f t="shared" si="37"/>
        <v>0.5154107117602541</v>
      </c>
      <c r="V147" s="13">
        <f t="shared" si="37"/>
        <v>0.50505026208389792</v>
      </c>
      <c r="W147" s="13">
        <f t="shared" si="26"/>
        <v>0.22058348839813177</v>
      </c>
      <c r="X147" s="13">
        <f t="shared" si="26"/>
        <v>0.51652873465200233</v>
      </c>
      <c r="Y147" s="13">
        <f t="shared" si="26"/>
        <v>4.2787022256282919E-2</v>
      </c>
    </row>
    <row r="148" spans="1:25" x14ac:dyDescent="0.25">
      <c r="A148" s="14">
        <f>[1]Data!A151</f>
        <v>41913</v>
      </c>
      <c r="B148" s="15">
        <f>[1]Data!B151</f>
        <v>2.3277772503548649E-2</v>
      </c>
      <c r="C148" s="15">
        <f>[1]Data!C151</f>
        <v>-5.3641503951176707E-2</v>
      </c>
      <c r="D148" s="16">
        <f>[1]Data!F151</f>
        <v>3.8364168342994921E-2</v>
      </c>
      <c r="E148" s="17">
        <f>[1]Data!G151</f>
        <v>-1.0759754881652915E-2</v>
      </c>
      <c r="F148" s="16">
        <f>[1]Data!H151</f>
        <v>-1.9269004824749494E-2</v>
      </c>
      <c r="G148" s="17">
        <f>[1]Data!I151</f>
        <v>2.8717355282347038E-2</v>
      </c>
      <c r="H148" s="18">
        <f t="shared" si="27"/>
        <v>1</v>
      </c>
      <c r="I148" s="19">
        <f t="shared" si="36"/>
        <v>1</v>
      </c>
      <c r="J148" s="13">
        <f t="shared" si="28"/>
        <v>3.8364168342994921E-2</v>
      </c>
      <c r="K148" s="13">
        <f t="shared" si="29"/>
        <v>0</v>
      </c>
      <c r="L148" s="13">
        <f t="shared" si="30"/>
        <v>1.0759754881652915E-2</v>
      </c>
      <c r="M148" s="13">
        <f t="shared" si="31"/>
        <v>0</v>
      </c>
      <c r="N148" s="13">
        <f t="shared" si="32"/>
        <v>-1.9269004824749494E-2</v>
      </c>
      <c r="O148" s="13">
        <f t="shared" si="33"/>
        <v>0</v>
      </c>
      <c r="P148" s="13">
        <f t="shared" si="34"/>
        <v>-2.8717355282347038E-2</v>
      </c>
      <c r="Q148" s="13">
        <f t="shared" si="35"/>
        <v>0</v>
      </c>
      <c r="R148" s="13">
        <f t="shared" si="37"/>
        <v>0.56029120782487785</v>
      </c>
      <c r="S148" s="13">
        <f t="shared" si="37"/>
        <v>0.20479224414625646</v>
      </c>
      <c r="T148" s="13">
        <f t="shared" si="37"/>
        <v>-0.11717546958099674</v>
      </c>
      <c r="U148" s="13">
        <f t="shared" si="37"/>
        <v>0.5154107117602541</v>
      </c>
      <c r="V148" s="13">
        <f t="shared" si="37"/>
        <v>0.48578125725914845</v>
      </c>
      <c r="W148" s="13">
        <f t="shared" si="26"/>
        <v>0.22058348839813177</v>
      </c>
      <c r="X148" s="13">
        <f t="shared" si="26"/>
        <v>0.4878113793696553</v>
      </c>
      <c r="Y148" s="13">
        <f t="shared" si="26"/>
        <v>4.2787022256282919E-2</v>
      </c>
    </row>
    <row r="149" spans="1:25" x14ac:dyDescent="0.25">
      <c r="A149" s="14">
        <f>[1]Data!A152</f>
        <v>41944</v>
      </c>
      <c r="B149" s="15">
        <f>[1]Data!B152</f>
        <v>2.7101695451126152E-2</v>
      </c>
      <c r="C149" s="15">
        <f>[1]Data!C152</f>
        <v>1.5051388749237574E-2</v>
      </c>
      <c r="D149" s="16">
        <f>[1]Data!F152</f>
        <v>2.5129710988590682E-3</v>
      </c>
      <c r="E149" s="17">
        <f>[1]Data!G152</f>
        <v>1.9705352742763683E-2</v>
      </c>
      <c r="F149" s="16">
        <f>[1]Data!H152</f>
        <v>8.2962181322684646E-3</v>
      </c>
      <c r="G149" s="17">
        <f>[1]Data!I152</f>
        <v>6.6192653478077254E-3</v>
      </c>
      <c r="H149" s="18">
        <f t="shared" si="27"/>
        <v>-1</v>
      </c>
      <c r="I149" s="19">
        <f t="shared" si="36"/>
        <v>-1</v>
      </c>
      <c r="J149" s="13">
        <f t="shared" si="28"/>
        <v>0</v>
      </c>
      <c r="K149" s="13">
        <f t="shared" si="29"/>
        <v>-2.5129710988590682E-3</v>
      </c>
      <c r="L149" s="13">
        <f t="shared" si="30"/>
        <v>0</v>
      </c>
      <c r="M149" s="13">
        <f t="shared" si="31"/>
        <v>1.9705352742763683E-2</v>
      </c>
      <c r="N149" s="13">
        <f t="shared" si="32"/>
        <v>0</v>
      </c>
      <c r="O149" s="13">
        <f t="shared" si="33"/>
        <v>-8.2962181322684646E-3</v>
      </c>
      <c r="P149" s="13">
        <f t="shared" si="34"/>
        <v>0</v>
      </c>
      <c r="Q149" s="13">
        <f t="shared" si="35"/>
        <v>6.6192653478077254E-3</v>
      </c>
      <c r="R149" s="13">
        <f t="shared" si="37"/>
        <v>0.56029120782487785</v>
      </c>
      <c r="S149" s="13">
        <f t="shared" si="37"/>
        <v>0.2022792730473974</v>
      </c>
      <c r="T149" s="13">
        <f t="shared" si="37"/>
        <v>-0.11717546958099674</v>
      </c>
      <c r="U149" s="13">
        <f t="shared" si="37"/>
        <v>0.53511606450301774</v>
      </c>
      <c r="V149" s="13">
        <f t="shared" si="37"/>
        <v>0.48578125725914845</v>
      </c>
      <c r="W149" s="13">
        <f t="shared" si="26"/>
        <v>0.2122872702658633</v>
      </c>
      <c r="X149" s="13">
        <f t="shared" si="26"/>
        <v>0.4878113793696553</v>
      </c>
      <c r="Y149" s="13">
        <f t="shared" si="26"/>
        <v>4.9406287604090646E-2</v>
      </c>
    </row>
    <row r="150" spans="1:25" x14ac:dyDescent="0.25">
      <c r="A150" s="14">
        <f>[1]Data!A153</f>
        <v>41974</v>
      </c>
      <c r="B150" s="15">
        <f>[1]Data!B153</f>
        <v>-2.5400820762295131E-3</v>
      </c>
      <c r="C150" s="15">
        <f>[1]Data!C153</f>
        <v>-2.7266995987417945E-2</v>
      </c>
      <c r="D150" s="16">
        <f>[1]Data!F153</f>
        <v>-4.7567984747656725E-3</v>
      </c>
      <c r="E150" s="17">
        <f>[1]Data!G153</f>
        <v>2.5119777857141711E-3</v>
      </c>
      <c r="F150" s="16">
        <f>[1]Data!H153</f>
        <v>3.8531815807434262E-3</v>
      </c>
      <c r="G150" s="17">
        <f>[1]Data!I153</f>
        <v>-9.2316654151431577E-3</v>
      </c>
      <c r="H150" s="18">
        <f t="shared" si="27"/>
        <v>1</v>
      </c>
      <c r="I150" s="19">
        <f t="shared" si="36"/>
        <v>1</v>
      </c>
      <c r="J150" s="13">
        <f t="shared" si="28"/>
        <v>-4.7567984747656725E-3</v>
      </c>
      <c r="K150" s="13">
        <f t="shared" si="29"/>
        <v>0</v>
      </c>
      <c r="L150" s="13">
        <f t="shared" si="30"/>
        <v>-2.5119777857141711E-3</v>
      </c>
      <c r="M150" s="13">
        <f t="shared" si="31"/>
        <v>0</v>
      </c>
      <c r="N150" s="13">
        <f t="shared" si="32"/>
        <v>3.8531815807434262E-3</v>
      </c>
      <c r="O150" s="13">
        <f t="shared" si="33"/>
        <v>0</v>
      </c>
      <c r="P150" s="13">
        <f t="shared" si="34"/>
        <v>9.2316654151431577E-3</v>
      </c>
      <c r="Q150" s="13">
        <f t="shared" si="35"/>
        <v>0</v>
      </c>
      <c r="R150" s="13">
        <f t="shared" si="37"/>
        <v>0.55553440935011222</v>
      </c>
      <c r="S150" s="13">
        <f t="shared" si="37"/>
        <v>0.2022792730473974</v>
      </c>
      <c r="T150" s="13">
        <f t="shared" si="37"/>
        <v>-0.11968744736671091</v>
      </c>
      <c r="U150" s="13">
        <f t="shared" si="37"/>
        <v>0.53511606450301774</v>
      </c>
      <c r="V150" s="13">
        <f t="shared" si="37"/>
        <v>0.48963443883989188</v>
      </c>
      <c r="W150" s="13">
        <f t="shared" si="26"/>
        <v>0.2122872702658633</v>
      </c>
      <c r="X150" s="13">
        <f t="shared" si="26"/>
        <v>0.49704304478479844</v>
      </c>
      <c r="Y150" s="13">
        <f t="shared" si="26"/>
        <v>4.9406287604090646E-2</v>
      </c>
    </row>
    <row r="151" spans="1:25" x14ac:dyDescent="0.25">
      <c r="A151" s="14">
        <f>[1]Data!A154</f>
        <v>42005</v>
      </c>
      <c r="B151" s="15">
        <f>[1]Data!B154</f>
        <v>-3.0077138355879652E-2</v>
      </c>
      <c r="C151" s="15">
        <f>[1]Data!C154</f>
        <v>-7.0699789050467129E-2</v>
      </c>
      <c r="D151" s="16">
        <f>[1]Data!F154</f>
        <v>-2.7300373913802391E-2</v>
      </c>
      <c r="E151" s="17">
        <f>[1]Data!G154</f>
        <v>2.5711127852013214E-2</v>
      </c>
      <c r="F151" s="16">
        <f>[1]Data!H154</f>
        <v>1.7496835100417746E-3</v>
      </c>
      <c r="G151" s="17">
        <f>[1]Data!I154</f>
        <v>2.9191989193135804E-2</v>
      </c>
      <c r="H151" s="18">
        <f t="shared" si="27"/>
        <v>1</v>
      </c>
      <c r="I151" s="19">
        <f t="shared" si="36"/>
        <v>-1</v>
      </c>
      <c r="J151" s="13">
        <f t="shared" si="28"/>
        <v>-2.7300373913802391E-2</v>
      </c>
      <c r="K151" s="13">
        <f t="shared" si="29"/>
        <v>0</v>
      </c>
      <c r="L151" s="13">
        <f t="shared" si="30"/>
        <v>-2.5711127852013214E-2</v>
      </c>
      <c r="M151" s="13">
        <f t="shared" si="31"/>
        <v>0</v>
      </c>
      <c r="N151" s="13">
        <f t="shared" si="32"/>
        <v>0</v>
      </c>
      <c r="O151" s="13">
        <f t="shared" si="33"/>
        <v>-1.7496835100417746E-3</v>
      </c>
      <c r="P151" s="13">
        <f t="shared" si="34"/>
        <v>0</v>
      </c>
      <c r="Q151" s="13">
        <f t="shared" si="35"/>
        <v>2.9191989193135804E-2</v>
      </c>
      <c r="R151" s="13">
        <f t="shared" si="37"/>
        <v>0.52823403543630987</v>
      </c>
      <c r="S151" s="13">
        <f t="shared" si="37"/>
        <v>0.2022792730473974</v>
      </c>
      <c r="T151" s="13">
        <f t="shared" si="37"/>
        <v>-0.14539857521872412</v>
      </c>
      <c r="U151" s="13">
        <f t="shared" si="37"/>
        <v>0.53511606450301774</v>
      </c>
      <c r="V151" s="13">
        <f t="shared" si="37"/>
        <v>0.48963443883989188</v>
      </c>
      <c r="W151" s="13">
        <f t="shared" si="26"/>
        <v>0.21053758675582152</v>
      </c>
      <c r="X151" s="13">
        <f t="shared" si="26"/>
        <v>0.49704304478479844</v>
      </c>
      <c r="Y151" s="13">
        <f t="shared" si="26"/>
        <v>7.8598276797226446E-2</v>
      </c>
    </row>
    <row r="152" spans="1:25" x14ac:dyDescent="0.25">
      <c r="A152" s="14">
        <f>[1]Data!A155</f>
        <v>42036</v>
      </c>
      <c r="B152" s="15">
        <f>[1]Data!B155</f>
        <v>5.4682108409737744E-2</v>
      </c>
      <c r="C152" s="15">
        <f>[1]Data!C155</f>
        <v>0.13259843447997532</v>
      </c>
      <c r="D152" s="16">
        <f>[1]Data!F155</f>
        <v>-2.6072343328967431E-3</v>
      </c>
      <c r="E152" s="17">
        <f>[1]Data!G155</f>
        <v>1.1961143697534623E-2</v>
      </c>
      <c r="F152" s="16">
        <f>[1]Data!H155</f>
        <v>3.012602647126322E-2</v>
      </c>
      <c r="G152" s="17">
        <f>[1]Data!I155</f>
        <v>-5.2368750151624968E-2</v>
      </c>
      <c r="H152" s="18">
        <f t="shared" si="27"/>
        <v>-1</v>
      </c>
      <c r="I152" s="19">
        <f t="shared" si="36"/>
        <v>-1</v>
      </c>
      <c r="J152" s="13">
        <f t="shared" si="28"/>
        <v>0</v>
      </c>
      <c r="K152" s="13">
        <f t="shared" si="29"/>
        <v>2.6072343328967431E-3</v>
      </c>
      <c r="L152" s="13">
        <f t="shared" si="30"/>
        <v>0</v>
      </c>
      <c r="M152" s="13">
        <f t="shared" si="31"/>
        <v>1.1961143697534623E-2</v>
      </c>
      <c r="N152" s="13">
        <f t="shared" si="32"/>
        <v>0</v>
      </c>
      <c r="O152" s="13">
        <f t="shared" si="33"/>
        <v>-3.012602647126322E-2</v>
      </c>
      <c r="P152" s="13">
        <f t="shared" si="34"/>
        <v>0</v>
      </c>
      <c r="Q152" s="13">
        <f t="shared" si="35"/>
        <v>-5.2368750151624968E-2</v>
      </c>
      <c r="R152" s="13">
        <f t="shared" si="37"/>
        <v>0.52823403543630987</v>
      </c>
      <c r="S152" s="13">
        <f t="shared" si="37"/>
        <v>0.20488650738029415</v>
      </c>
      <c r="T152" s="13">
        <f t="shared" si="37"/>
        <v>-0.14539857521872412</v>
      </c>
      <c r="U152" s="13">
        <f t="shared" si="37"/>
        <v>0.54707720820055239</v>
      </c>
      <c r="V152" s="13">
        <f t="shared" si="37"/>
        <v>0.48963443883989188</v>
      </c>
      <c r="W152" s="13">
        <f t="shared" si="26"/>
        <v>0.18041156028455829</v>
      </c>
      <c r="X152" s="13">
        <f t="shared" si="26"/>
        <v>0.49704304478479844</v>
      </c>
      <c r="Y152" s="13">
        <f t="shared" si="26"/>
        <v>2.6229526645601478E-2</v>
      </c>
    </row>
    <row r="153" spans="1:25" x14ac:dyDescent="0.25">
      <c r="A153" s="14">
        <f>[1]Data!A156</f>
        <v>42064</v>
      </c>
      <c r="B153" s="15">
        <f>[1]Data!B156</f>
        <v>-1.5830436461085864E-2</v>
      </c>
      <c r="C153" s="15">
        <f>[1]Data!C156</f>
        <v>-1.3851110603715921E-2</v>
      </c>
      <c r="D153" s="16">
        <f>[1]Data!F156</f>
        <v>-1.9096523008057423E-2</v>
      </c>
      <c r="E153" s="17">
        <f>[1]Data!G156</f>
        <v>-6.2547408141788701E-3</v>
      </c>
      <c r="F153" s="16">
        <f>[1]Data!H156</f>
        <v>-1.5114157304979031E-2</v>
      </c>
      <c r="G153" s="17">
        <f>[1]Data!I156</f>
        <v>-4.5724602445418344E-2</v>
      </c>
      <c r="H153" s="18">
        <f t="shared" si="27"/>
        <v>1</v>
      </c>
      <c r="I153" s="19">
        <f t="shared" si="36"/>
        <v>1</v>
      </c>
      <c r="J153" s="13">
        <f t="shared" si="28"/>
        <v>-1.9096523008057423E-2</v>
      </c>
      <c r="K153" s="13">
        <f t="shared" si="29"/>
        <v>0</v>
      </c>
      <c r="L153" s="13">
        <f t="shared" si="30"/>
        <v>6.2547408141788701E-3</v>
      </c>
      <c r="M153" s="13">
        <f t="shared" si="31"/>
        <v>0</v>
      </c>
      <c r="N153" s="13">
        <f t="shared" si="32"/>
        <v>-1.5114157304979031E-2</v>
      </c>
      <c r="O153" s="13">
        <f t="shared" si="33"/>
        <v>0</v>
      </c>
      <c r="P153" s="13">
        <f t="shared" si="34"/>
        <v>4.5724602445418344E-2</v>
      </c>
      <c r="Q153" s="13">
        <f t="shared" si="35"/>
        <v>0</v>
      </c>
      <c r="R153" s="13">
        <f t="shared" si="37"/>
        <v>0.50913751242825245</v>
      </c>
      <c r="S153" s="13">
        <f t="shared" si="37"/>
        <v>0.20488650738029415</v>
      </c>
      <c r="T153" s="13">
        <f t="shared" si="37"/>
        <v>-0.13914383440454525</v>
      </c>
      <c r="U153" s="13">
        <f t="shared" si="37"/>
        <v>0.54707720820055239</v>
      </c>
      <c r="V153" s="13">
        <f t="shared" si="37"/>
        <v>0.47452028153491288</v>
      </c>
      <c r="W153" s="13">
        <f t="shared" si="26"/>
        <v>0.18041156028455829</v>
      </c>
      <c r="X153" s="13">
        <f t="shared" si="26"/>
        <v>0.54276764723021675</v>
      </c>
      <c r="Y153" s="13">
        <f t="shared" si="26"/>
        <v>2.6229526645601478E-2</v>
      </c>
    </row>
    <row r="154" spans="1:25" x14ac:dyDescent="0.25">
      <c r="A154" s="14">
        <f>[1]Data!A157</f>
        <v>42095</v>
      </c>
      <c r="B154" s="15">
        <f>[1]Data!B157</f>
        <v>9.7858249923448888E-3</v>
      </c>
      <c r="C154" s="15">
        <f>[1]Data!C157</f>
        <v>4.1038420983999575E-2</v>
      </c>
      <c r="D154" s="16">
        <f>[1]Data!F157</f>
        <v>-1.0355893863015015E-2</v>
      </c>
      <c r="E154" s="17">
        <f>[1]Data!G157</f>
        <v>-1.3955240408851044E-2</v>
      </c>
      <c r="F154" s="16">
        <f>[1]Data!H157</f>
        <v>7.4805965369962634E-3</v>
      </c>
      <c r="G154" s="17">
        <f>[1]Data!I157</f>
        <v>5.4520331312920417E-3</v>
      </c>
      <c r="H154" s="18">
        <f t="shared" si="27"/>
        <v>-1</v>
      </c>
      <c r="I154" s="19">
        <f t="shared" si="36"/>
        <v>-1</v>
      </c>
      <c r="J154" s="13">
        <f t="shared" si="28"/>
        <v>0</v>
      </c>
      <c r="K154" s="13">
        <f t="shared" si="29"/>
        <v>1.0355893863015015E-2</v>
      </c>
      <c r="L154" s="13">
        <f t="shared" si="30"/>
        <v>0</v>
      </c>
      <c r="M154" s="13">
        <f t="shared" si="31"/>
        <v>-1.3955240408851044E-2</v>
      </c>
      <c r="N154" s="13">
        <f t="shared" si="32"/>
        <v>0</v>
      </c>
      <c r="O154" s="13">
        <f t="shared" si="33"/>
        <v>-7.4805965369962634E-3</v>
      </c>
      <c r="P154" s="13">
        <f t="shared" si="34"/>
        <v>0</v>
      </c>
      <c r="Q154" s="13">
        <f t="shared" si="35"/>
        <v>5.4520331312920417E-3</v>
      </c>
      <c r="R154" s="13">
        <f t="shared" si="37"/>
        <v>0.50913751242825245</v>
      </c>
      <c r="S154" s="13">
        <f t="shared" si="37"/>
        <v>0.21524240124330918</v>
      </c>
      <c r="T154" s="13">
        <f t="shared" si="37"/>
        <v>-0.13914383440454525</v>
      </c>
      <c r="U154" s="13">
        <f t="shared" si="37"/>
        <v>0.5331219677917014</v>
      </c>
      <c r="V154" s="13">
        <f t="shared" si="37"/>
        <v>0.47452028153491288</v>
      </c>
      <c r="W154" s="13">
        <f t="shared" si="26"/>
        <v>0.17293096374756203</v>
      </c>
      <c r="X154" s="13">
        <f t="shared" si="26"/>
        <v>0.54276764723021675</v>
      </c>
      <c r="Y154" s="13">
        <f t="shared" si="26"/>
        <v>3.168155977689352E-2</v>
      </c>
    </row>
    <row r="155" spans="1:25" x14ac:dyDescent="0.25">
      <c r="A155" s="14">
        <f>[1]Data!A158</f>
        <v>42125</v>
      </c>
      <c r="B155" s="15">
        <f>[1]Data!B158</f>
        <v>1.2774392163248202E-2</v>
      </c>
      <c r="C155" s="15">
        <f>[1]Data!C158</f>
        <v>6.7319854623018691E-2</v>
      </c>
      <c r="D155" s="16">
        <f>[1]Data!F158</f>
        <v>-1.111529005607859E-2</v>
      </c>
      <c r="E155" s="17">
        <f>[1]Data!G158</f>
        <v>1.9420032067166186E-2</v>
      </c>
      <c r="F155" s="16">
        <f>[1]Data!H158</f>
        <v>1.9650585500238949E-3</v>
      </c>
      <c r="G155" s="17">
        <f>[1]Data!I158</f>
        <v>-2.8339030536422463E-2</v>
      </c>
      <c r="H155" s="18">
        <f t="shared" si="27"/>
        <v>-1</v>
      </c>
      <c r="I155" s="19">
        <f t="shared" si="36"/>
        <v>1</v>
      </c>
      <c r="J155" s="13">
        <f t="shared" si="28"/>
        <v>0</v>
      </c>
      <c r="K155" s="13">
        <f t="shared" si="29"/>
        <v>1.111529005607859E-2</v>
      </c>
      <c r="L155" s="13">
        <f t="shared" si="30"/>
        <v>0</v>
      </c>
      <c r="M155" s="13">
        <f t="shared" si="31"/>
        <v>1.9420032067166186E-2</v>
      </c>
      <c r="N155" s="13">
        <f t="shared" si="32"/>
        <v>1.9650585500238949E-3</v>
      </c>
      <c r="O155" s="13">
        <f t="shared" si="33"/>
        <v>0</v>
      </c>
      <c r="P155" s="13">
        <f t="shared" si="34"/>
        <v>2.8339030536422463E-2</v>
      </c>
      <c r="Q155" s="13">
        <f t="shared" si="35"/>
        <v>0</v>
      </c>
      <c r="R155" s="13">
        <f t="shared" si="37"/>
        <v>0.50913751242825245</v>
      </c>
      <c r="S155" s="13">
        <f t="shared" si="37"/>
        <v>0.22635769129938776</v>
      </c>
      <c r="T155" s="13">
        <f t="shared" si="37"/>
        <v>-0.13914383440454525</v>
      </c>
      <c r="U155" s="13">
        <f t="shared" si="37"/>
        <v>0.55254199985886754</v>
      </c>
      <c r="V155" s="13">
        <f t="shared" si="37"/>
        <v>0.47648534008493676</v>
      </c>
      <c r="W155" s="13">
        <f t="shared" si="26"/>
        <v>0.17293096374756203</v>
      </c>
      <c r="X155" s="13">
        <f t="shared" si="26"/>
        <v>0.57110667776663926</v>
      </c>
      <c r="Y155" s="13">
        <f t="shared" si="26"/>
        <v>3.168155977689352E-2</v>
      </c>
    </row>
    <row r="156" spans="1:25" x14ac:dyDescent="0.25">
      <c r="A156" s="14">
        <f>[1]Data!A159</f>
        <v>42156</v>
      </c>
      <c r="B156" s="15">
        <f>[1]Data!B159</f>
        <v>-2.0521157444240472E-2</v>
      </c>
      <c r="C156" s="15">
        <f>[1]Data!C159</f>
        <v>3.1163276315692066E-2</v>
      </c>
      <c r="D156" s="16">
        <f>[1]Data!F159</f>
        <v>-2.3809079336050955E-2</v>
      </c>
      <c r="E156" s="17">
        <f>[1]Data!G159</f>
        <v>-1.3697034469442378E-2</v>
      </c>
      <c r="F156" s="16">
        <f>[1]Data!H159</f>
        <v>-6.5098595877133691E-3</v>
      </c>
      <c r="G156" s="17">
        <f>[1]Data!I159</f>
        <v>-4.0381752071421091E-2</v>
      </c>
      <c r="H156" s="18">
        <f t="shared" si="27"/>
        <v>-1</v>
      </c>
      <c r="I156" s="19">
        <f t="shared" si="36"/>
        <v>1</v>
      </c>
      <c r="J156" s="13">
        <f t="shared" si="28"/>
        <v>0</v>
      </c>
      <c r="K156" s="13">
        <f t="shared" si="29"/>
        <v>2.3809079336050955E-2</v>
      </c>
      <c r="L156" s="13">
        <f t="shared" si="30"/>
        <v>0</v>
      </c>
      <c r="M156" s="13">
        <f t="shared" si="31"/>
        <v>-1.3697034469442378E-2</v>
      </c>
      <c r="N156" s="13">
        <f t="shared" si="32"/>
        <v>-6.5098595877133691E-3</v>
      </c>
      <c r="O156" s="13">
        <f t="shared" si="33"/>
        <v>0</v>
      </c>
      <c r="P156" s="13">
        <f t="shared" si="34"/>
        <v>4.0381752071421091E-2</v>
      </c>
      <c r="Q156" s="13">
        <f t="shared" si="35"/>
        <v>0</v>
      </c>
      <c r="R156" s="13">
        <f t="shared" si="37"/>
        <v>0.50913751242825245</v>
      </c>
      <c r="S156" s="13">
        <f t="shared" si="37"/>
        <v>0.25016677063543874</v>
      </c>
      <c r="T156" s="13">
        <f t="shared" si="37"/>
        <v>-0.13914383440454525</v>
      </c>
      <c r="U156" s="13">
        <f t="shared" si="37"/>
        <v>0.53884496538942517</v>
      </c>
      <c r="V156" s="13">
        <f t="shared" si="37"/>
        <v>0.46997548049722337</v>
      </c>
      <c r="W156" s="13">
        <f t="shared" si="26"/>
        <v>0.17293096374756203</v>
      </c>
      <c r="X156" s="13">
        <f t="shared" si="26"/>
        <v>0.6114884298380604</v>
      </c>
      <c r="Y156" s="13">
        <f t="shared" si="26"/>
        <v>3.168155977689352E-2</v>
      </c>
    </row>
    <row r="157" spans="1:25" x14ac:dyDescent="0.25">
      <c r="A157" s="14">
        <f>[1]Data!A160</f>
        <v>42186</v>
      </c>
      <c r="B157" s="15">
        <f>[1]Data!B160</f>
        <v>2.2337821735104964E-2</v>
      </c>
      <c r="C157" s="15">
        <f>[1]Data!C160</f>
        <v>6.2088838354534184E-3</v>
      </c>
      <c r="D157" s="16">
        <f>[1]Data!F160</f>
        <v>-4.1244751796122416E-3</v>
      </c>
      <c r="E157" s="17">
        <f>[1]Data!G160</f>
        <v>2.4203098919391156E-2</v>
      </c>
      <c r="F157" s="16">
        <f>[1]Data!H160</f>
        <v>-6.4332078092742412E-3</v>
      </c>
      <c r="G157" s="17">
        <f>[1]Data!I160</f>
        <v>2.6005983252300129E-2</v>
      </c>
      <c r="H157" s="18">
        <f t="shared" si="27"/>
        <v>-1</v>
      </c>
      <c r="I157" s="19">
        <f t="shared" si="36"/>
        <v>1</v>
      </c>
      <c r="J157" s="13">
        <f t="shared" si="28"/>
        <v>0</v>
      </c>
      <c r="K157" s="13">
        <f t="shared" si="29"/>
        <v>4.1244751796122416E-3</v>
      </c>
      <c r="L157" s="13">
        <f t="shared" si="30"/>
        <v>0</v>
      </c>
      <c r="M157" s="13">
        <f t="shared" si="31"/>
        <v>2.4203098919391156E-2</v>
      </c>
      <c r="N157" s="13">
        <f t="shared" si="32"/>
        <v>-6.4332078092742412E-3</v>
      </c>
      <c r="O157" s="13">
        <f t="shared" si="33"/>
        <v>0</v>
      </c>
      <c r="P157" s="13">
        <f t="shared" si="34"/>
        <v>-2.6005983252300129E-2</v>
      </c>
      <c r="Q157" s="13">
        <f t="shared" si="35"/>
        <v>0</v>
      </c>
      <c r="R157" s="13">
        <f t="shared" si="37"/>
        <v>0.50913751242825245</v>
      </c>
      <c r="S157" s="13">
        <f t="shared" si="37"/>
        <v>0.25429124581505097</v>
      </c>
      <c r="T157" s="13">
        <f t="shared" si="37"/>
        <v>-0.13914383440454525</v>
      </c>
      <c r="U157" s="13">
        <f t="shared" si="37"/>
        <v>0.56304806430881638</v>
      </c>
      <c r="V157" s="13">
        <f t="shared" si="37"/>
        <v>0.46354227268794912</v>
      </c>
      <c r="W157" s="13">
        <f t="shared" si="26"/>
        <v>0.17293096374756203</v>
      </c>
      <c r="X157" s="13">
        <f t="shared" si="26"/>
        <v>0.58548244658576032</v>
      </c>
      <c r="Y157" s="13">
        <f t="shared" si="26"/>
        <v>3.168155977689352E-2</v>
      </c>
    </row>
    <row r="158" spans="1:25" x14ac:dyDescent="0.25">
      <c r="A158" s="14">
        <f>[1]Data!A161</f>
        <v>42217</v>
      </c>
      <c r="B158" s="15">
        <f>[1]Data!B161</f>
        <v>-6.2887021100616863E-2</v>
      </c>
      <c r="C158" s="15">
        <f>[1]Data!C161</f>
        <v>-9.5354494814687524E-2</v>
      </c>
      <c r="D158" s="16">
        <f>[1]Data!F161</f>
        <v>-8.0953972423731917E-4</v>
      </c>
      <c r="E158" s="17">
        <f>[1]Data!G161</f>
        <v>-4.0195584245480739E-2</v>
      </c>
      <c r="F158" s="16">
        <f>[1]Data!H161</f>
        <v>-1.218806252468007E-2</v>
      </c>
      <c r="G158" s="17">
        <f>[1]Data!I161</f>
        <v>1.6845244317525061E-2</v>
      </c>
      <c r="H158" s="18">
        <f t="shared" si="27"/>
        <v>1</v>
      </c>
      <c r="I158" s="19">
        <f t="shared" si="36"/>
        <v>1</v>
      </c>
      <c r="J158" s="13">
        <f t="shared" si="28"/>
        <v>-8.0953972423731917E-4</v>
      </c>
      <c r="K158" s="13">
        <f t="shared" si="29"/>
        <v>0</v>
      </c>
      <c r="L158" s="13">
        <f t="shared" si="30"/>
        <v>4.0195584245480739E-2</v>
      </c>
      <c r="M158" s="13">
        <f t="shared" si="31"/>
        <v>0</v>
      </c>
      <c r="N158" s="13">
        <f t="shared" si="32"/>
        <v>-1.218806252468007E-2</v>
      </c>
      <c r="O158" s="13">
        <f t="shared" si="33"/>
        <v>0</v>
      </c>
      <c r="P158" s="13">
        <f t="shared" si="34"/>
        <v>-1.6845244317525061E-2</v>
      </c>
      <c r="Q158" s="13">
        <f t="shared" si="35"/>
        <v>0</v>
      </c>
      <c r="R158" s="13">
        <f t="shared" si="37"/>
        <v>0.50832797270401509</v>
      </c>
      <c r="S158" s="13">
        <f t="shared" si="37"/>
        <v>0.25429124581505097</v>
      </c>
      <c r="T158" s="13">
        <f t="shared" si="37"/>
        <v>-9.8948250159064513E-2</v>
      </c>
      <c r="U158" s="13">
        <f t="shared" si="37"/>
        <v>0.56304806430881638</v>
      </c>
      <c r="V158" s="13">
        <f t="shared" si="37"/>
        <v>0.45135421016326904</v>
      </c>
      <c r="W158" s="13">
        <f t="shared" si="26"/>
        <v>0.17293096374756203</v>
      </c>
      <c r="X158" s="13">
        <f t="shared" si="26"/>
        <v>0.56863720226823522</v>
      </c>
      <c r="Y158" s="13">
        <f t="shared" si="26"/>
        <v>3.168155977689352E-2</v>
      </c>
    </row>
    <row r="159" spans="1:25" x14ac:dyDescent="0.25">
      <c r="A159" s="14">
        <f>[1]Data!A162</f>
        <v>42248</v>
      </c>
      <c r="B159" s="15">
        <f>[1]Data!B162</f>
        <v>-2.5846755755736188E-2</v>
      </c>
      <c r="C159" s="15">
        <f>[1]Data!C162</f>
        <v>-1.9148062031934934E-2</v>
      </c>
      <c r="D159" s="16">
        <f>[1]Data!F162</f>
        <v>-1.1827538096814309E-2</v>
      </c>
      <c r="E159" s="17">
        <f>[1]Data!G162</f>
        <v>1.4348772094628426E-2</v>
      </c>
      <c r="F159" s="16">
        <f>[1]Data!H162</f>
        <v>-1.2148979169161432E-3</v>
      </c>
      <c r="G159" s="17">
        <f>[1]Data!I162</f>
        <v>-2.3722182186536999E-3</v>
      </c>
      <c r="H159" s="18">
        <f t="shared" si="27"/>
        <v>1</v>
      </c>
      <c r="I159" s="19">
        <f t="shared" si="36"/>
        <v>-1</v>
      </c>
      <c r="J159" s="13">
        <f t="shared" si="28"/>
        <v>-1.1827538096814309E-2</v>
      </c>
      <c r="K159" s="13">
        <f t="shared" si="29"/>
        <v>0</v>
      </c>
      <c r="L159" s="13">
        <f t="shared" si="30"/>
        <v>-1.4348772094628426E-2</v>
      </c>
      <c r="M159" s="13">
        <f t="shared" si="31"/>
        <v>0</v>
      </c>
      <c r="N159" s="13">
        <f t="shared" si="32"/>
        <v>0</v>
      </c>
      <c r="O159" s="13">
        <f t="shared" si="33"/>
        <v>1.2148979169161432E-3</v>
      </c>
      <c r="P159" s="13">
        <f t="shared" si="34"/>
        <v>0</v>
      </c>
      <c r="Q159" s="13">
        <f t="shared" si="35"/>
        <v>-2.3722182186536999E-3</v>
      </c>
      <c r="R159" s="13">
        <f t="shared" si="37"/>
        <v>0.49650043460720078</v>
      </c>
      <c r="S159" s="13">
        <f t="shared" si="37"/>
        <v>0.25429124581505097</v>
      </c>
      <c r="T159" s="13">
        <f t="shared" si="37"/>
        <v>-0.11329702225369294</v>
      </c>
      <c r="U159" s="13">
        <f t="shared" si="37"/>
        <v>0.56304806430881638</v>
      </c>
      <c r="V159" s="13">
        <f t="shared" si="37"/>
        <v>0.45135421016326904</v>
      </c>
      <c r="W159" s="13">
        <f t="shared" si="26"/>
        <v>0.17414586166447818</v>
      </c>
      <c r="X159" s="13">
        <f t="shared" si="26"/>
        <v>0.56863720226823522</v>
      </c>
      <c r="Y159" s="13">
        <f t="shared" si="26"/>
        <v>2.9309341558239818E-2</v>
      </c>
    </row>
    <row r="160" spans="1:25" x14ac:dyDescent="0.25">
      <c r="A160" s="14">
        <f>[1]Data!A163</f>
        <v>42278</v>
      </c>
      <c r="B160" s="15">
        <f>[1]Data!B163</f>
        <v>8.1634835094434213E-2</v>
      </c>
      <c r="C160" s="15">
        <f>[1]Data!C163</f>
        <v>4.5764314759900657E-2</v>
      </c>
      <c r="D160" s="16">
        <f>[1]Data!F163</f>
        <v>2.9676485496842271E-2</v>
      </c>
      <c r="E160" s="17">
        <f>[1]Data!G163</f>
        <v>-1.0290644709048386E-2</v>
      </c>
      <c r="F160" s="16">
        <f>[1]Data!H163</f>
        <v>3.9796415105877808E-2</v>
      </c>
      <c r="G160" s="17">
        <f>[1]Data!I163</f>
        <v>-2.3874349834909535E-3</v>
      </c>
      <c r="H160" s="18">
        <f t="shared" si="27"/>
        <v>-1</v>
      </c>
      <c r="I160" s="19">
        <f t="shared" si="36"/>
        <v>-1</v>
      </c>
      <c r="J160" s="13">
        <f t="shared" si="28"/>
        <v>0</v>
      </c>
      <c r="K160" s="13">
        <f t="shared" si="29"/>
        <v>-2.9676485496842271E-2</v>
      </c>
      <c r="L160" s="13">
        <f t="shared" si="30"/>
        <v>0</v>
      </c>
      <c r="M160" s="13">
        <f t="shared" si="31"/>
        <v>-1.0290644709048386E-2</v>
      </c>
      <c r="N160" s="13">
        <f t="shared" si="32"/>
        <v>0</v>
      </c>
      <c r="O160" s="13">
        <f t="shared" si="33"/>
        <v>-3.9796415105877808E-2</v>
      </c>
      <c r="P160" s="13">
        <f t="shared" si="34"/>
        <v>0</v>
      </c>
      <c r="Q160" s="13">
        <f t="shared" si="35"/>
        <v>-2.3874349834909535E-3</v>
      </c>
      <c r="R160" s="13">
        <f t="shared" si="37"/>
        <v>0.49650043460720078</v>
      </c>
      <c r="S160" s="13">
        <f t="shared" si="37"/>
        <v>0.22461476031820871</v>
      </c>
      <c r="T160" s="13">
        <f t="shared" si="37"/>
        <v>-0.11329702225369294</v>
      </c>
      <c r="U160" s="13">
        <f t="shared" si="37"/>
        <v>0.55275741959976799</v>
      </c>
      <c r="V160" s="13">
        <f t="shared" si="37"/>
        <v>0.45135421016326904</v>
      </c>
      <c r="W160" s="13">
        <f t="shared" si="26"/>
        <v>0.13434944655860037</v>
      </c>
      <c r="X160" s="13">
        <f t="shared" si="26"/>
        <v>0.56863720226823522</v>
      </c>
      <c r="Y160" s="13">
        <f t="shared" si="26"/>
        <v>2.6921906574748865E-2</v>
      </c>
    </row>
    <row r="161" spans="1:25" x14ac:dyDescent="0.25">
      <c r="A161" s="14">
        <f>[1]Data!A164</f>
        <v>42309</v>
      </c>
      <c r="B161" s="15">
        <f>[1]Data!B164</f>
        <v>3.648361957249417E-3</v>
      </c>
      <c r="C161" s="15">
        <f>[1]Data!C164</f>
        <v>2.3597157568039928E-2</v>
      </c>
      <c r="D161" s="16">
        <f>[1]Data!F164</f>
        <v>-2.9665905124825896E-3</v>
      </c>
      <c r="E161" s="17">
        <f>[1]Data!G164</f>
        <v>8.267848881129353E-3</v>
      </c>
      <c r="F161" s="16">
        <f>[1]Data!H164</f>
        <v>1.0096481605360821E-2</v>
      </c>
      <c r="G161" s="17">
        <f>[1]Data!I164</f>
        <v>-2.9093910193103013E-2</v>
      </c>
      <c r="H161" s="18">
        <f t="shared" si="27"/>
        <v>-1</v>
      </c>
      <c r="I161" s="19">
        <f t="shared" si="36"/>
        <v>1</v>
      </c>
      <c r="J161" s="13">
        <f t="shared" si="28"/>
        <v>0</v>
      </c>
      <c r="K161" s="13">
        <f t="shared" si="29"/>
        <v>2.9665905124825896E-3</v>
      </c>
      <c r="L161" s="13">
        <f t="shared" si="30"/>
        <v>0</v>
      </c>
      <c r="M161" s="13">
        <f t="shared" si="31"/>
        <v>8.267848881129353E-3</v>
      </c>
      <c r="N161" s="13">
        <f t="shared" si="32"/>
        <v>1.0096481605360821E-2</v>
      </c>
      <c r="O161" s="13">
        <f t="shared" si="33"/>
        <v>0</v>
      </c>
      <c r="P161" s="13">
        <f t="shared" si="34"/>
        <v>2.9093910193103013E-2</v>
      </c>
      <c r="Q161" s="13">
        <f t="shared" si="35"/>
        <v>0</v>
      </c>
      <c r="R161" s="13">
        <f t="shared" si="37"/>
        <v>0.49650043460720078</v>
      </c>
      <c r="S161" s="13">
        <f t="shared" si="37"/>
        <v>0.22758135083069131</v>
      </c>
      <c r="T161" s="13">
        <f t="shared" si="37"/>
        <v>-0.11329702225369294</v>
      </c>
      <c r="U161" s="13">
        <f t="shared" si="37"/>
        <v>0.56102526848089729</v>
      </c>
      <c r="V161" s="13">
        <f t="shared" si="37"/>
        <v>0.46145069176862985</v>
      </c>
      <c r="W161" s="13">
        <f t="shared" si="26"/>
        <v>0.13434944655860037</v>
      </c>
      <c r="X161" s="13">
        <f t="shared" si="26"/>
        <v>0.59773111246133825</v>
      </c>
      <c r="Y161" s="13">
        <f t="shared" si="26"/>
        <v>2.6921906574748865E-2</v>
      </c>
    </row>
    <row r="162" spans="1:25" x14ac:dyDescent="0.25">
      <c r="A162" s="14">
        <f>[1]Data!A165</f>
        <v>42339</v>
      </c>
      <c r="B162" s="15">
        <f>[1]Data!B165</f>
        <v>-1.743370093820662E-2</v>
      </c>
      <c r="C162" s="15">
        <f>[1]Data!C165</f>
        <v>-4.4707882553118451E-2</v>
      </c>
      <c r="D162" s="16">
        <f>[1]Data!F165</f>
        <v>1.0849372007947153E-2</v>
      </c>
      <c r="E162" s="17">
        <f>[1]Data!G165</f>
        <v>-1.9401296744545181E-2</v>
      </c>
      <c r="F162" s="16">
        <f>[1]Data!H165</f>
        <v>-1.630539501814232E-3</v>
      </c>
      <c r="G162" s="17">
        <f>[1]Data!I165</f>
        <v>4.5852252758560568E-3</v>
      </c>
      <c r="H162" s="18">
        <f t="shared" si="27"/>
        <v>1</v>
      </c>
      <c r="I162" s="19">
        <f t="shared" si="36"/>
        <v>1</v>
      </c>
      <c r="J162" s="13">
        <f t="shared" si="28"/>
        <v>1.0849372007947153E-2</v>
      </c>
      <c r="K162" s="13">
        <f t="shared" si="29"/>
        <v>0</v>
      </c>
      <c r="L162" s="13">
        <f t="shared" si="30"/>
        <v>1.9401296744545181E-2</v>
      </c>
      <c r="M162" s="13">
        <f t="shared" si="31"/>
        <v>0</v>
      </c>
      <c r="N162" s="13">
        <f t="shared" si="32"/>
        <v>-1.630539501814232E-3</v>
      </c>
      <c r="O162" s="13">
        <f t="shared" si="33"/>
        <v>0</v>
      </c>
      <c r="P162" s="13">
        <f t="shared" si="34"/>
        <v>-4.5852252758560568E-3</v>
      </c>
      <c r="Q162" s="13">
        <f t="shared" si="35"/>
        <v>0</v>
      </c>
      <c r="R162" s="13">
        <f t="shared" si="37"/>
        <v>0.50734980661514795</v>
      </c>
      <c r="S162" s="13">
        <f t="shared" si="37"/>
        <v>0.22758135083069131</v>
      </c>
      <c r="T162" s="13">
        <f t="shared" si="37"/>
        <v>-9.3895725509147765E-2</v>
      </c>
      <c r="U162" s="13">
        <f t="shared" si="37"/>
        <v>0.56102526848089729</v>
      </c>
      <c r="V162" s="13">
        <f t="shared" si="37"/>
        <v>0.45982015226681561</v>
      </c>
      <c r="W162" s="13">
        <f t="shared" si="26"/>
        <v>0.13434944655860037</v>
      </c>
      <c r="X162" s="13">
        <f t="shared" si="26"/>
        <v>0.59314588718548222</v>
      </c>
      <c r="Y162" s="13">
        <f t="shared" si="26"/>
        <v>2.6921906574748865E-2</v>
      </c>
    </row>
    <row r="163" spans="1:25" x14ac:dyDescent="0.25">
      <c r="A163" s="14">
        <f>[1]Data!A166</f>
        <v>42370</v>
      </c>
      <c r="B163" s="15">
        <f>[1]Data!B166</f>
        <v>-5.1068365604597682E-2</v>
      </c>
      <c r="C163" s="15">
        <f>[1]Data!C166</f>
        <v>-0.12708483565857864</v>
      </c>
      <c r="D163" s="16">
        <f>[1]Data!F166</f>
        <v>3.188894838207746E-2</v>
      </c>
      <c r="E163" s="17">
        <f>[1]Data!G166</f>
        <v>1.0105922903692464E-2</v>
      </c>
      <c r="F163" s="16">
        <f>[1]Data!H166</f>
        <v>-6.0403551011066689E-2</v>
      </c>
      <c r="G163" s="17">
        <f>[1]Data!I166</f>
        <v>2.2793802983429749E-2</v>
      </c>
      <c r="H163" s="18">
        <f t="shared" si="27"/>
        <v>1</v>
      </c>
      <c r="I163" s="19">
        <f t="shared" si="36"/>
        <v>-1</v>
      </c>
      <c r="J163" s="13">
        <f t="shared" si="28"/>
        <v>3.188894838207746E-2</v>
      </c>
      <c r="K163" s="13">
        <f t="shared" si="29"/>
        <v>0</v>
      </c>
      <c r="L163" s="13">
        <f t="shared" si="30"/>
        <v>-1.0105922903692464E-2</v>
      </c>
      <c r="M163" s="13">
        <f t="shared" si="31"/>
        <v>0</v>
      </c>
      <c r="N163" s="13">
        <f t="shared" si="32"/>
        <v>0</v>
      </c>
      <c r="O163" s="13">
        <f t="shared" si="33"/>
        <v>6.0403551011066689E-2</v>
      </c>
      <c r="P163" s="13">
        <f t="shared" si="34"/>
        <v>0</v>
      </c>
      <c r="Q163" s="13">
        <f t="shared" si="35"/>
        <v>2.2793802983429749E-2</v>
      </c>
      <c r="R163" s="13">
        <f t="shared" si="37"/>
        <v>0.5392387549972254</v>
      </c>
      <c r="S163" s="13">
        <f t="shared" si="37"/>
        <v>0.22758135083069131</v>
      </c>
      <c r="T163" s="13">
        <f t="shared" si="37"/>
        <v>-0.10400164841284024</v>
      </c>
      <c r="U163" s="13">
        <f t="shared" si="37"/>
        <v>0.56102526848089729</v>
      </c>
      <c r="V163" s="13">
        <f t="shared" si="37"/>
        <v>0.45982015226681561</v>
      </c>
      <c r="W163" s="13">
        <f t="shared" si="26"/>
        <v>0.19475299756966707</v>
      </c>
      <c r="X163" s="13">
        <f t="shared" si="26"/>
        <v>0.59314588718548222</v>
      </c>
      <c r="Y163" s="13">
        <f t="shared" si="26"/>
        <v>4.9715709558178611E-2</v>
      </c>
    </row>
    <row r="164" spans="1:25" x14ac:dyDescent="0.25">
      <c r="A164" s="14">
        <f>[1]Data!A167</f>
        <v>42401</v>
      </c>
      <c r="B164" s="15">
        <f>[1]Data!B167</f>
        <v>-8.265477497735995E-4</v>
      </c>
      <c r="C164" s="15">
        <f>[1]Data!C167</f>
        <v>-2.4630094461810949E-2</v>
      </c>
      <c r="D164" s="16">
        <f>[1]Data!F167</f>
        <v>-6.2834807253695224E-3</v>
      </c>
      <c r="E164" s="17">
        <f>[1]Data!G167</f>
        <v>3.0568033501985562E-4</v>
      </c>
      <c r="F164" s="16">
        <f>[1]Data!H167</f>
        <v>-3.0237971810202546E-2</v>
      </c>
      <c r="G164" s="17">
        <f>[1]Data!I167</f>
        <v>1.2987459620864941E-2</v>
      </c>
      <c r="H164" s="18">
        <f t="shared" si="27"/>
        <v>1</v>
      </c>
      <c r="I164" s="19">
        <f t="shared" si="36"/>
        <v>-1</v>
      </c>
      <c r="J164" s="13">
        <f t="shared" si="28"/>
        <v>-6.2834807253695224E-3</v>
      </c>
      <c r="K164" s="13">
        <f t="shared" si="29"/>
        <v>0</v>
      </c>
      <c r="L164" s="13">
        <f t="shared" si="30"/>
        <v>-3.0568033501985562E-4</v>
      </c>
      <c r="M164" s="13">
        <f t="shared" si="31"/>
        <v>0</v>
      </c>
      <c r="N164" s="13">
        <f t="shared" si="32"/>
        <v>0</v>
      </c>
      <c r="O164" s="13">
        <f t="shared" si="33"/>
        <v>3.0237971810202546E-2</v>
      </c>
      <c r="P164" s="13">
        <f t="shared" si="34"/>
        <v>0</v>
      </c>
      <c r="Q164" s="13">
        <f t="shared" si="35"/>
        <v>1.2987459620864941E-2</v>
      </c>
      <c r="R164" s="13">
        <f t="shared" si="37"/>
        <v>0.53295527427185585</v>
      </c>
      <c r="S164" s="13">
        <f t="shared" si="37"/>
        <v>0.22758135083069131</v>
      </c>
      <c r="T164" s="13">
        <f t="shared" si="37"/>
        <v>-0.1043073287478601</v>
      </c>
      <c r="U164" s="13">
        <f t="shared" si="37"/>
        <v>0.56102526848089729</v>
      </c>
      <c r="V164" s="13">
        <f t="shared" si="37"/>
        <v>0.45982015226681561</v>
      </c>
      <c r="W164" s="13">
        <f t="shared" si="26"/>
        <v>0.22499096937986962</v>
      </c>
      <c r="X164" s="13">
        <f t="shared" si="26"/>
        <v>0.59314588718548222</v>
      </c>
      <c r="Y164" s="13">
        <f t="shared" si="26"/>
        <v>6.2703169179043547E-2</v>
      </c>
    </row>
    <row r="165" spans="1:25" x14ac:dyDescent="0.25">
      <c r="A165" s="14">
        <f>[1]Data!A168</f>
        <v>42430</v>
      </c>
      <c r="B165" s="15">
        <f>[1]Data!B168</f>
        <v>6.5100358621374935E-2</v>
      </c>
      <c r="C165" s="15">
        <f>[1]Data!C168</f>
        <v>8.1528112627579211E-2</v>
      </c>
      <c r="D165" s="16">
        <f>[1]Data!F168</f>
        <v>4.1443983419311662E-3</v>
      </c>
      <c r="E165" s="17">
        <f>[1]Data!G168</f>
        <v>1.9638438478543303E-2</v>
      </c>
      <c r="F165" s="16">
        <f>[1]Data!H168</f>
        <v>3.5675768355258639E-2</v>
      </c>
      <c r="G165" s="17">
        <f>[1]Data!I168</f>
        <v>-1.6753935858302635E-2</v>
      </c>
      <c r="H165" s="18">
        <f t="shared" si="27"/>
        <v>-1</v>
      </c>
      <c r="I165" s="19">
        <f t="shared" si="36"/>
        <v>-1</v>
      </c>
      <c r="J165" s="13">
        <f t="shared" si="28"/>
        <v>0</v>
      </c>
      <c r="K165" s="13">
        <f t="shared" si="29"/>
        <v>-4.1443983419311662E-3</v>
      </c>
      <c r="L165" s="13">
        <f t="shared" si="30"/>
        <v>0</v>
      </c>
      <c r="M165" s="13">
        <f t="shared" si="31"/>
        <v>1.9638438478543303E-2</v>
      </c>
      <c r="N165" s="13">
        <f t="shared" si="32"/>
        <v>0</v>
      </c>
      <c r="O165" s="13">
        <f t="shared" si="33"/>
        <v>-3.5675768355258639E-2</v>
      </c>
      <c r="P165" s="13">
        <f t="shared" si="34"/>
        <v>0</v>
      </c>
      <c r="Q165" s="13">
        <f t="shared" si="35"/>
        <v>-1.6753935858302635E-2</v>
      </c>
      <c r="R165" s="13">
        <f t="shared" si="37"/>
        <v>0.53295527427185585</v>
      </c>
      <c r="S165" s="13">
        <f t="shared" si="37"/>
        <v>0.22343695248876014</v>
      </c>
      <c r="T165" s="13">
        <f t="shared" si="37"/>
        <v>-0.1043073287478601</v>
      </c>
      <c r="U165" s="13">
        <f t="shared" si="37"/>
        <v>0.58066370695944058</v>
      </c>
      <c r="V165" s="13">
        <f t="shared" si="37"/>
        <v>0.45982015226681561</v>
      </c>
      <c r="W165" s="13">
        <f t="shared" si="26"/>
        <v>0.18931520102461097</v>
      </c>
      <c r="X165" s="13">
        <f t="shared" si="26"/>
        <v>0.59314588718548222</v>
      </c>
      <c r="Y165" s="13">
        <f t="shared" si="26"/>
        <v>4.5949233320740912E-2</v>
      </c>
    </row>
    <row r="166" spans="1:25" x14ac:dyDescent="0.25">
      <c r="A166" s="14">
        <f>[1]Data!A169</f>
        <v>42461</v>
      </c>
      <c r="B166" s="15">
        <f>[1]Data!B169</f>
        <v>3.9337100574622988E-3</v>
      </c>
      <c r="C166" s="15">
        <f>[1]Data!C169</f>
        <v>2.9387086846344723E-2</v>
      </c>
      <c r="D166" s="16">
        <f>[1]Data!F169</f>
        <v>-1.2713565067709653E-2</v>
      </c>
      <c r="E166" s="17">
        <f>[1]Data!G169</f>
        <v>5.3476681887368515E-3</v>
      </c>
      <c r="F166" s="16">
        <f>[1]Data!H169</f>
        <v>-7.6686592498916486E-3</v>
      </c>
      <c r="G166" s="17">
        <f>[1]Data!I169</f>
        <v>1.9074627177344435E-2</v>
      </c>
      <c r="H166" s="18">
        <f t="shared" si="27"/>
        <v>-1</v>
      </c>
      <c r="I166" s="19">
        <f t="shared" si="36"/>
        <v>1</v>
      </c>
      <c r="J166" s="13">
        <f t="shared" si="28"/>
        <v>0</v>
      </c>
      <c r="K166" s="13">
        <f t="shared" si="29"/>
        <v>1.2713565067709653E-2</v>
      </c>
      <c r="L166" s="13">
        <f t="shared" si="30"/>
        <v>0</v>
      </c>
      <c r="M166" s="13">
        <f t="shared" si="31"/>
        <v>5.3476681887368515E-3</v>
      </c>
      <c r="N166" s="13">
        <f t="shared" si="32"/>
        <v>-7.6686592498916486E-3</v>
      </c>
      <c r="O166" s="13">
        <f t="shared" si="33"/>
        <v>0</v>
      </c>
      <c r="P166" s="13">
        <f t="shared" si="34"/>
        <v>-1.9074627177344435E-2</v>
      </c>
      <c r="Q166" s="13">
        <f t="shared" si="35"/>
        <v>0</v>
      </c>
      <c r="R166" s="13">
        <f t="shared" si="37"/>
        <v>0.53295527427185585</v>
      </c>
      <c r="S166" s="13">
        <f t="shared" si="37"/>
        <v>0.23615051755646979</v>
      </c>
      <c r="T166" s="13">
        <f t="shared" si="37"/>
        <v>-0.1043073287478601</v>
      </c>
      <c r="U166" s="13">
        <f t="shared" si="37"/>
        <v>0.58601137514817747</v>
      </c>
      <c r="V166" s="13">
        <f t="shared" si="37"/>
        <v>0.45215149301692398</v>
      </c>
      <c r="W166" s="13">
        <f t="shared" si="26"/>
        <v>0.18931520102461097</v>
      </c>
      <c r="X166" s="13">
        <f t="shared" si="26"/>
        <v>0.5740712600081378</v>
      </c>
      <c r="Y166" s="13">
        <f t="shared" si="26"/>
        <v>4.5949233320740912E-2</v>
      </c>
    </row>
    <row r="167" spans="1:25" x14ac:dyDescent="0.25">
      <c r="A167" s="14">
        <f>[1]Data!A170</f>
        <v>42491</v>
      </c>
      <c r="B167" s="15">
        <f>[1]Data!B170</f>
        <v>1.6868509998657973E-2</v>
      </c>
      <c r="C167" s="15">
        <f>[1]Data!C170</f>
        <v>-1.2024554832864567E-2</v>
      </c>
      <c r="D167" s="16">
        <f>[1]Data!F170</f>
        <v>2.0948069375832098E-2</v>
      </c>
      <c r="E167" s="17">
        <f>[1]Data!G170</f>
        <v>7.6827314718135899E-5</v>
      </c>
      <c r="F167" s="16">
        <f>[1]Data!H170</f>
        <v>-2.9612319408264189E-3</v>
      </c>
      <c r="G167" s="17">
        <f>[1]Data!I170</f>
        <v>1.0247475125201449E-2</v>
      </c>
      <c r="H167" s="18">
        <f t="shared" si="27"/>
        <v>1</v>
      </c>
      <c r="I167" s="19">
        <f t="shared" si="36"/>
        <v>1</v>
      </c>
      <c r="J167" s="13">
        <f t="shared" si="28"/>
        <v>2.0948069375832098E-2</v>
      </c>
      <c r="K167" s="13">
        <f t="shared" si="29"/>
        <v>0</v>
      </c>
      <c r="L167" s="13">
        <f t="shared" si="30"/>
        <v>-7.6827314718135899E-5</v>
      </c>
      <c r="M167" s="13">
        <f t="shared" si="31"/>
        <v>0</v>
      </c>
      <c r="N167" s="13">
        <f t="shared" si="32"/>
        <v>-2.9612319408264189E-3</v>
      </c>
      <c r="O167" s="13">
        <f t="shared" si="33"/>
        <v>0</v>
      </c>
      <c r="P167" s="13">
        <f t="shared" si="34"/>
        <v>-1.0247475125201449E-2</v>
      </c>
      <c r="Q167" s="13">
        <f t="shared" si="35"/>
        <v>0</v>
      </c>
      <c r="R167" s="13">
        <f t="shared" si="37"/>
        <v>0.5539033436476879</v>
      </c>
      <c r="S167" s="13">
        <f t="shared" si="37"/>
        <v>0.23615051755646979</v>
      </c>
      <c r="T167" s="13">
        <f t="shared" si="37"/>
        <v>-0.10438415606257824</v>
      </c>
      <c r="U167" s="13">
        <f t="shared" si="37"/>
        <v>0.58601137514817747</v>
      </c>
      <c r="V167" s="13">
        <f t="shared" si="37"/>
        <v>0.44919026107609755</v>
      </c>
      <c r="W167" s="13">
        <f t="shared" si="26"/>
        <v>0.18931520102461097</v>
      </c>
      <c r="X167" s="13">
        <f t="shared" si="26"/>
        <v>0.56382378488293639</v>
      </c>
      <c r="Y167" s="13">
        <f t="shared" si="26"/>
        <v>4.5949233320740912E-2</v>
      </c>
    </row>
    <row r="168" spans="1:25" x14ac:dyDescent="0.25">
      <c r="A168" s="14">
        <f>[1]Data!A171</f>
        <v>42522</v>
      </c>
      <c r="B168" s="15">
        <f>[1]Data!B171</f>
        <v>3.4697405015064482E-3</v>
      </c>
      <c r="C168" s="15">
        <f>[1]Data!C171</f>
        <v>-2.9197546727335398E-2</v>
      </c>
      <c r="D168" s="16">
        <f>[1]Data!F171</f>
        <v>4.976979285724251E-3</v>
      </c>
      <c r="E168" s="17">
        <f>[1]Data!G171</f>
        <v>3.9352526260214987E-2</v>
      </c>
      <c r="F168" s="16">
        <f>[1]Data!H171</f>
        <v>8.7301279673830338E-3</v>
      </c>
      <c r="G168" s="17">
        <f>[1]Data!I171</f>
        <v>2.0324502796659233E-2</v>
      </c>
      <c r="H168" s="18">
        <f t="shared" si="27"/>
        <v>1</v>
      </c>
      <c r="I168" s="19">
        <f t="shared" si="36"/>
        <v>-1</v>
      </c>
      <c r="J168" s="13">
        <f t="shared" si="28"/>
        <v>4.976979285724251E-3</v>
      </c>
      <c r="K168" s="13">
        <f t="shared" si="29"/>
        <v>0</v>
      </c>
      <c r="L168" s="13">
        <f t="shared" si="30"/>
        <v>-3.9352526260214987E-2</v>
      </c>
      <c r="M168" s="13">
        <f t="shared" si="31"/>
        <v>0</v>
      </c>
      <c r="N168" s="13">
        <f t="shared" si="32"/>
        <v>0</v>
      </c>
      <c r="O168" s="13">
        <f t="shared" si="33"/>
        <v>-8.7301279673830338E-3</v>
      </c>
      <c r="P168" s="13">
        <f t="shared" si="34"/>
        <v>0</v>
      </c>
      <c r="Q168" s="13">
        <f t="shared" si="35"/>
        <v>2.0324502796659233E-2</v>
      </c>
      <c r="R168" s="13">
        <f t="shared" si="37"/>
        <v>0.55888032293341217</v>
      </c>
      <c r="S168" s="13">
        <f t="shared" si="37"/>
        <v>0.23615051755646979</v>
      </c>
      <c r="T168" s="13">
        <f t="shared" si="37"/>
        <v>-0.14373668232279324</v>
      </c>
      <c r="U168" s="13">
        <f t="shared" si="37"/>
        <v>0.58601137514817747</v>
      </c>
      <c r="V168" s="13">
        <f t="shared" si="37"/>
        <v>0.44919026107609755</v>
      </c>
      <c r="W168" s="13">
        <f t="shared" si="26"/>
        <v>0.18058507305722793</v>
      </c>
      <c r="X168" s="13">
        <f t="shared" si="26"/>
        <v>0.56382378488293639</v>
      </c>
      <c r="Y168" s="13">
        <f t="shared" si="26"/>
        <v>6.6273736117400145E-2</v>
      </c>
    </row>
    <row r="169" spans="1:25" x14ac:dyDescent="0.25">
      <c r="A169" s="14">
        <f>[1]Data!A172</f>
        <v>42552</v>
      </c>
      <c r="B169" s="15">
        <f>[1]Data!B172</f>
        <v>3.5821892100057956E-2</v>
      </c>
      <c r="C169" s="15">
        <f>[1]Data!C172</f>
        <v>3.5256291593103631E-2</v>
      </c>
      <c r="D169" s="16">
        <f>[1]Data!F172</f>
        <v>-5.5268728358230418E-4</v>
      </c>
      <c r="E169" s="17">
        <f>[1]Data!G172</f>
        <v>1.9689017932577588E-2</v>
      </c>
      <c r="F169" s="16">
        <f>[1]Data!H172</f>
        <v>1.5018996527943824E-2</v>
      </c>
      <c r="G169" s="17">
        <f>[1]Data!I172</f>
        <v>3.5115431920828666E-2</v>
      </c>
      <c r="H169" s="18">
        <f t="shared" si="27"/>
        <v>-1</v>
      </c>
      <c r="I169" s="19">
        <f t="shared" si="36"/>
        <v>-1</v>
      </c>
      <c r="J169" s="13">
        <f t="shared" si="28"/>
        <v>0</v>
      </c>
      <c r="K169" s="13">
        <f t="shared" si="29"/>
        <v>5.5268728358230418E-4</v>
      </c>
      <c r="L169" s="13">
        <f t="shared" si="30"/>
        <v>0</v>
      </c>
      <c r="M169" s="13">
        <f t="shared" si="31"/>
        <v>1.9689017932577588E-2</v>
      </c>
      <c r="N169" s="13">
        <f t="shared" si="32"/>
        <v>0</v>
      </c>
      <c r="O169" s="13">
        <f t="shared" si="33"/>
        <v>-1.5018996527943824E-2</v>
      </c>
      <c r="P169" s="13">
        <f t="shared" si="34"/>
        <v>0</v>
      </c>
      <c r="Q169" s="13">
        <f t="shared" si="35"/>
        <v>3.5115431920828666E-2</v>
      </c>
      <c r="R169" s="13">
        <f t="shared" si="37"/>
        <v>0.55888032293341217</v>
      </c>
      <c r="S169" s="13">
        <f t="shared" si="37"/>
        <v>0.23670320484005208</v>
      </c>
      <c r="T169" s="13">
        <f t="shared" si="37"/>
        <v>-0.14373668232279324</v>
      </c>
      <c r="U169" s="13">
        <f t="shared" si="37"/>
        <v>0.60570039308075507</v>
      </c>
      <c r="V169" s="13">
        <f t="shared" si="37"/>
        <v>0.44919026107609755</v>
      </c>
      <c r="W169" s="13">
        <f t="shared" si="26"/>
        <v>0.1655660765292841</v>
      </c>
      <c r="X169" s="13">
        <f t="shared" si="26"/>
        <v>0.56382378488293639</v>
      </c>
      <c r="Y169" s="13">
        <f t="shared" si="26"/>
        <v>0.10138916803822881</v>
      </c>
    </row>
    <row r="170" spans="1:25" x14ac:dyDescent="0.25">
      <c r="A170" s="14">
        <f>[1]Data!A173</f>
        <v>42583</v>
      </c>
      <c r="B170" s="15">
        <f>[1]Data!B173</f>
        <v>1.1966006816287217E-3</v>
      </c>
      <c r="C170" s="15">
        <f>[1]Data!C173</f>
        <v>2.5032391343864535E-2</v>
      </c>
      <c r="D170" s="16">
        <f>[1]Data!F173</f>
        <v>-5.3220209762647325E-3</v>
      </c>
      <c r="E170" s="17">
        <f>[1]Data!G173</f>
        <v>8.3282518549924311E-3</v>
      </c>
      <c r="F170" s="16">
        <f>[1]Data!H173</f>
        <v>4.8704118484129422E-3</v>
      </c>
      <c r="G170" s="17">
        <f>[1]Data!I173</f>
        <v>-2.3645232989533856E-2</v>
      </c>
      <c r="H170" s="18">
        <f t="shared" si="27"/>
        <v>-1</v>
      </c>
      <c r="I170" s="19">
        <f t="shared" si="36"/>
        <v>1</v>
      </c>
      <c r="J170" s="13">
        <f t="shared" si="28"/>
        <v>0</v>
      </c>
      <c r="K170" s="13">
        <f t="shared" si="29"/>
        <v>5.3220209762647325E-3</v>
      </c>
      <c r="L170" s="13">
        <f t="shared" si="30"/>
        <v>0</v>
      </c>
      <c r="M170" s="13">
        <f t="shared" si="31"/>
        <v>8.3282518549924311E-3</v>
      </c>
      <c r="N170" s="13">
        <f t="shared" si="32"/>
        <v>4.8704118484129422E-3</v>
      </c>
      <c r="O170" s="13">
        <f t="shared" si="33"/>
        <v>0</v>
      </c>
      <c r="P170" s="13">
        <f t="shared" si="34"/>
        <v>2.3645232989533856E-2</v>
      </c>
      <c r="Q170" s="13">
        <f t="shared" si="35"/>
        <v>0</v>
      </c>
      <c r="R170" s="13">
        <f t="shared" si="37"/>
        <v>0.55888032293341217</v>
      </c>
      <c r="S170" s="13">
        <f t="shared" si="37"/>
        <v>0.2420252258163168</v>
      </c>
      <c r="T170" s="13">
        <f t="shared" si="37"/>
        <v>-0.14373668232279324</v>
      </c>
      <c r="U170" s="13">
        <f t="shared" si="37"/>
        <v>0.61402864493574749</v>
      </c>
      <c r="V170" s="13">
        <f t="shared" si="37"/>
        <v>0.45406067292451047</v>
      </c>
      <c r="W170" s="13">
        <f t="shared" si="26"/>
        <v>0.1655660765292841</v>
      </c>
      <c r="X170" s="13">
        <f t="shared" si="26"/>
        <v>0.58746901787247019</v>
      </c>
      <c r="Y170" s="13">
        <f t="shared" si="26"/>
        <v>0.10138916803822881</v>
      </c>
    </row>
    <row r="171" spans="1:25" x14ac:dyDescent="0.25">
      <c r="A171" s="14">
        <f>[1]Data!A174</f>
        <v>42614</v>
      </c>
      <c r="B171" s="15">
        <f>[1]Data!B174</f>
        <v>5.8191036300418372E-5</v>
      </c>
      <c r="C171" s="15">
        <f>[1]Data!C174</f>
        <v>2.3398742123623018E-2</v>
      </c>
      <c r="D171" s="16">
        <f>[1]Data!F174</f>
        <v>-4.0601919171954588E-3</v>
      </c>
      <c r="E171" s="17">
        <f>[1]Data!G174</f>
        <v>4.0808867090001873E-3</v>
      </c>
      <c r="F171" s="16">
        <f>[1]Data!H174</f>
        <v>5.1849225185599795E-3</v>
      </c>
      <c r="G171" s="17">
        <f>[1]Data!I174</f>
        <v>-1.316546767368266E-2</v>
      </c>
      <c r="H171" s="18">
        <f t="shared" si="27"/>
        <v>-1</v>
      </c>
      <c r="I171" s="19">
        <f t="shared" si="36"/>
        <v>1</v>
      </c>
      <c r="J171" s="13">
        <f t="shared" si="28"/>
        <v>0</v>
      </c>
      <c r="K171" s="13">
        <f t="shared" si="29"/>
        <v>4.0601919171954588E-3</v>
      </c>
      <c r="L171" s="13">
        <f t="shared" si="30"/>
        <v>0</v>
      </c>
      <c r="M171" s="13">
        <f t="shared" si="31"/>
        <v>4.0808867090001873E-3</v>
      </c>
      <c r="N171" s="13">
        <f t="shared" si="32"/>
        <v>5.1849225185599795E-3</v>
      </c>
      <c r="O171" s="13">
        <f t="shared" si="33"/>
        <v>0</v>
      </c>
      <c r="P171" s="13">
        <f t="shared" si="34"/>
        <v>1.316546767368266E-2</v>
      </c>
      <c r="Q171" s="13">
        <f t="shared" si="35"/>
        <v>0</v>
      </c>
      <c r="R171" s="13">
        <f t="shared" si="37"/>
        <v>0.55888032293341217</v>
      </c>
      <c r="S171" s="13">
        <f t="shared" si="37"/>
        <v>0.24608541773351225</v>
      </c>
      <c r="T171" s="13">
        <f t="shared" si="37"/>
        <v>-0.14373668232279324</v>
      </c>
      <c r="U171" s="13">
        <f t="shared" si="37"/>
        <v>0.61810953164474769</v>
      </c>
      <c r="V171" s="13">
        <f t="shared" si="37"/>
        <v>0.45924559544307042</v>
      </c>
      <c r="W171" s="13">
        <f t="shared" si="26"/>
        <v>0.1655660765292841</v>
      </c>
      <c r="X171" s="13">
        <f t="shared" si="26"/>
        <v>0.60063448554615284</v>
      </c>
      <c r="Y171" s="13">
        <f t="shared" si="26"/>
        <v>0.10138916803822881</v>
      </c>
    </row>
    <row r="172" spans="1:25" x14ac:dyDescent="0.25">
      <c r="A172" s="14">
        <f>[1]Data!A175</f>
        <v>42644</v>
      </c>
      <c r="B172" s="15">
        <f>[1]Data!B175</f>
        <v>-1.7489130032062299E-2</v>
      </c>
      <c r="C172" s="15">
        <f>[1]Data!C175</f>
        <v>1.843763743408789E-2</v>
      </c>
      <c r="D172" s="16">
        <f>[1]Data!F175</f>
        <v>-6.7053655742064381E-3</v>
      </c>
      <c r="E172" s="17">
        <f>[1]Data!G175</f>
        <v>-1.5573498428369751E-2</v>
      </c>
      <c r="F172" s="16">
        <f>[1]Data!H175</f>
        <v>-5.8423243318304618E-3</v>
      </c>
      <c r="G172" s="17">
        <f>[1]Data!I175</f>
        <v>-2.4656305720586889E-2</v>
      </c>
      <c r="H172" s="18">
        <f t="shared" si="27"/>
        <v>-1</v>
      </c>
      <c r="I172" s="19">
        <f t="shared" si="36"/>
        <v>1</v>
      </c>
      <c r="J172" s="13">
        <f t="shared" si="28"/>
        <v>0</v>
      </c>
      <c r="K172" s="13">
        <f t="shared" si="29"/>
        <v>6.7053655742064381E-3</v>
      </c>
      <c r="L172" s="13">
        <f t="shared" si="30"/>
        <v>0</v>
      </c>
      <c r="M172" s="13">
        <f t="shared" si="31"/>
        <v>-1.5573498428369751E-2</v>
      </c>
      <c r="N172" s="13">
        <f t="shared" si="32"/>
        <v>-5.8423243318304618E-3</v>
      </c>
      <c r="O172" s="13">
        <f t="shared" si="33"/>
        <v>0</v>
      </c>
      <c r="P172" s="13">
        <f t="shared" si="34"/>
        <v>2.4656305720586889E-2</v>
      </c>
      <c r="Q172" s="13">
        <f t="shared" si="35"/>
        <v>0</v>
      </c>
      <c r="R172" s="13">
        <f t="shared" si="37"/>
        <v>0.55888032293341217</v>
      </c>
      <c r="S172" s="13">
        <f t="shared" si="37"/>
        <v>0.2527907833077187</v>
      </c>
      <c r="T172" s="13">
        <f t="shared" si="37"/>
        <v>-0.14373668232279324</v>
      </c>
      <c r="U172" s="13">
        <f t="shared" si="37"/>
        <v>0.60253603321637794</v>
      </c>
      <c r="V172" s="13">
        <f t="shared" si="37"/>
        <v>0.45340327111123996</v>
      </c>
      <c r="W172" s="13">
        <f t="shared" si="26"/>
        <v>0.1655660765292841</v>
      </c>
      <c r="X172" s="13">
        <f t="shared" si="26"/>
        <v>0.6252907912667397</v>
      </c>
      <c r="Y172" s="13">
        <f t="shared" si="26"/>
        <v>0.10138916803822881</v>
      </c>
    </row>
    <row r="173" spans="1:25" x14ac:dyDescent="0.25">
      <c r="A173" s="14">
        <f>[1]Data!A176</f>
        <v>42675</v>
      </c>
      <c r="B173" s="15">
        <f>[1]Data!B176</f>
        <v>3.6175994356268053E-2</v>
      </c>
      <c r="C173" s="15">
        <f>[1]Data!C176</f>
        <v>0.11329938214783186</v>
      </c>
      <c r="D173" s="16">
        <f>[1]Data!F176</f>
        <v>1.0441599245473053E-3</v>
      </c>
      <c r="E173" s="17">
        <f>[1]Data!G176</f>
        <v>-7.5402400104568456E-3</v>
      </c>
      <c r="F173" s="16">
        <f>[1]Data!H176</f>
        <v>2.8189828397028917E-3</v>
      </c>
      <c r="G173" s="17">
        <f>[1]Data!I176</f>
        <v>-2.9048933488651837E-3</v>
      </c>
      <c r="H173" s="18">
        <f t="shared" si="27"/>
        <v>-1</v>
      </c>
      <c r="I173" s="19">
        <f t="shared" si="36"/>
        <v>1</v>
      </c>
      <c r="J173" s="13">
        <f t="shared" si="28"/>
        <v>0</v>
      </c>
      <c r="K173" s="13">
        <f t="shared" si="29"/>
        <v>-1.0441599245473053E-3</v>
      </c>
      <c r="L173" s="13">
        <f t="shared" si="30"/>
        <v>0</v>
      </c>
      <c r="M173" s="13">
        <f t="shared" si="31"/>
        <v>-7.5402400104568456E-3</v>
      </c>
      <c r="N173" s="13">
        <f t="shared" si="32"/>
        <v>2.8189828397028917E-3</v>
      </c>
      <c r="O173" s="13">
        <f t="shared" si="33"/>
        <v>0</v>
      </c>
      <c r="P173" s="13">
        <f t="shared" si="34"/>
        <v>2.9048933488651837E-3</v>
      </c>
      <c r="Q173" s="13">
        <f t="shared" si="35"/>
        <v>0</v>
      </c>
      <c r="R173" s="13">
        <f t="shared" si="37"/>
        <v>0.55888032293341217</v>
      </c>
      <c r="S173" s="13">
        <f t="shared" si="37"/>
        <v>0.25174662338317139</v>
      </c>
      <c r="T173" s="13">
        <f t="shared" si="37"/>
        <v>-0.14373668232279324</v>
      </c>
      <c r="U173" s="13">
        <f t="shared" si="37"/>
        <v>0.59499579320592111</v>
      </c>
      <c r="V173" s="13">
        <f t="shared" si="37"/>
        <v>0.45622225395094285</v>
      </c>
      <c r="W173" s="13">
        <f t="shared" si="26"/>
        <v>0.1655660765292841</v>
      </c>
      <c r="X173" s="13">
        <f t="shared" si="26"/>
        <v>0.62819568461560493</v>
      </c>
      <c r="Y173" s="13">
        <f t="shared" si="26"/>
        <v>0.10138916803822881</v>
      </c>
    </row>
    <row r="174" spans="1:25" x14ac:dyDescent="0.25">
      <c r="A174" s="14">
        <f>[1]Data!A177</f>
        <v>42705</v>
      </c>
      <c r="B174" s="15">
        <f>[1]Data!B177</f>
        <v>2.0069241756526267E-2</v>
      </c>
      <c r="C174" s="15">
        <f>[1]Data!C177</f>
        <v>4.4029438272317506E-2</v>
      </c>
      <c r="D174" s="16">
        <f>[1]Data!F177</f>
        <v>-9.971155425087027E-3</v>
      </c>
      <c r="E174" s="17">
        <f>[1]Data!G177</f>
        <v>9.3525906063315466E-3</v>
      </c>
      <c r="F174" s="16">
        <f>[1]Data!H177</f>
        <v>1.8967827059699439E-2</v>
      </c>
      <c r="G174" s="17">
        <f>[1]Data!I177</f>
        <v>3.3527236108205506E-3</v>
      </c>
      <c r="H174" s="18">
        <f t="shared" si="27"/>
        <v>-1</v>
      </c>
      <c r="I174" s="19">
        <f t="shared" si="36"/>
        <v>1</v>
      </c>
      <c r="J174" s="13">
        <f t="shared" si="28"/>
        <v>0</v>
      </c>
      <c r="K174" s="13">
        <f t="shared" si="29"/>
        <v>9.971155425087027E-3</v>
      </c>
      <c r="L174" s="13">
        <f t="shared" si="30"/>
        <v>0</v>
      </c>
      <c r="M174" s="13">
        <f t="shared" si="31"/>
        <v>9.3525906063315466E-3</v>
      </c>
      <c r="N174" s="13">
        <f t="shared" si="32"/>
        <v>1.8967827059699439E-2</v>
      </c>
      <c r="O174" s="13">
        <f t="shared" si="33"/>
        <v>0</v>
      </c>
      <c r="P174" s="13">
        <f t="shared" si="34"/>
        <v>-3.3527236108205506E-3</v>
      </c>
      <c r="Q174" s="13">
        <f t="shared" si="35"/>
        <v>0</v>
      </c>
      <c r="R174" s="13">
        <f t="shared" si="37"/>
        <v>0.55888032293341217</v>
      </c>
      <c r="S174" s="13">
        <f t="shared" si="37"/>
        <v>0.26171777880825842</v>
      </c>
      <c r="T174" s="13">
        <f t="shared" si="37"/>
        <v>-0.14373668232279324</v>
      </c>
      <c r="U174" s="13">
        <f t="shared" si="37"/>
        <v>0.60434838381225264</v>
      </c>
      <c r="V174" s="13">
        <f t="shared" si="37"/>
        <v>0.47519008101064231</v>
      </c>
      <c r="W174" s="13">
        <f t="shared" si="26"/>
        <v>0.1655660765292841</v>
      </c>
      <c r="X174" s="13">
        <f t="shared" si="26"/>
        <v>0.62484296100478443</v>
      </c>
      <c r="Y174" s="13">
        <f t="shared" si="26"/>
        <v>0.10138916803822881</v>
      </c>
    </row>
    <row r="175" spans="1:25" x14ac:dyDescent="0.25">
      <c r="A175" s="14">
        <f>[1]Data!A178</f>
        <v>42736</v>
      </c>
      <c r="B175" s="15">
        <f>[1]Data!B178</f>
        <v>1.7736630525470413E-2</v>
      </c>
      <c r="C175" s="15">
        <f>[1]Data!C178</f>
        <v>8.1874755330735641E-3</v>
      </c>
      <c r="D175" s="16">
        <f>[1]Data!F178</f>
        <v>-3.0726771553304309E-4</v>
      </c>
      <c r="E175" s="17">
        <f>[1]Data!G178</f>
        <v>-1.7469124949815538E-3</v>
      </c>
      <c r="F175" s="16">
        <f>[1]Data!H178</f>
        <v>1.3022385186892627E-2</v>
      </c>
      <c r="G175" s="17">
        <f>[1]Data!I178</f>
        <v>2.2411345145951694E-2</v>
      </c>
      <c r="H175" s="18">
        <f t="shared" si="27"/>
        <v>-1</v>
      </c>
      <c r="I175" s="19">
        <f t="shared" si="36"/>
        <v>1</v>
      </c>
      <c r="J175" s="13">
        <f t="shared" si="28"/>
        <v>0</v>
      </c>
      <c r="K175" s="13">
        <f t="shared" si="29"/>
        <v>3.0726771553304309E-4</v>
      </c>
      <c r="L175" s="13">
        <f t="shared" si="30"/>
        <v>0</v>
      </c>
      <c r="M175" s="13">
        <f t="shared" si="31"/>
        <v>-1.7469124949815538E-3</v>
      </c>
      <c r="N175" s="13">
        <f t="shared" si="32"/>
        <v>1.3022385186892627E-2</v>
      </c>
      <c r="O175" s="13">
        <f t="shared" si="33"/>
        <v>0</v>
      </c>
      <c r="P175" s="13">
        <f t="shared" si="34"/>
        <v>-2.2411345145951694E-2</v>
      </c>
      <c r="Q175" s="13">
        <f t="shared" si="35"/>
        <v>0</v>
      </c>
      <c r="R175" s="13">
        <f t="shared" si="37"/>
        <v>0.55888032293341217</v>
      </c>
      <c r="S175" s="13">
        <f t="shared" si="37"/>
        <v>0.26202504652379144</v>
      </c>
      <c r="T175" s="13">
        <f t="shared" si="37"/>
        <v>-0.14373668232279324</v>
      </c>
      <c r="U175" s="13">
        <f t="shared" si="37"/>
        <v>0.60260147131727104</v>
      </c>
      <c r="V175" s="13">
        <f t="shared" si="37"/>
        <v>0.48821246619753494</v>
      </c>
      <c r="W175" s="13">
        <f t="shared" si="26"/>
        <v>0.1655660765292841</v>
      </c>
      <c r="X175" s="13">
        <f t="shared" si="26"/>
        <v>0.60243161585883276</v>
      </c>
      <c r="Y175" s="13">
        <f t="shared" si="26"/>
        <v>0.10138916803822881</v>
      </c>
    </row>
    <row r="176" spans="1:25" x14ac:dyDescent="0.25">
      <c r="A176" s="14">
        <f>[1]Data!A179</f>
        <v>42767</v>
      </c>
      <c r="B176" s="15">
        <f>[1]Data!B179</f>
        <v>3.8538919433910968E-2</v>
      </c>
      <c r="C176" s="15">
        <f>[1]Data!C179</f>
        <v>3.3829412028939944E-2</v>
      </c>
      <c r="D176" s="16">
        <f>[1]Data!F179</f>
        <v>8.0374333251261249E-4</v>
      </c>
      <c r="E176" s="17">
        <f>[1]Data!G179</f>
        <v>1.1815673385502639E-2</v>
      </c>
      <c r="F176" s="16">
        <f>[1]Data!H179</f>
        <v>6.177626594760793E-3</v>
      </c>
      <c r="G176" s="17">
        <f>[1]Data!I179</f>
        <v>6.313412803153901E-3</v>
      </c>
      <c r="H176" s="18">
        <f t="shared" si="27"/>
        <v>-1</v>
      </c>
      <c r="I176" s="19">
        <f t="shared" si="36"/>
        <v>1</v>
      </c>
      <c r="J176" s="13">
        <f t="shared" si="28"/>
        <v>0</v>
      </c>
      <c r="K176" s="13">
        <f t="shared" si="29"/>
        <v>-8.0374333251261249E-4</v>
      </c>
      <c r="L176" s="13">
        <f t="shared" si="30"/>
        <v>0</v>
      </c>
      <c r="M176" s="13">
        <f t="shared" si="31"/>
        <v>1.1815673385502639E-2</v>
      </c>
      <c r="N176" s="13">
        <f t="shared" si="32"/>
        <v>6.177626594760793E-3</v>
      </c>
      <c r="O176" s="13">
        <f t="shared" si="33"/>
        <v>0</v>
      </c>
      <c r="P176" s="13">
        <f t="shared" si="34"/>
        <v>-6.313412803153901E-3</v>
      </c>
      <c r="Q176" s="13">
        <f t="shared" si="35"/>
        <v>0</v>
      </c>
      <c r="R176" s="13">
        <f t="shared" si="37"/>
        <v>0.55888032293341217</v>
      </c>
      <c r="S176" s="13">
        <f t="shared" si="37"/>
        <v>0.26122130319127884</v>
      </c>
      <c r="T176" s="13">
        <f t="shared" si="37"/>
        <v>-0.14373668232279324</v>
      </c>
      <c r="U176" s="13">
        <f t="shared" si="37"/>
        <v>0.61441714470277364</v>
      </c>
      <c r="V176" s="13">
        <f t="shared" si="37"/>
        <v>0.49439009279229573</v>
      </c>
      <c r="W176" s="13">
        <f t="shared" si="26"/>
        <v>0.1655660765292841</v>
      </c>
      <c r="X176" s="13">
        <f t="shared" si="26"/>
        <v>0.59611820305567886</v>
      </c>
      <c r="Y176" s="13">
        <f t="shared" si="26"/>
        <v>0.10138916803822881</v>
      </c>
    </row>
    <row r="177" spans="1:25" x14ac:dyDescent="0.25">
      <c r="A177" s="14">
        <f>[1]Data!A180</f>
        <v>42795</v>
      </c>
      <c r="B177" s="15">
        <f>[1]Data!B180</f>
        <v>1.2491492693997353E-3</v>
      </c>
      <c r="C177" s="15">
        <f>[1]Data!C180</f>
        <v>3.9922140618984803E-3</v>
      </c>
      <c r="D177" s="16">
        <f>[1]Data!F180</f>
        <v>8.5629368577621219E-3</v>
      </c>
      <c r="E177" s="17">
        <f>[1]Data!G180</f>
        <v>4.7337774498800505E-3</v>
      </c>
      <c r="F177" s="16">
        <f>[1]Data!H180</f>
        <v>2.2389316731830419E-3</v>
      </c>
      <c r="G177" s="17">
        <f>[1]Data!I180</f>
        <v>-2.5725897024647941E-2</v>
      </c>
      <c r="H177" s="18">
        <f t="shared" si="27"/>
        <v>-1</v>
      </c>
      <c r="I177" s="19">
        <f t="shared" si="36"/>
        <v>1</v>
      </c>
      <c r="J177" s="13">
        <f t="shared" si="28"/>
        <v>0</v>
      </c>
      <c r="K177" s="13">
        <f t="shared" si="29"/>
        <v>-8.5629368577621219E-3</v>
      </c>
      <c r="L177" s="13">
        <f t="shared" si="30"/>
        <v>0</v>
      </c>
      <c r="M177" s="13">
        <f t="shared" si="31"/>
        <v>4.7337774498800505E-3</v>
      </c>
      <c r="N177" s="13">
        <f t="shared" si="32"/>
        <v>2.2389316731830419E-3</v>
      </c>
      <c r="O177" s="13">
        <f t="shared" si="33"/>
        <v>0</v>
      </c>
      <c r="P177" s="13">
        <f t="shared" si="34"/>
        <v>2.5725897024647941E-2</v>
      </c>
      <c r="Q177" s="13">
        <f t="shared" si="35"/>
        <v>0</v>
      </c>
      <c r="R177" s="13">
        <f t="shared" si="37"/>
        <v>0.55888032293341217</v>
      </c>
      <c r="S177" s="13">
        <f t="shared" si="37"/>
        <v>0.25265836633351674</v>
      </c>
      <c r="T177" s="13">
        <f t="shared" si="37"/>
        <v>-0.14373668232279324</v>
      </c>
      <c r="U177" s="13">
        <f t="shared" si="37"/>
        <v>0.61915092215265366</v>
      </c>
      <c r="V177" s="13">
        <f t="shared" si="37"/>
        <v>0.4966290244654788</v>
      </c>
      <c r="W177" s="13">
        <f t="shared" si="26"/>
        <v>0.1655660765292841</v>
      </c>
      <c r="X177" s="13">
        <f t="shared" si="26"/>
        <v>0.62184410008032676</v>
      </c>
      <c r="Y177" s="13">
        <f t="shared" si="26"/>
        <v>0.10138916803822881</v>
      </c>
    </row>
    <row r="178" spans="1:25" x14ac:dyDescent="0.25">
      <c r="A178" s="14">
        <f>[1]Data!A181</f>
        <v>42826</v>
      </c>
      <c r="B178" s="15">
        <f>[1]Data!B181</f>
        <v>9.8773929442588729E-3</v>
      </c>
      <c r="C178" s="15">
        <f>[1]Data!C181</f>
        <v>-1.4290845438842705E-2</v>
      </c>
      <c r="D178" s="16">
        <f>[1]Data!F181</f>
        <v>3.8296605534574131E-3</v>
      </c>
      <c r="E178" s="17">
        <f>[1]Data!G181</f>
        <v>-4.7292438397868088E-3</v>
      </c>
      <c r="F178" s="16">
        <f>[1]Data!H181</f>
        <v>-2.2934516881969926E-3</v>
      </c>
      <c r="G178" s="17">
        <f>[1]Data!I181</f>
        <v>2.1143068773714904E-3</v>
      </c>
      <c r="H178" s="18">
        <f t="shared" si="27"/>
        <v>1</v>
      </c>
      <c r="I178" s="19">
        <f t="shared" si="36"/>
        <v>1</v>
      </c>
      <c r="J178" s="13">
        <f t="shared" si="28"/>
        <v>3.8296605534574131E-3</v>
      </c>
      <c r="K178" s="13">
        <f t="shared" si="29"/>
        <v>0</v>
      </c>
      <c r="L178" s="13">
        <f t="shared" si="30"/>
        <v>4.7292438397868088E-3</v>
      </c>
      <c r="M178" s="13">
        <f t="shared" si="31"/>
        <v>0</v>
      </c>
      <c r="N178" s="13">
        <f t="shared" si="32"/>
        <v>-2.2934516881969926E-3</v>
      </c>
      <c r="O178" s="13">
        <f t="shared" si="33"/>
        <v>0</v>
      </c>
      <c r="P178" s="13">
        <f t="shared" si="34"/>
        <v>-2.1143068773714904E-3</v>
      </c>
      <c r="Q178" s="13">
        <f t="shared" si="35"/>
        <v>0</v>
      </c>
      <c r="R178" s="13">
        <f t="shared" si="37"/>
        <v>0.56270998348686962</v>
      </c>
      <c r="S178" s="13">
        <f t="shared" si="37"/>
        <v>0.25265836633351674</v>
      </c>
      <c r="T178" s="13">
        <f t="shared" si="37"/>
        <v>-0.13900743848300642</v>
      </c>
      <c r="U178" s="13">
        <f t="shared" si="37"/>
        <v>0.61915092215265366</v>
      </c>
      <c r="V178" s="13">
        <f t="shared" si="37"/>
        <v>0.4943355727772818</v>
      </c>
      <c r="W178" s="13">
        <f t="shared" si="26"/>
        <v>0.1655660765292841</v>
      </c>
      <c r="X178" s="13">
        <f t="shared" si="26"/>
        <v>0.61972979320295529</v>
      </c>
      <c r="Y178" s="13">
        <f t="shared" si="26"/>
        <v>0.10138916803822881</v>
      </c>
    </row>
    <row r="179" spans="1:25" x14ac:dyDescent="0.25">
      <c r="A179" s="14">
        <f>[1]Data!A182</f>
        <v>42856</v>
      </c>
      <c r="B179" s="15">
        <f>[1]Data!B182</f>
        <v>1.4014317538461586E-2</v>
      </c>
      <c r="C179" s="15">
        <f>[1]Data!C182</f>
        <v>-1.2174791707059551E-2</v>
      </c>
      <c r="D179" s="16">
        <f>[1]Data!F182</f>
        <v>1.3048463036209022E-2</v>
      </c>
      <c r="E179" s="17">
        <f>[1]Data!G182</f>
        <v>5.5622347575965247E-3</v>
      </c>
      <c r="F179" s="16">
        <f>[1]Data!H182</f>
        <v>6.7812919234909548E-3</v>
      </c>
      <c r="G179" s="17">
        <f>[1]Data!I182</f>
        <v>-6.6150014584280652E-3</v>
      </c>
      <c r="H179" s="18">
        <f t="shared" si="27"/>
        <v>1</v>
      </c>
      <c r="I179" s="19">
        <f t="shared" si="36"/>
        <v>-1</v>
      </c>
      <c r="J179" s="13">
        <f t="shared" si="28"/>
        <v>1.3048463036209022E-2</v>
      </c>
      <c r="K179" s="13">
        <f t="shared" si="29"/>
        <v>0</v>
      </c>
      <c r="L179" s="13">
        <f t="shared" si="30"/>
        <v>-5.5622347575965247E-3</v>
      </c>
      <c r="M179" s="13">
        <f t="shared" si="31"/>
        <v>0</v>
      </c>
      <c r="N179" s="13">
        <f t="shared" si="32"/>
        <v>0</v>
      </c>
      <c r="O179" s="13">
        <f t="shared" si="33"/>
        <v>-6.7812919234909548E-3</v>
      </c>
      <c r="P179" s="13">
        <f t="shared" si="34"/>
        <v>0</v>
      </c>
      <c r="Q179" s="13">
        <f t="shared" si="35"/>
        <v>-6.6150014584280652E-3</v>
      </c>
      <c r="R179" s="13">
        <f t="shared" si="37"/>
        <v>0.57575844652307862</v>
      </c>
      <c r="S179" s="13">
        <f t="shared" si="37"/>
        <v>0.25265836633351674</v>
      </c>
      <c r="T179" s="13">
        <f t="shared" si="37"/>
        <v>-0.14456967324060294</v>
      </c>
      <c r="U179" s="13">
        <f t="shared" si="37"/>
        <v>0.61915092215265366</v>
      </c>
      <c r="V179" s="13">
        <f t="shared" si="37"/>
        <v>0.4943355727772818</v>
      </c>
      <c r="W179" s="13">
        <f t="shared" si="26"/>
        <v>0.15878478460579315</v>
      </c>
      <c r="X179" s="13">
        <f t="shared" si="26"/>
        <v>0.61972979320295529</v>
      </c>
      <c r="Y179" s="13">
        <f t="shared" si="26"/>
        <v>9.4774166579800742E-2</v>
      </c>
    </row>
    <row r="180" spans="1:25" x14ac:dyDescent="0.25">
      <c r="A180" s="14">
        <f>[1]Data!A183</f>
        <v>42887</v>
      </c>
      <c r="B180" s="15">
        <f>[1]Data!B183</f>
        <v>6.3545861267207517E-3</v>
      </c>
      <c r="C180" s="15">
        <f>[1]Data!C183</f>
        <v>-1.6101415999681234E-2</v>
      </c>
      <c r="D180" s="16">
        <f>[1]Data!F183</f>
        <v>-4.7446716389456332E-3</v>
      </c>
      <c r="E180" s="17">
        <f>[1]Data!G183</f>
        <v>-1.931330464486547E-2</v>
      </c>
      <c r="F180" s="16">
        <f>[1]Data!H183</f>
        <v>9.1528318163321392E-3</v>
      </c>
      <c r="G180" s="17">
        <f>[1]Data!I183</f>
        <v>6.2874723135301919E-3</v>
      </c>
      <c r="H180" s="18">
        <f t="shared" si="27"/>
        <v>1</v>
      </c>
      <c r="I180" s="19">
        <f t="shared" si="36"/>
        <v>-1</v>
      </c>
      <c r="J180" s="13">
        <f t="shared" si="28"/>
        <v>-4.7446716389456332E-3</v>
      </c>
      <c r="K180" s="13">
        <f t="shared" si="29"/>
        <v>0</v>
      </c>
      <c r="L180" s="13">
        <f t="shared" si="30"/>
        <v>1.931330464486547E-2</v>
      </c>
      <c r="M180" s="13">
        <f t="shared" si="31"/>
        <v>0</v>
      </c>
      <c r="N180" s="13">
        <f t="shared" si="32"/>
        <v>0</v>
      </c>
      <c r="O180" s="13">
        <f t="shared" si="33"/>
        <v>-9.1528318163321392E-3</v>
      </c>
      <c r="P180" s="13">
        <f t="shared" si="34"/>
        <v>0</v>
      </c>
      <c r="Q180" s="13">
        <f t="shared" si="35"/>
        <v>6.2874723135301919E-3</v>
      </c>
      <c r="R180" s="13">
        <f t="shared" si="37"/>
        <v>0.57101377488413296</v>
      </c>
      <c r="S180" s="13">
        <f t="shared" si="37"/>
        <v>0.25265836633351674</v>
      </c>
      <c r="T180" s="13">
        <f t="shared" si="37"/>
        <v>-0.12525636859573747</v>
      </c>
      <c r="U180" s="13">
        <f t="shared" si="37"/>
        <v>0.61915092215265366</v>
      </c>
      <c r="V180" s="13">
        <f t="shared" si="37"/>
        <v>0.4943355727772818</v>
      </c>
      <c r="W180" s="13">
        <f t="shared" si="26"/>
        <v>0.14963195278946101</v>
      </c>
      <c r="X180" s="13">
        <f t="shared" si="26"/>
        <v>0.61972979320295529</v>
      </c>
      <c r="Y180" s="13">
        <f t="shared" si="26"/>
        <v>0.10106163889333093</v>
      </c>
    </row>
    <row r="181" spans="1:25" x14ac:dyDescent="0.25">
      <c r="A181" s="14">
        <f>[1]Data!A184</f>
        <v>42917</v>
      </c>
      <c r="B181" s="15">
        <f>[1]Data!B184</f>
        <v>2.0345845083848145E-2</v>
      </c>
      <c r="C181" s="15">
        <f>[1]Data!C184</f>
        <v>1.7845544606009206E-2</v>
      </c>
      <c r="D181" s="16">
        <f>[1]Data!F184</f>
        <v>-2.027021590706975E-4</v>
      </c>
      <c r="E181" s="17">
        <f>[1]Data!G184</f>
        <v>-9.3082848650070573E-3</v>
      </c>
      <c r="F181" s="16">
        <f>[1]Data!H184</f>
        <v>2.3545168863634497E-3</v>
      </c>
      <c r="G181" s="17">
        <f>[1]Data!I184</f>
        <v>-1.5838213840254231E-2</v>
      </c>
      <c r="H181" s="18">
        <f t="shared" si="27"/>
        <v>-1</v>
      </c>
      <c r="I181" s="19">
        <f t="shared" si="36"/>
        <v>-1</v>
      </c>
      <c r="J181" s="13">
        <f t="shared" si="28"/>
        <v>0</v>
      </c>
      <c r="K181" s="13">
        <f t="shared" si="29"/>
        <v>2.027021590706975E-4</v>
      </c>
      <c r="L181" s="13">
        <f t="shared" si="30"/>
        <v>0</v>
      </c>
      <c r="M181" s="13">
        <f t="shared" si="31"/>
        <v>-9.3082848650070573E-3</v>
      </c>
      <c r="N181" s="13">
        <f t="shared" si="32"/>
        <v>0</v>
      </c>
      <c r="O181" s="13">
        <f t="shared" si="33"/>
        <v>-2.3545168863634497E-3</v>
      </c>
      <c r="P181" s="13">
        <f t="shared" si="34"/>
        <v>0</v>
      </c>
      <c r="Q181" s="13">
        <f t="shared" si="35"/>
        <v>-1.5838213840254231E-2</v>
      </c>
      <c r="R181" s="13">
        <f t="shared" si="37"/>
        <v>0.57101377488413296</v>
      </c>
      <c r="S181" s="13">
        <f t="shared" si="37"/>
        <v>0.25286106849258744</v>
      </c>
      <c r="T181" s="13">
        <f t="shared" si="37"/>
        <v>-0.12525636859573747</v>
      </c>
      <c r="U181" s="13">
        <f t="shared" si="37"/>
        <v>0.60984263728764665</v>
      </c>
      <c r="V181" s="13">
        <f t="shared" si="37"/>
        <v>0.4943355727772818</v>
      </c>
      <c r="W181" s="13">
        <f t="shared" si="26"/>
        <v>0.14727743590309755</v>
      </c>
      <c r="X181" s="13">
        <f t="shared" si="26"/>
        <v>0.61972979320295529</v>
      </c>
      <c r="Y181" s="13">
        <f t="shared" si="26"/>
        <v>8.5223425053076701E-2</v>
      </c>
    </row>
    <row r="182" spans="1:25" x14ac:dyDescent="0.25">
      <c r="A182" s="14">
        <f>[1]Data!A185</f>
        <v>42948</v>
      </c>
      <c r="B182" s="15">
        <f>[1]Data!B185</f>
        <v>2.9134528973781262E-3</v>
      </c>
      <c r="C182" s="15">
        <f>[1]Data!C185</f>
        <v>-4.1009972453845592E-2</v>
      </c>
      <c r="D182" s="16">
        <f>[1]Data!F185</f>
        <v>1.8720414788120646E-2</v>
      </c>
      <c r="E182" s="17">
        <f>[1]Data!G185</f>
        <v>8.3160340593675108E-3</v>
      </c>
      <c r="F182" s="16">
        <f>[1]Data!H185</f>
        <v>4.4476018160733407E-3</v>
      </c>
      <c r="G182" s="17">
        <f>[1]Data!I185</f>
        <v>1.0440815111997317E-2</v>
      </c>
      <c r="H182" s="18">
        <f t="shared" si="27"/>
        <v>1</v>
      </c>
      <c r="I182" s="19">
        <f t="shared" si="36"/>
        <v>1</v>
      </c>
      <c r="J182" s="13">
        <f t="shared" si="28"/>
        <v>1.8720414788120646E-2</v>
      </c>
      <c r="K182" s="13">
        <f t="shared" si="29"/>
        <v>0</v>
      </c>
      <c r="L182" s="13">
        <f t="shared" si="30"/>
        <v>-8.3160340593675108E-3</v>
      </c>
      <c r="M182" s="13">
        <f t="shared" si="31"/>
        <v>0</v>
      </c>
      <c r="N182" s="13">
        <f t="shared" si="32"/>
        <v>4.4476018160733407E-3</v>
      </c>
      <c r="O182" s="13">
        <f t="shared" si="33"/>
        <v>0</v>
      </c>
      <c r="P182" s="13">
        <f t="shared" si="34"/>
        <v>-1.0440815111997317E-2</v>
      </c>
      <c r="Q182" s="13">
        <f t="shared" si="35"/>
        <v>0</v>
      </c>
      <c r="R182" s="13">
        <f t="shared" si="37"/>
        <v>0.58973418967225366</v>
      </c>
      <c r="S182" s="13">
        <f t="shared" si="37"/>
        <v>0.25286106849258744</v>
      </c>
      <c r="T182" s="13">
        <f t="shared" si="37"/>
        <v>-0.13357240265510498</v>
      </c>
      <c r="U182" s="13">
        <f t="shared" si="37"/>
        <v>0.60984263728764665</v>
      </c>
      <c r="V182" s="13">
        <f t="shared" si="37"/>
        <v>0.49878317459335514</v>
      </c>
      <c r="W182" s="13">
        <f t="shared" si="26"/>
        <v>0.14727743590309755</v>
      </c>
      <c r="X182" s="13">
        <f t="shared" si="26"/>
        <v>0.60928897809095794</v>
      </c>
      <c r="Y182" s="13">
        <f t="shared" si="26"/>
        <v>8.5223425053076701E-2</v>
      </c>
    </row>
    <row r="183" spans="1:25" x14ac:dyDescent="0.25">
      <c r="A183" s="14">
        <f>[1]Data!A186</f>
        <v>42979</v>
      </c>
      <c r="B183" s="15">
        <f>[1]Data!B186</f>
        <v>1.9949065315565978E-2</v>
      </c>
      <c r="C183" s="15">
        <f>[1]Data!C186</f>
        <v>2.4825683207458794E-2</v>
      </c>
      <c r="D183" s="16">
        <f>[1]Data!F186</f>
        <v>7.1503780901424818E-3</v>
      </c>
      <c r="E183" s="17">
        <f>[1]Data!G186</f>
        <v>-1.1476065359011158E-2</v>
      </c>
      <c r="F183" s="16">
        <f>[1]Data!H186</f>
        <v>-3.6838284491937236E-3</v>
      </c>
      <c r="G183" s="17">
        <f>[1]Data!I186</f>
        <v>9.9175769496123098E-3</v>
      </c>
      <c r="H183" s="18">
        <f t="shared" si="27"/>
        <v>-1</v>
      </c>
      <c r="I183" s="19">
        <f t="shared" si="36"/>
        <v>-1</v>
      </c>
      <c r="J183" s="13">
        <f t="shared" si="28"/>
        <v>0</v>
      </c>
      <c r="K183" s="13">
        <f t="shared" si="29"/>
        <v>-7.1503780901424818E-3</v>
      </c>
      <c r="L183" s="13">
        <f t="shared" si="30"/>
        <v>0</v>
      </c>
      <c r="M183" s="13">
        <f t="shared" si="31"/>
        <v>-1.1476065359011158E-2</v>
      </c>
      <c r="N183" s="13">
        <f t="shared" si="32"/>
        <v>0</v>
      </c>
      <c r="O183" s="13">
        <f t="shared" si="33"/>
        <v>3.6838284491937236E-3</v>
      </c>
      <c r="P183" s="13">
        <f t="shared" si="34"/>
        <v>0</v>
      </c>
      <c r="Q183" s="13">
        <f t="shared" si="35"/>
        <v>9.9175769496123098E-3</v>
      </c>
      <c r="R183" s="13">
        <f t="shared" si="37"/>
        <v>0.58973418967225366</v>
      </c>
      <c r="S183" s="13">
        <f t="shared" si="37"/>
        <v>0.24571069040244495</v>
      </c>
      <c r="T183" s="13">
        <f t="shared" si="37"/>
        <v>-0.13357240265510498</v>
      </c>
      <c r="U183" s="13">
        <f t="shared" si="37"/>
        <v>0.59836657192863552</v>
      </c>
      <c r="V183" s="13">
        <f t="shared" si="37"/>
        <v>0.49878317459335514</v>
      </c>
      <c r="W183" s="13">
        <f t="shared" si="26"/>
        <v>0.15096126435229126</v>
      </c>
      <c r="X183" s="13">
        <f t="shared" si="26"/>
        <v>0.60928897809095794</v>
      </c>
      <c r="Y183" s="13">
        <f t="shared" si="26"/>
        <v>9.5141002002689018E-2</v>
      </c>
    </row>
    <row r="184" spans="1:25" x14ac:dyDescent="0.25">
      <c r="A184" s="14">
        <f>[1]Data!A187</f>
        <v>43009</v>
      </c>
      <c r="B184" s="15">
        <f>[1]Data!B187</f>
        <v>2.3290794499632155E-2</v>
      </c>
      <c r="C184" s="15">
        <f>[1]Data!C187</f>
        <v>2.7384725407794141E-2</v>
      </c>
      <c r="D184" s="16">
        <f>[1]Data!F187</f>
        <v>1.5569506471131917E-4</v>
      </c>
      <c r="E184" s="17">
        <f>[1]Data!G187</f>
        <v>3.8642134794598494E-3</v>
      </c>
      <c r="F184" s="16">
        <f>[1]Data!H187</f>
        <v>1.2421072327983434E-2</v>
      </c>
      <c r="G184" s="17">
        <f>[1]Data!I187</f>
        <v>-7.4003364513960937E-3</v>
      </c>
      <c r="H184" s="18">
        <f t="shared" si="27"/>
        <v>-1</v>
      </c>
      <c r="I184" s="19">
        <f t="shared" si="36"/>
        <v>1</v>
      </c>
      <c r="J184" s="13">
        <f t="shared" si="28"/>
        <v>0</v>
      </c>
      <c r="K184" s="13">
        <f t="shared" si="29"/>
        <v>-1.5569506471131917E-4</v>
      </c>
      <c r="L184" s="13">
        <f t="shared" si="30"/>
        <v>0</v>
      </c>
      <c r="M184" s="13">
        <f t="shared" si="31"/>
        <v>3.8642134794598494E-3</v>
      </c>
      <c r="N184" s="13">
        <f t="shared" si="32"/>
        <v>1.2421072327983434E-2</v>
      </c>
      <c r="O184" s="13">
        <f t="shared" si="33"/>
        <v>0</v>
      </c>
      <c r="P184" s="13">
        <f t="shared" si="34"/>
        <v>7.4003364513960937E-3</v>
      </c>
      <c r="Q184" s="13">
        <f t="shared" si="35"/>
        <v>0</v>
      </c>
      <c r="R184" s="13">
        <f t="shared" si="37"/>
        <v>0.58973418967225366</v>
      </c>
      <c r="S184" s="13">
        <f t="shared" si="37"/>
        <v>0.24555499533773362</v>
      </c>
      <c r="T184" s="13">
        <f t="shared" si="37"/>
        <v>-0.13357240265510498</v>
      </c>
      <c r="U184" s="13">
        <f t="shared" si="37"/>
        <v>0.60223078540809538</v>
      </c>
      <c r="V184" s="13">
        <f t="shared" si="37"/>
        <v>0.51120424692133859</v>
      </c>
      <c r="W184" s="13">
        <f t="shared" si="26"/>
        <v>0.15096126435229126</v>
      </c>
      <c r="X184" s="13">
        <f t="shared" si="26"/>
        <v>0.61668931454235398</v>
      </c>
      <c r="Y184" s="13">
        <f t="shared" si="26"/>
        <v>9.5141002002689018E-2</v>
      </c>
    </row>
    <row r="185" spans="1:25" x14ac:dyDescent="0.25">
      <c r="A185" s="14">
        <f>[1]Data!A188</f>
        <v>43040</v>
      </c>
      <c r="B185" s="15">
        <f>[1]Data!B188</f>
        <v>3.0108033419569857E-2</v>
      </c>
      <c r="C185" s="15">
        <f>[1]Data!C188</f>
        <v>-9.2851896473847284E-3</v>
      </c>
      <c r="D185" s="16">
        <f>[1]Data!F188</f>
        <v>1.9124491699953942E-2</v>
      </c>
      <c r="E185" s="17">
        <f>[1]Data!G188</f>
        <v>-1.2864800095172853E-2</v>
      </c>
      <c r="F185" s="16">
        <f>[1]Data!H188</f>
        <v>5.8935784243084929E-3</v>
      </c>
      <c r="G185" s="17">
        <f>[1]Data!I188</f>
        <v>1.9478850220005867E-2</v>
      </c>
      <c r="H185" s="18">
        <f t="shared" si="27"/>
        <v>1</v>
      </c>
      <c r="I185" s="19">
        <f t="shared" si="36"/>
        <v>1</v>
      </c>
      <c r="J185" s="13">
        <f t="shared" si="28"/>
        <v>1.9124491699953942E-2</v>
      </c>
      <c r="K185" s="13">
        <f t="shared" si="29"/>
        <v>0</v>
      </c>
      <c r="L185" s="13">
        <f t="shared" si="30"/>
        <v>1.2864800095172853E-2</v>
      </c>
      <c r="M185" s="13">
        <f t="shared" si="31"/>
        <v>0</v>
      </c>
      <c r="N185" s="13">
        <f t="shared" si="32"/>
        <v>5.8935784243084929E-3</v>
      </c>
      <c r="O185" s="13">
        <f t="shared" si="33"/>
        <v>0</v>
      </c>
      <c r="P185" s="13">
        <f t="shared" si="34"/>
        <v>-1.9478850220005867E-2</v>
      </c>
      <c r="Q185" s="13">
        <f t="shared" si="35"/>
        <v>0</v>
      </c>
      <c r="R185" s="13">
        <f t="shared" si="37"/>
        <v>0.60885868137220756</v>
      </c>
      <c r="S185" s="13">
        <f t="shared" si="37"/>
        <v>0.24555499533773362</v>
      </c>
      <c r="T185" s="13">
        <f t="shared" si="37"/>
        <v>-0.12070760255993213</v>
      </c>
      <c r="U185" s="13">
        <f t="shared" si="37"/>
        <v>0.60223078540809538</v>
      </c>
      <c r="V185" s="13">
        <f t="shared" si="37"/>
        <v>0.51709782534564708</v>
      </c>
      <c r="W185" s="13">
        <f t="shared" si="26"/>
        <v>0.15096126435229126</v>
      </c>
      <c r="X185" s="13">
        <f t="shared" si="26"/>
        <v>0.59721046432234814</v>
      </c>
      <c r="Y185" s="13">
        <f t="shared" si="26"/>
        <v>9.5141002002689018E-2</v>
      </c>
    </row>
    <row r="186" spans="1:25" x14ac:dyDescent="0.25">
      <c r="A186" s="14">
        <f>[1]Data!A189</f>
        <v>43070</v>
      </c>
      <c r="B186" s="15">
        <f>[1]Data!B189</f>
        <v>1.2054926300833912E-2</v>
      </c>
      <c r="C186" s="15">
        <f>[1]Data!C189</f>
        <v>1.4761218569910816E-2</v>
      </c>
      <c r="D186" s="16">
        <f>[1]Data!F189</f>
        <v>-2.6943650722405415E-3</v>
      </c>
      <c r="E186" s="17">
        <f>[1]Data!G189</f>
        <v>1.797561517747976E-2</v>
      </c>
      <c r="F186" s="16">
        <f>[1]Data!H189</f>
        <v>-3.5535092876116834E-3</v>
      </c>
      <c r="G186" s="17">
        <f>[1]Data!I189</f>
        <v>1.4431380571680936E-2</v>
      </c>
      <c r="H186" s="18">
        <f t="shared" si="27"/>
        <v>-1</v>
      </c>
      <c r="I186" s="19">
        <f t="shared" si="36"/>
        <v>-1</v>
      </c>
      <c r="J186" s="13">
        <f t="shared" si="28"/>
        <v>0</v>
      </c>
      <c r="K186" s="13">
        <f t="shared" si="29"/>
        <v>2.6943650722405415E-3</v>
      </c>
      <c r="L186" s="13">
        <f t="shared" si="30"/>
        <v>0</v>
      </c>
      <c r="M186" s="13">
        <f t="shared" si="31"/>
        <v>1.797561517747976E-2</v>
      </c>
      <c r="N186" s="13">
        <f t="shared" si="32"/>
        <v>0</v>
      </c>
      <c r="O186" s="13">
        <f t="shared" si="33"/>
        <v>3.5535092876116834E-3</v>
      </c>
      <c r="P186" s="13">
        <f t="shared" si="34"/>
        <v>0</v>
      </c>
      <c r="Q186" s="13">
        <f t="shared" si="35"/>
        <v>1.4431380571680936E-2</v>
      </c>
      <c r="R186" s="13">
        <f t="shared" si="37"/>
        <v>0.60885868137220756</v>
      </c>
      <c r="S186" s="13">
        <f t="shared" si="37"/>
        <v>0.24824936040997417</v>
      </c>
      <c r="T186" s="13">
        <f t="shared" si="37"/>
        <v>-0.12070760255993213</v>
      </c>
      <c r="U186" s="13">
        <f t="shared" si="37"/>
        <v>0.62020640058557519</v>
      </c>
      <c r="V186" s="13">
        <f t="shared" si="37"/>
        <v>0.51709782534564708</v>
      </c>
      <c r="W186" s="13">
        <f t="shared" si="26"/>
        <v>0.15451477363990296</v>
      </c>
      <c r="X186" s="13">
        <f t="shared" si="26"/>
        <v>0.59721046432234814</v>
      </c>
      <c r="Y186" s="13">
        <f t="shared" si="26"/>
        <v>0.10957238257436995</v>
      </c>
    </row>
    <row r="187" spans="1:25" x14ac:dyDescent="0.25">
      <c r="A187" s="14">
        <f>[1]Data!A190</f>
        <v>43101</v>
      </c>
      <c r="B187" s="15">
        <f>[1]Data!B190</f>
        <v>5.4828271854461215E-2</v>
      </c>
      <c r="C187" s="15">
        <f>[1]Data!C190</f>
        <v>8.489099216019512E-2</v>
      </c>
      <c r="D187" s="16">
        <f>[1]Data!F190</f>
        <v>-4.9188412320792449E-3</v>
      </c>
      <c r="E187" s="17">
        <f>[1]Data!G190</f>
        <v>-7.953068046105842E-3</v>
      </c>
      <c r="F187" s="16">
        <f>[1]Data!H190</f>
        <v>2.611185060363698E-2</v>
      </c>
      <c r="G187" s="17">
        <f>[1]Data!I190</f>
        <v>-9.7429498527237257E-3</v>
      </c>
      <c r="H187" s="18">
        <f t="shared" si="27"/>
        <v>-1</v>
      </c>
      <c r="I187" s="19">
        <f t="shared" si="36"/>
        <v>1</v>
      </c>
      <c r="J187" s="13">
        <f t="shared" si="28"/>
        <v>0</v>
      </c>
      <c r="K187" s="13">
        <f t="shared" si="29"/>
        <v>4.9188412320792449E-3</v>
      </c>
      <c r="L187" s="13">
        <f t="shared" si="30"/>
        <v>0</v>
      </c>
      <c r="M187" s="13">
        <f t="shared" si="31"/>
        <v>-7.953068046105842E-3</v>
      </c>
      <c r="N187" s="13">
        <f t="shared" si="32"/>
        <v>2.611185060363698E-2</v>
      </c>
      <c r="O187" s="13">
        <f t="shared" si="33"/>
        <v>0</v>
      </c>
      <c r="P187" s="13">
        <f t="shared" si="34"/>
        <v>9.7429498527237257E-3</v>
      </c>
      <c r="Q187" s="13">
        <f t="shared" si="35"/>
        <v>0</v>
      </c>
      <c r="R187" s="13">
        <f t="shared" ref="R187:Y220" si="38">J187+R186</f>
        <v>0.60885868137220756</v>
      </c>
      <c r="S187" s="13">
        <f t="shared" si="38"/>
        <v>0.25316820164205339</v>
      </c>
      <c r="T187" s="13">
        <f t="shared" si="38"/>
        <v>-0.12070760255993213</v>
      </c>
      <c r="U187" s="13">
        <f t="shared" si="38"/>
        <v>0.61225333253946934</v>
      </c>
      <c r="V187" s="13">
        <f t="shared" si="38"/>
        <v>0.54320967594928404</v>
      </c>
      <c r="W187" s="13">
        <f t="shared" si="26"/>
        <v>0.15451477363990296</v>
      </c>
      <c r="X187" s="13">
        <f t="shared" si="26"/>
        <v>0.60695341417507187</v>
      </c>
      <c r="Y187" s="13">
        <f t="shared" si="26"/>
        <v>0.10957238257436995</v>
      </c>
    </row>
    <row r="188" spans="1:25" x14ac:dyDescent="0.25">
      <c r="A188" s="14">
        <f>[1]Data!A191</f>
        <v>43132</v>
      </c>
      <c r="B188" s="15">
        <f>[1]Data!B191</f>
        <v>-3.7037849864770427E-2</v>
      </c>
      <c r="C188" s="15">
        <f>[1]Data!C191</f>
        <v>3.3142235625002285E-3</v>
      </c>
      <c r="D188" s="16">
        <f>[1]Data!F191</f>
        <v>4.612206093618048E-3</v>
      </c>
      <c r="E188" s="17">
        <f>[1]Data!G191</f>
        <v>1.4077719218767796E-2</v>
      </c>
      <c r="F188" s="16">
        <f>[1]Data!H191</f>
        <v>-5.1797452432327633E-2</v>
      </c>
      <c r="G188" s="17">
        <f>[1]Data!I191</f>
        <v>-3.0297480730135874E-2</v>
      </c>
      <c r="H188" s="18">
        <f t="shared" si="27"/>
        <v>-1</v>
      </c>
      <c r="I188" s="19">
        <f t="shared" si="36"/>
        <v>1</v>
      </c>
      <c r="J188" s="13">
        <f t="shared" si="28"/>
        <v>0</v>
      </c>
      <c r="K188" s="13">
        <f t="shared" si="29"/>
        <v>-4.612206093618048E-3</v>
      </c>
      <c r="L188" s="13">
        <f t="shared" si="30"/>
        <v>0</v>
      </c>
      <c r="M188" s="13">
        <f t="shared" si="31"/>
        <v>1.4077719218767796E-2</v>
      </c>
      <c r="N188" s="13">
        <f t="shared" si="32"/>
        <v>-5.1797452432327633E-2</v>
      </c>
      <c r="O188" s="13">
        <f t="shared" si="33"/>
        <v>0</v>
      </c>
      <c r="P188" s="13">
        <f t="shared" si="34"/>
        <v>3.0297480730135874E-2</v>
      </c>
      <c r="Q188" s="13">
        <f t="shared" si="35"/>
        <v>0</v>
      </c>
      <c r="R188" s="13">
        <f t="shared" si="38"/>
        <v>0.60885868137220756</v>
      </c>
      <c r="S188" s="13">
        <f t="shared" si="38"/>
        <v>0.24855599554843535</v>
      </c>
      <c r="T188" s="13">
        <f t="shared" si="38"/>
        <v>-0.12070760255993213</v>
      </c>
      <c r="U188" s="13">
        <f t="shared" si="38"/>
        <v>0.62633105175823711</v>
      </c>
      <c r="V188" s="13">
        <f t="shared" si="38"/>
        <v>0.4914122235169564</v>
      </c>
      <c r="W188" s="13">
        <f t="shared" si="26"/>
        <v>0.15451477363990296</v>
      </c>
      <c r="X188" s="13">
        <f t="shared" si="26"/>
        <v>0.6372508949052077</v>
      </c>
      <c r="Y188" s="13">
        <f t="shared" si="26"/>
        <v>0.10957238257436995</v>
      </c>
    </row>
    <row r="189" spans="1:25" x14ac:dyDescent="0.25">
      <c r="A189" s="14">
        <f>[1]Data!A192</f>
        <v>43160</v>
      </c>
      <c r="B189" s="15">
        <f>[1]Data!B192</f>
        <v>-2.7793433573292677E-2</v>
      </c>
      <c r="C189" s="15">
        <f>[1]Data!C192</f>
        <v>-5.2935112321216594E-3</v>
      </c>
      <c r="D189" s="16">
        <f>[1]Data!F192</f>
        <v>-2.7289331721891623E-2</v>
      </c>
      <c r="E189" s="17">
        <f>[1]Data!G192</f>
        <v>2.3406021679418101E-2</v>
      </c>
      <c r="F189" s="16">
        <f>[1]Data!H192</f>
        <v>4.1509370241881328E-3</v>
      </c>
      <c r="G189" s="17">
        <f>[1]Data!I192</f>
        <v>-4.2362346869143676E-3</v>
      </c>
      <c r="H189" s="18">
        <f t="shared" si="27"/>
        <v>1</v>
      </c>
      <c r="I189" s="19">
        <f t="shared" si="36"/>
        <v>1</v>
      </c>
      <c r="J189" s="13">
        <f t="shared" si="28"/>
        <v>-2.7289331721891623E-2</v>
      </c>
      <c r="K189" s="13">
        <f t="shared" si="29"/>
        <v>0</v>
      </c>
      <c r="L189" s="13">
        <f t="shared" si="30"/>
        <v>-2.3406021679418101E-2</v>
      </c>
      <c r="M189" s="13">
        <f t="shared" si="31"/>
        <v>0</v>
      </c>
      <c r="N189" s="13">
        <f t="shared" si="32"/>
        <v>4.1509370241881328E-3</v>
      </c>
      <c r="O189" s="13">
        <f t="shared" si="33"/>
        <v>0</v>
      </c>
      <c r="P189" s="13">
        <f t="shared" si="34"/>
        <v>4.2362346869143676E-3</v>
      </c>
      <c r="Q189" s="13">
        <f t="shared" si="35"/>
        <v>0</v>
      </c>
      <c r="R189" s="13">
        <f t="shared" si="38"/>
        <v>0.58156934965031593</v>
      </c>
      <c r="S189" s="13">
        <f t="shared" si="38"/>
        <v>0.24855599554843535</v>
      </c>
      <c r="T189" s="13">
        <f t="shared" si="38"/>
        <v>-0.14411362423935023</v>
      </c>
      <c r="U189" s="13">
        <f t="shared" si="38"/>
        <v>0.62633105175823711</v>
      </c>
      <c r="V189" s="13">
        <f t="shared" si="38"/>
        <v>0.49556316054114452</v>
      </c>
      <c r="W189" s="13">
        <f t="shared" si="26"/>
        <v>0.15451477363990296</v>
      </c>
      <c r="X189" s="13">
        <f t="shared" si="26"/>
        <v>0.64148712959212206</v>
      </c>
      <c r="Y189" s="13">
        <f t="shared" si="26"/>
        <v>0.10957238257436995</v>
      </c>
    </row>
    <row r="190" spans="1:25" x14ac:dyDescent="0.25">
      <c r="A190" s="14">
        <f>[1]Data!A193</f>
        <v>43191</v>
      </c>
      <c r="B190" s="15">
        <f>[1]Data!B193</f>
        <v>5.155135816983761E-3</v>
      </c>
      <c r="C190" s="15">
        <f>[1]Data!C193</f>
        <v>3.9553379733160809E-2</v>
      </c>
      <c r="D190" s="16">
        <f>[1]Data!F193</f>
        <v>-7.907851804735291E-3</v>
      </c>
      <c r="E190" s="17">
        <f>[1]Data!G193</f>
        <v>5.3875995769281076E-3</v>
      </c>
      <c r="F190" s="16">
        <f>[1]Data!H193</f>
        <v>-1.3120120457373973E-2</v>
      </c>
      <c r="G190" s="17">
        <f>[1]Data!I193</f>
        <v>-4.4493660091164625E-3</v>
      </c>
      <c r="H190" s="18">
        <f t="shared" si="27"/>
        <v>-1</v>
      </c>
      <c r="I190" s="19">
        <f t="shared" si="36"/>
        <v>-1</v>
      </c>
      <c r="J190" s="13">
        <f t="shared" si="28"/>
        <v>0</v>
      </c>
      <c r="K190" s="13">
        <f t="shared" si="29"/>
        <v>7.907851804735291E-3</v>
      </c>
      <c r="L190" s="13">
        <f t="shared" si="30"/>
        <v>0</v>
      </c>
      <c r="M190" s="13">
        <f t="shared" si="31"/>
        <v>5.3875995769281076E-3</v>
      </c>
      <c r="N190" s="13">
        <f t="shared" si="32"/>
        <v>0</v>
      </c>
      <c r="O190" s="13">
        <f t="shared" si="33"/>
        <v>1.3120120457373973E-2</v>
      </c>
      <c r="P190" s="13">
        <f t="shared" si="34"/>
        <v>0</v>
      </c>
      <c r="Q190" s="13">
        <f t="shared" si="35"/>
        <v>-4.4493660091164625E-3</v>
      </c>
      <c r="R190" s="13">
        <f t="shared" si="38"/>
        <v>0.58156934965031593</v>
      </c>
      <c r="S190" s="13">
        <f t="shared" si="38"/>
        <v>0.25646384735317063</v>
      </c>
      <c r="T190" s="13">
        <f t="shared" si="38"/>
        <v>-0.14411362423935023</v>
      </c>
      <c r="U190" s="13">
        <f t="shared" si="38"/>
        <v>0.63171865133516525</v>
      </c>
      <c r="V190" s="13">
        <f t="shared" si="38"/>
        <v>0.49556316054114452</v>
      </c>
      <c r="W190" s="13">
        <f t="shared" si="26"/>
        <v>0.16763489409727694</v>
      </c>
      <c r="X190" s="13">
        <f t="shared" si="26"/>
        <v>0.64148712959212206</v>
      </c>
      <c r="Y190" s="13">
        <f t="shared" si="26"/>
        <v>0.10512301656525348</v>
      </c>
    </row>
    <row r="191" spans="1:25" x14ac:dyDescent="0.25">
      <c r="A191" s="14">
        <f>[1]Data!A194</f>
        <v>43221</v>
      </c>
      <c r="B191" s="15">
        <f>[1]Data!B194</f>
        <v>2.4018339830640102E-2</v>
      </c>
      <c r="C191" s="15">
        <f>[1]Data!C194</f>
        <v>4.622878211369133E-2</v>
      </c>
      <c r="D191" s="16">
        <f>[1]Data!F194</f>
        <v>-8.9288138674606353E-3</v>
      </c>
      <c r="E191" s="17">
        <f>[1]Data!G194</f>
        <v>3.3127622359462053E-2</v>
      </c>
      <c r="F191" s="16">
        <f>[1]Data!H194</f>
        <v>9.0696994359868478E-3</v>
      </c>
      <c r="G191" s="17">
        <f>[1]Data!I194</f>
        <v>-3.1973625113052581E-4</v>
      </c>
      <c r="H191" s="18">
        <f t="shared" si="27"/>
        <v>-1</v>
      </c>
      <c r="I191" s="19">
        <f t="shared" si="36"/>
        <v>1</v>
      </c>
      <c r="J191" s="13">
        <f t="shared" si="28"/>
        <v>0</v>
      </c>
      <c r="K191" s="13">
        <f t="shared" si="29"/>
        <v>8.9288138674606353E-3</v>
      </c>
      <c r="L191" s="13">
        <f t="shared" si="30"/>
        <v>0</v>
      </c>
      <c r="M191" s="13">
        <f t="shared" si="31"/>
        <v>3.3127622359462053E-2</v>
      </c>
      <c r="N191" s="13">
        <f t="shared" si="32"/>
        <v>9.0696994359868478E-3</v>
      </c>
      <c r="O191" s="13">
        <f t="shared" si="33"/>
        <v>0</v>
      </c>
      <c r="P191" s="13">
        <f t="shared" si="34"/>
        <v>3.1973625113052581E-4</v>
      </c>
      <c r="Q191" s="13">
        <f t="shared" si="35"/>
        <v>0</v>
      </c>
      <c r="R191" s="13">
        <f t="shared" si="38"/>
        <v>0.58156934965031593</v>
      </c>
      <c r="S191" s="13">
        <f t="shared" si="38"/>
        <v>0.26539266122063127</v>
      </c>
      <c r="T191" s="13">
        <f t="shared" si="38"/>
        <v>-0.14411362423935023</v>
      </c>
      <c r="U191" s="13">
        <f t="shared" si="38"/>
        <v>0.66484627369462734</v>
      </c>
      <c r="V191" s="13">
        <f t="shared" si="38"/>
        <v>0.50463285997713136</v>
      </c>
      <c r="W191" s="13">
        <f t="shared" si="38"/>
        <v>0.16763489409727694</v>
      </c>
      <c r="X191" s="13">
        <f t="shared" si="38"/>
        <v>0.64180686584325264</v>
      </c>
      <c r="Y191" s="13">
        <f t="shared" si="38"/>
        <v>0.10512301656525348</v>
      </c>
    </row>
    <row r="192" spans="1:25" x14ac:dyDescent="0.25">
      <c r="A192" s="14">
        <f>[1]Data!A195</f>
        <v>43252</v>
      </c>
      <c r="B192" s="15">
        <f>[1]Data!B195</f>
        <v>5.7342135862078081E-3</v>
      </c>
      <c r="C192" s="15">
        <f>[1]Data!C195</f>
        <v>1.9890913306014949E-2</v>
      </c>
      <c r="D192" s="16">
        <f>[1]Data!F195</f>
        <v>-1.0852293153218664E-2</v>
      </c>
      <c r="E192" s="17">
        <f>[1]Data!G195</f>
        <v>9.7416301856381483E-3</v>
      </c>
      <c r="F192" s="16">
        <f>[1]Data!H195</f>
        <v>2.3455087543905965E-2</v>
      </c>
      <c r="G192" s="17">
        <f>[1]Data!I195</f>
        <v>-8.7115890843291292E-3</v>
      </c>
      <c r="H192" s="18">
        <f t="shared" si="27"/>
        <v>-1</v>
      </c>
      <c r="I192" s="19">
        <f t="shared" si="36"/>
        <v>1</v>
      </c>
      <c r="J192" s="13">
        <f t="shared" si="28"/>
        <v>0</v>
      </c>
      <c r="K192" s="13">
        <f t="shared" si="29"/>
        <v>1.0852293153218664E-2</v>
      </c>
      <c r="L192" s="13">
        <f t="shared" si="30"/>
        <v>0</v>
      </c>
      <c r="M192" s="13">
        <f t="shared" si="31"/>
        <v>9.7416301856381483E-3</v>
      </c>
      <c r="N192" s="13">
        <f t="shared" si="32"/>
        <v>2.3455087543905965E-2</v>
      </c>
      <c r="O192" s="13">
        <f t="shared" si="33"/>
        <v>0</v>
      </c>
      <c r="P192" s="13">
        <f t="shared" si="34"/>
        <v>8.7115890843291292E-3</v>
      </c>
      <c r="Q192" s="13">
        <f t="shared" si="35"/>
        <v>0</v>
      </c>
      <c r="R192" s="13">
        <f t="shared" si="38"/>
        <v>0.58156934965031593</v>
      </c>
      <c r="S192" s="13">
        <f t="shared" si="38"/>
        <v>0.27624495437384994</v>
      </c>
      <c r="T192" s="13">
        <f t="shared" si="38"/>
        <v>-0.14411362423935023</v>
      </c>
      <c r="U192" s="13">
        <f t="shared" si="38"/>
        <v>0.67458790388026546</v>
      </c>
      <c r="V192" s="13">
        <f t="shared" si="38"/>
        <v>0.52808794752103738</v>
      </c>
      <c r="W192" s="13">
        <f t="shared" si="38"/>
        <v>0.16763489409727694</v>
      </c>
      <c r="X192" s="13">
        <f t="shared" si="38"/>
        <v>0.65051845492758176</v>
      </c>
      <c r="Y192" s="13">
        <f t="shared" si="38"/>
        <v>0.10512301656525348</v>
      </c>
    </row>
    <row r="193" spans="1:25" x14ac:dyDescent="0.25">
      <c r="A193" s="14">
        <f>[1]Data!A196</f>
        <v>43282</v>
      </c>
      <c r="B193" s="15">
        <f>[1]Data!B196</f>
        <v>3.6376741452448347E-2</v>
      </c>
      <c r="C193" s="15">
        <f>[1]Data!C196</f>
        <v>5.0424260444974993E-2</v>
      </c>
      <c r="D193" s="16">
        <f>[1]Data!F196</f>
        <v>4.0243726201898361E-3</v>
      </c>
      <c r="E193" s="17">
        <f>[1]Data!G196</f>
        <v>3.5988725289574108E-3</v>
      </c>
      <c r="F193" s="16">
        <f>[1]Data!H196</f>
        <v>2.4109842838069995E-2</v>
      </c>
      <c r="G193" s="17">
        <f>[1]Data!I196</f>
        <v>4.2316357374993256E-3</v>
      </c>
      <c r="H193" s="18">
        <f t="shared" si="27"/>
        <v>-1</v>
      </c>
      <c r="I193" s="19">
        <f t="shared" si="36"/>
        <v>1</v>
      </c>
      <c r="J193" s="13">
        <f t="shared" si="28"/>
        <v>0</v>
      </c>
      <c r="K193" s="13">
        <f t="shared" si="29"/>
        <v>-4.0243726201898361E-3</v>
      </c>
      <c r="L193" s="13">
        <f t="shared" si="30"/>
        <v>0</v>
      </c>
      <c r="M193" s="13">
        <f t="shared" si="31"/>
        <v>3.5988725289574108E-3</v>
      </c>
      <c r="N193" s="13">
        <f t="shared" si="32"/>
        <v>2.4109842838069995E-2</v>
      </c>
      <c r="O193" s="13">
        <f t="shared" si="33"/>
        <v>0</v>
      </c>
      <c r="P193" s="13">
        <f t="shared" si="34"/>
        <v>-4.2316357374993256E-3</v>
      </c>
      <c r="Q193" s="13">
        <f t="shared" si="35"/>
        <v>0</v>
      </c>
      <c r="R193" s="13">
        <f t="shared" si="38"/>
        <v>0.58156934965031593</v>
      </c>
      <c r="S193" s="13">
        <f t="shared" si="38"/>
        <v>0.2722205817536601</v>
      </c>
      <c r="T193" s="13">
        <f t="shared" si="38"/>
        <v>-0.14411362423935023</v>
      </c>
      <c r="U193" s="13">
        <f t="shared" si="38"/>
        <v>0.67818677640922287</v>
      </c>
      <c r="V193" s="13">
        <f t="shared" si="38"/>
        <v>0.55219779035910732</v>
      </c>
      <c r="W193" s="13">
        <f t="shared" si="38"/>
        <v>0.16763489409727694</v>
      </c>
      <c r="X193" s="13">
        <f t="shared" si="38"/>
        <v>0.64628681919008246</v>
      </c>
      <c r="Y193" s="13">
        <f t="shared" si="38"/>
        <v>0.10512301656525348</v>
      </c>
    </row>
    <row r="194" spans="1:25" x14ac:dyDescent="0.25">
      <c r="A194" s="14">
        <f>[1]Data!A197</f>
        <v>43313</v>
      </c>
      <c r="B194" s="15">
        <f>[1]Data!B197</f>
        <v>3.1421186958409397E-2</v>
      </c>
      <c r="C194" s="15">
        <f>[1]Data!C197</f>
        <v>1.4811586670283932E-3</v>
      </c>
      <c r="D194" s="16">
        <f>[1]Data!F197</f>
        <v>1.3769505626484929E-2</v>
      </c>
      <c r="E194" s="17">
        <f>[1]Data!G197</f>
        <v>-3.1356211291794739E-3</v>
      </c>
      <c r="F194" s="16">
        <f>[1]Data!H197</f>
        <v>1.499390366819545E-2</v>
      </c>
      <c r="G194" s="17">
        <f>[1]Data!I197</f>
        <v>-6.4092701862888662E-3</v>
      </c>
      <c r="H194" s="18">
        <f t="shared" ref="H194:H257" si="39">IF(C194&gt;0,-1,1)</f>
        <v>-1</v>
      </c>
      <c r="I194" s="19">
        <f t="shared" si="36"/>
        <v>1</v>
      </c>
      <c r="J194" s="13">
        <f t="shared" ref="J194:J257" si="40">IF(H194=1,D194,0)</f>
        <v>0</v>
      </c>
      <c r="K194" s="13">
        <f t="shared" ref="K194:K257" si="41">IF(H194=-1,-D194,0)</f>
        <v>-1.3769505626484929E-2</v>
      </c>
      <c r="L194" s="13">
        <f t="shared" ref="L194:L257" si="42">IF(H194=1,-E194,0)</f>
        <v>0</v>
      </c>
      <c r="M194" s="13">
        <f t="shared" ref="M194:M257" si="43">IF(H194=-1,E194,0)</f>
        <v>-3.1356211291794739E-3</v>
      </c>
      <c r="N194" s="13">
        <f t="shared" ref="N194:N257" si="44">IF(I194=1,F194,0)</f>
        <v>1.499390366819545E-2</v>
      </c>
      <c r="O194" s="13">
        <f t="shared" ref="O194:O257" si="45">IF(I194=-1,-F194,0)</f>
        <v>0</v>
      </c>
      <c r="P194" s="13">
        <f t="shared" ref="P194:P257" si="46">IF(I194=1,-G194,0)</f>
        <v>6.4092701862888662E-3</v>
      </c>
      <c r="Q194" s="13">
        <f t="shared" ref="Q194:Q257" si="47">IF(I194=-1,G194,0)</f>
        <v>0</v>
      </c>
      <c r="R194" s="13">
        <f t="shared" si="38"/>
        <v>0.58156934965031593</v>
      </c>
      <c r="S194" s="13">
        <f t="shared" si="38"/>
        <v>0.25845107612717516</v>
      </c>
      <c r="T194" s="13">
        <f t="shared" si="38"/>
        <v>-0.14411362423935023</v>
      </c>
      <c r="U194" s="13">
        <f t="shared" si="38"/>
        <v>0.67505115528004345</v>
      </c>
      <c r="V194" s="13">
        <f t="shared" si="38"/>
        <v>0.56719169402730274</v>
      </c>
      <c r="W194" s="13">
        <f t="shared" si="38"/>
        <v>0.16763489409727694</v>
      </c>
      <c r="X194" s="13">
        <f t="shared" si="38"/>
        <v>0.65269608937637136</v>
      </c>
      <c r="Y194" s="13">
        <f t="shared" si="38"/>
        <v>0.10512301656525348</v>
      </c>
    </row>
    <row r="195" spans="1:25" x14ac:dyDescent="0.25">
      <c r="A195" s="14">
        <f>[1]Data!A198</f>
        <v>43344</v>
      </c>
      <c r="B195" s="15">
        <f>[1]Data!B198</f>
        <v>5.927802348534324E-3</v>
      </c>
      <c r="C195" s="15">
        <f>[1]Data!C198</f>
        <v>4.003650712396669E-2</v>
      </c>
      <c r="D195" s="16">
        <f>[1]Data!F198</f>
        <v>-1.0316341066677899E-3</v>
      </c>
      <c r="E195" s="17">
        <f>[1]Data!G198</f>
        <v>4.0162620680217831E-3</v>
      </c>
      <c r="F195" s="16">
        <f>[1]Data!H198</f>
        <v>-7.6417809972011853E-3</v>
      </c>
      <c r="G195" s="17">
        <f>[1]Data!I198</f>
        <v>-9.638032562270242E-3</v>
      </c>
      <c r="H195" s="18">
        <f t="shared" si="39"/>
        <v>-1</v>
      </c>
      <c r="I195" s="19">
        <f t="shared" ref="I195:I258" si="48">IF(C194&gt;0,1,-1)</f>
        <v>1</v>
      </c>
      <c r="J195" s="13">
        <f t="shared" si="40"/>
        <v>0</v>
      </c>
      <c r="K195" s="13">
        <f t="shared" si="41"/>
        <v>1.0316341066677899E-3</v>
      </c>
      <c r="L195" s="13">
        <f t="shared" si="42"/>
        <v>0</v>
      </c>
      <c r="M195" s="13">
        <f t="shared" si="43"/>
        <v>4.0162620680217831E-3</v>
      </c>
      <c r="N195" s="13">
        <f t="shared" si="44"/>
        <v>-7.6417809972011853E-3</v>
      </c>
      <c r="O195" s="13">
        <f t="shared" si="45"/>
        <v>0</v>
      </c>
      <c r="P195" s="13">
        <f t="shared" si="46"/>
        <v>9.638032562270242E-3</v>
      </c>
      <c r="Q195" s="13">
        <f t="shared" si="47"/>
        <v>0</v>
      </c>
      <c r="R195" s="13">
        <f t="shared" si="38"/>
        <v>0.58156934965031593</v>
      </c>
      <c r="S195" s="13">
        <f t="shared" si="38"/>
        <v>0.25948271023384295</v>
      </c>
      <c r="T195" s="13">
        <f t="shared" si="38"/>
        <v>-0.14411362423935023</v>
      </c>
      <c r="U195" s="13">
        <f t="shared" si="38"/>
        <v>0.67906741734806519</v>
      </c>
      <c r="V195" s="13">
        <f t="shared" si="38"/>
        <v>0.5595499130301016</v>
      </c>
      <c r="W195" s="13">
        <f t="shared" si="38"/>
        <v>0.16763489409727694</v>
      </c>
      <c r="X195" s="13">
        <f t="shared" si="38"/>
        <v>0.66233412193864161</v>
      </c>
      <c r="Y195" s="13">
        <f t="shared" si="38"/>
        <v>0.10512301656525348</v>
      </c>
    </row>
    <row r="196" spans="1:25" x14ac:dyDescent="0.25">
      <c r="A196" s="14">
        <f>[1]Data!A199</f>
        <v>43374</v>
      </c>
      <c r="B196" s="15">
        <f>[1]Data!B199</f>
        <v>-7.1608176933506767E-2</v>
      </c>
      <c r="C196" s="15">
        <f>[1]Data!C199</f>
        <v>-2.2454685946034773E-2</v>
      </c>
      <c r="D196" s="16">
        <f>[1]Data!F199</f>
        <v>-2.0553717379581858E-2</v>
      </c>
      <c r="E196" s="17">
        <f>[1]Data!G199</f>
        <v>-1.143701118667192E-3</v>
      </c>
      <c r="F196" s="16">
        <f>[1]Data!H199</f>
        <v>-1.0025517699890484E-2</v>
      </c>
      <c r="G196" s="17">
        <f>[1]Data!I199</f>
        <v>-3.4509257523105241E-2</v>
      </c>
      <c r="H196" s="18">
        <f t="shared" si="39"/>
        <v>1</v>
      </c>
      <c r="I196" s="19">
        <f t="shared" si="48"/>
        <v>1</v>
      </c>
      <c r="J196" s="13">
        <f t="shared" si="40"/>
        <v>-2.0553717379581858E-2</v>
      </c>
      <c r="K196" s="13">
        <f t="shared" si="41"/>
        <v>0</v>
      </c>
      <c r="L196" s="13">
        <f t="shared" si="42"/>
        <v>1.143701118667192E-3</v>
      </c>
      <c r="M196" s="13">
        <f t="shared" si="43"/>
        <v>0</v>
      </c>
      <c r="N196" s="13">
        <f t="shared" si="44"/>
        <v>-1.0025517699890484E-2</v>
      </c>
      <c r="O196" s="13">
        <f t="shared" si="45"/>
        <v>0</v>
      </c>
      <c r="P196" s="13">
        <f t="shared" si="46"/>
        <v>3.4509257523105241E-2</v>
      </c>
      <c r="Q196" s="13">
        <f t="shared" si="47"/>
        <v>0</v>
      </c>
      <c r="R196" s="13">
        <f t="shared" si="38"/>
        <v>0.56101563227073403</v>
      </c>
      <c r="S196" s="13">
        <f t="shared" si="38"/>
        <v>0.25948271023384295</v>
      </c>
      <c r="T196" s="13">
        <f t="shared" si="38"/>
        <v>-0.14296992312068305</v>
      </c>
      <c r="U196" s="13">
        <f t="shared" si="38"/>
        <v>0.67906741734806519</v>
      </c>
      <c r="V196" s="13">
        <f t="shared" si="38"/>
        <v>0.54952439533021114</v>
      </c>
      <c r="W196" s="13">
        <f t="shared" si="38"/>
        <v>0.16763489409727694</v>
      </c>
      <c r="X196" s="13">
        <f t="shared" si="38"/>
        <v>0.69684337946174679</v>
      </c>
      <c r="Y196" s="13">
        <f t="shared" si="38"/>
        <v>0.10512301656525348</v>
      </c>
    </row>
    <row r="197" spans="1:25" x14ac:dyDescent="0.25">
      <c r="A197" s="14">
        <f>[1]Data!A200</f>
        <v>43405</v>
      </c>
      <c r="B197" s="15">
        <f>[1]Data!B200</f>
        <v>1.8379691391875903E-2</v>
      </c>
      <c r="C197" s="15">
        <f>[1]Data!C200</f>
        <v>-3.5969844062635793E-2</v>
      </c>
      <c r="D197" s="16">
        <f>[1]Data!F200</f>
        <v>3.9326840232530066E-2</v>
      </c>
      <c r="E197" s="17">
        <f>[1]Data!G200</f>
        <v>2.6912111481402364E-3</v>
      </c>
      <c r="F197" s="16">
        <f>[1]Data!H200</f>
        <v>3.7637580457190539E-2</v>
      </c>
      <c r="G197" s="17">
        <f>[1]Data!I200</f>
        <v>-6.9525341384052705E-3</v>
      </c>
      <c r="H197" s="18">
        <f t="shared" si="39"/>
        <v>1</v>
      </c>
      <c r="I197" s="19">
        <f t="shared" si="48"/>
        <v>-1</v>
      </c>
      <c r="J197" s="13">
        <f t="shared" si="40"/>
        <v>3.9326840232530066E-2</v>
      </c>
      <c r="K197" s="13">
        <f t="shared" si="41"/>
        <v>0</v>
      </c>
      <c r="L197" s="13">
        <f t="shared" si="42"/>
        <v>-2.6912111481402364E-3</v>
      </c>
      <c r="M197" s="13">
        <f t="shared" si="43"/>
        <v>0</v>
      </c>
      <c r="N197" s="13">
        <f t="shared" si="44"/>
        <v>0</v>
      </c>
      <c r="O197" s="13">
        <f t="shared" si="45"/>
        <v>-3.7637580457190539E-2</v>
      </c>
      <c r="P197" s="13">
        <f t="shared" si="46"/>
        <v>0</v>
      </c>
      <c r="Q197" s="13">
        <f t="shared" si="47"/>
        <v>-6.9525341384052705E-3</v>
      </c>
      <c r="R197" s="13">
        <f t="shared" si="38"/>
        <v>0.60034247250326411</v>
      </c>
      <c r="S197" s="13">
        <f t="shared" si="38"/>
        <v>0.25948271023384295</v>
      </c>
      <c r="T197" s="13">
        <f t="shared" si="38"/>
        <v>-0.14566113426882329</v>
      </c>
      <c r="U197" s="13">
        <f t="shared" si="38"/>
        <v>0.67906741734806519</v>
      </c>
      <c r="V197" s="13">
        <f t="shared" si="38"/>
        <v>0.54952439533021114</v>
      </c>
      <c r="W197" s="13">
        <f t="shared" si="38"/>
        <v>0.1299973136400864</v>
      </c>
      <c r="X197" s="13">
        <f t="shared" si="38"/>
        <v>0.69684337946174679</v>
      </c>
      <c r="Y197" s="13">
        <f t="shared" si="38"/>
        <v>9.8170482426848213E-2</v>
      </c>
    </row>
    <row r="198" spans="1:25" x14ac:dyDescent="0.25">
      <c r="A198" s="14">
        <f>[1]Data!A201</f>
        <v>43435</v>
      </c>
      <c r="B198" s="15">
        <f>[1]Data!B201</f>
        <v>-9.2168749331661873E-2</v>
      </c>
      <c r="C198" s="15">
        <f>[1]Data!C201</f>
        <v>-0.21185768769194702</v>
      </c>
      <c r="D198" s="16">
        <f>[1]Data!F201</f>
        <v>6.4367590049125331E-2</v>
      </c>
      <c r="E198" s="17">
        <f>[1]Data!G201</f>
        <v>1.5648958771348532E-3</v>
      </c>
      <c r="F198" s="16">
        <f>[1]Data!H201</f>
        <v>-4.2918108101582725E-2</v>
      </c>
      <c r="G198" s="17">
        <f>[1]Data!I201</f>
        <v>3.2803510581793024E-2</v>
      </c>
      <c r="H198" s="18">
        <f t="shared" si="39"/>
        <v>1</v>
      </c>
      <c r="I198" s="19">
        <f t="shared" si="48"/>
        <v>-1</v>
      </c>
      <c r="J198" s="13">
        <f t="shared" si="40"/>
        <v>6.4367590049125331E-2</v>
      </c>
      <c r="K198" s="13">
        <f t="shared" si="41"/>
        <v>0</v>
      </c>
      <c r="L198" s="13">
        <f t="shared" si="42"/>
        <v>-1.5648958771348532E-3</v>
      </c>
      <c r="M198" s="13">
        <f t="shared" si="43"/>
        <v>0</v>
      </c>
      <c r="N198" s="13">
        <f t="shared" si="44"/>
        <v>0</v>
      </c>
      <c r="O198" s="13">
        <f t="shared" si="45"/>
        <v>4.2918108101582725E-2</v>
      </c>
      <c r="P198" s="13">
        <f t="shared" si="46"/>
        <v>0</v>
      </c>
      <c r="Q198" s="13">
        <f t="shared" si="47"/>
        <v>3.2803510581793024E-2</v>
      </c>
      <c r="R198" s="13">
        <f t="shared" si="38"/>
        <v>0.6647100625523894</v>
      </c>
      <c r="S198" s="13">
        <f t="shared" si="38"/>
        <v>0.25948271023384295</v>
      </c>
      <c r="T198" s="13">
        <f t="shared" si="38"/>
        <v>-0.14722603014595814</v>
      </c>
      <c r="U198" s="13">
        <f t="shared" si="38"/>
        <v>0.67906741734806519</v>
      </c>
      <c r="V198" s="13">
        <f t="shared" si="38"/>
        <v>0.54952439533021114</v>
      </c>
      <c r="W198" s="13">
        <f t="shared" si="38"/>
        <v>0.17291542174166913</v>
      </c>
      <c r="X198" s="13">
        <f t="shared" si="38"/>
        <v>0.69684337946174679</v>
      </c>
      <c r="Y198" s="13">
        <f t="shared" si="38"/>
        <v>0.13097399300864124</v>
      </c>
    </row>
    <row r="199" spans="1:25" x14ac:dyDescent="0.25">
      <c r="A199" s="14">
        <f>[1]Data!A202</f>
        <v>43466</v>
      </c>
      <c r="B199" s="15">
        <f>[1]Data!B202</f>
        <v>7.7021910778385203E-2</v>
      </c>
      <c r="C199" s="15">
        <f>[1]Data!C202</f>
        <v>6.2412897833737845E-2</v>
      </c>
      <c r="D199" s="16">
        <f>[1]Data!F202</f>
        <v>2.4450809983496139E-2</v>
      </c>
      <c r="E199" s="17">
        <f>[1]Data!G202</f>
        <v>1.3620232353698167E-2</v>
      </c>
      <c r="F199" s="16">
        <f>[1]Data!H202</f>
        <v>2.7040014402131642E-2</v>
      </c>
      <c r="G199" s="17">
        <f>[1]Data!I202</f>
        <v>-6.588298738461275E-4</v>
      </c>
      <c r="H199" s="18">
        <f t="shared" si="39"/>
        <v>-1</v>
      </c>
      <c r="I199" s="19">
        <f t="shared" si="48"/>
        <v>-1</v>
      </c>
      <c r="J199" s="13">
        <f t="shared" si="40"/>
        <v>0</v>
      </c>
      <c r="K199" s="13">
        <f t="shared" si="41"/>
        <v>-2.4450809983496139E-2</v>
      </c>
      <c r="L199" s="13">
        <f t="shared" si="42"/>
        <v>0</v>
      </c>
      <c r="M199" s="13">
        <f t="shared" si="43"/>
        <v>1.3620232353698167E-2</v>
      </c>
      <c r="N199" s="13">
        <f t="shared" si="44"/>
        <v>0</v>
      </c>
      <c r="O199" s="13">
        <f t="shared" si="45"/>
        <v>-2.7040014402131642E-2</v>
      </c>
      <c r="P199" s="13">
        <f t="shared" si="46"/>
        <v>0</v>
      </c>
      <c r="Q199" s="13">
        <f t="shared" si="47"/>
        <v>-6.588298738461275E-4</v>
      </c>
      <c r="R199" s="13">
        <f t="shared" si="38"/>
        <v>0.6647100625523894</v>
      </c>
      <c r="S199" s="13">
        <f t="shared" si="38"/>
        <v>0.23503190025034681</v>
      </c>
      <c r="T199" s="13">
        <f t="shared" si="38"/>
        <v>-0.14722603014595814</v>
      </c>
      <c r="U199" s="13">
        <f t="shared" si="38"/>
        <v>0.69268764970176333</v>
      </c>
      <c r="V199" s="13">
        <f t="shared" si="38"/>
        <v>0.54952439533021114</v>
      </c>
      <c r="W199" s="13">
        <f t="shared" si="38"/>
        <v>0.14587540733953749</v>
      </c>
      <c r="X199" s="13">
        <f t="shared" si="38"/>
        <v>0.69684337946174679</v>
      </c>
      <c r="Y199" s="13">
        <f t="shared" si="38"/>
        <v>0.1303151631347951</v>
      </c>
    </row>
    <row r="200" spans="1:25" x14ac:dyDescent="0.25">
      <c r="A200" s="14">
        <f>[1]Data!A203</f>
        <v>43497</v>
      </c>
      <c r="B200" s="15">
        <f>[1]Data!B203</f>
        <v>3.1901454536871036E-2</v>
      </c>
      <c r="C200" s="15">
        <f>[1]Data!C203</f>
        <v>3.4578791536887671E-2</v>
      </c>
      <c r="D200" s="16">
        <f>[1]Data!F203</f>
        <v>-1.6496818060871888E-3</v>
      </c>
      <c r="E200" s="17">
        <f>[1]Data!G203</f>
        <v>-1.2831582499350359E-2</v>
      </c>
      <c r="F200" s="16">
        <f>[1]Data!H203</f>
        <v>7.7779418502615071E-4</v>
      </c>
      <c r="G200" s="17">
        <f>[1]Data!I203</f>
        <v>1.1087989592116305E-3</v>
      </c>
      <c r="H200" s="18">
        <f t="shared" si="39"/>
        <v>-1</v>
      </c>
      <c r="I200" s="19">
        <f t="shared" si="48"/>
        <v>1</v>
      </c>
      <c r="J200" s="13">
        <f t="shared" si="40"/>
        <v>0</v>
      </c>
      <c r="K200" s="13">
        <f t="shared" si="41"/>
        <v>1.6496818060871888E-3</v>
      </c>
      <c r="L200" s="13">
        <f t="shared" si="42"/>
        <v>0</v>
      </c>
      <c r="M200" s="13">
        <f t="shared" si="43"/>
        <v>-1.2831582499350359E-2</v>
      </c>
      <c r="N200" s="13">
        <f t="shared" si="44"/>
        <v>7.7779418502615071E-4</v>
      </c>
      <c r="O200" s="13">
        <f t="shared" si="45"/>
        <v>0</v>
      </c>
      <c r="P200" s="13">
        <f t="shared" si="46"/>
        <v>-1.1087989592116305E-3</v>
      </c>
      <c r="Q200" s="13">
        <f t="shared" si="47"/>
        <v>0</v>
      </c>
      <c r="R200" s="13">
        <f t="shared" si="38"/>
        <v>0.6647100625523894</v>
      </c>
      <c r="S200" s="13">
        <f t="shared" si="38"/>
        <v>0.236681582056434</v>
      </c>
      <c r="T200" s="13">
        <f t="shared" si="38"/>
        <v>-0.14722603014595814</v>
      </c>
      <c r="U200" s="13">
        <f t="shared" si="38"/>
        <v>0.67985606720241298</v>
      </c>
      <c r="V200" s="13">
        <f t="shared" si="38"/>
        <v>0.55030218951523724</v>
      </c>
      <c r="W200" s="13">
        <f t="shared" si="38"/>
        <v>0.14587540733953749</v>
      </c>
      <c r="X200" s="13">
        <f t="shared" si="38"/>
        <v>0.69573458050253512</v>
      </c>
      <c r="Y200" s="13">
        <f t="shared" si="38"/>
        <v>0.1303151631347951</v>
      </c>
    </row>
    <row r="201" spans="1:25" x14ac:dyDescent="0.25">
      <c r="A201" s="14">
        <f>[1]Data!A204</f>
        <v>43525</v>
      </c>
      <c r="B201" s="15">
        <f>[1]Data!B204</f>
        <v>1.793895013713236E-2</v>
      </c>
      <c r="C201" s="15">
        <f>[1]Data!C204</f>
        <v>-3.5669839480469839E-4</v>
      </c>
      <c r="D201" s="16">
        <f>[1]Data!F204</f>
        <v>-7.9335959042815991E-3</v>
      </c>
      <c r="E201" s="17">
        <f>[1]Data!G204</f>
        <v>2.7990327444829342E-2</v>
      </c>
      <c r="F201" s="16">
        <f>[1]Data!H204</f>
        <v>-1.32564783316515E-2</v>
      </c>
      <c r="G201" s="17">
        <f>[1]Data!I204</f>
        <v>1.0738075946087874E-2</v>
      </c>
      <c r="H201" s="18">
        <f t="shared" si="39"/>
        <v>1</v>
      </c>
      <c r="I201" s="19">
        <f t="shared" si="48"/>
        <v>1</v>
      </c>
      <c r="J201" s="13">
        <f t="shared" si="40"/>
        <v>-7.9335959042815991E-3</v>
      </c>
      <c r="K201" s="13">
        <f t="shared" si="41"/>
        <v>0</v>
      </c>
      <c r="L201" s="13">
        <f t="shared" si="42"/>
        <v>-2.7990327444829342E-2</v>
      </c>
      <c r="M201" s="13">
        <f t="shared" si="43"/>
        <v>0</v>
      </c>
      <c r="N201" s="13">
        <f t="shared" si="44"/>
        <v>-1.32564783316515E-2</v>
      </c>
      <c r="O201" s="13">
        <f t="shared" si="45"/>
        <v>0</v>
      </c>
      <c r="P201" s="13">
        <f t="shared" si="46"/>
        <v>-1.0738075946087874E-2</v>
      </c>
      <c r="Q201" s="13">
        <f t="shared" si="47"/>
        <v>0</v>
      </c>
      <c r="R201" s="13">
        <f t="shared" si="38"/>
        <v>0.65677646664810785</v>
      </c>
      <c r="S201" s="13">
        <f t="shared" si="38"/>
        <v>0.236681582056434</v>
      </c>
      <c r="T201" s="13">
        <f t="shared" si="38"/>
        <v>-0.17521635759078749</v>
      </c>
      <c r="U201" s="13">
        <f t="shared" si="38"/>
        <v>0.67985606720241298</v>
      </c>
      <c r="V201" s="13">
        <f t="shared" si="38"/>
        <v>0.53704571118358579</v>
      </c>
      <c r="W201" s="13">
        <f t="shared" si="38"/>
        <v>0.14587540733953749</v>
      </c>
      <c r="X201" s="13">
        <f t="shared" si="38"/>
        <v>0.68499650455644723</v>
      </c>
      <c r="Y201" s="13">
        <f t="shared" si="38"/>
        <v>0.1303151631347951</v>
      </c>
    </row>
    <row r="202" spans="1:25" x14ac:dyDescent="0.25">
      <c r="A202" s="14">
        <f>[1]Data!A205</f>
        <v>43556</v>
      </c>
      <c r="B202" s="15">
        <f>[1]Data!B205</f>
        <v>4.0039738729214951E-2</v>
      </c>
      <c r="C202" s="15">
        <f>[1]Data!C205</f>
        <v>5.8211696101089103E-2</v>
      </c>
      <c r="D202" s="16">
        <f>[1]Data!F205</f>
        <v>1.2836208250145786E-2</v>
      </c>
      <c r="E202" s="17">
        <f>[1]Data!G205</f>
        <v>1.0896548044421583E-2</v>
      </c>
      <c r="F202" s="16">
        <f>[1]Data!H205</f>
        <v>2.1329952712746219E-2</v>
      </c>
      <c r="G202" s="17">
        <f>[1]Data!I205</f>
        <v>-1.7043418807385507E-2</v>
      </c>
      <c r="H202" s="18">
        <f t="shared" si="39"/>
        <v>-1</v>
      </c>
      <c r="I202" s="19">
        <f t="shared" si="48"/>
        <v>-1</v>
      </c>
      <c r="J202" s="13">
        <f t="shared" si="40"/>
        <v>0</v>
      </c>
      <c r="K202" s="13">
        <f t="shared" si="41"/>
        <v>-1.2836208250145786E-2</v>
      </c>
      <c r="L202" s="13">
        <f t="shared" si="42"/>
        <v>0</v>
      </c>
      <c r="M202" s="13">
        <f t="shared" si="43"/>
        <v>1.0896548044421583E-2</v>
      </c>
      <c r="N202" s="13">
        <f t="shared" si="44"/>
        <v>0</v>
      </c>
      <c r="O202" s="13">
        <f t="shared" si="45"/>
        <v>-2.1329952712746219E-2</v>
      </c>
      <c r="P202" s="13">
        <f t="shared" si="46"/>
        <v>0</v>
      </c>
      <c r="Q202" s="13">
        <f t="shared" si="47"/>
        <v>-1.7043418807385507E-2</v>
      </c>
      <c r="R202" s="13">
        <f t="shared" si="38"/>
        <v>0.65677646664810785</v>
      </c>
      <c r="S202" s="13">
        <f t="shared" si="38"/>
        <v>0.22384537380628822</v>
      </c>
      <c r="T202" s="13">
        <f t="shared" si="38"/>
        <v>-0.17521635759078749</v>
      </c>
      <c r="U202" s="13">
        <f t="shared" si="38"/>
        <v>0.69075261524683462</v>
      </c>
      <c r="V202" s="13">
        <f t="shared" si="38"/>
        <v>0.53704571118358579</v>
      </c>
      <c r="W202" s="13">
        <f t="shared" si="38"/>
        <v>0.12454545462679127</v>
      </c>
      <c r="X202" s="13">
        <f t="shared" si="38"/>
        <v>0.68499650455644723</v>
      </c>
      <c r="Y202" s="13">
        <f t="shared" si="38"/>
        <v>0.11327174432740959</v>
      </c>
    </row>
    <row r="203" spans="1:25" x14ac:dyDescent="0.25">
      <c r="A203" s="14">
        <f>[1]Data!A206</f>
        <v>43586</v>
      </c>
      <c r="B203" s="15">
        <f>[1]Data!B206</f>
        <v>-6.5895104484750014E-2</v>
      </c>
      <c r="C203" s="15">
        <f>[1]Data!C206</f>
        <v>-4.3060739153136685E-2</v>
      </c>
      <c r="D203" s="16">
        <f>[1]Data!F206</f>
        <v>-4.0020836287496545E-2</v>
      </c>
      <c r="E203" s="17">
        <f>[1]Data!G206</f>
        <v>4.8968361084669731E-2</v>
      </c>
      <c r="F203" s="16">
        <f>[1]Data!H206</f>
        <v>-2.0930417113664015E-2</v>
      </c>
      <c r="G203" s="17">
        <f>[1]Data!I206</f>
        <v>1.2555292621467427E-2</v>
      </c>
      <c r="H203" s="18">
        <f t="shared" si="39"/>
        <v>1</v>
      </c>
      <c r="I203" s="19">
        <f t="shared" si="48"/>
        <v>1</v>
      </c>
      <c r="J203" s="13">
        <f t="shared" si="40"/>
        <v>-4.0020836287496545E-2</v>
      </c>
      <c r="K203" s="13">
        <f t="shared" si="41"/>
        <v>0</v>
      </c>
      <c r="L203" s="13">
        <f t="shared" si="42"/>
        <v>-4.8968361084669731E-2</v>
      </c>
      <c r="M203" s="13">
        <f t="shared" si="43"/>
        <v>0</v>
      </c>
      <c r="N203" s="13">
        <f t="shared" si="44"/>
        <v>-2.0930417113664015E-2</v>
      </c>
      <c r="O203" s="13">
        <f t="shared" si="45"/>
        <v>0</v>
      </c>
      <c r="P203" s="13">
        <f t="shared" si="46"/>
        <v>-1.2555292621467427E-2</v>
      </c>
      <c r="Q203" s="13">
        <f t="shared" si="47"/>
        <v>0</v>
      </c>
      <c r="R203" s="13">
        <f t="shared" si="38"/>
        <v>0.61675563036061132</v>
      </c>
      <c r="S203" s="13">
        <f t="shared" si="38"/>
        <v>0.22384537380628822</v>
      </c>
      <c r="T203" s="13">
        <f t="shared" si="38"/>
        <v>-0.22418471867545722</v>
      </c>
      <c r="U203" s="13">
        <f t="shared" si="38"/>
        <v>0.69075261524683462</v>
      </c>
      <c r="V203" s="13">
        <f t="shared" si="38"/>
        <v>0.51611529406992174</v>
      </c>
      <c r="W203" s="13">
        <f t="shared" si="38"/>
        <v>0.12454545462679127</v>
      </c>
      <c r="X203" s="13">
        <f t="shared" si="38"/>
        <v>0.67244121193497985</v>
      </c>
      <c r="Y203" s="13">
        <f t="shared" si="38"/>
        <v>0.11327174432740959</v>
      </c>
    </row>
    <row r="204" spans="1:25" x14ac:dyDescent="0.25">
      <c r="A204" s="14">
        <f>[1]Data!A207</f>
        <v>43617</v>
      </c>
      <c r="B204" s="15">
        <f>[1]Data!B207</f>
        <v>6.7272022468448489E-2</v>
      </c>
      <c r="C204" s="15">
        <f>[1]Data!C207</f>
        <v>7.1667902578850279E-2</v>
      </c>
      <c r="D204" s="16">
        <f>[1]Data!F207</f>
        <v>-3.4073026851065384E-3</v>
      </c>
      <c r="E204" s="17">
        <f>[1]Data!G207</f>
        <v>1.0444911862299582E-2</v>
      </c>
      <c r="F204" s="16">
        <f>[1]Data!H207</f>
        <v>4.399190773026062E-2</v>
      </c>
      <c r="G204" s="17">
        <f>[1]Data!I207</f>
        <v>1.3671303040833308E-3</v>
      </c>
      <c r="H204" s="18">
        <f t="shared" si="39"/>
        <v>-1</v>
      </c>
      <c r="I204" s="19">
        <f t="shared" si="48"/>
        <v>-1</v>
      </c>
      <c r="J204" s="13">
        <f t="shared" si="40"/>
        <v>0</v>
      </c>
      <c r="K204" s="13">
        <f t="shared" si="41"/>
        <v>3.4073026851065384E-3</v>
      </c>
      <c r="L204" s="13">
        <f t="shared" si="42"/>
        <v>0</v>
      </c>
      <c r="M204" s="13">
        <f t="shared" si="43"/>
        <v>1.0444911862299582E-2</v>
      </c>
      <c r="N204" s="13">
        <f t="shared" si="44"/>
        <v>0</v>
      </c>
      <c r="O204" s="13">
        <f t="shared" si="45"/>
        <v>-4.399190773026062E-2</v>
      </c>
      <c r="P204" s="13">
        <f t="shared" si="46"/>
        <v>0</v>
      </c>
      <c r="Q204" s="13">
        <f t="shared" si="47"/>
        <v>1.3671303040833308E-3</v>
      </c>
      <c r="R204" s="13">
        <f t="shared" si="38"/>
        <v>0.61675563036061132</v>
      </c>
      <c r="S204" s="13">
        <f t="shared" si="38"/>
        <v>0.22725267649139475</v>
      </c>
      <c r="T204" s="13">
        <f t="shared" si="38"/>
        <v>-0.22418471867545722</v>
      </c>
      <c r="U204" s="13">
        <f t="shared" si="38"/>
        <v>0.70119752710913419</v>
      </c>
      <c r="V204" s="13">
        <f t="shared" si="38"/>
        <v>0.51611529406992174</v>
      </c>
      <c r="W204" s="13">
        <f t="shared" si="38"/>
        <v>8.0553546896530659E-2</v>
      </c>
      <c r="X204" s="13">
        <f t="shared" si="38"/>
        <v>0.67244121193497985</v>
      </c>
      <c r="Y204" s="13">
        <f t="shared" si="38"/>
        <v>0.11463887463149293</v>
      </c>
    </row>
    <row r="205" spans="1:25" x14ac:dyDescent="0.25">
      <c r="A205" s="14">
        <f>[1]Data!A208</f>
        <v>43647</v>
      </c>
      <c r="B205" s="15">
        <f>[1]Data!B208</f>
        <v>1.500620137629358E-2</v>
      </c>
      <c r="C205" s="15">
        <f>[1]Data!C208</f>
        <v>2.1197709253571204E-2</v>
      </c>
      <c r="D205" s="16">
        <f>[1]Data!F208</f>
        <v>-1.5790180353129762E-3</v>
      </c>
      <c r="E205" s="17">
        <f>[1]Data!G208</f>
        <v>7.174392460381933E-3</v>
      </c>
      <c r="F205" s="16">
        <f>[1]Data!H208</f>
        <v>1.2953234765340405E-2</v>
      </c>
      <c r="G205" s="17">
        <f>[1]Data!I208</f>
        <v>4.5282474430382831E-4</v>
      </c>
      <c r="H205" s="18">
        <f t="shared" si="39"/>
        <v>-1</v>
      </c>
      <c r="I205" s="19">
        <f t="shared" si="48"/>
        <v>1</v>
      </c>
      <c r="J205" s="13">
        <f t="shared" si="40"/>
        <v>0</v>
      </c>
      <c r="K205" s="13">
        <f t="shared" si="41"/>
        <v>1.5790180353129762E-3</v>
      </c>
      <c r="L205" s="13">
        <f t="shared" si="42"/>
        <v>0</v>
      </c>
      <c r="M205" s="13">
        <f t="shared" si="43"/>
        <v>7.174392460381933E-3</v>
      </c>
      <c r="N205" s="13">
        <f t="shared" si="44"/>
        <v>1.2953234765340405E-2</v>
      </c>
      <c r="O205" s="13">
        <f t="shared" si="45"/>
        <v>0</v>
      </c>
      <c r="P205" s="13">
        <f t="shared" si="46"/>
        <v>-4.5282474430382831E-4</v>
      </c>
      <c r="Q205" s="13">
        <f t="shared" si="47"/>
        <v>0</v>
      </c>
      <c r="R205" s="13">
        <f t="shared" si="38"/>
        <v>0.61675563036061132</v>
      </c>
      <c r="S205" s="13">
        <f t="shared" si="38"/>
        <v>0.22883169452670771</v>
      </c>
      <c r="T205" s="13">
        <f t="shared" si="38"/>
        <v>-0.22418471867545722</v>
      </c>
      <c r="U205" s="13">
        <f t="shared" si="38"/>
        <v>0.70837191956951617</v>
      </c>
      <c r="V205" s="13">
        <f t="shared" si="38"/>
        <v>0.52906852883526212</v>
      </c>
      <c r="W205" s="13">
        <f t="shared" si="38"/>
        <v>8.0553546896530659E-2</v>
      </c>
      <c r="X205" s="13">
        <f t="shared" si="38"/>
        <v>0.671988387190676</v>
      </c>
      <c r="Y205" s="13">
        <f t="shared" si="38"/>
        <v>0.11463887463149293</v>
      </c>
    </row>
    <row r="206" spans="1:25" x14ac:dyDescent="0.25">
      <c r="A206" s="14">
        <f>[1]Data!A209</f>
        <v>43678</v>
      </c>
      <c r="B206" s="15">
        <f>[1]Data!B209</f>
        <v>-1.6885378364657398E-2</v>
      </c>
      <c r="C206" s="15">
        <f>[1]Data!C209</f>
        <v>-0.10304671415057169</v>
      </c>
      <c r="D206" s="16">
        <f>[1]Data!F209</f>
        <v>-8.5760391843603401E-17</v>
      </c>
      <c r="E206" s="17">
        <f>[1]Data!G209</f>
        <v>1.8640966382109898E-2</v>
      </c>
      <c r="F206" s="16">
        <f>[1]Data!H209</f>
        <v>-3.2322727118099921E-2</v>
      </c>
      <c r="G206" s="17">
        <f>[1]Data!I209</f>
        <v>5.4323258675608874E-2</v>
      </c>
      <c r="H206" s="18">
        <f t="shared" si="39"/>
        <v>1</v>
      </c>
      <c r="I206" s="19">
        <f t="shared" si="48"/>
        <v>1</v>
      </c>
      <c r="J206" s="13">
        <f t="shared" si="40"/>
        <v>-8.5760391843603401E-17</v>
      </c>
      <c r="K206" s="13">
        <f t="shared" si="41"/>
        <v>0</v>
      </c>
      <c r="L206" s="13">
        <f t="shared" si="42"/>
        <v>-1.8640966382109898E-2</v>
      </c>
      <c r="M206" s="13">
        <f t="shared" si="43"/>
        <v>0</v>
      </c>
      <c r="N206" s="13">
        <f t="shared" si="44"/>
        <v>-3.2322727118099921E-2</v>
      </c>
      <c r="O206" s="13">
        <f t="shared" si="45"/>
        <v>0</v>
      </c>
      <c r="P206" s="13">
        <f t="shared" si="46"/>
        <v>-5.4323258675608874E-2</v>
      </c>
      <c r="Q206" s="13">
        <f t="shared" si="47"/>
        <v>0</v>
      </c>
      <c r="R206" s="13">
        <f t="shared" si="38"/>
        <v>0.61675563036061121</v>
      </c>
      <c r="S206" s="13">
        <f t="shared" si="38"/>
        <v>0.22883169452670771</v>
      </c>
      <c r="T206" s="13">
        <f t="shared" si="38"/>
        <v>-0.24282568505756713</v>
      </c>
      <c r="U206" s="13">
        <f t="shared" si="38"/>
        <v>0.70837191956951617</v>
      </c>
      <c r="V206" s="13">
        <f t="shared" si="38"/>
        <v>0.49674580171716221</v>
      </c>
      <c r="W206" s="13">
        <f t="shared" si="38"/>
        <v>8.0553546896530659E-2</v>
      </c>
      <c r="X206" s="13">
        <f t="shared" si="38"/>
        <v>0.61766512851506716</v>
      </c>
      <c r="Y206" s="13">
        <f t="shared" si="38"/>
        <v>0.11463887463149293</v>
      </c>
    </row>
    <row r="207" spans="1:25" x14ac:dyDescent="0.25">
      <c r="A207" s="14">
        <f>[1]Data!A210</f>
        <v>43709</v>
      </c>
      <c r="B207" s="15">
        <f>[1]Data!B210</f>
        <v>1.9271248211454543E-2</v>
      </c>
      <c r="C207" s="15">
        <f>[1]Data!C210</f>
        <v>5.9839293231491952E-2</v>
      </c>
      <c r="D207" s="16">
        <f>[1]Data!F210</f>
        <v>-4.8403196492609636E-3</v>
      </c>
      <c r="E207" s="17">
        <f>[1]Data!G210</f>
        <v>8.5631392488743178E-3</v>
      </c>
      <c r="F207" s="16">
        <f>[1]Data!H210</f>
        <v>1.9470701481444874E-2</v>
      </c>
      <c r="G207" s="17">
        <f>[1]Data!I210</f>
        <v>-2.6326017837039459E-2</v>
      </c>
      <c r="H207" s="18">
        <f t="shared" si="39"/>
        <v>-1</v>
      </c>
      <c r="I207" s="19">
        <f t="shared" si="48"/>
        <v>-1</v>
      </c>
      <c r="J207" s="13">
        <f t="shared" si="40"/>
        <v>0</v>
      </c>
      <c r="K207" s="13">
        <f t="shared" si="41"/>
        <v>4.8403196492609636E-3</v>
      </c>
      <c r="L207" s="13">
        <f t="shared" si="42"/>
        <v>0</v>
      </c>
      <c r="M207" s="13">
        <f t="shared" si="43"/>
        <v>8.5631392488743178E-3</v>
      </c>
      <c r="N207" s="13">
        <f t="shared" si="44"/>
        <v>0</v>
      </c>
      <c r="O207" s="13">
        <f t="shared" si="45"/>
        <v>-1.9470701481444874E-2</v>
      </c>
      <c r="P207" s="13">
        <f t="shared" si="46"/>
        <v>0</v>
      </c>
      <c r="Q207" s="13">
        <f t="shared" si="47"/>
        <v>-2.6326017837039459E-2</v>
      </c>
      <c r="R207" s="13">
        <f t="shared" si="38"/>
        <v>0.61675563036061121</v>
      </c>
      <c r="S207" s="13">
        <f t="shared" si="38"/>
        <v>0.23367201417596867</v>
      </c>
      <c r="T207" s="13">
        <f t="shared" si="38"/>
        <v>-0.24282568505756713</v>
      </c>
      <c r="U207" s="13">
        <f t="shared" si="38"/>
        <v>0.71693505881839048</v>
      </c>
      <c r="V207" s="13">
        <f t="shared" si="38"/>
        <v>0.49674580171716221</v>
      </c>
      <c r="W207" s="13">
        <f t="shared" si="38"/>
        <v>6.1082845415085782E-2</v>
      </c>
      <c r="X207" s="13">
        <f t="shared" si="38"/>
        <v>0.61766512851506716</v>
      </c>
      <c r="Y207" s="13">
        <f t="shared" si="38"/>
        <v>8.831285679445347E-2</v>
      </c>
    </row>
    <row r="208" spans="1:25" x14ac:dyDescent="0.25">
      <c r="A208" s="14">
        <f>[1]Data!A211</f>
        <v>43739</v>
      </c>
      <c r="B208" s="15">
        <f>[1]Data!B211</f>
        <v>2.1863755855332775E-2</v>
      </c>
      <c r="C208" s="15">
        <f>[1]Data!C211</f>
        <v>4.1360021286653836E-2</v>
      </c>
      <c r="D208" s="16">
        <f>[1]Data!F211</f>
        <v>1.1071934002620127E-2</v>
      </c>
      <c r="E208" s="17">
        <f>[1]Data!G211</f>
        <v>1.9373662194019918E-2</v>
      </c>
      <c r="F208" s="16">
        <f>[1]Data!H211</f>
        <v>-1.2512001002066814E-2</v>
      </c>
      <c r="G208" s="17">
        <f>[1]Data!I211</f>
        <v>1.3560329364563601E-2</v>
      </c>
      <c r="H208" s="18">
        <f t="shared" si="39"/>
        <v>-1</v>
      </c>
      <c r="I208" s="19">
        <f t="shared" si="48"/>
        <v>1</v>
      </c>
      <c r="J208" s="13">
        <f t="shared" si="40"/>
        <v>0</v>
      </c>
      <c r="K208" s="13">
        <f t="shared" si="41"/>
        <v>-1.1071934002620127E-2</v>
      </c>
      <c r="L208" s="13">
        <f t="shared" si="42"/>
        <v>0</v>
      </c>
      <c r="M208" s="13">
        <f t="shared" si="43"/>
        <v>1.9373662194019918E-2</v>
      </c>
      <c r="N208" s="13">
        <f t="shared" si="44"/>
        <v>-1.2512001002066814E-2</v>
      </c>
      <c r="O208" s="13">
        <f t="shared" si="45"/>
        <v>0</v>
      </c>
      <c r="P208" s="13">
        <f t="shared" si="46"/>
        <v>-1.3560329364563601E-2</v>
      </c>
      <c r="Q208" s="13">
        <f t="shared" si="47"/>
        <v>0</v>
      </c>
      <c r="R208" s="13">
        <f t="shared" si="38"/>
        <v>0.61675563036061121</v>
      </c>
      <c r="S208" s="13">
        <f t="shared" si="38"/>
        <v>0.22260008017334854</v>
      </c>
      <c r="T208" s="13">
        <f t="shared" si="38"/>
        <v>-0.24282568505756713</v>
      </c>
      <c r="U208" s="13">
        <f t="shared" si="38"/>
        <v>0.73630872101241041</v>
      </c>
      <c r="V208" s="13">
        <f t="shared" si="38"/>
        <v>0.48423380071509536</v>
      </c>
      <c r="W208" s="13">
        <f t="shared" si="38"/>
        <v>6.1082845415085782E-2</v>
      </c>
      <c r="X208" s="13">
        <f t="shared" si="38"/>
        <v>0.60410479915050352</v>
      </c>
      <c r="Y208" s="13">
        <f t="shared" si="38"/>
        <v>8.831285679445347E-2</v>
      </c>
    </row>
    <row r="209" spans="1:25" x14ac:dyDescent="0.25">
      <c r="A209" s="14">
        <f>[1]Data!A212</f>
        <v>43770</v>
      </c>
      <c r="B209" s="15">
        <f>[1]Data!B212</f>
        <v>3.5558706102376735E-2</v>
      </c>
      <c r="C209" s="15">
        <f>[1]Data!C212</f>
        <v>3.1698852310559578E-2</v>
      </c>
      <c r="D209" s="16">
        <f>[1]Data!F212</f>
        <v>1.2936920610405946E-2</v>
      </c>
      <c r="E209" s="17">
        <f>[1]Data!G212</f>
        <v>4.9981935904771166E-3</v>
      </c>
      <c r="F209" s="16">
        <f>[1]Data!H212</f>
        <v>1.5862863522568556E-2</v>
      </c>
      <c r="G209" s="17">
        <f>[1]Data!I212</f>
        <v>-3.9893326980146304E-2</v>
      </c>
      <c r="H209" s="18">
        <f t="shared" si="39"/>
        <v>-1</v>
      </c>
      <c r="I209" s="19">
        <f t="shared" si="48"/>
        <v>1</v>
      </c>
      <c r="J209" s="13">
        <f t="shared" si="40"/>
        <v>0</v>
      </c>
      <c r="K209" s="13">
        <f t="shared" si="41"/>
        <v>-1.2936920610405946E-2</v>
      </c>
      <c r="L209" s="13">
        <f t="shared" si="42"/>
        <v>0</v>
      </c>
      <c r="M209" s="13">
        <f t="shared" si="43"/>
        <v>4.9981935904771166E-3</v>
      </c>
      <c r="N209" s="13">
        <f t="shared" si="44"/>
        <v>1.5862863522568556E-2</v>
      </c>
      <c r="O209" s="13">
        <f t="shared" si="45"/>
        <v>0</v>
      </c>
      <c r="P209" s="13">
        <f t="shared" si="46"/>
        <v>3.9893326980146304E-2</v>
      </c>
      <c r="Q209" s="13">
        <f t="shared" si="47"/>
        <v>0</v>
      </c>
      <c r="R209" s="13">
        <f t="shared" si="38"/>
        <v>0.61675563036061121</v>
      </c>
      <c r="S209" s="13">
        <f t="shared" si="38"/>
        <v>0.2096631595629426</v>
      </c>
      <c r="T209" s="13">
        <f t="shared" si="38"/>
        <v>-0.24282568505756713</v>
      </c>
      <c r="U209" s="13">
        <f t="shared" si="38"/>
        <v>0.74130691460288756</v>
      </c>
      <c r="V209" s="13">
        <f t="shared" si="38"/>
        <v>0.50009666423766397</v>
      </c>
      <c r="W209" s="13">
        <f t="shared" si="38"/>
        <v>6.1082845415085782E-2</v>
      </c>
      <c r="X209" s="13">
        <f t="shared" si="38"/>
        <v>0.64399812613064977</v>
      </c>
      <c r="Y209" s="13">
        <f t="shared" si="38"/>
        <v>8.831285679445347E-2</v>
      </c>
    </row>
    <row r="210" spans="1:25" x14ac:dyDescent="0.25">
      <c r="A210" s="14">
        <f>[1]Data!A213</f>
        <v>43800</v>
      </c>
      <c r="B210" s="15">
        <f>[1]Data!B213</f>
        <v>2.8641314403768072E-2</v>
      </c>
      <c r="C210" s="15">
        <f>[1]Data!C213</f>
        <v>4.9023676097155258E-2</v>
      </c>
      <c r="D210" s="16">
        <f>[1]Data!F213</f>
        <v>3.5169616754017132E-3</v>
      </c>
      <c r="E210" s="17">
        <f>[1]Data!G213</f>
        <v>-8.598696048661968E-3</v>
      </c>
      <c r="F210" s="16">
        <f>[1]Data!H213</f>
        <v>1.7801957500472544E-3</v>
      </c>
      <c r="G210" s="17">
        <f>[1]Data!I213</f>
        <v>-1.313465865478125E-2</v>
      </c>
      <c r="H210" s="18">
        <f t="shared" si="39"/>
        <v>-1</v>
      </c>
      <c r="I210" s="19">
        <f t="shared" si="48"/>
        <v>1</v>
      </c>
      <c r="J210" s="13">
        <f t="shared" si="40"/>
        <v>0</v>
      </c>
      <c r="K210" s="13">
        <f t="shared" si="41"/>
        <v>-3.5169616754017132E-3</v>
      </c>
      <c r="L210" s="13">
        <f t="shared" si="42"/>
        <v>0</v>
      </c>
      <c r="M210" s="13">
        <f t="shared" si="43"/>
        <v>-8.598696048661968E-3</v>
      </c>
      <c r="N210" s="13">
        <f t="shared" si="44"/>
        <v>1.7801957500472544E-3</v>
      </c>
      <c r="O210" s="13">
        <f t="shared" si="45"/>
        <v>0</v>
      </c>
      <c r="P210" s="13">
        <f t="shared" si="46"/>
        <v>1.313465865478125E-2</v>
      </c>
      <c r="Q210" s="13">
        <f t="shared" si="47"/>
        <v>0</v>
      </c>
      <c r="R210" s="13">
        <f t="shared" si="38"/>
        <v>0.61675563036061121</v>
      </c>
      <c r="S210" s="13">
        <f t="shared" si="38"/>
        <v>0.20614619788754088</v>
      </c>
      <c r="T210" s="13">
        <f t="shared" si="38"/>
        <v>-0.24282568505756713</v>
      </c>
      <c r="U210" s="13">
        <f t="shared" si="38"/>
        <v>0.73270821855422563</v>
      </c>
      <c r="V210" s="13">
        <f t="shared" si="38"/>
        <v>0.50187685998771125</v>
      </c>
      <c r="W210" s="13">
        <f t="shared" si="38"/>
        <v>6.1082845415085782E-2</v>
      </c>
      <c r="X210" s="13">
        <f t="shared" si="38"/>
        <v>0.65713278478543102</v>
      </c>
      <c r="Y210" s="13">
        <f t="shared" si="38"/>
        <v>8.831285679445347E-2</v>
      </c>
    </row>
    <row r="211" spans="1:25" x14ac:dyDescent="0.25">
      <c r="A211" s="14">
        <f>[1]Data!A214</f>
        <v>43831</v>
      </c>
      <c r="B211" s="15">
        <f>[1]Data!B214</f>
        <v>-4.039889798689994E-4</v>
      </c>
      <c r="C211" s="15">
        <f>[1]Data!C214</f>
        <v>-9.3355575274019637E-3</v>
      </c>
      <c r="D211" s="16">
        <f>[1]Data!F214</f>
        <v>-3.0578533959365453E-2</v>
      </c>
      <c r="E211" s="17">
        <f>[1]Data!G214</f>
        <v>3.4587267214807121E-2</v>
      </c>
      <c r="F211" s="16">
        <f>[1]Data!H214</f>
        <v>8.0147708123337359E-3</v>
      </c>
      <c r="G211" s="17">
        <f>[1]Data!I214</f>
        <v>9.2572618468068392E-3</v>
      </c>
      <c r="H211" s="18">
        <f t="shared" si="39"/>
        <v>1</v>
      </c>
      <c r="I211" s="19">
        <f t="shared" si="48"/>
        <v>1</v>
      </c>
      <c r="J211" s="13">
        <f t="shared" si="40"/>
        <v>-3.0578533959365453E-2</v>
      </c>
      <c r="K211" s="13">
        <f t="shared" si="41"/>
        <v>0</v>
      </c>
      <c r="L211" s="13">
        <f t="shared" si="42"/>
        <v>-3.4587267214807121E-2</v>
      </c>
      <c r="M211" s="13">
        <f t="shared" si="43"/>
        <v>0</v>
      </c>
      <c r="N211" s="13">
        <f t="shared" si="44"/>
        <v>8.0147708123337359E-3</v>
      </c>
      <c r="O211" s="13">
        <f t="shared" si="45"/>
        <v>0</v>
      </c>
      <c r="P211" s="13">
        <f t="shared" si="46"/>
        <v>-9.2572618468068392E-3</v>
      </c>
      <c r="Q211" s="13">
        <f t="shared" si="47"/>
        <v>0</v>
      </c>
      <c r="R211" s="13">
        <f t="shared" si="38"/>
        <v>0.58617709640124571</v>
      </c>
      <c r="S211" s="13">
        <f t="shared" si="38"/>
        <v>0.20614619788754088</v>
      </c>
      <c r="T211" s="13">
        <f t="shared" si="38"/>
        <v>-0.27741295227237428</v>
      </c>
      <c r="U211" s="13">
        <f t="shared" si="38"/>
        <v>0.73270821855422563</v>
      </c>
      <c r="V211" s="13">
        <f t="shared" si="38"/>
        <v>0.50989163080004496</v>
      </c>
      <c r="W211" s="13">
        <f t="shared" si="38"/>
        <v>6.1082845415085782E-2</v>
      </c>
      <c r="X211" s="13">
        <f t="shared" si="38"/>
        <v>0.64787552293862416</v>
      </c>
      <c r="Y211" s="13">
        <f t="shared" si="38"/>
        <v>8.831285679445347E-2</v>
      </c>
    </row>
    <row r="212" spans="1:25" x14ac:dyDescent="0.25">
      <c r="A212" s="14">
        <f>[1]Data!A215</f>
        <v>43862</v>
      </c>
      <c r="B212" s="15">
        <f>[1]Data!B215</f>
        <v>-8.2475534437916068E-2</v>
      </c>
      <c r="C212" s="15">
        <f>[1]Data!C215</f>
        <v>-2.8896455353091689E-2</v>
      </c>
      <c r="D212" s="16">
        <f>[1]Data!F215</f>
        <v>-8.4617817573889573E-2</v>
      </c>
      <c r="E212" s="17">
        <f>[1]Data!G215</f>
        <v>3.3122523406681939E-2</v>
      </c>
      <c r="F212" s="16">
        <f>[1]Data!H215</f>
        <v>3.2024609406970363E-2</v>
      </c>
      <c r="G212" s="17">
        <f>[1]Data!I215</f>
        <v>-8.4663006108253135E-3</v>
      </c>
      <c r="H212" s="18">
        <f t="shared" si="39"/>
        <v>1</v>
      </c>
      <c r="I212" s="19">
        <f t="shared" si="48"/>
        <v>-1</v>
      </c>
      <c r="J212" s="13">
        <f t="shared" si="40"/>
        <v>-8.4617817573889573E-2</v>
      </c>
      <c r="K212" s="13">
        <f t="shared" si="41"/>
        <v>0</v>
      </c>
      <c r="L212" s="13">
        <f t="shared" si="42"/>
        <v>-3.3122523406681939E-2</v>
      </c>
      <c r="M212" s="13">
        <f t="shared" si="43"/>
        <v>0</v>
      </c>
      <c r="N212" s="13">
        <f t="shared" si="44"/>
        <v>0</v>
      </c>
      <c r="O212" s="13">
        <f t="shared" si="45"/>
        <v>-3.2024609406970363E-2</v>
      </c>
      <c r="P212" s="13">
        <f t="shared" si="46"/>
        <v>0</v>
      </c>
      <c r="Q212" s="13">
        <f t="shared" si="47"/>
        <v>-8.4663006108253135E-3</v>
      </c>
      <c r="R212" s="13">
        <f t="shared" si="38"/>
        <v>0.50155927882735618</v>
      </c>
      <c r="S212" s="13">
        <f t="shared" si="38"/>
        <v>0.20614619788754088</v>
      </c>
      <c r="T212" s="13">
        <f t="shared" si="38"/>
        <v>-0.31053547567905621</v>
      </c>
      <c r="U212" s="13">
        <f t="shared" si="38"/>
        <v>0.73270821855422563</v>
      </c>
      <c r="V212" s="13">
        <f t="shared" si="38"/>
        <v>0.50989163080004496</v>
      </c>
      <c r="W212" s="13">
        <f t="shared" si="38"/>
        <v>2.9058236008115419E-2</v>
      </c>
      <c r="X212" s="13">
        <f t="shared" si="38"/>
        <v>0.64787552293862416</v>
      </c>
      <c r="Y212" s="13">
        <f t="shared" si="38"/>
        <v>7.9846556183628153E-2</v>
      </c>
    </row>
    <row r="213" spans="1:25" x14ac:dyDescent="0.25">
      <c r="A213" s="14">
        <f>[1]Data!A216</f>
        <v>43891</v>
      </c>
      <c r="B213" s="15">
        <f>[1]Data!B216</f>
        <v>-0.13338385101653819</v>
      </c>
      <c r="C213" s="15">
        <f>[1]Data!C216</f>
        <v>-0.28018376553683783</v>
      </c>
      <c r="D213" s="16">
        <f>[1]Data!F216</f>
        <v>0.11914184455184304</v>
      </c>
      <c r="E213" s="17">
        <f>[1]Data!G216</f>
        <v>3.4158472861818862E-2</v>
      </c>
      <c r="F213" s="16">
        <f>[1]Data!H216</f>
        <v>4.0424781829973243E-3</v>
      </c>
      <c r="G213" s="17">
        <f>[1]Data!I216</f>
        <v>7.2668897470410485E-2</v>
      </c>
      <c r="H213" s="18">
        <f t="shared" si="39"/>
        <v>1</v>
      </c>
      <c r="I213" s="19">
        <f t="shared" si="48"/>
        <v>-1</v>
      </c>
      <c r="J213" s="13">
        <f t="shared" si="40"/>
        <v>0.11914184455184304</v>
      </c>
      <c r="K213" s="13">
        <f t="shared" si="41"/>
        <v>0</v>
      </c>
      <c r="L213" s="13">
        <f t="shared" si="42"/>
        <v>-3.4158472861818862E-2</v>
      </c>
      <c r="M213" s="13">
        <f t="shared" si="43"/>
        <v>0</v>
      </c>
      <c r="N213" s="13">
        <f t="shared" si="44"/>
        <v>0</v>
      </c>
      <c r="O213" s="13">
        <f t="shared" si="45"/>
        <v>-4.0424781829973243E-3</v>
      </c>
      <c r="P213" s="13">
        <f t="shared" si="46"/>
        <v>0</v>
      </c>
      <c r="Q213" s="13">
        <f t="shared" si="47"/>
        <v>7.2668897470410485E-2</v>
      </c>
      <c r="R213" s="13">
        <f t="shared" si="38"/>
        <v>0.62070112337919925</v>
      </c>
      <c r="S213" s="13">
        <f t="shared" si="38"/>
        <v>0.20614619788754088</v>
      </c>
      <c r="T213" s="13">
        <f t="shared" si="38"/>
        <v>-0.34469394854087509</v>
      </c>
      <c r="U213" s="13">
        <f t="shared" si="38"/>
        <v>0.73270821855422563</v>
      </c>
      <c r="V213" s="13">
        <f t="shared" si="38"/>
        <v>0.50989163080004496</v>
      </c>
      <c r="W213" s="13">
        <f t="shared" si="38"/>
        <v>2.5015757825118095E-2</v>
      </c>
      <c r="X213" s="13">
        <f t="shared" si="38"/>
        <v>0.64787552293862416</v>
      </c>
      <c r="Y213" s="13">
        <f t="shared" si="38"/>
        <v>0.15251545365403862</v>
      </c>
    </row>
    <row r="214" spans="1:25" x14ac:dyDescent="0.25">
      <c r="A214" s="14">
        <f>[1]Data!A217</f>
        <v>43922</v>
      </c>
      <c r="B214" s="15">
        <f>[1]Data!B217</f>
        <v>0.11954483405199261</v>
      </c>
      <c r="C214" s="15">
        <f>[1]Data!C217</f>
        <v>5.0810756795842009E-2</v>
      </c>
      <c r="D214" s="16">
        <f>[1]Data!F217</f>
        <v>3.9964976912821498E-2</v>
      </c>
      <c r="E214" s="17">
        <f>[1]Data!G217</f>
        <v>-1.6652988985195807E-2</v>
      </c>
      <c r="F214" s="16">
        <f>[1]Data!H217</f>
        <v>2.8230113492507286E-2</v>
      </c>
      <c r="G214" s="17">
        <f>[1]Data!I217</f>
        <v>9.4731254942713415E-3</v>
      </c>
      <c r="H214" s="18">
        <f t="shared" si="39"/>
        <v>-1</v>
      </c>
      <c r="I214" s="19">
        <f t="shared" si="48"/>
        <v>-1</v>
      </c>
      <c r="J214" s="13">
        <f t="shared" si="40"/>
        <v>0</v>
      </c>
      <c r="K214" s="13">
        <f t="shared" si="41"/>
        <v>-3.9964976912821498E-2</v>
      </c>
      <c r="L214" s="13">
        <f t="shared" si="42"/>
        <v>0</v>
      </c>
      <c r="M214" s="13">
        <f t="shared" si="43"/>
        <v>-1.6652988985195807E-2</v>
      </c>
      <c r="N214" s="13">
        <f t="shared" si="44"/>
        <v>0</v>
      </c>
      <c r="O214" s="13">
        <f t="shared" si="45"/>
        <v>-2.8230113492507286E-2</v>
      </c>
      <c r="P214" s="13">
        <f t="shared" si="46"/>
        <v>0</v>
      </c>
      <c r="Q214" s="13">
        <f t="shared" si="47"/>
        <v>9.4731254942713415E-3</v>
      </c>
      <c r="R214" s="13">
        <f t="shared" si="38"/>
        <v>0.62070112337919925</v>
      </c>
      <c r="S214" s="13">
        <f t="shared" si="38"/>
        <v>0.16618122097471938</v>
      </c>
      <c r="T214" s="13">
        <f t="shared" si="38"/>
        <v>-0.34469394854087509</v>
      </c>
      <c r="U214" s="13">
        <f t="shared" si="38"/>
        <v>0.71605522956902978</v>
      </c>
      <c r="V214" s="13">
        <f t="shared" si="38"/>
        <v>0.50989163080004496</v>
      </c>
      <c r="W214" s="13">
        <f t="shared" si="38"/>
        <v>-3.2143556673891911E-3</v>
      </c>
      <c r="X214" s="13">
        <f t="shared" si="38"/>
        <v>0.64787552293862416</v>
      </c>
      <c r="Y214" s="13">
        <f t="shared" si="38"/>
        <v>0.16198857914830997</v>
      </c>
    </row>
    <row r="215" spans="1:25" x14ac:dyDescent="0.25">
      <c r="A215" s="14">
        <f>[1]Data!A218</f>
        <v>43952</v>
      </c>
      <c r="B215" s="15">
        <f>[1]Data!B218</f>
        <v>4.6544875288220017E-2</v>
      </c>
      <c r="C215" s="15">
        <f>[1]Data!C218</f>
        <v>2.6897857213899284E-2</v>
      </c>
      <c r="D215" s="16">
        <f>[1]Data!F218</f>
        <v>3.1511637601687931E-2</v>
      </c>
      <c r="E215" s="17">
        <f>[1]Data!G218</f>
        <v>-5.912094715439368E-3</v>
      </c>
      <c r="F215" s="16">
        <f>[1]Data!H218</f>
        <v>-9.686525317039155E-3</v>
      </c>
      <c r="G215" s="17">
        <f>[1]Data!I218</f>
        <v>-2.3090651334060804E-3</v>
      </c>
      <c r="H215" s="18">
        <f t="shared" si="39"/>
        <v>-1</v>
      </c>
      <c r="I215" s="19">
        <f t="shared" si="48"/>
        <v>1</v>
      </c>
      <c r="J215" s="13">
        <f t="shared" si="40"/>
        <v>0</v>
      </c>
      <c r="K215" s="13">
        <f t="shared" si="41"/>
        <v>-3.1511637601687931E-2</v>
      </c>
      <c r="L215" s="13">
        <f t="shared" si="42"/>
        <v>0</v>
      </c>
      <c r="M215" s="13">
        <f t="shared" si="43"/>
        <v>-5.912094715439368E-3</v>
      </c>
      <c r="N215" s="13">
        <f t="shared" si="44"/>
        <v>-9.686525317039155E-3</v>
      </c>
      <c r="O215" s="13">
        <f t="shared" si="45"/>
        <v>0</v>
      </c>
      <c r="P215" s="13">
        <f t="shared" si="46"/>
        <v>2.3090651334060804E-3</v>
      </c>
      <c r="Q215" s="13">
        <f t="shared" si="47"/>
        <v>0</v>
      </c>
      <c r="R215" s="13">
        <f t="shared" si="38"/>
        <v>0.62070112337919925</v>
      </c>
      <c r="S215" s="13">
        <f t="shared" si="38"/>
        <v>0.13466958337303145</v>
      </c>
      <c r="T215" s="13">
        <f t="shared" si="38"/>
        <v>-0.34469394854087509</v>
      </c>
      <c r="U215" s="13">
        <f t="shared" si="38"/>
        <v>0.71014313485359037</v>
      </c>
      <c r="V215" s="13">
        <f t="shared" si="38"/>
        <v>0.50020510548300579</v>
      </c>
      <c r="W215" s="13">
        <f t="shared" si="38"/>
        <v>-3.2143556673891911E-3</v>
      </c>
      <c r="X215" s="13">
        <f t="shared" si="38"/>
        <v>0.65018458807203028</v>
      </c>
      <c r="Y215" s="13">
        <f t="shared" si="38"/>
        <v>0.16198857914830997</v>
      </c>
    </row>
    <row r="216" spans="1:25" x14ac:dyDescent="0.25">
      <c r="A216" s="14">
        <f>[1]Data!A219</f>
        <v>43983</v>
      </c>
      <c r="B216" s="15">
        <f>[1]Data!B219</f>
        <v>1.7578794828849852E-2</v>
      </c>
      <c r="C216" s="15">
        <f>[1]Data!C219</f>
        <v>2.4563997019679484E-2</v>
      </c>
      <c r="D216" s="16">
        <f>[1]Data!F219</f>
        <v>-9.077189236067415E-4</v>
      </c>
      <c r="E216" s="17">
        <f>[1]Data!G219</f>
        <v>9.4382102108475086E-3</v>
      </c>
      <c r="F216" s="16">
        <f>[1]Data!H219</f>
        <v>4.8176311604839213E-2</v>
      </c>
      <c r="G216" s="17">
        <f>[1]Data!I219</f>
        <v>-4.5517773957081412E-2</v>
      </c>
      <c r="H216" s="18">
        <f t="shared" si="39"/>
        <v>-1</v>
      </c>
      <c r="I216" s="19">
        <f t="shared" si="48"/>
        <v>1</v>
      </c>
      <c r="J216" s="13">
        <f t="shared" si="40"/>
        <v>0</v>
      </c>
      <c r="K216" s="13">
        <f t="shared" si="41"/>
        <v>9.077189236067415E-4</v>
      </c>
      <c r="L216" s="13">
        <f t="shared" si="42"/>
        <v>0</v>
      </c>
      <c r="M216" s="13">
        <f t="shared" si="43"/>
        <v>9.4382102108475086E-3</v>
      </c>
      <c r="N216" s="13">
        <f t="shared" si="44"/>
        <v>4.8176311604839213E-2</v>
      </c>
      <c r="O216" s="13">
        <f t="shared" si="45"/>
        <v>0</v>
      </c>
      <c r="P216" s="13">
        <f t="shared" si="46"/>
        <v>4.5517773957081412E-2</v>
      </c>
      <c r="Q216" s="13">
        <f t="shared" si="47"/>
        <v>0</v>
      </c>
      <c r="R216" s="13">
        <f t="shared" si="38"/>
        <v>0.62070112337919925</v>
      </c>
      <c r="S216" s="13">
        <f t="shared" si="38"/>
        <v>0.1355773022966382</v>
      </c>
      <c r="T216" s="13">
        <f t="shared" si="38"/>
        <v>-0.34469394854087509</v>
      </c>
      <c r="U216" s="13">
        <f t="shared" si="38"/>
        <v>0.71958134506443794</v>
      </c>
      <c r="V216" s="13">
        <f t="shared" si="38"/>
        <v>0.54838141708784505</v>
      </c>
      <c r="W216" s="13">
        <f t="shared" si="38"/>
        <v>-3.2143556673891911E-3</v>
      </c>
      <c r="X216" s="13">
        <f t="shared" si="38"/>
        <v>0.69570236202911173</v>
      </c>
      <c r="Y216" s="13">
        <f t="shared" si="38"/>
        <v>0.16198857914830997</v>
      </c>
    </row>
    <row r="217" spans="1:25" x14ac:dyDescent="0.25">
      <c r="A217" s="14">
        <f>[1]Data!A220</f>
        <v>44013</v>
      </c>
      <c r="B217" s="15">
        <f>[1]Data!B220</f>
        <v>5.7223117971709883E-2</v>
      </c>
      <c r="C217" s="15">
        <f>[1]Data!C220</f>
        <v>3.381857113333079E-2</v>
      </c>
      <c r="D217" s="16">
        <f>[1]Data!F220</f>
        <v>-1.0409730545889451E-3</v>
      </c>
      <c r="E217" s="17">
        <f>[1]Data!G220</f>
        <v>1.8950940809573213E-2</v>
      </c>
      <c r="F217" s="16">
        <f>[1]Data!H220</f>
        <v>2.5043734133579919E-2</v>
      </c>
      <c r="G217" s="17">
        <f>[1]Data!I220</f>
        <v>4.9474103268462005E-3</v>
      </c>
      <c r="H217" s="18">
        <f t="shared" si="39"/>
        <v>-1</v>
      </c>
      <c r="I217" s="19">
        <f t="shared" si="48"/>
        <v>1</v>
      </c>
      <c r="J217" s="13">
        <f t="shared" si="40"/>
        <v>0</v>
      </c>
      <c r="K217" s="13">
        <f t="shared" si="41"/>
        <v>1.0409730545889451E-3</v>
      </c>
      <c r="L217" s="13">
        <f t="shared" si="42"/>
        <v>0</v>
      </c>
      <c r="M217" s="13">
        <f t="shared" si="43"/>
        <v>1.8950940809573213E-2</v>
      </c>
      <c r="N217" s="13">
        <f t="shared" si="44"/>
        <v>2.5043734133579919E-2</v>
      </c>
      <c r="O217" s="13">
        <f t="shared" si="45"/>
        <v>0</v>
      </c>
      <c r="P217" s="13">
        <f t="shared" si="46"/>
        <v>-4.9474103268462005E-3</v>
      </c>
      <c r="Q217" s="13">
        <f t="shared" si="47"/>
        <v>0</v>
      </c>
      <c r="R217" s="13">
        <f t="shared" si="38"/>
        <v>0.62070112337919925</v>
      </c>
      <c r="S217" s="13">
        <f t="shared" si="38"/>
        <v>0.13661827535122714</v>
      </c>
      <c r="T217" s="13">
        <f t="shared" si="38"/>
        <v>-0.34469394854087509</v>
      </c>
      <c r="U217" s="13">
        <f t="shared" si="38"/>
        <v>0.7385322858740111</v>
      </c>
      <c r="V217" s="13">
        <f t="shared" si="38"/>
        <v>0.57342515122142501</v>
      </c>
      <c r="W217" s="13">
        <f t="shared" si="38"/>
        <v>-3.2143556673891911E-3</v>
      </c>
      <c r="X217" s="13">
        <f t="shared" si="38"/>
        <v>0.69075495170226553</v>
      </c>
      <c r="Y217" s="13">
        <f t="shared" si="38"/>
        <v>0.16198857914830997</v>
      </c>
    </row>
    <row r="218" spans="1:25" x14ac:dyDescent="0.25">
      <c r="A218" s="14">
        <f>[1]Data!A221</f>
        <v>44044</v>
      </c>
      <c r="B218" s="15">
        <f>[1]Data!B221</f>
        <v>6.7468973641364963E-2</v>
      </c>
      <c r="C218" s="15">
        <f>[1]Data!C221</f>
        <v>6.6284061528658747E-2</v>
      </c>
      <c r="D218" s="16">
        <f>[1]Data!F221</f>
        <v>2.8544745681194899E-2</v>
      </c>
      <c r="E218" s="17">
        <f>[1]Data!G221</f>
        <v>-2.4423499225942866E-2</v>
      </c>
      <c r="F218" s="16">
        <f>[1]Data!H221</f>
        <v>2.435536138477289E-2</v>
      </c>
      <c r="G218" s="17">
        <f>[1]Data!I221</f>
        <v>-5.4595417744939118E-3</v>
      </c>
      <c r="H218" s="18">
        <f t="shared" si="39"/>
        <v>-1</v>
      </c>
      <c r="I218" s="19">
        <f t="shared" si="48"/>
        <v>1</v>
      </c>
      <c r="J218" s="13">
        <f t="shared" si="40"/>
        <v>0</v>
      </c>
      <c r="K218" s="13">
        <f t="shared" si="41"/>
        <v>-2.8544745681194899E-2</v>
      </c>
      <c r="L218" s="13">
        <f t="shared" si="42"/>
        <v>0</v>
      </c>
      <c r="M218" s="13">
        <f t="shared" si="43"/>
        <v>-2.4423499225942866E-2</v>
      </c>
      <c r="N218" s="13">
        <f t="shared" si="44"/>
        <v>2.435536138477289E-2</v>
      </c>
      <c r="O218" s="13">
        <f t="shared" si="45"/>
        <v>0</v>
      </c>
      <c r="P218" s="13">
        <f t="shared" si="46"/>
        <v>5.4595417744939118E-3</v>
      </c>
      <c r="Q218" s="13">
        <f t="shared" si="47"/>
        <v>0</v>
      </c>
      <c r="R218" s="13">
        <f t="shared" si="38"/>
        <v>0.62070112337919925</v>
      </c>
      <c r="S218" s="13">
        <f t="shared" si="38"/>
        <v>0.10807352967003224</v>
      </c>
      <c r="T218" s="13">
        <f t="shared" si="38"/>
        <v>-0.34469394854087509</v>
      </c>
      <c r="U218" s="13">
        <f t="shared" si="38"/>
        <v>0.71410878664806821</v>
      </c>
      <c r="V218" s="13">
        <f t="shared" si="38"/>
        <v>0.59778051260619791</v>
      </c>
      <c r="W218" s="13">
        <f t="shared" si="38"/>
        <v>-3.2143556673891911E-3</v>
      </c>
      <c r="X218" s="13">
        <f t="shared" si="38"/>
        <v>0.69621449347675946</v>
      </c>
      <c r="Y218" s="13">
        <f t="shared" si="38"/>
        <v>0.16198857914830997</v>
      </c>
    </row>
    <row r="219" spans="1:25" x14ac:dyDescent="0.25">
      <c r="A219" s="14">
        <f>[1]Data!A222</f>
        <v>44075</v>
      </c>
      <c r="B219" s="15">
        <f>[1]Data!B222</f>
        <v>-3.8162637604299825E-2</v>
      </c>
      <c r="C219" s="15">
        <f>[1]Data!C222</f>
        <v>-6.5835196447114802E-2</v>
      </c>
      <c r="D219" s="16">
        <f>[1]Data!F222</f>
        <v>1.3801127197242125E-2</v>
      </c>
      <c r="E219" s="17">
        <f>[1]Data!G222</f>
        <v>-6.1671171111852439E-3</v>
      </c>
      <c r="F219" s="16">
        <f>[1]Data!H222</f>
        <v>-4.7187031607900776E-2</v>
      </c>
      <c r="G219" s="17">
        <f>[1]Data!I222</f>
        <v>1.0640009348219716E-2</v>
      </c>
      <c r="H219" s="18">
        <f t="shared" si="39"/>
        <v>1</v>
      </c>
      <c r="I219" s="19">
        <f t="shared" si="48"/>
        <v>1</v>
      </c>
      <c r="J219" s="13">
        <f t="shared" si="40"/>
        <v>1.3801127197242125E-2</v>
      </c>
      <c r="K219" s="13">
        <f t="shared" si="41"/>
        <v>0</v>
      </c>
      <c r="L219" s="13">
        <f t="shared" si="42"/>
        <v>6.1671171111852439E-3</v>
      </c>
      <c r="M219" s="13">
        <f t="shared" si="43"/>
        <v>0</v>
      </c>
      <c r="N219" s="13">
        <f t="shared" si="44"/>
        <v>-4.7187031607900776E-2</v>
      </c>
      <c r="O219" s="13">
        <f t="shared" si="45"/>
        <v>0</v>
      </c>
      <c r="P219" s="13">
        <f t="shared" si="46"/>
        <v>-1.0640009348219716E-2</v>
      </c>
      <c r="Q219" s="13">
        <f t="shared" si="47"/>
        <v>0</v>
      </c>
      <c r="R219" s="13">
        <f t="shared" si="38"/>
        <v>0.63450225057644138</v>
      </c>
      <c r="S219" s="13">
        <f t="shared" si="38"/>
        <v>0.10807352967003224</v>
      </c>
      <c r="T219" s="13">
        <f t="shared" si="38"/>
        <v>-0.33852683142968987</v>
      </c>
      <c r="U219" s="13">
        <f t="shared" si="38"/>
        <v>0.71410878664806821</v>
      </c>
      <c r="V219" s="13">
        <f t="shared" si="38"/>
        <v>0.55059348099829708</v>
      </c>
      <c r="W219" s="13">
        <f t="shared" si="38"/>
        <v>-3.2143556673891911E-3</v>
      </c>
      <c r="X219" s="13">
        <f t="shared" si="38"/>
        <v>0.68557448412853972</v>
      </c>
      <c r="Y219" s="13">
        <f t="shared" si="38"/>
        <v>0.16198857914830997</v>
      </c>
    </row>
    <row r="220" spans="1:25" x14ac:dyDescent="0.25">
      <c r="A220" s="14">
        <f>[1]Data!A223</f>
        <v>44105</v>
      </c>
      <c r="B220" s="15">
        <f>[1]Data!B223</f>
        <v>-2.5249895399426077E-2</v>
      </c>
      <c r="C220" s="15">
        <f>[1]Data!C223</f>
        <v>5.0433310915136788E-2</v>
      </c>
      <c r="D220" s="16">
        <f>[1]Data!F223</f>
        <v>-4.8390562265195107E-2</v>
      </c>
      <c r="E220" s="17">
        <f>[1]Data!G223</f>
        <v>-7.1460642012588504E-3</v>
      </c>
      <c r="F220" s="16">
        <f>[1]Data!H223</f>
        <v>1.7376122530387436E-2</v>
      </c>
      <c r="G220" s="17">
        <f>[1]Data!I223</f>
        <v>-2.3770397829058831E-2</v>
      </c>
      <c r="H220" s="18">
        <f t="shared" si="39"/>
        <v>-1</v>
      </c>
      <c r="I220" s="19">
        <f t="shared" si="48"/>
        <v>-1</v>
      </c>
      <c r="J220" s="13">
        <f t="shared" si="40"/>
        <v>0</v>
      </c>
      <c r="K220" s="13">
        <f t="shared" si="41"/>
        <v>4.8390562265195107E-2</v>
      </c>
      <c r="L220" s="13">
        <f t="shared" si="42"/>
        <v>0</v>
      </c>
      <c r="M220" s="13">
        <f t="shared" si="43"/>
        <v>-7.1460642012588504E-3</v>
      </c>
      <c r="N220" s="13">
        <f t="shared" si="44"/>
        <v>0</v>
      </c>
      <c r="O220" s="13">
        <f t="shared" si="45"/>
        <v>-1.7376122530387436E-2</v>
      </c>
      <c r="P220" s="13">
        <f t="shared" si="46"/>
        <v>0</v>
      </c>
      <c r="Q220" s="13">
        <f t="shared" si="47"/>
        <v>-2.3770397829058831E-2</v>
      </c>
      <c r="R220" s="13">
        <f t="shared" si="38"/>
        <v>0.63450225057644138</v>
      </c>
      <c r="S220" s="13">
        <f t="shared" si="38"/>
        <v>0.15646409193522734</v>
      </c>
      <c r="T220" s="13">
        <f t="shared" si="38"/>
        <v>-0.33852683142968987</v>
      </c>
      <c r="U220" s="13">
        <f t="shared" ref="U220:Y270" si="49">M220+U219</f>
        <v>0.70696272244680936</v>
      </c>
      <c r="V220" s="13">
        <f t="shared" si="49"/>
        <v>0.55059348099829708</v>
      </c>
      <c r="W220" s="13">
        <f t="shared" si="49"/>
        <v>-2.0590478197776627E-2</v>
      </c>
      <c r="X220" s="13">
        <f t="shared" si="49"/>
        <v>0.68557448412853972</v>
      </c>
      <c r="Y220" s="13">
        <f t="shared" si="49"/>
        <v>0.13821818131925115</v>
      </c>
    </row>
    <row r="221" spans="1:25" x14ac:dyDescent="0.25">
      <c r="A221" s="14">
        <f>[1]Data!A224</f>
        <v>44136</v>
      </c>
      <c r="B221" s="15">
        <f>[1]Data!B224</f>
        <v>0.10325725550094472</v>
      </c>
      <c r="C221" s="15">
        <f>[1]Data!C224</f>
        <v>5.8724078336053101E-2</v>
      </c>
      <c r="D221" s="16">
        <f>[1]Data!F224</f>
        <v>1.8762721466198451E-2</v>
      </c>
      <c r="E221" s="17">
        <f>[1]Data!G224</f>
        <v>-9.2682344533405788E-3</v>
      </c>
      <c r="F221" s="16">
        <f>[1]Data!H224</f>
        <v>6.9837669112041478E-2</v>
      </c>
      <c r="G221" s="17">
        <f>[1]Data!I224</f>
        <v>1.2683144314982917E-2</v>
      </c>
      <c r="H221" s="18">
        <f t="shared" si="39"/>
        <v>-1</v>
      </c>
      <c r="I221" s="19">
        <f t="shared" si="48"/>
        <v>1</v>
      </c>
      <c r="J221" s="13">
        <f t="shared" si="40"/>
        <v>0</v>
      </c>
      <c r="K221" s="13">
        <f t="shared" si="41"/>
        <v>-1.8762721466198451E-2</v>
      </c>
      <c r="L221" s="13">
        <f t="shared" si="42"/>
        <v>0</v>
      </c>
      <c r="M221" s="13">
        <f t="shared" si="43"/>
        <v>-9.2682344533405788E-3</v>
      </c>
      <c r="N221" s="13">
        <f t="shared" si="44"/>
        <v>6.9837669112041478E-2</v>
      </c>
      <c r="O221" s="13">
        <f t="shared" si="45"/>
        <v>0</v>
      </c>
      <c r="P221" s="13">
        <f t="shared" si="46"/>
        <v>-1.2683144314982917E-2</v>
      </c>
      <c r="Q221" s="13">
        <f t="shared" si="47"/>
        <v>0</v>
      </c>
      <c r="R221" s="13">
        <f t="shared" ref="R221:Y280" si="50">J221+R220</f>
        <v>0.63450225057644138</v>
      </c>
      <c r="S221" s="13">
        <f t="shared" si="50"/>
        <v>0.13770137046902889</v>
      </c>
      <c r="T221" s="13">
        <f t="shared" si="50"/>
        <v>-0.33852683142968987</v>
      </c>
      <c r="U221" s="13">
        <f t="shared" si="49"/>
        <v>0.69769448799346878</v>
      </c>
      <c r="V221" s="13">
        <f t="shared" si="49"/>
        <v>0.62043115011033856</v>
      </c>
      <c r="W221" s="13">
        <f t="shared" si="49"/>
        <v>-2.0590478197776627E-2</v>
      </c>
      <c r="X221" s="13">
        <f t="shared" si="49"/>
        <v>0.67289133981355675</v>
      </c>
      <c r="Y221" s="13">
        <f t="shared" si="49"/>
        <v>0.13821818131925115</v>
      </c>
    </row>
    <row r="222" spans="1:25" x14ac:dyDescent="0.25">
      <c r="A222" s="14">
        <f>[1]Data!A225</f>
        <v>44166</v>
      </c>
      <c r="B222" s="15">
        <f>[1]Data!B225</f>
        <v>3.6378837239044566E-2</v>
      </c>
      <c r="C222" s="15">
        <f>[1]Data!C225</f>
        <v>3.7455498346783508E-2</v>
      </c>
      <c r="D222" s="16">
        <f>[1]Data!F225</f>
        <v>1.6232651290830739E-2</v>
      </c>
      <c r="E222" s="17">
        <f>[1]Data!G225</f>
        <v>4.9572194513811414E-3</v>
      </c>
      <c r="F222" s="16">
        <f>[1]Data!H225</f>
        <v>1.9231100883604513E-2</v>
      </c>
      <c r="G222" s="17">
        <f>[1]Data!I225</f>
        <v>-2.0584412472849062E-2</v>
      </c>
      <c r="H222" s="18">
        <f t="shared" si="39"/>
        <v>-1</v>
      </c>
      <c r="I222" s="19">
        <f t="shared" si="48"/>
        <v>1</v>
      </c>
      <c r="J222" s="13">
        <f t="shared" si="40"/>
        <v>0</v>
      </c>
      <c r="K222" s="13">
        <f t="shared" si="41"/>
        <v>-1.6232651290830739E-2</v>
      </c>
      <c r="L222" s="13">
        <f t="shared" si="42"/>
        <v>0</v>
      </c>
      <c r="M222" s="13">
        <f t="shared" si="43"/>
        <v>4.9572194513811414E-3</v>
      </c>
      <c r="N222" s="13">
        <f t="shared" si="44"/>
        <v>1.9231100883604513E-2</v>
      </c>
      <c r="O222" s="13">
        <f t="shared" si="45"/>
        <v>0</v>
      </c>
      <c r="P222" s="13">
        <f t="shared" si="46"/>
        <v>2.0584412472849062E-2</v>
      </c>
      <c r="Q222" s="13">
        <f t="shared" si="47"/>
        <v>0</v>
      </c>
      <c r="R222" s="13">
        <f t="shared" si="50"/>
        <v>0.63450225057644138</v>
      </c>
      <c r="S222" s="13">
        <f t="shared" si="50"/>
        <v>0.12146871917819815</v>
      </c>
      <c r="T222" s="13">
        <f t="shared" si="50"/>
        <v>-0.33852683142968987</v>
      </c>
      <c r="U222" s="13">
        <f t="shared" si="49"/>
        <v>0.70265170744484995</v>
      </c>
      <c r="V222" s="13">
        <f t="shared" si="49"/>
        <v>0.63966225099394303</v>
      </c>
      <c r="W222" s="13">
        <f t="shared" si="49"/>
        <v>-2.0590478197776627E-2</v>
      </c>
      <c r="X222" s="13">
        <f t="shared" si="49"/>
        <v>0.69347575228640579</v>
      </c>
      <c r="Y222" s="13">
        <f t="shared" si="49"/>
        <v>0.13821818131925115</v>
      </c>
    </row>
    <row r="223" spans="1:25" x14ac:dyDescent="0.25">
      <c r="A223" s="14">
        <f>[1]Data!A226</f>
        <v>44197</v>
      </c>
      <c r="B223" s="15">
        <f>[1]Data!B226</f>
        <v>-1.0242863776633608E-2</v>
      </c>
      <c r="C223" s="15">
        <f>[1]Data!C226</f>
        <v>5.3800505606036331E-2</v>
      </c>
      <c r="D223" s="16">
        <f>[1]Data!F226</f>
        <v>-3.7965943621629986E-2</v>
      </c>
      <c r="E223" s="17">
        <f>[1]Data!G226</f>
        <v>-1.0926908059107593E-2</v>
      </c>
      <c r="F223" s="16">
        <f>[1]Data!H226</f>
        <v>1.9546640054376244E-2</v>
      </c>
      <c r="G223" s="17">
        <f>[1]Data!I226</f>
        <v>-4.1488033938793661E-2</v>
      </c>
      <c r="H223" s="18">
        <f t="shared" si="39"/>
        <v>-1</v>
      </c>
      <c r="I223" s="19">
        <f t="shared" si="48"/>
        <v>1</v>
      </c>
      <c r="J223" s="13">
        <f t="shared" si="40"/>
        <v>0</v>
      </c>
      <c r="K223" s="13">
        <f t="shared" si="41"/>
        <v>3.7965943621629986E-2</v>
      </c>
      <c r="L223" s="13">
        <f t="shared" si="42"/>
        <v>0</v>
      </c>
      <c r="M223" s="13">
        <f t="shared" si="43"/>
        <v>-1.0926908059107593E-2</v>
      </c>
      <c r="N223" s="13">
        <f t="shared" si="44"/>
        <v>1.9546640054376244E-2</v>
      </c>
      <c r="O223" s="13">
        <f t="shared" si="45"/>
        <v>0</v>
      </c>
      <c r="P223" s="13">
        <f t="shared" si="46"/>
        <v>4.1488033938793661E-2</v>
      </c>
      <c r="Q223" s="13">
        <f t="shared" si="47"/>
        <v>0</v>
      </c>
      <c r="R223" s="13">
        <f t="shared" si="50"/>
        <v>0.63450225057644138</v>
      </c>
      <c r="S223" s="13">
        <f t="shared" si="50"/>
        <v>0.15943466279982815</v>
      </c>
      <c r="T223" s="13">
        <f t="shared" si="50"/>
        <v>-0.33852683142968987</v>
      </c>
      <c r="U223" s="13">
        <f t="shared" si="49"/>
        <v>0.69172479938574238</v>
      </c>
      <c r="V223" s="13">
        <f t="shared" si="49"/>
        <v>0.65920889104831926</v>
      </c>
      <c r="W223" s="13">
        <f t="shared" si="49"/>
        <v>-2.0590478197776627E-2</v>
      </c>
      <c r="X223" s="13">
        <f t="shared" si="49"/>
        <v>0.73496378622519942</v>
      </c>
      <c r="Y223" s="13">
        <f t="shared" si="49"/>
        <v>0.13821818131925115</v>
      </c>
    </row>
    <row r="224" spans="1:25" x14ac:dyDescent="0.25">
      <c r="A224" s="14">
        <f>[1]Data!A227</f>
        <v>44228</v>
      </c>
      <c r="B224" s="15">
        <f>[1]Data!B227</f>
        <v>2.742605383338521E-2</v>
      </c>
      <c r="C224" s="15">
        <f>[1]Data!C227</f>
        <v>0.11043778553510218</v>
      </c>
      <c r="D224" s="16">
        <f>[1]Data!F227</f>
        <v>-1.7384024666514359E-2</v>
      </c>
      <c r="E224" s="17">
        <f>[1]Data!G227</f>
        <v>6.5892914761212194E-3</v>
      </c>
      <c r="F224" s="16">
        <f>[1]Data!H227</f>
        <v>4.6565654072414545E-2</v>
      </c>
      <c r="G224" s="17">
        <f>[1]Data!I227</f>
        <v>-2.5307333706020389E-2</v>
      </c>
      <c r="H224" s="18">
        <f t="shared" si="39"/>
        <v>-1</v>
      </c>
      <c r="I224" s="19">
        <f t="shared" si="48"/>
        <v>1</v>
      </c>
      <c r="J224" s="13">
        <f t="shared" si="40"/>
        <v>0</v>
      </c>
      <c r="K224" s="13">
        <f t="shared" si="41"/>
        <v>1.7384024666514359E-2</v>
      </c>
      <c r="L224" s="13">
        <f t="shared" si="42"/>
        <v>0</v>
      </c>
      <c r="M224" s="13">
        <f t="shared" si="43"/>
        <v>6.5892914761212194E-3</v>
      </c>
      <c r="N224" s="13">
        <f t="shared" si="44"/>
        <v>4.6565654072414545E-2</v>
      </c>
      <c r="O224" s="13">
        <f t="shared" si="45"/>
        <v>0</v>
      </c>
      <c r="P224" s="13">
        <f t="shared" si="46"/>
        <v>2.5307333706020389E-2</v>
      </c>
      <c r="Q224" s="13">
        <f t="shared" si="47"/>
        <v>0</v>
      </c>
      <c r="R224" s="13">
        <f t="shared" si="50"/>
        <v>0.63450225057644138</v>
      </c>
      <c r="S224" s="13">
        <f t="shared" si="50"/>
        <v>0.17681868746634252</v>
      </c>
      <c r="T224" s="13">
        <f t="shared" si="50"/>
        <v>-0.33852683142968987</v>
      </c>
      <c r="U224" s="13">
        <f t="shared" si="49"/>
        <v>0.69831409086186358</v>
      </c>
      <c r="V224" s="13">
        <f t="shared" si="49"/>
        <v>0.70577454512073379</v>
      </c>
      <c r="W224" s="13">
        <f t="shared" si="49"/>
        <v>-2.0590478197776627E-2</v>
      </c>
      <c r="X224" s="13">
        <f t="shared" si="49"/>
        <v>0.76027111993121976</v>
      </c>
      <c r="Y224" s="13">
        <f t="shared" si="49"/>
        <v>0.13821818131925115</v>
      </c>
    </row>
    <row r="225" spans="1:25" x14ac:dyDescent="0.25">
      <c r="A225" s="14">
        <f>[1]Data!A228</f>
        <v>44256</v>
      </c>
      <c r="B225" s="15">
        <f>[1]Data!B228</f>
        <v>4.4398912813180841E-2</v>
      </c>
      <c r="C225" s="15">
        <f>[1]Data!C228</f>
        <v>8.602422644532659E-2</v>
      </c>
      <c r="D225" s="16">
        <f>[1]Data!F228</f>
        <v>1.7434699494535747E-2</v>
      </c>
      <c r="E225" s="17">
        <f>[1]Data!G228</f>
        <v>5.1815325318994637E-3</v>
      </c>
      <c r="F225" s="16">
        <f>[1]Data!H228</f>
        <v>8.5603789557191674E-3</v>
      </c>
      <c r="G225" s="17">
        <f>[1]Data!I228</f>
        <v>-2.8655038580267456E-2</v>
      </c>
      <c r="H225" s="18">
        <f t="shared" si="39"/>
        <v>-1</v>
      </c>
      <c r="I225" s="19">
        <f t="shared" si="48"/>
        <v>1</v>
      </c>
      <c r="J225" s="13">
        <f t="shared" si="40"/>
        <v>0</v>
      </c>
      <c r="K225" s="13">
        <f t="shared" si="41"/>
        <v>-1.7434699494535747E-2</v>
      </c>
      <c r="L225" s="13">
        <f t="shared" si="42"/>
        <v>0</v>
      </c>
      <c r="M225" s="13">
        <f t="shared" si="43"/>
        <v>5.1815325318994637E-3</v>
      </c>
      <c r="N225" s="13">
        <f t="shared" si="44"/>
        <v>8.5603789557191674E-3</v>
      </c>
      <c r="O225" s="13">
        <f t="shared" si="45"/>
        <v>0</v>
      </c>
      <c r="P225" s="13">
        <f t="shared" si="46"/>
        <v>2.8655038580267456E-2</v>
      </c>
      <c r="Q225" s="13">
        <f t="shared" si="47"/>
        <v>0</v>
      </c>
      <c r="R225" s="13">
        <f t="shared" si="50"/>
        <v>0.63450225057644138</v>
      </c>
      <c r="S225" s="13">
        <f t="shared" si="50"/>
        <v>0.15938398797180678</v>
      </c>
      <c r="T225" s="13">
        <f t="shared" si="50"/>
        <v>-0.33852683142968987</v>
      </c>
      <c r="U225" s="13">
        <f t="shared" si="49"/>
        <v>0.70349562339376304</v>
      </c>
      <c r="V225" s="13">
        <f t="shared" si="49"/>
        <v>0.71433492407645294</v>
      </c>
      <c r="W225" s="13">
        <f t="shared" si="49"/>
        <v>-2.0590478197776627E-2</v>
      </c>
      <c r="X225" s="13">
        <f t="shared" si="49"/>
        <v>0.78892615851148717</v>
      </c>
      <c r="Y225" s="13">
        <f t="shared" si="49"/>
        <v>0.13821818131925115</v>
      </c>
    </row>
    <row r="226" spans="1:25" x14ac:dyDescent="0.25">
      <c r="A226" s="14">
        <f>[1]Data!A229</f>
        <v>44287</v>
      </c>
      <c r="B226" s="15">
        <f>[1]Data!B229</f>
        <v>5.1558238542363341E-2</v>
      </c>
      <c r="C226" s="15">
        <f>[1]Data!C229</f>
        <v>2.2431054914758015E-3</v>
      </c>
      <c r="D226" s="16">
        <f>[1]Data!F229</f>
        <v>1.2126781256457655E-2</v>
      </c>
      <c r="E226" s="17">
        <f>[1]Data!G229</f>
        <v>-1.2543451851814881E-2</v>
      </c>
      <c r="F226" s="16">
        <f>[1]Data!H229</f>
        <v>3.0293643363770127E-2</v>
      </c>
      <c r="G226" s="17">
        <f>[1]Data!I229</f>
        <v>2.0090355650542794E-2</v>
      </c>
      <c r="H226" s="18">
        <f t="shared" si="39"/>
        <v>-1</v>
      </c>
      <c r="I226" s="19">
        <f t="shared" si="48"/>
        <v>1</v>
      </c>
      <c r="J226" s="13">
        <f t="shared" si="40"/>
        <v>0</v>
      </c>
      <c r="K226" s="13">
        <f t="shared" si="41"/>
        <v>-1.2126781256457655E-2</v>
      </c>
      <c r="L226" s="13">
        <f t="shared" si="42"/>
        <v>0</v>
      </c>
      <c r="M226" s="13">
        <f t="shared" si="43"/>
        <v>-1.2543451851814881E-2</v>
      </c>
      <c r="N226" s="13">
        <f t="shared" si="44"/>
        <v>3.0293643363770127E-2</v>
      </c>
      <c r="O226" s="13">
        <f t="shared" si="45"/>
        <v>0</v>
      </c>
      <c r="P226" s="13">
        <f t="shared" si="46"/>
        <v>-2.0090355650542794E-2</v>
      </c>
      <c r="Q226" s="13">
        <f t="shared" si="47"/>
        <v>0</v>
      </c>
      <c r="R226" s="13">
        <f t="shared" si="50"/>
        <v>0.63450225057644138</v>
      </c>
      <c r="S226" s="13">
        <f t="shared" si="50"/>
        <v>0.14725720671534911</v>
      </c>
      <c r="T226" s="13">
        <f t="shared" si="50"/>
        <v>-0.33852683142968987</v>
      </c>
      <c r="U226" s="13">
        <f t="shared" si="49"/>
        <v>0.6909521715419481</v>
      </c>
      <c r="V226" s="13">
        <f t="shared" si="49"/>
        <v>0.7446285674402231</v>
      </c>
      <c r="W226" s="13">
        <f t="shared" si="49"/>
        <v>-2.0590478197776627E-2</v>
      </c>
      <c r="X226" s="13">
        <f t="shared" si="49"/>
        <v>0.76883580286094433</v>
      </c>
      <c r="Y226" s="13">
        <f t="shared" si="49"/>
        <v>0.13821818131925115</v>
      </c>
    </row>
    <row r="227" spans="1:25" x14ac:dyDescent="0.25">
      <c r="A227" s="14">
        <f>[1]Data!A230</f>
        <v>44317</v>
      </c>
      <c r="B227" s="15">
        <f>[1]Data!B230</f>
        <v>6.5446098984584186E-3</v>
      </c>
      <c r="C227" s="15">
        <f>[1]Data!C230</f>
        <v>-1.151218306930323E-4</v>
      </c>
      <c r="D227" s="16">
        <f>[1]Data!F230</f>
        <v>1.2215842357166922E-2</v>
      </c>
      <c r="E227" s="17">
        <f>[1]Data!G230</f>
        <v>5.5777026221061465E-3</v>
      </c>
      <c r="F227" s="16">
        <f>[1]Data!H230</f>
        <v>1.148423361336148E-2</v>
      </c>
      <c r="G227" s="17">
        <f>[1]Data!I230</f>
        <v>5.7119539558551256E-3</v>
      </c>
      <c r="H227" s="5">
        <f t="shared" si="39"/>
        <v>1</v>
      </c>
      <c r="I227" s="6">
        <f t="shared" si="48"/>
        <v>1</v>
      </c>
      <c r="J227" s="13">
        <f t="shared" si="40"/>
        <v>1.2215842357166922E-2</v>
      </c>
      <c r="K227" s="13">
        <f t="shared" si="41"/>
        <v>0</v>
      </c>
      <c r="L227" s="13">
        <f t="shared" si="42"/>
        <v>-5.5777026221061465E-3</v>
      </c>
      <c r="M227" s="13">
        <f t="shared" si="43"/>
        <v>0</v>
      </c>
      <c r="N227" s="13">
        <f t="shared" si="44"/>
        <v>1.148423361336148E-2</v>
      </c>
      <c r="O227" s="13">
        <f t="shared" si="45"/>
        <v>0</v>
      </c>
      <c r="P227" s="13">
        <f t="shared" si="46"/>
        <v>-5.7119539558551256E-3</v>
      </c>
      <c r="Q227" s="13">
        <f t="shared" si="47"/>
        <v>0</v>
      </c>
      <c r="R227" s="13">
        <f t="shared" si="50"/>
        <v>0.64671809293360827</v>
      </c>
      <c r="S227" s="13">
        <f t="shared" si="50"/>
        <v>0.14725720671534911</v>
      </c>
      <c r="T227" s="13">
        <f t="shared" si="50"/>
        <v>-0.34410453405179603</v>
      </c>
      <c r="U227" s="13">
        <f t="shared" si="49"/>
        <v>0.6909521715419481</v>
      </c>
      <c r="V227" s="13">
        <f t="shared" si="49"/>
        <v>0.75611280105358458</v>
      </c>
      <c r="W227" s="13">
        <f t="shared" si="49"/>
        <v>-2.0590478197776627E-2</v>
      </c>
      <c r="X227" s="13">
        <f t="shared" si="49"/>
        <v>0.76312384890508922</v>
      </c>
      <c r="Y227" s="13">
        <f t="shared" si="49"/>
        <v>0.13821818131925115</v>
      </c>
    </row>
    <row r="228" spans="1:25" x14ac:dyDescent="0.25">
      <c r="A228" s="14">
        <f>[1]Data!A231</f>
        <v>44348</v>
      </c>
      <c r="B228" s="15">
        <f>[1]Data!B231</f>
        <v>2.2179778274440821E-2</v>
      </c>
      <c r="C228" s="15">
        <f>[1]Data!C231</f>
        <v>-3.0655097020226812E-2</v>
      </c>
      <c r="D228" s="16">
        <f>[1]Data!F231</f>
        <v>1.696333741766997E-2</v>
      </c>
      <c r="E228" s="17">
        <f>[1]Data!G231</f>
        <v>7.3711573761226874E-3</v>
      </c>
      <c r="F228" s="16">
        <f>[1]Data!H231</f>
        <v>5.10547761978978E-3</v>
      </c>
      <c r="G228" s="17">
        <f>[1]Data!I231</f>
        <v>8.8507930187924858E-3</v>
      </c>
      <c r="H228" s="18">
        <f t="shared" si="39"/>
        <v>1</v>
      </c>
      <c r="I228" s="19">
        <f t="shared" si="48"/>
        <v>-1</v>
      </c>
      <c r="J228" s="13">
        <f t="shared" si="40"/>
        <v>1.696333741766997E-2</v>
      </c>
      <c r="K228" s="13">
        <f t="shared" si="41"/>
        <v>0</v>
      </c>
      <c r="L228" s="13">
        <f t="shared" si="42"/>
        <v>-7.3711573761226874E-3</v>
      </c>
      <c r="M228" s="13">
        <f t="shared" si="43"/>
        <v>0</v>
      </c>
      <c r="N228" s="13">
        <f t="shared" si="44"/>
        <v>0</v>
      </c>
      <c r="O228" s="13">
        <f t="shared" si="45"/>
        <v>-5.10547761978978E-3</v>
      </c>
      <c r="P228" s="13">
        <f t="shared" si="46"/>
        <v>0</v>
      </c>
      <c r="Q228" s="13">
        <f t="shared" si="47"/>
        <v>8.8507930187924858E-3</v>
      </c>
      <c r="R228" s="13">
        <f t="shared" si="50"/>
        <v>0.66368143035127825</v>
      </c>
      <c r="S228" s="13">
        <f t="shared" si="50"/>
        <v>0.14725720671534911</v>
      </c>
      <c r="T228" s="13">
        <f t="shared" si="50"/>
        <v>-0.35147569142791873</v>
      </c>
      <c r="U228" s="13">
        <f t="shared" si="49"/>
        <v>0.6909521715419481</v>
      </c>
      <c r="V228" s="13">
        <f t="shared" si="49"/>
        <v>0.75611280105358458</v>
      </c>
      <c r="W228" s="13">
        <f t="shared" si="49"/>
        <v>-2.5695955817566406E-2</v>
      </c>
      <c r="X228" s="13">
        <f t="shared" si="49"/>
        <v>0.76312384890508922</v>
      </c>
      <c r="Y228" s="13">
        <f t="shared" si="49"/>
        <v>0.14706897433804364</v>
      </c>
    </row>
    <row r="229" spans="1:25" x14ac:dyDescent="0.25">
      <c r="A229" s="14">
        <f>[1]Data!A232</f>
        <v>44378</v>
      </c>
      <c r="B229" s="15">
        <f>[1]Data!B232</f>
        <v>2.4119266388236284E-2</v>
      </c>
      <c r="C229" s="15">
        <f>[1]Data!C232</f>
        <v>-1.9218809799632017E-2</v>
      </c>
      <c r="D229" s="16">
        <f>[1]Data!F232</f>
        <v>6.9798021718870265E-3</v>
      </c>
      <c r="E229" s="17">
        <f>[1]Data!G232</f>
        <v>1.3392975497376024E-4</v>
      </c>
      <c r="F229" s="16">
        <f>[1]Data!H232</f>
        <v>6.6590971395921635E-3</v>
      </c>
      <c r="G229" s="17">
        <f>[1]Data!I232</f>
        <v>3.0454553422428508E-2</v>
      </c>
      <c r="H229" s="18">
        <f t="shared" si="39"/>
        <v>1</v>
      </c>
      <c r="I229" s="19">
        <f t="shared" si="48"/>
        <v>-1</v>
      </c>
      <c r="J229" s="13">
        <f t="shared" si="40"/>
        <v>6.9798021718870265E-3</v>
      </c>
      <c r="K229" s="13">
        <f t="shared" si="41"/>
        <v>0</v>
      </c>
      <c r="L229" s="13">
        <f t="shared" si="42"/>
        <v>-1.3392975497376024E-4</v>
      </c>
      <c r="M229" s="13">
        <f t="shared" si="43"/>
        <v>0</v>
      </c>
      <c r="N229" s="13">
        <f t="shared" si="44"/>
        <v>0</v>
      </c>
      <c r="O229" s="13">
        <f t="shared" si="45"/>
        <v>-6.6590971395921635E-3</v>
      </c>
      <c r="P229" s="13">
        <f t="shared" si="46"/>
        <v>0</v>
      </c>
      <c r="Q229" s="13">
        <f t="shared" si="47"/>
        <v>3.0454553422428508E-2</v>
      </c>
      <c r="R229" s="13">
        <f t="shared" si="50"/>
        <v>0.67066123252316523</v>
      </c>
      <c r="S229" s="13">
        <f t="shared" si="50"/>
        <v>0.14725720671534911</v>
      </c>
      <c r="T229" s="13">
        <f t="shared" si="50"/>
        <v>-0.35160962118289252</v>
      </c>
      <c r="U229" s="13">
        <f t="shared" si="49"/>
        <v>0.6909521715419481</v>
      </c>
      <c r="V229" s="13">
        <f t="shared" si="49"/>
        <v>0.75611280105358458</v>
      </c>
      <c r="W229" s="13">
        <f t="shared" si="49"/>
        <v>-3.235505295715857E-2</v>
      </c>
      <c r="X229" s="13">
        <f t="shared" si="49"/>
        <v>0.76312384890508922</v>
      </c>
      <c r="Y229" s="13">
        <f t="shared" si="49"/>
        <v>0.17752352776047214</v>
      </c>
    </row>
    <row r="230" spans="1:25" x14ac:dyDescent="0.25">
      <c r="A230" s="14">
        <f>[1]Data!A233</f>
        <v>44409</v>
      </c>
      <c r="B230" s="15">
        <f>[1]Data!B233</f>
        <v>2.9325454689421535E-2</v>
      </c>
      <c r="C230" s="15">
        <f>[1]Data!C233</f>
        <v>2.9162464152286509E-3</v>
      </c>
      <c r="D230" s="16">
        <f>[1]Data!F233</f>
        <v>1.8326270727281269E-2</v>
      </c>
      <c r="E230" s="17">
        <f>[1]Data!G233</f>
        <v>-1.1490464061884264E-2</v>
      </c>
      <c r="F230" s="16">
        <f>[1]Data!H233</f>
        <v>9.0350287328493824E-3</v>
      </c>
      <c r="G230" s="17">
        <f>[1]Data!I233</f>
        <v>-1.0487486988141873E-2</v>
      </c>
      <c r="H230" s="18">
        <f t="shared" si="39"/>
        <v>-1</v>
      </c>
      <c r="I230" s="19">
        <f t="shared" si="48"/>
        <v>-1</v>
      </c>
      <c r="J230" s="13">
        <f t="shared" si="40"/>
        <v>0</v>
      </c>
      <c r="K230" s="13">
        <f t="shared" si="41"/>
        <v>-1.8326270727281269E-2</v>
      </c>
      <c r="L230" s="13">
        <f t="shared" si="42"/>
        <v>0</v>
      </c>
      <c r="M230" s="13">
        <f t="shared" si="43"/>
        <v>-1.1490464061884264E-2</v>
      </c>
      <c r="N230" s="13">
        <f t="shared" si="44"/>
        <v>0</v>
      </c>
      <c r="O230" s="13">
        <f t="shared" si="45"/>
        <v>-9.0350287328493824E-3</v>
      </c>
      <c r="P230" s="13">
        <f t="shared" si="46"/>
        <v>0</v>
      </c>
      <c r="Q230" s="13">
        <f t="shared" si="47"/>
        <v>-1.0487486988141873E-2</v>
      </c>
      <c r="R230" s="13">
        <f t="shared" si="50"/>
        <v>0.67066123252316523</v>
      </c>
      <c r="S230" s="13">
        <f t="shared" si="50"/>
        <v>0.12893093598806785</v>
      </c>
      <c r="T230" s="13">
        <f t="shared" si="50"/>
        <v>-0.35160962118289252</v>
      </c>
      <c r="U230" s="13">
        <f t="shared" si="49"/>
        <v>0.67946170748006385</v>
      </c>
      <c r="V230" s="13">
        <f t="shared" si="49"/>
        <v>0.75611280105358458</v>
      </c>
      <c r="W230" s="13">
        <f t="shared" si="49"/>
        <v>-4.1390081690007949E-2</v>
      </c>
      <c r="X230" s="13">
        <f t="shared" si="49"/>
        <v>0.76312384890508922</v>
      </c>
      <c r="Y230" s="13">
        <f t="shared" si="49"/>
        <v>0.16703604077233028</v>
      </c>
    </row>
    <row r="231" spans="1:25" x14ac:dyDescent="0.25">
      <c r="A231" s="14">
        <f>[1]Data!A234</f>
        <v>44440</v>
      </c>
      <c r="B231" s="15">
        <f>[1]Data!B234</f>
        <v>-4.772644369023616E-2</v>
      </c>
      <c r="C231" s="15">
        <f>[1]Data!C234</f>
        <v>-4.8574503818244685E-2</v>
      </c>
      <c r="D231" s="16">
        <f>[1]Data!F234</f>
        <v>-2.0115820546968352E-2</v>
      </c>
      <c r="E231" s="17">
        <f>[1]Data!G234</f>
        <v>-5.0464856597345863E-2</v>
      </c>
      <c r="F231" s="16">
        <f>[1]Data!H234</f>
        <v>-1.4405299472210753E-3</v>
      </c>
      <c r="G231" s="17">
        <f>[1]Data!I234</f>
        <v>-4.7948403519810535E-3</v>
      </c>
      <c r="H231" s="18">
        <f t="shared" si="39"/>
        <v>1</v>
      </c>
      <c r="I231" s="19">
        <f t="shared" si="48"/>
        <v>1</v>
      </c>
      <c r="J231" s="13">
        <f t="shared" si="40"/>
        <v>-2.0115820546968352E-2</v>
      </c>
      <c r="K231" s="13">
        <f t="shared" si="41"/>
        <v>0</v>
      </c>
      <c r="L231" s="13">
        <f t="shared" si="42"/>
        <v>5.0464856597345863E-2</v>
      </c>
      <c r="M231" s="13">
        <f t="shared" si="43"/>
        <v>0</v>
      </c>
      <c r="N231" s="13">
        <f t="shared" si="44"/>
        <v>-1.4405299472210753E-3</v>
      </c>
      <c r="O231" s="13">
        <f t="shared" si="45"/>
        <v>0</v>
      </c>
      <c r="P231" s="13">
        <f t="shared" si="46"/>
        <v>4.7948403519810535E-3</v>
      </c>
      <c r="Q231" s="13">
        <f t="shared" si="47"/>
        <v>0</v>
      </c>
      <c r="R231" s="13">
        <f t="shared" si="50"/>
        <v>0.65054541197619686</v>
      </c>
      <c r="S231" s="13">
        <f t="shared" si="50"/>
        <v>0.12893093598806785</v>
      </c>
      <c r="T231" s="13">
        <f t="shared" si="50"/>
        <v>-0.30114476458554668</v>
      </c>
      <c r="U231" s="13">
        <f t="shared" si="49"/>
        <v>0.67946170748006385</v>
      </c>
      <c r="V231" s="13">
        <f t="shared" si="49"/>
        <v>0.75467227110636348</v>
      </c>
      <c r="W231" s="13">
        <f t="shared" si="49"/>
        <v>-4.1390081690007949E-2</v>
      </c>
      <c r="X231" s="13">
        <f t="shared" si="49"/>
        <v>0.7679186892570703</v>
      </c>
      <c r="Y231" s="13">
        <f t="shared" si="49"/>
        <v>0.16703604077233028</v>
      </c>
    </row>
    <row r="232" spans="1:25" x14ac:dyDescent="0.25">
      <c r="A232" s="14">
        <f>[1]Data!A235</f>
        <v>44470</v>
      </c>
      <c r="B232" s="15">
        <f>[1]Data!B235</f>
        <v>6.7811520185359464E-2</v>
      </c>
      <c r="C232" s="15">
        <f>[1]Data!C235</f>
        <v>6.641177784413213E-2</v>
      </c>
      <c r="D232" s="16">
        <f>[1]Data!F235</f>
        <v>1.2401001113649456E-2</v>
      </c>
      <c r="E232" s="17">
        <f>[1]Data!G235</f>
        <v>3.5352190616262616E-2</v>
      </c>
      <c r="F232" s="16">
        <f>[1]Data!H235</f>
        <v>2.1941322895229948E-2</v>
      </c>
      <c r="G232" s="17">
        <f>[1]Data!I235</f>
        <v>-8.7589070445465121E-3</v>
      </c>
      <c r="H232" s="18">
        <f t="shared" si="39"/>
        <v>-1</v>
      </c>
      <c r="I232" s="19">
        <f t="shared" si="48"/>
        <v>-1</v>
      </c>
      <c r="J232" s="13">
        <f t="shared" si="40"/>
        <v>0</v>
      </c>
      <c r="K232" s="13">
        <f t="shared" si="41"/>
        <v>-1.2401001113649456E-2</v>
      </c>
      <c r="L232" s="13">
        <f t="shared" si="42"/>
        <v>0</v>
      </c>
      <c r="M232" s="13">
        <f t="shared" si="43"/>
        <v>3.5352190616262616E-2</v>
      </c>
      <c r="N232" s="13">
        <f t="shared" si="44"/>
        <v>0</v>
      </c>
      <c r="O232" s="13">
        <f t="shared" si="45"/>
        <v>-2.1941322895229948E-2</v>
      </c>
      <c r="P232" s="13">
        <f t="shared" si="46"/>
        <v>0</v>
      </c>
      <c r="Q232" s="13">
        <f t="shared" si="47"/>
        <v>-8.7589070445465121E-3</v>
      </c>
      <c r="R232" s="13">
        <f t="shared" si="50"/>
        <v>0.65054541197619686</v>
      </c>
      <c r="S232" s="13">
        <f t="shared" si="50"/>
        <v>0.11652993487441839</v>
      </c>
      <c r="T232" s="13">
        <f t="shared" si="50"/>
        <v>-0.30114476458554668</v>
      </c>
      <c r="U232" s="13">
        <f t="shared" si="49"/>
        <v>0.71481389809632645</v>
      </c>
      <c r="V232" s="13">
        <f t="shared" si="49"/>
        <v>0.75467227110636348</v>
      </c>
      <c r="W232" s="13">
        <f t="shared" si="49"/>
        <v>-6.3331404585237894E-2</v>
      </c>
      <c r="X232" s="13">
        <f t="shared" si="49"/>
        <v>0.7679186892570703</v>
      </c>
      <c r="Y232" s="13">
        <f t="shared" si="49"/>
        <v>0.15827713372778376</v>
      </c>
    </row>
    <row r="233" spans="1:25" x14ac:dyDescent="0.25">
      <c r="A233" s="14">
        <f>[1]Data!A236</f>
        <v>44501</v>
      </c>
      <c r="B233" s="15">
        <f>[1]Data!B236</f>
        <v>-8.0673554045536805E-3</v>
      </c>
      <c r="C233" s="15">
        <f>[1]Data!C236</f>
        <v>1.4972978925412972E-2</v>
      </c>
      <c r="D233" s="16">
        <f>[1]Data!F236</f>
        <v>-2.8840826497794219E-2</v>
      </c>
      <c r="E233" s="17">
        <f>[1]Data!G236</f>
        <v>2.1537887401986894E-2</v>
      </c>
      <c r="F233" s="16">
        <f>[1]Data!H236</f>
        <v>2.0005490052964581E-2</v>
      </c>
      <c r="G233" s="17">
        <f>[1]Data!I236</f>
        <v>1.2116522201603058E-2</v>
      </c>
      <c r="H233" s="18">
        <f t="shared" si="39"/>
        <v>-1</v>
      </c>
      <c r="I233" s="19">
        <f t="shared" si="48"/>
        <v>1</v>
      </c>
      <c r="J233" s="13">
        <f t="shared" si="40"/>
        <v>0</v>
      </c>
      <c r="K233" s="13">
        <f t="shared" si="41"/>
        <v>2.8840826497794219E-2</v>
      </c>
      <c r="L233" s="13">
        <f t="shared" si="42"/>
        <v>0</v>
      </c>
      <c r="M233" s="13">
        <f t="shared" si="43"/>
        <v>2.1537887401986894E-2</v>
      </c>
      <c r="N233" s="13">
        <f t="shared" si="44"/>
        <v>2.0005490052964581E-2</v>
      </c>
      <c r="O233" s="13">
        <f t="shared" si="45"/>
        <v>0</v>
      </c>
      <c r="P233" s="13">
        <f t="shared" si="46"/>
        <v>-1.2116522201603058E-2</v>
      </c>
      <c r="Q233" s="13">
        <f t="shared" si="47"/>
        <v>0</v>
      </c>
      <c r="R233" s="13">
        <f t="shared" si="50"/>
        <v>0.65054541197619686</v>
      </c>
      <c r="S233" s="13">
        <f t="shared" si="50"/>
        <v>0.14537076137221261</v>
      </c>
      <c r="T233" s="13">
        <f t="shared" si="50"/>
        <v>-0.30114476458554668</v>
      </c>
      <c r="U233" s="13">
        <f t="shared" si="49"/>
        <v>0.73635178549831337</v>
      </c>
      <c r="V233" s="13">
        <f t="shared" si="49"/>
        <v>0.77467776115932807</v>
      </c>
      <c r="W233" s="13">
        <f t="shared" si="49"/>
        <v>-6.3331404585237894E-2</v>
      </c>
      <c r="X233" s="13">
        <f t="shared" si="49"/>
        <v>0.75580216705546721</v>
      </c>
      <c r="Y233" s="13">
        <f t="shared" si="49"/>
        <v>0.15827713372778376</v>
      </c>
    </row>
    <row r="234" spans="1:25" x14ac:dyDescent="0.25">
      <c r="A234" s="14">
        <f>[1]Data!A237</f>
        <v>44531</v>
      </c>
      <c r="B234" s="15">
        <f>[1]Data!B237</f>
        <v>4.5210268361061477E-2</v>
      </c>
      <c r="C234" s="15">
        <f>[1]Data!C237</f>
        <v>3.3856448687732785E-2</v>
      </c>
      <c r="D234" s="16">
        <f>[1]Data!F237</f>
        <v>2.5374119839260571E-2</v>
      </c>
      <c r="E234" s="17">
        <f>[1]Data!G237</f>
        <v>-6.323674093309908E-3</v>
      </c>
      <c r="F234" s="16">
        <f>[1]Data!H237</f>
        <v>2.7538990939022526E-2</v>
      </c>
      <c r="G234" s="17">
        <f>[1]Data!I237</f>
        <v>-2.6852351765409531E-3</v>
      </c>
      <c r="H234" s="18">
        <f t="shared" si="39"/>
        <v>-1</v>
      </c>
      <c r="I234" s="19">
        <f t="shared" si="48"/>
        <v>1</v>
      </c>
      <c r="J234" s="13">
        <f t="shared" si="40"/>
        <v>0</v>
      </c>
      <c r="K234" s="13">
        <f t="shared" si="41"/>
        <v>-2.5374119839260571E-2</v>
      </c>
      <c r="L234" s="13">
        <f t="shared" si="42"/>
        <v>0</v>
      </c>
      <c r="M234" s="13">
        <f t="shared" si="43"/>
        <v>-6.323674093309908E-3</v>
      </c>
      <c r="N234" s="13">
        <f t="shared" si="44"/>
        <v>2.7538990939022526E-2</v>
      </c>
      <c r="O234" s="13">
        <f t="shared" si="45"/>
        <v>0</v>
      </c>
      <c r="P234" s="13">
        <f t="shared" si="46"/>
        <v>2.6852351765409531E-3</v>
      </c>
      <c r="Q234" s="13">
        <f t="shared" si="47"/>
        <v>0</v>
      </c>
      <c r="R234" s="13">
        <f t="shared" si="50"/>
        <v>0.65054541197619686</v>
      </c>
      <c r="S234" s="13">
        <f t="shared" si="50"/>
        <v>0.11999664153295203</v>
      </c>
      <c r="T234" s="13">
        <f t="shared" si="50"/>
        <v>-0.30114476458554668</v>
      </c>
      <c r="U234" s="13">
        <f t="shared" si="49"/>
        <v>0.73002811140500345</v>
      </c>
      <c r="V234" s="13">
        <f t="shared" si="49"/>
        <v>0.80221675209835064</v>
      </c>
      <c r="W234" s="13">
        <f t="shared" si="49"/>
        <v>-6.3331404585237894E-2</v>
      </c>
      <c r="X234" s="13">
        <f t="shared" si="49"/>
        <v>0.75848740223200817</v>
      </c>
      <c r="Y234" s="13">
        <f t="shared" si="49"/>
        <v>0.15827713372778376</v>
      </c>
    </row>
    <row r="235" spans="1:25" x14ac:dyDescent="0.25">
      <c r="A235" s="14">
        <f>[1]Data!A238</f>
        <v>44562</v>
      </c>
      <c r="B235" s="15">
        <f>[1]Data!B238</f>
        <v>-5.4183147552412894E-2</v>
      </c>
      <c r="C235" s="15">
        <f>[1]Data!C238</f>
        <v>-3.7315541756700842E-2</v>
      </c>
      <c r="D235" s="16">
        <f>[1]Data!F238</f>
        <v>2.2636409234365662E-2</v>
      </c>
      <c r="E235" s="17">
        <f>[1]Data!G238</f>
        <v>-4.2129798501501243E-4</v>
      </c>
      <c r="F235" s="16">
        <f>[1]Data!H238</f>
        <v>-1.8851744402737389E-2</v>
      </c>
      <c r="G235" s="17">
        <f>[1]Data!I238</f>
        <v>-4.0838967133271536E-2</v>
      </c>
      <c r="H235" s="18">
        <f t="shared" si="39"/>
        <v>1</v>
      </c>
      <c r="I235" s="19">
        <f t="shared" si="48"/>
        <v>1</v>
      </c>
      <c r="J235" s="13">
        <f t="shared" si="40"/>
        <v>2.2636409234365662E-2</v>
      </c>
      <c r="K235" s="13">
        <f t="shared" si="41"/>
        <v>0</v>
      </c>
      <c r="L235" s="13">
        <f t="shared" si="42"/>
        <v>4.2129798501501243E-4</v>
      </c>
      <c r="M235" s="13">
        <f t="shared" si="43"/>
        <v>0</v>
      </c>
      <c r="N235" s="13">
        <f t="shared" si="44"/>
        <v>-1.8851744402737389E-2</v>
      </c>
      <c r="O235" s="13">
        <f t="shared" si="45"/>
        <v>0</v>
      </c>
      <c r="P235" s="13">
        <f t="shared" si="46"/>
        <v>4.0838967133271536E-2</v>
      </c>
      <c r="Q235" s="13">
        <f t="shared" si="47"/>
        <v>0</v>
      </c>
      <c r="R235" s="13">
        <f t="shared" si="50"/>
        <v>0.67318182121056247</v>
      </c>
      <c r="S235" s="13">
        <f t="shared" si="50"/>
        <v>0.11999664153295203</v>
      </c>
      <c r="T235" s="13">
        <f t="shared" si="50"/>
        <v>-0.30072346660053167</v>
      </c>
      <c r="U235" s="13">
        <f t="shared" si="49"/>
        <v>0.73002811140500345</v>
      </c>
      <c r="V235" s="13">
        <f t="shared" si="49"/>
        <v>0.78336500769561324</v>
      </c>
      <c r="W235" s="13">
        <f t="shared" si="49"/>
        <v>-6.3331404585237894E-2</v>
      </c>
      <c r="X235" s="13">
        <f t="shared" si="49"/>
        <v>0.79932636936527968</v>
      </c>
      <c r="Y235" s="13">
        <f t="shared" si="49"/>
        <v>0.15827713372778376</v>
      </c>
    </row>
    <row r="236" spans="1:25" x14ac:dyDescent="0.25">
      <c r="A236" s="14">
        <f>[1]Data!A239</f>
        <v>44593</v>
      </c>
      <c r="B236" s="15">
        <f>[1]Data!B239</f>
        <v>-2.9961465282810056E-2</v>
      </c>
      <c r="C236" s="15">
        <f>[1]Data!C239</f>
        <v>-2.0604266682628408E-2</v>
      </c>
      <c r="D236" s="16">
        <f>[1]Data!F239</f>
        <v>1.6301219398284696E-2</v>
      </c>
      <c r="E236" s="17">
        <f>[1]Data!G239</f>
        <v>9.1934973856490493E-3</v>
      </c>
      <c r="F236" s="16">
        <f>[1]Data!H239</f>
        <v>-5.9072520587277015E-3</v>
      </c>
      <c r="G236" s="17">
        <f>[1]Data!I239</f>
        <v>-2.1985102829656576E-2</v>
      </c>
      <c r="H236" s="18">
        <f t="shared" si="39"/>
        <v>1</v>
      </c>
      <c r="I236" s="19">
        <f t="shared" si="48"/>
        <v>-1</v>
      </c>
      <c r="J236" s="13">
        <f t="shared" si="40"/>
        <v>1.6301219398284696E-2</v>
      </c>
      <c r="K236" s="13">
        <f t="shared" si="41"/>
        <v>0</v>
      </c>
      <c r="L236" s="13">
        <f t="shared" si="42"/>
        <v>-9.1934973856490493E-3</v>
      </c>
      <c r="M236" s="13">
        <f t="shared" si="43"/>
        <v>0</v>
      </c>
      <c r="N236" s="13">
        <f t="shared" si="44"/>
        <v>0</v>
      </c>
      <c r="O236" s="13">
        <f t="shared" si="45"/>
        <v>5.9072520587277015E-3</v>
      </c>
      <c r="P236" s="13">
        <f t="shared" si="46"/>
        <v>0</v>
      </c>
      <c r="Q236" s="13">
        <f t="shared" si="47"/>
        <v>-2.1985102829656576E-2</v>
      </c>
      <c r="R236" s="13">
        <f t="shared" si="50"/>
        <v>0.68948304060884713</v>
      </c>
      <c r="S236" s="13">
        <f t="shared" si="50"/>
        <v>0.11999664153295203</v>
      </c>
      <c r="T236" s="13">
        <f t="shared" si="50"/>
        <v>-0.30991696398618074</v>
      </c>
      <c r="U236" s="13">
        <f t="shared" si="49"/>
        <v>0.73002811140500345</v>
      </c>
      <c r="V236" s="13">
        <f t="shared" si="49"/>
        <v>0.78336500769561324</v>
      </c>
      <c r="W236" s="13">
        <f t="shared" si="49"/>
        <v>-5.7424152526510189E-2</v>
      </c>
      <c r="X236" s="13">
        <f t="shared" si="49"/>
        <v>0.79932636936527968</v>
      </c>
      <c r="Y236" s="13">
        <f t="shared" si="49"/>
        <v>0.13629203089812719</v>
      </c>
    </row>
    <row r="237" spans="1:25" x14ac:dyDescent="0.25">
      <c r="A237" s="14">
        <f>[1]Data!A240</f>
        <v>44621</v>
      </c>
      <c r="B237" s="15">
        <f>[1]Data!B240</f>
        <v>3.6901152909018811E-2</v>
      </c>
      <c r="C237" s="15">
        <f>[1]Data!C240</f>
        <v>8.9885063159876544E-2</v>
      </c>
      <c r="D237" s="16">
        <f>[1]Data!F240</f>
        <v>1.6182762188979259E-2</v>
      </c>
      <c r="E237" s="17">
        <f>[1]Data!G240</f>
        <v>1.3184671065982648E-2</v>
      </c>
      <c r="F237" s="16">
        <f>[1]Data!H240</f>
        <v>-4.0189359076868367E-2</v>
      </c>
      <c r="G237" s="17">
        <f>[1]Data!I240</f>
        <v>-3.6936724875798934E-3</v>
      </c>
      <c r="H237" s="18">
        <f t="shared" si="39"/>
        <v>-1</v>
      </c>
      <c r="I237" s="19">
        <f t="shared" si="48"/>
        <v>-1</v>
      </c>
      <c r="J237" s="13">
        <f t="shared" si="40"/>
        <v>0</v>
      </c>
      <c r="K237" s="13">
        <f t="shared" si="41"/>
        <v>-1.6182762188979259E-2</v>
      </c>
      <c r="L237" s="13">
        <f t="shared" si="42"/>
        <v>0</v>
      </c>
      <c r="M237" s="13">
        <f t="shared" si="43"/>
        <v>1.3184671065982648E-2</v>
      </c>
      <c r="N237" s="13">
        <f t="shared" si="44"/>
        <v>0</v>
      </c>
      <c r="O237" s="13">
        <f t="shared" si="45"/>
        <v>4.0189359076868367E-2</v>
      </c>
      <c r="P237" s="13">
        <f t="shared" si="46"/>
        <v>0</v>
      </c>
      <c r="Q237" s="13">
        <f t="shared" si="47"/>
        <v>-3.6936724875798934E-3</v>
      </c>
      <c r="R237" s="13">
        <f t="shared" si="50"/>
        <v>0.68948304060884713</v>
      </c>
      <c r="S237" s="13">
        <f t="shared" si="50"/>
        <v>0.10381387934397276</v>
      </c>
      <c r="T237" s="13">
        <f t="shared" si="50"/>
        <v>-0.30991696398618074</v>
      </c>
      <c r="U237" s="13">
        <f t="shared" si="49"/>
        <v>0.7432127824709861</v>
      </c>
      <c r="V237" s="13">
        <f t="shared" si="49"/>
        <v>0.78336500769561324</v>
      </c>
      <c r="W237" s="13">
        <f t="shared" si="49"/>
        <v>-1.7234793449641822E-2</v>
      </c>
      <c r="X237" s="13">
        <f t="shared" si="49"/>
        <v>0.79932636936527968</v>
      </c>
      <c r="Y237" s="13">
        <f t="shared" si="49"/>
        <v>0.13259835841054729</v>
      </c>
    </row>
    <row r="238" spans="1:25" x14ac:dyDescent="0.25">
      <c r="A238" s="14">
        <f>[1]Data!A241</f>
        <v>44652</v>
      </c>
      <c r="B238" s="15">
        <f>[1]Data!B241</f>
        <v>-9.1862059431613879E-2</v>
      </c>
      <c r="C238" s="15">
        <f>[1]Data!C241</f>
        <v>3.6116596232121351E-2</v>
      </c>
      <c r="D238" s="16">
        <f>[1]Data!F241</f>
        <v>-3.3509970123769106E-2</v>
      </c>
      <c r="E238" s="17">
        <f>[1]Data!G241</f>
        <v>-4.5106034144923278E-3</v>
      </c>
      <c r="F238" s="16">
        <f>[1]Data!H241</f>
        <v>-6.3748698554428338E-3</v>
      </c>
      <c r="G238" s="17">
        <f>[1]Data!I241</f>
        <v>-4.1713923872158269E-2</v>
      </c>
      <c r="H238" s="18">
        <f t="shared" si="39"/>
        <v>-1</v>
      </c>
      <c r="I238" s="19">
        <f t="shared" si="48"/>
        <v>1</v>
      </c>
      <c r="J238" s="13">
        <f t="shared" si="40"/>
        <v>0</v>
      </c>
      <c r="K238" s="13">
        <f t="shared" si="41"/>
        <v>3.3509970123769106E-2</v>
      </c>
      <c r="L238" s="13">
        <f t="shared" si="42"/>
        <v>0</v>
      </c>
      <c r="M238" s="13">
        <f t="shared" si="43"/>
        <v>-4.5106034144923278E-3</v>
      </c>
      <c r="N238" s="13">
        <f t="shared" si="44"/>
        <v>-6.3748698554428338E-3</v>
      </c>
      <c r="O238" s="13">
        <f t="shared" si="45"/>
        <v>0</v>
      </c>
      <c r="P238" s="13">
        <f t="shared" si="46"/>
        <v>4.1713923872158269E-2</v>
      </c>
      <c r="Q238" s="13">
        <f t="shared" si="47"/>
        <v>0</v>
      </c>
      <c r="R238" s="13">
        <f t="shared" si="50"/>
        <v>0.68948304060884713</v>
      </c>
      <c r="S238" s="13">
        <f t="shared" si="50"/>
        <v>0.13732384946774187</v>
      </c>
      <c r="T238" s="13">
        <f t="shared" si="50"/>
        <v>-0.30991696398618074</v>
      </c>
      <c r="U238" s="13">
        <f t="shared" si="49"/>
        <v>0.73870217905649382</v>
      </c>
      <c r="V238" s="13">
        <f t="shared" si="49"/>
        <v>0.77699013784017035</v>
      </c>
      <c r="W238" s="13">
        <f t="shared" si="49"/>
        <v>-1.7234793449641822E-2</v>
      </c>
      <c r="X238" s="13">
        <f t="shared" si="49"/>
        <v>0.8410402932374379</v>
      </c>
      <c r="Y238" s="13">
        <f t="shared" si="49"/>
        <v>0.13259835841054729</v>
      </c>
    </row>
    <row r="239" spans="1:25" x14ac:dyDescent="0.25">
      <c r="A239" s="14">
        <f>[1]Data!A242</f>
        <v>44682</v>
      </c>
      <c r="B239" s="15">
        <f>[1]Data!B242</f>
        <v>2.2547708845364368E-3</v>
      </c>
      <c r="C239" s="15">
        <f>[1]Data!C242</f>
        <v>-4.9625936824924513E-2</v>
      </c>
      <c r="D239" s="16">
        <f>[1]Data!F242</f>
        <v>5.8080529031280477E-2</v>
      </c>
      <c r="E239" s="17">
        <f>[1]Data!G242</f>
        <v>-1.6590826960377794E-2</v>
      </c>
      <c r="F239" s="16">
        <f>[1]Data!H242</f>
        <v>-1.6031069070328533E-3</v>
      </c>
      <c r="G239" s="17">
        <f>[1]Data!I242</f>
        <v>-4.7897659323441547E-2</v>
      </c>
      <c r="H239" s="18">
        <f t="shared" si="39"/>
        <v>1</v>
      </c>
      <c r="I239" s="19">
        <f t="shared" si="48"/>
        <v>1</v>
      </c>
      <c r="J239" s="13">
        <f t="shared" si="40"/>
        <v>5.8080529031280477E-2</v>
      </c>
      <c r="K239" s="13">
        <f t="shared" si="41"/>
        <v>0</v>
      </c>
      <c r="L239" s="13">
        <f t="shared" si="42"/>
        <v>1.6590826960377794E-2</v>
      </c>
      <c r="M239" s="13">
        <f t="shared" si="43"/>
        <v>0</v>
      </c>
      <c r="N239" s="13">
        <f t="shared" si="44"/>
        <v>-1.6031069070328533E-3</v>
      </c>
      <c r="O239" s="13">
        <f t="shared" si="45"/>
        <v>0</v>
      </c>
      <c r="P239" s="13">
        <f t="shared" si="46"/>
        <v>4.7897659323441547E-2</v>
      </c>
      <c r="Q239" s="13">
        <f t="shared" si="47"/>
        <v>0</v>
      </c>
      <c r="R239" s="13">
        <f t="shared" si="50"/>
        <v>0.7475635696401276</v>
      </c>
      <c r="S239" s="13">
        <f t="shared" si="50"/>
        <v>0.13732384946774187</v>
      </c>
      <c r="T239" s="13">
        <f t="shared" si="50"/>
        <v>-0.29332613702580296</v>
      </c>
      <c r="U239" s="13">
        <f t="shared" si="49"/>
        <v>0.73870217905649382</v>
      </c>
      <c r="V239" s="13">
        <f t="shared" si="49"/>
        <v>0.77538703093313754</v>
      </c>
      <c r="W239" s="13">
        <f t="shared" si="49"/>
        <v>-1.7234793449641822E-2</v>
      </c>
      <c r="X239" s="13">
        <f t="shared" si="49"/>
        <v>0.88893795256087949</v>
      </c>
      <c r="Y239" s="13">
        <f t="shared" si="49"/>
        <v>0.13259835841054729</v>
      </c>
    </row>
    <row r="240" spans="1:25" x14ac:dyDescent="0.25">
      <c r="A240" s="14">
        <f>[1]Data!A243</f>
        <v>44713</v>
      </c>
      <c r="B240" s="15">
        <f>[1]Data!B243</f>
        <v>-8.6059583848674445E-2</v>
      </c>
      <c r="C240" s="15">
        <f>[1]Data!C243</f>
        <v>-6.6284959335857985E-2</v>
      </c>
      <c r="D240" s="16">
        <f>[1]Data!F243</f>
        <v>7.6098943102592912E-3</v>
      </c>
      <c r="E240" s="17">
        <f>[1]Data!G243</f>
        <v>1.4556806555055089E-2</v>
      </c>
      <c r="F240" s="16">
        <f>[1]Data!H243</f>
        <v>6.7820448430330922E-3</v>
      </c>
      <c r="G240" s="17">
        <f>[1]Data!I243</f>
        <v>-1.0653574469724036E-2</v>
      </c>
      <c r="H240" s="18">
        <f t="shared" si="39"/>
        <v>1</v>
      </c>
      <c r="I240" s="19">
        <f t="shared" si="48"/>
        <v>-1</v>
      </c>
      <c r="J240" s="13">
        <f t="shared" si="40"/>
        <v>7.6098943102592912E-3</v>
      </c>
      <c r="K240" s="13">
        <f t="shared" si="41"/>
        <v>0</v>
      </c>
      <c r="L240" s="13">
        <f t="shared" si="42"/>
        <v>-1.4556806555055089E-2</v>
      </c>
      <c r="M240" s="13">
        <f t="shared" si="43"/>
        <v>0</v>
      </c>
      <c r="N240" s="13">
        <f t="shared" si="44"/>
        <v>0</v>
      </c>
      <c r="O240" s="13">
        <f t="shared" si="45"/>
        <v>-6.7820448430330922E-3</v>
      </c>
      <c r="P240" s="13">
        <f t="shared" si="46"/>
        <v>0</v>
      </c>
      <c r="Q240" s="13">
        <f t="shared" si="47"/>
        <v>-1.0653574469724036E-2</v>
      </c>
      <c r="R240" s="13">
        <f t="shared" si="50"/>
        <v>0.75517346395038687</v>
      </c>
      <c r="S240" s="13">
        <f t="shared" si="50"/>
        <v>0.13732384946774187</v>
      </c>
      <c r="T240" s="13">
        <f t="shared" si="50"/>
        <v>-0.30788294358085805</v>
      </c>
      <c r="U240" s="13">
        <f t="shared" si="49"/>
        <v>0.73870217905649382</v>
      </c>
      <c r="V240" s="13">
        <f t="shared" si="49"/>
        <v>0.77538703093313754</v>
      </c>
      <c r="W240" s="13">
        <f t="shared" si="49"/>
        <v>-2.4016838292674914E-2</v>
      </c>
      <c r="X240" s="13">
        <f t="shared" si="49"/>
        <v>0.88893795256087949</v>
      </c>
      <c r="Y240" s="13">
        <f t="shared" si="49"/>
        <v>0.12194478394082325</v>
      </c>
    </row>
    <row r="241" spans="1:25" x14ac:dyDescent="0.25">
      <c r="A241" s="14">
        <f>[1]Data!A244</f>
        <v>44743</v>
      </c>
      <c r="B241" s="15">
        <f>[1]Data!B244</f>
        <v>8.8091124831144063E-2</v>
      </c>
      <c r="C241" s="15">
        <f>[1]Data!C244</f>
        <v>1.2693886789839605E-2</v>
      </c>
      <c r="D241" s="16">
        <f>[1]Data!F244</f>
        <v>4.1885610161670708E-2</v>
      </c>
      <c r="E241" s="17">
        <f>[1]Data!G244</f>
        <v>-9.4922099550556385E-3</v>
      </c>
      <c r="F241" s="16">
        <f>[1]Data!H244</f>
        <v>2.9822572227213E-2</v>
      </c>
      <c r="G241" s="17">
        <f>[1]Data!I244</f>
        <v>-1.886995706164055E-2</v>
      </c>
      <c r="H241" s="18">
        <f t="shared" si="39"/>
        <v>-1</v>
      </c>
      <c r="I241" s="19">
        <f t="shared" si="48"/>
        <v>-1</v>
      </c>
      <c r="J241" s="13">
        <f t="shared" si="40"/>
        <v>0</v>
      </c>
      <c r="K241" s="13">
        <f t="shared" si="41"/>
        <v>-4.1885610161670708E-2</v>
      </c>
      <c r="L241" s="13">
        <f t="shared" si="42"/>
        <v>0</v>
      </c>
      <c r="M241" s="13">
        <f t="shared" si="43"/>
        <v>-9.4922099550556385E-3</v>
      </c>
      <c r="N241" s="13">
        <f t="shared" si="44"/>
        <v>0</v>
      </c>
      <c r="O241" s="13">
        <f t="shared" si="45"/>
        <v>-2.9822572227213E-2</v>
      </c>
      <c r="P241" s="13">
        <f t="shared" si="46"/>
        <v>0</v>
      </c>
      <c r="Q241" s="13">
        <f t="shared" si="47"/>
        <v>-1.886995706164055E-2</v>
      </c>
      <c r="R241" s="13">
        <f t="shared" si="50"/>
        <v>0.75517346395038687</v>
      </c>
      <c r="S241" s="13">
        <f t="shared" si="50"/>
        <v>9.5438239306071163E-2</v>
      </c>
      <c r="T241" s="13">
        <f t="shared" si="50"/>
        <v>-0.30788294358085805</v>
      </c>
      <c r="U241" s="13">
        <f t="shared" si="49"/>
        <v>0.7292099691014382</v>
      </c>
      <c r="V241" s="13">
        <f t="shared" si="49"/>
        <v>0.77538703093313754</v>
      </c>
      <c r="W241" s="13">
        <f t="shared" si="49"/>
        <v>-5.3839410519887915E-2</v>
      </c>
      <c r="X241" s="13">
        <f t="shared" si="49"/>
        <v>0.88893795256087949</v>
      </c>
      <c r="Y241" s="13">
        <f t="shared" si="49"/>
        <v>0.10307482687918271</v>
      </c>
    </row>
    <row r="242" spans="1:25" x14ac:dyDescent="0.25">
      <c r="A242" s="14">
        <f>[1]Data!A245</f>
        <v>44774</v>
      </c>
      <c r="B242" s="15">
        <f>[1]Data!B245</f>
        <v>-4.1657799857286626E-2</v>
      </c>
      <c r="C242" s="15">
        <f>[1]Data!C245</f>
        <v>6.062324073068464E-2</v>
      </c>
      <c r="D242" s="16">
        <f>[1]Data!F245</f>
        <v>-6.5995677701862043E-2</v>
      </c>
      <c r="E242" s="17">
        <f>[1]Data!G245</f>
        <v>-1.0315013568283377E-2</v>
      </c>
      <c r="F242" s="16">
        <f>[1]Data!H245</f>
        <v>3.5858619216959159E-3</v>
      </c>
      <c r="G242" s="17">
        <f>[1]Data!I245</f>
        <v>-6.3932624235382499E-3</v>
      </c>
      <c r="H242" s="18">
        <f t="shared" si="39"/>
        <v>-1</v>
      </c>
      <c r="I242" s="19">
        <f t="shared" si="48"/>
        <v>1</v>
      </c>
      <c r="J242" s="13">
        <f t="shared" si="40"/>
        <v>0</v>
      </c>
      <c r="K242" s="13">
        <f t="shared" si="41"/>
        <v>6.5995677701862043E-2</v>
      </c>
      <c r="L242" s="13">
        <f t="shared" si="42"/>
        <v>0</v>
      </c>
      <c r="M242" s="13">
        <f t="shared" si="43"/>
        <v>-1.0315013568283377E-2</v>
      </c>
      <c r="N242" s="13">
        <f t="shared" si="44"/>
        <v>3.5858619216959159E-3</v>
      </c>
      <c r="O242" s="13">
        <f t="shared" si="45"/>
        <v>0</v>
      </c>
      <c r="P242" s="13">
        <f t="shared" si="46"/>
        <v>6.3932624235382499E-3</v>
      </c>
      <c r="Q242" s="13">
        <f t="shared" si="47"/>
        <v>0</v>
      </c>
      <c r="R242" s="13">
        <f t="shared" si="50"/>
        <v>0.75517346395038687</v>
      </c>
      <c r="S242" s="13">
        <f t="shared" si="50"/>
        <v>0.16143391700793319</v>
      </c>
      <c r="T242" s="13">
        <f t="shared" si="50"/>
        <v>-0.30788294358085805</v>
      </c>
      <c r="U242" s="13">
        <f t="shared" si="49"/>
        <v>0.71889495553315486</v>
      </c>
      <c r="V242" s="13">
        <f t="shared" si="49"/>
        <v>0.77897289285483351</v>
      </c>
      <c r="W242" s="13">
        <f t="shared" si="49"/>
        <v>-5.3839410519887915E-2</v>
      </c>
      <c r="X242" s="13">
        <f t="shared" si="49"/>
        <v>0.8953312149844177</v>
      </c>
      <c r="Y242" s="13">
        <f t="shared" si="49"/>
        <v>0.10307482687918271</v>
      </c>
    </row>
    <row r="243" spans="1:25" x14ac:dyDescent="0.25">
      <c r="A243" s="14">
        <f>[1]Data!A246</f>
        <v>44805</v>
      </c>
      <c r="B243" s="15">
        <f>[1]Data!B246</f>
        <v>-9.7002169996013396E-2</v>
      </c>
      <c r="C243" s="15">
        <f>[1]Data!C246</f>
        <v>8.3886388646190434E-3</v>
      </c>
      <c r="D243" s="16">
        <f>[1]Data!F246</f>
        <v>-4.6603959657814595E-2</v>
      </c>
      <c r="E243" s="17">
        <f>[1]Data!G246</f>
        <v>-2.7153218540924524E-2</v>
      </c>
      <c r="F243" s="16">
        <f>[1]Data!H246</f>
        <v>1.3072733488800007E-2</v>
      </c>
      <c r="G243" s="17">
        <f>[1]Data!I246</f>
        <v>-3.2535810818751787E-2</v>
      </c>
      <c r="H243" s="18">
        <f t="shared" si="39"/>
        <v>-1</v>
      </c>
      <c r="I243" s="19">
        <f t="shared" si="48"/>
        <v>1</v>
      </c>
      <c r="J243" s="13">
        <f t="shared" si="40"/>
        <v>0</v>
      </c>
      <c r="K243" s="13">
        <f t="shared" si="41"/>
        <v>4.6603959657814595E-2</v>
      </c>
      <c r="L243" s="13">
        <f t="shared" si="42"/>
        <v>0</v>
      </c>
      <c r="M243" s="13">
        <f t="shared" si="43"/>
        <v>-2.7153218540924524E-2</v>
      </c>
      <c r="N243" s="13">
        <f t="shared" si="44"/>
        <v>1.3072733488800007E-2</v>
      </c>
      <c r="O243" s="13">
        <f t="shared" si="45"/>
        <v>0</v>
      </c>
      <c r="P243" s="13">
        <f t="shared" si="46"/>
        <v>3.2535810818751787E-2</v>
      </c>
      <c r="Q243" s="13">
        <f t="shared" si="47"/>
        <v>0</v>
      </c>
      <c r="R243" s="13">
        <f t="shared" si="50"/>
        <v>0.75517346395038687</v>
      </c>
      <c r="S243" s="13">
        <f t="shared" si="50"/>
        <v>0.2080378766657478</v>
      </c>
      <c r="T243" s="13">
        <f t="shared" si="50"/>
        <v>-0.30788294358085805</v>
      </c>
      <c r="U243" s="13">
        <f t="shared" si="49"/>
        <v>0.69174173699223029</v>
      </c>
      <c r="V243" s="13">
        <f t="shared" si="49"/>
        <v>0.79204562634363351</v>
      </c>
      <c r="W243" s="13">
        <f t="shared" si="49"/>
        <v>-5.3839410519887915E-2</v>
      </c>
      <c r="X243" s="13">
        <f t="shared" si="49"/>
        <v>0.92786702580316949</v>
      </c>
      <c r="Y243" s="13">
        <f t="shared" si="49"/>
        <v>0.10307482687918271</v>
      </c>
    </row>
    <row r="244" spans="1:25" x14ac:dyDescent="0.25">
      <c r="A244" s="14">
        <f>[1]Data!A247</f>
        <v>44835</v>
      </c>
      <c r="B244" s="15">
        <f>[1]Data!B247</f>
        <v>7.8141380151404344E-2</v>
      </c>
      <c r="C244" s="15">
        <f>[1]Data!C247</f>
        <v>0.13935565166982827</v>
      </c>
      <c r="D244" s="16">
        <f>[1]Data!F247</f>
        <v>3.1350248517966972E-2</v>
      </c>
      <c r="E244" s="17">
        <f>[1]Data!G247</f>
        <v>3.1067135403424123E-2</v>
      </c>
      <c r="F244" s="16">
        <f>[1]Data!H247</f>
        <v>1.5584465585531511E-2</v>
      </c>
      <c r="G244" s="17">
        <f>[1]Data!I247</f>
        <v>-1.1968878114308447E-2</v>
      </c>
      <c r="H244" s="18">
        <f t="shared" si="39"/>
        <v>-1</v>
      </c>
      <c r="I244" s="19">
        <f t="shared" si="48"/>
        <v>1</v>
      </c>
      <c r="J244" s="13">
        <f t="shared" si="40"/>
        <v>0</v>
      </c>
      <c r="K244" s="13">
        <f t="shared" si="41"/>
        <v>-3.1350248517966972E-2</v>
      </c>
      <c r="L244" s="13">
        <f t="shared" si="42"/>
        <v>0</v>
      </c>
      <c r="M244" s="13">
        <f t="shared" si="43"/>
        <v>3.1067135403424123E-2</v>
      </c>
      <c r="N244" s="13">
        <f t="shared" si="44"/>
        <v>1.5584465585531511E-2</v>
      </c>
      <c r="O244" s="13">
        <f t="shared" si="45"/>
        <v>0</v>
      </c>
      <c r="P244" s="13">
        <f t="shared" si="46"/>
        <v>1.1968878114308447E-2</v>
      </c>
      <c r="Q244" s="13">
        <f t="shared" si="47"/>
        <v>0</v>
      </c>
      <c r="R244" s="13">
        <f t="shared" si="50"/>
        <v>0.75517346395038687</v>
      </c>
      <c r="S244" s="13">
        <f t="shared" si="50"/>
        <v>0.17668762814778083</v>
      </c>
      <c r="T244" s="13">
        <f t="shared" si="50"/>
        <v>-0.30788294358085805</v>
      </c>
      <c r="U244" s="13">
        <f t="shared" si="49"/>
        <v>0.72280887239565439</v>
      </c>
      <c r="V244" s="13">
        <f t="shared" si="49"/>
        <v>0.80763009192916502</v>
      </c>
      <c r="W244" s="13">
        <f t="shared" si="49"/>
        <v>-5.3839410519887915E-2</v>
      </c>
      <c r="X244" s="13">
        <f t="shared" si="49"/>
        <v>0.93983590391747796</v>
      </c>
      <c r="Y244" s="13">
        <f t="shared" si="49"/>
        <v>0.10307482687918271</v>
      </c>
    </row>
    <row r="245" spans="1:25" x14ac:dyDescent="0.25">
      <c r="A245" s="14">
        <f>[1]Data!A248</f>
        <v>44866</v>
      </c>
      <c r="B245" s="15">
        <f>[1]Data!B248</f>
        <v>5.4101386552727962E-2</v>
      </c>
      <c r="C245" s="15">
        <f>[1]Data!C248</f>
        <v>-2.1269418729255508E-2</v>
      </c>
      <c r="D245" s="16">
        <f>[1]Data!F248</f>
        <v>3.2635390949806997E-2</v>
      </c>
      <c r="E245" s="17">
        <f>[1]Data!G248</f>
        <v>2.6334171503575893E-2</v>
      </c>
      <c r="F245" s="16">
        <f>[1]Data!H248</f>
        <v>-1.6341383721180588E-2</v>
      </c>
      <c r="G245" s="17">
        <f>[1]Data!I248</f>
        <v>-2.7428896165786927E-2</v>
      </c>
      <c r="H245" s="18">
        <f t="shared" si="39"/>
        <v>1</v>
      </c>
      <c r="I245" s="19">
        <f t="shared" si="48"/>
        <v>1</v>
      </c>
      <c r="J245" s="13">
        <f t="shared" si="40"/>
        <v>3.2635390949806997E-2</v>
      </c>
      <c r="K245" s="13">
        <f t="shared" si="41"/>
        <v>0</v>
      </c>
      <c r="L245" s="13">
        <f t="shared" si="42"/>
        <v>-2.6334171503575893E-2</v>
      </c>
      <c r="M245" s="13">
        <f t="shared" si="43"/>
        <v>0</v>
      </c>
      <c r="N245" s="13">
        <f t="shared" si="44"/>
        <v>-1.6341383721180588E-2</v>
      </c>
      <c r="O245" s="13">
        <f t="shared" si="45"/>
        <v>0</v>
      </c>
      <c r="P245" s="13">
        <f t="shared" si="46"/>
        <v>2.7428896165786927E-2</v>
      </c>
      <c r="Q245" s="13">
        <f t="shared" si="47"/>
        <v>0</v>
      </c>
      <c r="R245" s="13">
        <f t="shared" si="50"/>
        <v>0.78780885490019381</v>
      </c>
      <c r="S245" s="13">
        <f t="shared" si="50"/>
        <v>0.17668762814778083</v>
      </c>
      <c r="T245" s="13">
        <f t="shared" si="50"/>
        <v>-0.33421711508443397</v>
      </c>
      <c r="U245" s="13">
        <f t="shared" si="49"/>
        <v>0.72280887239565439</v>
      </c>
      <c r="V245" s="13">
        <f t="shared" si="49"/>
        <v>0.79128870820798447</v>
      </c>
      <c r="W245" s="13">
        <f t="shared" si="49"/>
        <v>-5.3839410519887915E-2</v>
      </c>
      <c r="X245" s="13">
        <f t="shared" si="49"/>
        <v>0.96726480008326488</v>
      </c>
      <c r="Y245" s="13">
        <f t="shared" si="49"/>
        <v>0.10307482687918271</v>
      </c>
    </row>
    <row r="246" spans="1:25" x14ac:dyDescent="0.25">
      <c r="A246" s="14">
        <f>[1]Data!A249</f>
        <v>44896</v>
      </c>
      <c r="B246" s="15">
        <f>[1]Data!B249</f>
        <v>-5.9355424807020774E-2</v>
      </c>
      <c r="C246" s="15">
        <f>[1]Data!C249</f>
        <v>-6.3660020850272947E-2</v>
      </c>
      <c r="D246" s="16">
        <f>[1]Data!F249</f>
        <v>-9.8873564368634689E-3</v>
      </c>
      <c r="E246" s="17">
        <f>[1]Data!G249</f>
        <v>-4.0741727636447671E-2</v>
      </c>
      <c r="F246" s="16">
        <f>[1]Data!H249</f>
        <v>-3.6265950376248794E-2</v>
      </c>
      <c r="G246" s="17">
        <f>[1]Data!I249</f>
        <v>6.592438389733847E-2</v>
      </c>
      <c r="H246" s="18">
        <f t="shared" si="39"/>
        <v>1</v>
      </c>
      <c r="I246" s="19">
        <f t="shared" si="48"/>
        <v>-1</v>
      </c>
      <c r="J246" s="13">
        <f t="shared" si="40"/>
        <v>-9.8873564368634689E-3</v>
      </c>
      <c r="K246" s="13">
        <f t="shared" si="41"/>
        <v>0</v>
      </c>
      <c r="L246" s="13">
        <f t="shared" si="42"/>
        <v>4.0741727636447671E-2</v>
      </c>
      <c r="M246" s="13">
        <f t="shared" si="43"/>
        <v>0</v>
      </c>
      <c r="N246" s="13">
        <f t="shared" si="44"/>
        <v>0</v>
      </c>
      <c r="O246" s="13">
        <f t="shared" si="45"/>
        <v>3.6265950376248794E-2</v>
      </c>
      <c r="P246" s="13">
        <f t="shared" si="46"/>
        <v>0</v>
      </c>
      <c r="Q246" s="13">
        <f t="shared" si="47"/>
        <v>6.592438389733847E-2</v>
      </c>
      <c r="R246" s="13">
        <f t="shared" si="50"/>
        <v>0.77792149846333036</v>
      </c>
      <c r="S246" s="13">
        <f t="shared" si="50"/>
        <v>0.17668762814778083</v>
      </c>
      <c r="T246" s="13">
        <f t="shared" si="50"/>
        <v>-0.29347538744798629</v>
      </c>
      <c r="U246" s="13">
        <f t="shared" si="49"/>
        <v>0.72280887239565439</v>
      </c>
      <c r="V246" s="13">
        <f t="shared" si="49"/>
        <v>0.79128870820798447</v>
      </c>
      <c r="W246" s="13">
        <f t="shared" si="49"/>
        <v>-1.7573460143639121E-2</v>
      </c>
      <c r="X246" s="13">
        <f t="shared" si="49"/>
        <v>0.96726480008326488</v>
      </c>
      <c r="Y246" s="13">
        <f t="shared" si="49"/>
        <v>0.16899921077652119</v>
      </c>
    </row>
    <row r="247" spans="1:25" x14ac:dyDescent="0.25">
      <c r="A247" s="14">
        <f>[1]Data!A250</f>
        <v>44927</v>
      </c>
      <c r="B247" s="15">
        <f>[1]Data!B250</f>
        <v>6.0989042987148877E-2</v>
      </c>
      <c r="C247" s="15">
        <f>[1]Data!C250</f>
        <v>-2.8703901397100898E-2</v>
      </c>
      <c r="D247" s="16">
        <f>[1]Data!F250</f>
        <v>1.5570332348981508E-2</v>
      </c>
      <c r="E247" s="17">
        <f>[1]Data!G250</f>
        <v>-4.6658610633868586E-4</v>
      </c>
      <c r="F247" s="16">
        <f>[1]Data!H250</f>
        <v>1.4098805850262989E-2</v>
      </c>
      <c r="G247" s="17">
        <f>[1]Data!I250</f>
        <v>6.0223087445092256E-2</v>
      </c>
      <c r="H247" s="18">
        <f t="shared" si="39"/>
        <v>1</v>
      </c>
      <c r="I247" s="19">
        <f t="shared" si="48"/>
        <v>-1</v>
      </c>
      <c r="J247" s="13">
        <f t="shared" si="40"/>
        <v>1.5570332348981508E-2</v>
      </c>
      <c r="K247" s="13">
        <f t="shared" si="41"/>
        <v>0</v>
      </c>
      <c r="L247" s="13">
        <f t="shared" si="42"/>
        <v>4.6658610633868586E-4</v>
      </c>
      <c r="M247" s="13">
        <f t="shared" si="43"/>
        <v>0</v>
      </c>
      <c r="N247" s="13">
        <f t="shared" si="44"/>
        <v>0</v>
      </c>
      <c r="O247" s="13">
        <f t="shared" si="45"/>
        <v>-1.4098805850262989E-2</v>
      </c>
      <c r="P247" s="13">
        <f t="shared" si="46"/>
        <v>0</v>
      </c>
      <c r="Q247" s="13">
        <f t="shared" si="47"/>
        <v>6.0223087445092256E-2</v>
      </c>
      <c r="R247" s="13">
        <f t="shared" si="50"/>
        <v>0.79349183081231189</v>
      </c>
      <c r="S247" s="13">
        <f t="shared" si="50"/>
        <v>0.17668762814778083</v>
      </c>
      <c r="T247" s="13">
        <f t="shared" si="50"/>
        <v>-0.29300880134164758</v>
      </c>
      <c r="U247" s="13">
        <f t="shared" si="49"/>
        <v>0.72280887239565439</v>
      </c>
      <c r="V247" s="13">
        <f t="shared" si="49"/>
        <v>0.79128870820798447</v>
      </c>
      <c r="W247" s="13">
        <f t="shared" si="49"/>
        <v>-3.1672265993902111E-2</v>
      </c>
      <c r="X247" s="13">
        <f t="shared" si="49"/>
        <v>0.96726480008326488</v>
      </c>
      <c r="Y247" s="13">
        <f t="shared" si="49"/>
        <v>0.22922229822161344</v>
      </c>
    </row>
    <row r="248" spans="1:25" x14ac:dyDescent="0.25">
      <c r="A248" s="14">
        <f>[1]Data!A251</f>
        <v>44958</v>
      </c>
      <c r="B248" s="15">
        <f>[1]Data!B251</f>
        <v>-2.5464125557989256E-2</v>
      </c>
      <c r="C248" s="15">
        <f>[1]Data!C251</f>
        <v>3.393514641699949E-2</v>
      </c>
      <c r="D248" s="16">
        <f>[1]Data!F251</f>
        <v>-5.7373839170864645E-3</v>
      </c>
      <c r="E248" s="17">
        <f>[1]Data!G251</f>
        <v>3.9404879804261807E-3</v>
      </c>
      <c r="F248" s="16">
        <f>[1]Data!H251</f>
        <v>2.120154946171568E-2</v>
      </c>
      <c r="G248" s="17">
        <f>[1]Data!I251</f>
        <v>-1.7315227024552043E-2</v>
      </c>
      <c r="H248" s="18">
        <f t="shared" si="39"/>
        <v>-1</v>
      </c>
      <c r="I248" s="19">
        <f t="shared" si="48"/>
        <v>-1</v>
      </c>
      <c r="J248" s="13">
        <f t="shared" si="40"/>
        <v>0</v>
      </c>
      <c r="K248" s="13">
        <f t="shared" si="41"/>
        <v>5.7373839170864645E-3</v>
      </c>
      <c r="L248" s="13">
        <f t="shared" si="42"/>
        <v>0</v>
      </c>
      <c r="M248" s="13">
        <f t="shared" si="43"/>
        <v>3.9404879804261807E-3</v>
      </c>
      <c r="N248" s="13">
        <f t="shared" si="44"/>
        <v>0</v>
      </c>
      <c r="O248" s="13">
        <f t="shared" si="45"/>
        <v>-2.120154946171568E-2</v>
      </c>
      <c r="P248" s="13">
        <f t="shared" si="46"/>
        <v>0</v>
      </c>
      <c r="Q248" s="13">
        <f t="shared" si="47"/>
        <v>-1.7315227024552043E-2</v>
      </c>
      <c r="R248" s="13">
        <f t="shared" si="50"/>
        <v>0.79349183081231189</v>
      </c>
      <c r="S248" s="13">
        <f t="shared" si="50"/>
        <v>0.1824250120648673</v>
      </c>
      <c r="T248" s="13">
        <f t="shared" si="50"/>
        <v>-0.29300880134164758</v>
      </c>
      <c r="U248" s="13">
        <f t="shared" si="49"/>
        <v>0.72674936037608062</v>
      </c>
      <c r="V248" s="13">
        <f t="shared" si="49"/>
        <v>0.79128870820798447</v>
      </c>
      <c r="W248" s="13">
        <f t="shared" si="49"/>
        <v>-5.2873815455617791E-2</v>
      </c>
      <c r="X248" s="13">
        <f t="shared" si="49"/>
        <v>0.96726480008326488</v>
      </c>
      <c r="Y248" s="13">
        <f t="shared" si="49"/>
        <v>0.2119070711970614</v>
      </c>
    </row>
    <row r="249" spans="1:25" x14ac:dyDescent="0.25">
      <c r="A249" s="14">
        <f>[1]Data!A252</f>
        <v>44986</v>
      </c>
      <c r="B249" s="15">
        <f>[1]Data!B252</f>
        <v>3.640694729499569E-2</v>
      </c>
      <c r="C249" s="15">
        <f>[1]Data!C252</f>
        <v>-2.3821380612611725E-2</v>
      </c>
      <c r="D249" s="16">
        <f>[1]Data!F252</f>
        <v>2.5932478440488804E-2</v>
      </c>
      <c r="E249" s="17">
        <f>[1]Data!G252</f>
        <v>1.296305279039766E-2</v>
      </c>
      <c r="F249" s="16">
        <f>[1]Data!H252</f>
        <v>5.0595579084371876E-3</v>
      </c>
      <c r="G249" s="17">
        <f>[1]Data!I252</f>
        <v>2.5590878126626132E-3</v>
      </c>
      <c r="H249" s="18">
        <f t="shared" si="39"/>
        <v>1</v>
      </c>
      <c r="I249" s="19">
        <f t="shared" si="48"/>
        <v>1</v>
      </c>
      <c r="J249" s="13">
        <f t="shared" si="40"/>
        <v>2.5932478440488804E-2</v>
      </c>
      <c r="K249" s="13">
        <f t="shared" si="41"/>
        <v>0</v>
      </c>
      <c r="L249" s="13">
        <f t="shared" si="42"/>
        <v>-1.296305279039766E-2</v>
      </c>
      <c r="M249" s="13">
        <f t="shared" si="43"/>
        <v>0</v>
      </c>
      <c r="N249" s="13">
        <f t="shared" si="44"/>
        <v>5.0595579084371876E-3</v>
      </c>
      <c r="O249" s="13">
        <f t="shared" si="45"/>
        <v>0</v>
      </c>
      <c r="P249" s="13">
        <f t="shared" si="46"/>
        <v>-2.5590878126626132E-3</v>
      </c>
      <c r="Q249" s="13">
        <f t="shared" si="47"/>
        <v>0</v>
      </c>
      <c r="R249" s="13">
        <f t="shared" si="50"/>
        <v>0.81942430925280074</v>
      </c>
      <c r="S249" s="13">
        <f t="shared" si="50"/>
        <v>0.1824250120648673</v>
      </c>
      <c r="T249" s="13">
        <f t="shared" si="50"/>
        <v>-0.30597185413204525</v>
      </c>
      <c r="U249" s="13">
        <f t="shared" si="49"/>
        <v>0.72674936037608062</v>
      </c>
      <c r="V249" s="13">
        <f t="shared" si="49"/>
        <v>0.79634826611642162</v>
      </c>
      <c r="W249" s="13">
        <f t="shared" si="49"/>
        <v>-5.2873815455617791E-2</v>
      </c>
      <c r="X249" s="13">
        <f t="shared" si="49"/>
        <v>0.96470571227060231</v>
      </c>
      <c r="Y249" s="13">
        <f t="shared" si="49"/>
        <v>0.2119070711970614</v>
      </c>
    </row>
    <row r="250" spans="1:25" x14ac:dyDescent="0.25">
      <c r="A250" s="14">
        <f>[1]Data!A253</f>
        <v>45017</v>
      </c>
      <c r="B250" s="15">
        <f>[1]Data!B253</f>
        <v>1.58486521482058E-2</v>
      </c>
      <c r="C250" s="15">
        <f>[1]Data!C253</f>
        <v>1.4416909340226054E-2</v>
      </c>
      <c r="D250" s="16">
        <f>[1]Data!F253</f>
        <v>7.9656680460839097E-3</v>
      </c>
      <c r="E250" s="17">
        <f>[1]Data!G253</f>
        <v>9.9117768762516031E-3</v>
      </c>
      <c r="F250" s="16">
        <f>[1]Data!H253</f>
        <v>5.3723531069235515E-4</v>
      </c>
      <c r="G250" s="17">
        <f>[1]Data!I253</f>
        <v>6.3793332121780538E-3</v>
      </c>
      <c r="H250" s="18">
        <f t="shared" si="39"/>
        <v>-1</v>
      </c>
      <c r="I250" s="19">
        <f t="shared" si="48"/>
        <v>-1</v>
      </c>
      <c r="J250" s="13">
        <f t="shared" si="40"/>
        <v>0</v>
      </c>
      <c r="K250" s="13">
        <f t="shared" si="41"/>
        <v>-7.9656680460839097E-3</v>
      </c>
      <c r="L250" s="13">
        <f t="shared" si="42"/>
        <v>0</v>
      </c>
      <c r="M250" s="13">
        <f t="shared" si="43"/>
        <v>9.9117768762516031E-3</v>
      </c>
      <c r="N250" s="13">
        <f t="shared" si="44"/>
        <v>0</v>
      </c>
      <c r="O250" s="13">
        <f t="shared" si="45"/>
        <v>-5.3723531069235515E-4</v>
      </c>
      <c r="P250" s="13">
        <f t="shared" si="46"/>
        <v>0</v>
      </c>
      <c r="Q250" s="13">
        <f t="shared" si="47"/>
        <v>6.3793332121780538E-3</v>
      </c>
      <c r="R250" s="13">
        <f t="shared" si="50"/>
        <v>0.81942430925280074</v>
      </c>
      <c r="S250" s="13">
        <f t="shared" si="50"/>
        <v>0.17445934401878338</v>
      </c>
      <c r="T250" s="13">
        <f t="shared" si="50"/>
        <v>-0.30597185413204525</v>
      </c>
      <c r="U250" s="13">
        <f t="shared" si="49"/>
        <v>0.73666113725233218</v>
      </c>
      <c r="V250" s="13">
        <f t="shared" si="49"/>
        <v>0.79634826611642162</v>
      </c>
      <c r="W250" s="13">
        <f t="shared" si="49"/>
        <v>-5.3411050766310149E-2</v>
      </c>
      <c r="X250" s="13">
        <f t="shared" si="49"/>
        <v>0.96470571227060231</v>
      </c>
      <c r="Y250" s="13">
        <f t="shared" si="49"/>
        <v>0.21828640440923947</v>
      </c>
    </row>
    <row r="251" spans="1:25" x14ac:dyDescent="0.25">
      <c r="A251" s="14">
        <f>[1]Data!A254</f>
        <v>45047</v>
      </c>
      <c r="B251" s="15">
        <f>[1]Data!B254</f>
        <v>4.6056456231339778E-3</v>
      </c>
      <c r="C251" s="15">
        <f>[1]Data!C254</f>
        <v>5.558518579025535E-2</v>
      </c>
      <c r="D251" s="16">
        <f>[1]Data!F254</f>
        <v>-1.8409776175125152E-3</v>
      </c>
      <c r="E251" s="17">
        <f>[1]Data!G254</f>
        <v>1.8521673682312632E-2</v>
      </c>
      <c r="F251" s="16">
        <f>[1]Data!H254</f>
        <v>-7.9656680460839582E-3</v>
      </c>
      <c r="G251" s="17">
        <f>[1]Data!I254</f>
        <v>-1.233665227295235E-2</v>
      </c>
      <c r="H251" s="18">
        <f t="shared" si="39"/>
        <v>-1</v>
      </c>
      <c r="I251" s="19">
        <f t="shared" si="48"/>
        <v>1</v>
      </c>
      <c r="J251" s="13">
        <f t="shared" si="40"/>
        <v>0</v>
      </c>
      <c r="K251" s="13">
        <f t="shared" si="41"/>
        <v>1.8409776175125152E-3</v>
      </c>
      <c r="L251" s="13">
        <f t="shared" si="42"/>
        <v>0</v>
      </c>
      <c r="M251" s="13">
        <f t="shared" si="43"/>
        <v>1.8521673682312632E-2</v>
      </c>
      <c r="N251" s="13">
        <f t="shared" si="44"/>
        <v>-7.9656680460839582E-3</v>
      </c>
      <c r="O251" s="13">
        <f t="shared" si="45"/>
        <v>0</v>
      </c>
      <c r="P251" s="13">
        <f t="shared" si="46"/>
        <v>1.233665227295235E-2</v>
      </c>
      <c r="Q251" s="13">
        <f t="shared" si="47"/>
        <v>0</v>
      </c>
      <c r="R251" s="13">
        <f t="shared" si="50"/>
        <v>0.81942430925280074</v>
      </c>
      <c r="S251" s="13">
        <f t="shared" si="50"/>
        <v>0.17630032163629589</v>
      </c>
      <c r="T251" s="13">
        <f t="shared" si="50"/>
        <v>-0.30597185413204525</v>
      </c>
      <c r="U251" s="13">
        <f t="shared" si="49"/>
        <v>0.75518281093464479</v>
      </c>
      <c r="V251" s="13">
        <f t="shared" si="49"/>
        <v>0.78838259807033761</v>
      </c>
      <c r="W251" s="13">
        <f t="shared" si="49"/>
        <v>-5.3411050766310149E-2</v>
      </c>
      <c r="X251" s="13">
        <f t="shared" si="49"/>
        <v>0.97704236454355464</v>
      </c>
      <c r="Y251" s="13">
        <f t="shared" si="49"/>
        <v>0.21828640440923947</v>
      </c>
    </row>
    <row r="252" spans="1:25" x14ac:dyDescent="0.25">
      <c r="A252" s="14">
        <f>[1]Data!A255</f>
        <v>45078</v>
      </c>
      <c r="B252" s="15">
        <f>[1]Data!B255</f>
        <v>6.2786786809685191E-2</v>
      </c>
      <c r="C252" s="15">
        <f>[1]Data!C255</f>
        <v>5.1366834277172271E-2</v>
      </c>
      <c r="D252" s="16">
        <f>[1]Data!F255</f>
        <v>1.539028211431351E-2</v>
      </c>
      <c r="E252" s="17">
        <f>[1]Data!G255</f>
        <v>6.1389511311554651E-3</v>
      </c>
      <c r="F252" s="16">
        <f>[1]Data!H255</f>
        <v>2.0607024806775186E-2</v>
      </c>
      <c r="G252" s="17">
        <f>[1]Data!I255</f>
        <v>-1.8046065467901554E-2</v>
      </c>
      <c r="H252" s="18">
        <f t="shared" si="39"/>
        <v>-1</v>
      </c>
      <c r="I252" s="19">
        <f t="shared" si="48"/>
        <v>1</v>
      </c>
      <c r="J252" s="13">
        <f t="shared" si="40"/>
        <v>0</v>
      </c>
      <c r="K252" s="13">
        <f t="shared" si="41"/>
        <v>-1.539028211431351E-2</v>
      </c>
      <c r="L252" s="13">
        <f t="shared" si="42"/>
        <v>0</v>
      </c>
      <c r="M252" s="13">
        <f t="shared" si="43"/>
        <v>6.1389511311554651E-3</v>
      </c>
      <c r="N252" s="13">
        <f t="shared" si="44"/>
        <v>2.0607024806775186E-2</v>
      </c>
      <c r="O252" s="13">
        <f t="shared" si="45"/>
        <v>0</v>
      </c>
      <c r="P252" s="13">
        <f t="shared" si="46"/>
        <v>1.8046065467901554E-2</v>
      </c>
      <c r="Q252" s="13">
        <f t="shared" si="47"/>
        <v>0</v>
      </c>
      <c r="R252" s="13">
        <f t="shared" si="50"/>
        <v>0.81942430925280074</v>
      </c>
      <c r="S252" s="13">
        <f t="shared" si="50"/>
        <v>0.16091003952198238</v>
      </c>
      <c r="T252" s="13">
        <f t="shared" si="50"/>
        <v>-0.30597185413204525</v>
      </c>
      <c r="U252" s="13">
        <f t="shared" si="49"/>
        <v>0.76132176206580027</v>
      </c>
      <c r="V252" s="13">
        <f t="shared" si="49"/>
        <v>0.80898962287711285</v>
      </c>
      <c r="W252" s="13">
        <f t="shared" si="49"/>
        <v>-5.3411050766310149E-2</v>
      </c>
      <c r="X252" s="13">
        <f t="shared" si="49"/>
        <v>0.99508843001145619</v>
      </c>
      <c r="Y252" s="13">
        <f t="shared" si="49"/>
        <v>0.21828640440923947</v>
      </c>
    </row>
    <row r="253" spans="1:25" x14ac:dyDescent="0.25">
      <c r="A253" s="14">
        <f>[1]Data!A256</f>
        <v>45108</v>
      </c>
      <c r="B253" s="15">
        <f>[1]Data!B256</f>
        <v>3.2209042036108075E-2</v>
      </c>
      <c r="C253" s="15">
        <f>[1]Data!C256</f>
        <v>3.7099351628328815E-2</v>
      </c>
      <c r="D253" s="16">
        <f>[1]Data!F256</f>
        <v>7.8730585470919226E-3</v>
      </c>
      <c r="E253" s="17">
        <f>[1]Data!G256</f>
        <v>-1.3008261248185188E-2</v>
      </c>
      <c r="F253" s="16">
        <f>[1]Data!H256</f>
        <v>-8.1998711954159188E-3</v>
      </c>
      <c r="G253" s="17">
        <f>[1]Data!I256</f>
        <v>-3.4203228368274614E-2</v>
      </c>
      <c r="H253" s="18">
        <f t="shared" si="39"/>
        <v>-1</v>
      </c>
      <c r="I253" s="19">
        <f t="shared" si="48"/>
        <v>1</v>
      </c>
      <c r="J253" s="13">
        <f t="shared" si="40"/>
        <v>0</v>
      </c>
      <c r="K253" s="13">
        <f t="shared" si="41"/>
        <v>-7.8730585470919226E-3</v>
      </c>
      <c r="L253" s="13">
        <f t="shared" si="42"/>
        <v>0</v>
      </c>
      <c r="M253" s="13">
        <f t="shared" si="43"/>
        <v>-1.3008261248185188E-2</v>
      </c>
      <c r="N253" s="13">
        <f t="shared" si="44"/>
        <v>-8.1998711954159188E-3</v>
      </c>
      <c r="O253" s="13">
        <f t="shared" si="45"/>
        <v>0</v>
      </c>
      <c r="P253" s="13">
        <f t="shared" si="46"/>
        <v>3.4203228368274614E-2</v>
      </c>
      <c r="Q253" s="13">
        <f t="shared" si="47"/>
        <v>0</v>
      </c>
      <c r="R253" s="13">
        <f t="shared" si="50"/>
        <v>0.81942430925280074</v>
      </c>
      <c r="S253" s="13">
        <f t="shared" si="50"/>
        <v>0.15303698097489046</v>
      </c>
      <c r="T253" s="13">
        <f t="shared" si="50"/>
        <v>-0.30597185413204525</v>
      </c>
      <c r="U253" s="13">
        <f t="shared" si="49"/>
        <v>0.74831350081761505</v>
      </c>
      <c r="V253" s="13">
        <f t="shared" si="49"/>
        <v>0.80078975168169697</v>
      </c>
      <c r="W253" s="13">
        <f t="shared" si="49"/>
        <v>-5.3411050766310149E-2</v>
      </c>
      <c r="X253" s="13">
        <f t="shared" si="49"/>
        <v>1.0292916583797309</v>
      </c>
      <c r="Y253" s="13">
        <f t="shared" si="49"/>
        <v>0.21828640440923947</v>
      </c>
    </row>
    <row r="254" spans="1:25" x14ac:dyDescent="0.25">
      <c r="A254" s="14">
        <f>[1]Data!A257</f>
        <v>45139</v>
      </c>
      <c r="B254" s="15">
        <f>[1]Data!B257</f>
        <v>-1.6385701417559566E-2</v>
      </c>
      <c r="C254" s="15">
        <f>[1]Data!C257</f>
        <v>3.4355888593008435E-2</v>
      </c>
      <c r="D254" s="16">
        <f>[1]Data!F257</f>
        <v>2.4751390414202261E-2</v>
      </c>
      <c r="E254" s="17">
        <f>[1]Data!G257</f>
        <v>4.3567907116918693E-2</v>
      </c>
      <c r="F254" s="16">
        <f>[1]Data!H257</f>
        <v>-1.5586547649061687E-2</v>
      </c>
      <c r="G254" s="17">
        <f>[1]Data!I257</f>
        <v>-4.2954270293844576E-2</v>
      </c>
      <c r="H254" s="18">
        <f t="shared" si="39"/>
        <v>-1</v>
      </c>
      <c r="I254" s="19">
        <f t="shared" si="48"/>
        <v>1</v>
      </c>
      <c r="J254" s="13">
        <f t="shared" si="40"/>
        <v>0</v>
      </c>
      <c r="K254" s="13">
        <f t="shared" si="41"/>
        <v>-2.4751390414202261E-2</v>
      </c>
      <c r="L254" s="13">
        <f t="shared" si="42"/>
        <v>0</v>
      </c>
      <c r="M254" s="13">
        <f t="shared" si="43"/>
        <v>4.3567907116918693E-2</v>
      </c>
      <c r="N254" s="13">
        <f t="shared" si="44"/>
        <v>-1.5586547649061687E-2</v>
      </c>
      <c r="O254" s="13">
        <f t="shared" si="45"/>
        <v>0</v>
      </c>
      <c r="P254" s="13">
        <f t="shared" si="46"/>
        <v>4.2954270293844576E-2</v>
      </c>
      <c r="Q254" s="13">
        <f t="shared" si="47"/>
        <v>0</v>
      </c>
      <c r="R254" s="13">
        <f t="shared" si="50"/>
        <v>0.81942430925280074</v>
      </c>
      <c r="S254" s="13">
        <f t="shared" si="50"/>
        <v>0.1282855905606882</v>
      </c>
      <c r="T254" s="13">
        <f t="shared" si="50"/>
        <v>-0.30597185413204525</v>
      </c>
      <c r="U254" s="13">
        <f t="shared" si="49"/>
        <v>0.79188140793453377</v>
      </c>
      <c r="V254" s="13">
        <f t="shared" si="49"/>
        <v>0.78520320403263533</v>
      </c>
      <c r="W254" s="13">
        <f t="shared" si="49"/>
        <v>-5.3411050766310149E-2</v>
      </c>
      <c r="X254" s="13">
        <f t="shared" si="49"/>
        <v>1.0722459286735755</v>
      </c>
      <c r="Y254" s="13">
        <f t="shared" si="49"/>
        <v>0.21828640440923947</v>
      </c>
    </row>
    <row r="255" spans="1:25" x14ac:dyDescent="0.25">
      <c r="A255" s="14">
        <f>[1]Data!A258</f>
        <v>45170</v>
      </c>
      <c r="B255" s="15">
        <f>[1]Data!B258</f>
        <v>-4.8596290544066056E-2</v>
      </c>
      <c r="C255" s="15">
        <f>[1]Data!C258</f>
        <v>1.0681884654112257E-2</v>
      </c>
      <c r="D255" s="16">
        <f>[1]Data!F258</f>
        <v>-6.8539573097565684E-3</v>
      </c>
      <c r="E255" s="17">
        <f>[1]Data!G258</f>
        <v>-3.0426348947618843E-2</v>
      </c>
      <c r="F255" s="16">
        <f>[1]Data!H258</f>
        <v>-1.0782916968361523E-2</v>
      </c>
      <c r="G255" s="17">
        <f>[1]Data!I258</f>
        <v>-2.0774505230996245E-2</v>
      </c>
      <c r="H255" s="18">
        <f t="shared" si="39"/>
        <v>-1</v>
      </c>
      <c r="I255" s="19">
        <f t="shared" si="48"/>
        <v>1</v>
      </c>
      <c r="J255" s="13">
        <f t="shared" si="40"/>
        <v>0</v>
      </c>
      <c r="K255" s="13">
        <f t="shared" si="41"/>
        <v>6.8539573097565684E-3</v>
      </c>
      <c r="L255" s="13">
        <f t="shared" si="42"/>
        <v>0</v>
      </c>
      <c r="M255" s="13">
        <f t="shared" si="43"/>
        <v>-3.0426348947618843E-2</v>
      </c>
      <c r="N255" s="13">
        <f t="shared" si="44"/>
        <v>-1.0782916968361523E-2</v>
      </c>
      <c r="O255" s="13">
        <f t="shared" si="45"/>
        <v>0</v>
      </c>
      <c r="P255" s="13">
        <f t="shared" si="46"/>
        <v>2.0774505230996245E-2</v>
      </c>
      <c r="Q255" s="13">
        <f t="shared" si="47"/>
        <v>0</v>
      </c>
      <c r="R255" s="13">
        <f t="shared" si="50"/>
        <v>0.81942430925280074</v>
      </c>
      <c r="S255" s="13">
        <f t="shared" si="50"/>
        <v>0.13513954787044477</v>
      </c>
      <c r="T255" s="13">
        <f t="shared" si="50"/>
        <v>-0.30597185413204525</v>
      </c>
      <c r="U255" s="13">
        <f t="shared" si="49"/>
        <v>0.7614550589869149</v>
      </c>
      <c r="V255" s="13">
        <f t="shared" si="49"/>
        <v>0.77442028706427379</v>
      </c>
      <c r="W255" s="13">
        <f t="shared" si="49"/>
        <v>-5.3411050766310149E-2</v>
      </c>
      <c r="X255" s="13">
        <f t="shared" si="49"/>
        <v>1.0930204339045717</v>
      </c>
      <c r="Y255" s="13">
        <f t="shared" si="49"/>
        <v>0.21828640440923947</v>
      </c>
    </row>
    <row r="256" spans="1:25" x14ac:dyDescent="0.25">
      <c r="A256" s="14">
        <f>[1]Data!A259</f>
        <v>45200</v>
      </c>
      <c r="B256" s="15">
        <f>[1]Data!B259</f>
        <v>-2.1947724150478545E-2</v>
      </c>
      <c r="C256" s="15">
        <f>[1]Data!C259</f>
        <v>4.5433788607178741E-2</v>
      </c>
      <c r="D256" s="16">
        <f>[1]Data!F259</f>
        <v>-7.1241208321481874E-3</v>
      </c>
      <c r="E256" s="17">
        <f>[1]Data!G259</f>
        <v>4.0761703172671072E-3</v>
      </c>
      <c r="F256" s="16">
        <f>[1]Data!H259</f>
        <v>4.8073716103814489E-3</v>
      </c>
      <c r="G256" s="17">
        <f>[1]Data!I259</f>
        <v>-4.1807514329919145E-2</v>
      </c>
      <c r="H256" s="18">
        <f t="shared" si="39"/>
        <v>-1</v>
      </c>
      <c r="I256" s="19">
        <f t="shared" si="48"/>
        <v>1</v>
      </c>
      <c r="J256" s="13">
        <f t="shared" si="40"/>
        <v>0</v>
      </c>
      <c r="K256" s="13">
        <f t="shared" si="41"/>
        <v>7.1241208321481874E-3</v>
      </c>
      <c r="L256" s="13">
        <f t="shared" si="42"/>
        <v>0</v>
      </c>
      <c r="M256" s="13">
        <f t="shared" si="43"/>
        <v>4.0761703172671072E-3</v>
      </c>
      <c r="N256" s="13">
        <f t="shared" si="44"/>
        <v>4.8073716103814489E-3</v>
      </c>
      <c r="O256" s="13">
        <f t="shared" si="45"/>
        <v>0</v>
      </c>
      <c r="P256" s="13">
        <f t="shared" si="46"/>
        <v>4.1807514329919145E-2</v>
      </c>
      <c r="Q256" s="13">
        <f t="shared" si="47"/>
        <v>0</v>
      </c>
      <c r="R256" s="13">
        <f t="shared" si="50"/>
        <v>0.81942430925280074</v>
      </c>
      <c r="S256" s="13">
        <f t="shared" si="50"/>
        <v>0.14226366870259297</v>
      </c>
      <c r="T256" s="13">
        <f t="shared" si="50"/>
        <v>-0.30597185413204525</v>
      </c>
      <c r="U256" s="13">
        <f t="shared" si="49"/>
        <v>0.76553122930418205</v>
      </c>
      <c r="V256" s="13">
        <f t="shared" si="49"/>
        <v>0.77922765867465527</v>
      </c>
      <c r="W256" s="13">
        <f t="shared" si="49"/>
        <v>-5.3411050766310149E-2</v>
      </c>
      <c r="X256" s="13">
        <f t="shared" si="49"/>
        <v>1.134827948234491</v>
      </c>
      <c r="Y256" s="13">
        <f t="shared" si="49"/>
        <v>0.21828640440923947</v>
      </c>
    </row>
    <row r="257" spans="1:25" x14ac:dyDescent="0.25">
      <c r="A257" s="14">
        <f>[1]Data!A260</f>
        <v>45231</v>
      </c>
      <c r="B257" s="15">
        <f>[1]Data!B260</f>
        <v>8.7409824483363888E-2</v>
      </c>
      <c r="C257" s="15">
        <f>[1]Data!C260</f>
        <v>-2.9977367869131852E-3</v>
      </c>
      <c r="D257" s="16">
        <f>[1]Data!F260</f>
        <v>6.8817742481404858E-3</v>
      </c>
      <c r="E257" s="17">
        <f>[1]Data!G260</f>
        <v>1.1092712032213549E-2</v>
      </c>
      <c r="F257" s="16">
        <f>[1]Data!H260</f>
        <v>4.3813207279914342E-2</v>
      </c>
      <c r="G257" s="17">
        <f>[1]Data!I260</f>
        <v>5.5642173558489175E-2</v>
      </c>
      <c r="H257" s="18">
        <f t="shared" si="39"/>
        <v>1</v>
      </c>
      <c r="I257" s="19">
        <f t="shared" si="48"/>
        <v>1</v>
      </c>
      <c r="J257" s="13">
        <f t="shared" si="40"/>
        <v>6.8817742481404858E-3</v>
      </c>
      <c r="K257" s="13">
        <f t="shared" si="41"/>
        <v>0</v>
      </c>
      <c r="L257" s="13">
        <f t="shared" si="42"/>
        <v>-1.1092712032213549E-2</v>
      </c>
      <c r="M257" s="13">
        <f t="shared" si="43"/>
        <v>0</v>
      </c>
      <c r="N257" s="13">
        <f t="shared" si="44"/>
        <v>4.3813207279914342E-2</v>
      </c>
      <c r="O257" s="13">
        <f t="shared" si="45"/>
        <v>0</v>
      </c>
      <c r="P257" s="13">
        <f t="shared" si="46"/>
        <v>-5.5642173558489175E-2</v>
      </c>
      <c r="Q257" s="13">
        <f t="shared" si="47"/>
        <v>0</v>
      </c>
      <c r="R257" s="13">
        <f t="shared" si="50"/>
        <v>0.82630608350094126</v>
      </c>
      <c r="S257" s="13">
        <f t="shared" si="50"/>
        <v>0.14226366870259297</v>
      </c>
      <c r="T257" s="13">
        <f t="shared" si="50"/>
        <v>-0.31706456616425882</v>
      </c>
      <c r="U257" s="13">
        <f t="shared" si="49"/>
        <v>0.76553122930418205</v>
      </c>
      <c r="V257" s="13">
        <f t="shared" si="49"/>
        <v>0.8230408659545696</v>
      </c>
      <c r="W257" s="13">
        <f t="shared" si="49"/>
        <v>-5.3411050766310149E-2</v>
      </c>
      <c r="X257" s="13">
        <f t="shared" si="49"/>
        <v>1.0791857746760019</v>
      </c>
      <c r="Y257" s="13">
        <f t="shared" si="49"/>
        <v>0.21828640440923947</v>
      </c>
    </row>
    <row r="258" spans="1:25" x14ac:dyDescent="0.25">
      <c r="A258" s="14">
        <f>[1]Data!A261</f>
        <v>45261</v>
      </c>
      <c r="B258" s="15">
        <f>[1]Data!B261</f>
        <v>4.4643772916211313E-2</v>
      </c>
      <c r="C258" s="15">
        <f>[1]Data!C261</f>
        <v>-4.4658325790076607E-2</v>
      </c>
      <c r="D258" s="16">
        <f>[1]Data!F261</f>
        <v>5.5062902406491348E-3</v>
      </c>
      <c r="E258" s="17">
        <f>[1]Data!G261</f>
        <v>-5.0551421704840213E-4</v>
      </c>
      <c r="F258" s="16">
        <f>[1]Data!H261</f>
        <v>4.0016389801776379E-3</v>
      </c>
      <c r="G258" s="17">
        <f>[1]Data!I261</f>
        <v>4.3406286384425376E-2</v>
      </c>
      <c r="H258" s="18">
        <f t="shared" ref="H258:H280" si="51">IF(C258&gt;0,-1,1)</f>
        <v>1</v>
      </c>
      <c r="I258" s="19">
        <f t="shared" si="48"/>
        <v>-1</v>
      </c>
      <c r="J258" s="13">
        <f t="shared" ref="J258:J280" si="52">IF(H258=1,D258,0)</f>
        <v>5.5062902406491348E-3</v>
      </c>
      <c r="K258" s="13">
        <f t="shared" ref="K258:K280" si="53">IF(H258=-1,-D258,0)</f>
        <v>0</v>
      </c>
      <c r="L258" s="13">
        <f t="shared" ref="L258:L280" si="54">IF(H258=1,-E258,0)</f>
        <v>5.0551421704840213E-4</v>
      </c>
      <c r="M258" s="13">
        <f t="shared" ref="M258:M280" si="55">IF(H258=-1,E258,0)</f>
        <v>0</v>
      </c>
      <c r="N258" s="13">
        <f t="shared" ref="N258:N280" si="56">IF(I258=1,F258,0)</f>
        <v>0</v>
      </c>
      <c r="O258" s="13">
        <f t="shared" ref="O258:O280" si="57">IF(I258=-1,-F258,0)</f>
        <v>-4.0016389801776379E-3</v>
      </c>
      <c r="P258" s="13">
        <f t="shared" ref="P258:P280" si="58">IF(I258=1,-G258,0)</f>
        <v>0</v>
      </c>
      <c r="Q258" s="13">
        <f t="shared" ref="Q258:Q280" si="59">IF(I258=-1,G258,0)</f>
        <v>4.3406286384425376E-2</v>
      </c>
      <c r="R258" s="13">
        <f t="shared" si="50"/>
        <v>0.83181237374159034</v>
      </c>
      <c r="S258" s="13">
        <f t="shared" si="50"/>
        <v>0.14226366870259297</v>
      </c>
      <c r="T258" s="13">
        <f t="shared" si="50"/>
        <v>-0.3165590519472104</v>
      </c>
      <c r="U258" s="13">
        <f t="shared" si="49"/>
        <v>0.76553122930418205</v>
      </c>
      <c r="V258" s="13">
        <f t="shared" si="49"/>
        <v>0.8230408659545696</v>
      </c>
      <c r="W258" s="13">
        <f t="shared" si="49"/>
        <v>-5.7412689746487784E-2</v>
      </c>
      <c r="X258" s="13">
        <f t="shared" si="49"/>
        <v>1.0791857746760019</v>
      </c>
      <c r="Y258" s="13">
        <f t="shared" si="49"/>
        <v>0.26169269079366486</v>
      </c>
    </row>
    <row r="259" spans="1:25" x14ac:dyDescent="0.25">
      <c r="A259" s="14">
        <f>[1]Data!A262</f>
        <v>45292</v>
      </c>
      <c r="B259" s="15">
        <f>[1]Data!B262</f>
        <v>1.5800957516541425E-2</v>
      </c>
      <c r="C259" s="15">
        <f>[1]Data!C262</f>
        <v>7.1569505137652881E-2</v>
      </c>
      <c r="D259" s="16">
        <f>[1]Data!F262</f>
        <v>-4.0919138594321634E-3</v>
      </c>
      <c r="E259" s="17">
        <f>[1]Data!G262</f>
        <v>2.8969369212235873E-2</v>
      </c>
      <c r="F259" s="16">
        <f>[1]Data!H262</f>
        <v>-1.4948636087541312E-3</v>
      </c>
      <c r="G259" s="17">
        <f>[1]Data!I262</f>
        <v>-1.6724934027748946E-2</v>
      </c>
      <c r="H259" s="18">
        <f t="shared" si="51"/>
        <v>-1</v>
      </c>
      <c r="I259" s="19">
        <f t="shared" ref="I259:I280" si="60">IF(C258&gt;0,1,-1)</f>
        <v>-1</v>
      </c>
      <c r="J259" s="13">
        <f t="shared" si="52"/>
        <v>0</v>
      </c>
      <c r="K259" s="13">
        <f t="shared" si="53"/>
        <v>4.0919138594321634E-3</v>
      </c>
      <c r="L259" s="13">
        <f t="shared" si="54"/>
        <v>0</v>
      </c>
      <c r="M259" s="13">
        <f t="shared" si="55"/>
        <v>2.8969369212235873E-2</v>
      </c>
      <c r="N259" s="13">
        <f t="shared" si="56"/>
        <v>0</v>
      </c>
      <c r="O259" s="13">
        <f t="shared" si="57"/>
        <v>1.4948636087541312E-3</v>
      </c>
      <c r="P259" s="13">
        <f t="shared" si="58"/>
        <v>0</v>
      </c>
      <c r="Q259" s="13">
        <f t="shared" si="59"/>
        <v>-1.6724934027748946E-2</v>
      </c>
      <c r="R259" s="13">
        <f t="shared" si="50"/>
        <v>0.83181237374159034</v>
      </c>
      <c r="S259" s="13">
        <f t="shared" si="50"/>
        <v>0.14635558256202513</v>
      </c>
      <c r="T259" s="13">
        <f t="shared" si="50"/>
        <v>-0.3165590519472104</v>
      </c>
      <c r="U259" s="13">
        <f t="shared" si="49"/>
        <v>0.79450059851641797</v>
      </c>
      <c r="V259" s="13">
        <f t="shared" si="49"/>
        <v>0.8230408659545696</v>
      </c>
      <c r="W259" s="13">
        <f t="shared" si="49"/>
        <v>-5.5917826137733655E-2</v>
      </c>
      <c r="X259" s="13">
        <f t="shared" si="49"/>
        <v>1.0791857746760019</v>
      </c>
      <c r="Y259" s="13">
        <f t="shared" si="49"/>
        <v>0.24496775676591592</v>
      </c>
    </row>
    <row r="260" spans="1:25" x14ac:dyDescent="0.25">
      <c r="A260" s="14">
        <f>[1]Data!A263</f>
        <v>45323</v>
      </c>
      <c r="B260" s="15">
        <f>[1]Data!B263</f>
        <v>5.0870715521053947E-2</v>
      </c>
      <c r="C260" s="15">
        <f>[1]Data!C263</f>
        <v>8.9102841275943034E-2</v>
      </c>
      <c r="D260" s="16">
        <f>[1]Data!F263</f>
        <v>1.1421240067535665E-3</v>
      </c>
      <c r="E260" s="17">
        <f>[1]Data!G263</f>
        <v>1.6594409000635822E-2</v>
      </c>
      <c r="F260" s="16">
        <f>[1]Data!H263</f>
        <v>3.1032701476210567E-2</v>
      </c>
      <c r="G260" s="17">
        <f>[1]Data!I263</f>
        <v>-1.8435637178925084E-2</v>
      </c>
      <c r="H260" s="18">
        <f t="shared" si="51"/>
        <v>-1</v>
      </c>
      <c r="I260" s="19">
        <f t="shared" si="60"/>
        <v>1</v>
      </c>
      <c r="J260" s="13">
        <f t="shared" si="52"/>
        <v>0</v>
      </c>
      <c r="K260" s="13">
        <f t="shared" si="53"/>
        <v>-1.1421240067535665E-3</v>
      </c>
      <c r="L260" s="13">
        <f t="shared" si="54"/>
        <v>0</v>
      </c>
      <c r="M260" s="13">
        <f t="shared" si="55"/>
        <v>1.6594409000635822E-2</v>
      </c>
      <c r="N260" s="13">
        <f t="shared" si="56"/>
        <v>3.1032701476210567E-2</v>
      </c>
      <c r="O260" s="13">
        <f t="shared" si="57"/>
        <v>0</v>
      </c>
      <c r="P260" s="13">
        <f t="shared" si="58"/>
        <v>1.8435637178925084E-2</v>
      </c>
      <c r="Q260" s="13">
        <f t="shared" si="59"/>
        <v>0</v>
      </c>
      <c r="R260" s="13">
        <f t="shared" si="50"/>
        <v>0.83181237374159034</v>
      </c>
      <c r="S260" s="13">
        <f t="shared" si="50"/>
        <v>0.14521345855527157</v>
      </c>
      <c r="T260" s="13">
        <f t="shared" si="50"/>
        <v>-0.3165590519472104</v>
      </c>
      <c r="U260" s="13">
        <f t="shared" si="49"/>
        <v>0.81109500751705377</v>
      </c>
      <c r="V260" s="13">
        <f t="shared" si="49"/>
        <v>0.85407356743078022</v>
      </c>
      <c r="W260" s="13">
        <f t="shared" si="49"/>
        <v>-5.5917826137733655E-2</v>
      </c>
      <c r="X260" s="13">
        <f t="shared" si="49"/>
        <v>1.097621411854927</v>
      </c>
      <c r="Y260" s="13">
        <f t="shared" si="49"/>
        <v>0.24496775676591592</v>
      </c>
    </row>
    <row r="261" spans="1:25" x14ac:dyDescent="0.25">
      <c r="A261" s="14">
        <f>[1]Data!A264</f>
        <v>45352</v>
      </c>
      <c r="B261" s="15">
        <f>[1]Data!B264</f>
        <v>3.2178750060169029E-2</v>
      </c>
      <c r="C261" s="15">
        <f>[1]Data!C264</f>
        <v>3.901761419476165E-2</v>
      </c>
      <c r="D261" s="16">
        <f>[1]Data!F264</f>
        <v>1.6648253842542285E-3</v>
      </c>
      <c r="E261" s="17">
        <f>[1]Data!G264</f>
        <v>1.6302003058535058E-2</v>
      </c>
      <c r="F261" s="16">
        <f>[1]Data!H264</f>
        <v>1.3159058951112419E-2</v>
      </c>
      <c r="G261" s="17">
        <f>[1]Data!I264</f>
        <v>2.1235647958883171E-2</v>
      </c>
      <c r="H261" s="18">
        <f t="shared" si="51"/>
        <v>-1</v>
      </c>
      <c r="I261" s="19">
        <f t="shared" si="60"/>
        <v>1</v>
      </c>
      <c r="J261" s="13">
        <f t="shared" si="52"/>
        <v>0</v>
      </c>
      <c r="K261" s="13">
        <f t="shared" si="53"/>
        <v>-1.6648253842542285E-3</v>
      </c>
      <c r="L261" s="13">
        <f t="shared" si="54"/>
        <v>0</v>
      </c>
      <c r="M261" s="13">
        <f t="shared" si="55"/>
        <v>1.6302003058535058E-2</v>
      </c>
      <c r="N261" s="13">
        <f t="shared" si="56"/>
        <v>1.3159058951112419E-2</v>
      </c>
      <c r="O261" s="13">
        <f t="shared" si="57"/>
        <v>0</v>
      </c>
      <c r="P261" s="13">
        <f t="shared" si="58"/>
        <v>-2.1235647958883171E-2</v>
      </c>
      <c r="Q261" s="13">
        <f t="shared" si="59"/>
        <v>0</v>
      </c>
      <c r="R261" s="13">
        <f t="shared" si="50"/>
        <v>0.83181237374159034</v>
      </c>
      <c r="S261" s="13">
        <f t="shared" si="50"/>
        <v>0.14354863317101735</v>
      </c>
      <c r="T261" s="13">
        <f t="shared" si="50"/>
        <v>-0.3165590519472104</v>
      </c>
      <c r="U261" s="13">
        <f t="shared" si="49"/>
        <v>0.82739701057558879</v>
      </c>
      <c r="V261" s="13">
        <f t="shared" si="49"/>
        <v>0.86723262638189269</v>
      </c>
      <c r="W261" s="13">
        <f t="shared" si="49"/>
        <v>-5.5917826137733655E-2</v>
      </c>
      <c r="X261" s="13">
        <f t="shared" si="49"/>
        <v>1.0763857638960439</v>
      </c>
      <c r="Y261" s="13">
        <f t="shared" si="49"/>
        <v>0.24496775676591592</v>
      </c>
    </row>
    <row r="262" spans="1:25" x14ac:dyDescent="0.25">
      <c r="A262" s="14">
        <f>[1]Data!A265</f>
        <v>45383</v>
      </c>
      <c r="B262" s="15">
        <f>[1]Data!B265</f>
        <v>-4.1155041750283824E-2</v>
      </c>
      <c r="C262" s="15">
        <f>[1]Data!C265</f>
        <v>1.4109990981579848E-3</v>
      </c>
      <c r="D262" s="16">
        <f>[1]Data!F265</f>
        <v>1.3679412404378172E-2</v>
      </c>
      <c r="E262" s="17">
        <f>[1]Data!G265</f>
        <v>-1.0486649375916802E-2</v>
      </c>
      <c r="F262" s="16">
        <f>[1]Data!H265</f>
        <v>-8.9104523069123732E-3</v>
      </c>
      <c r="G262" s="17">
        <f>[1]Data!I265</f>
        <v>-3.1429933253891595E-2</v>
      </c>
      <c r="H262" s="18">
        <f t="shared" si="51"/>
        <v>-1</v>
      </c>
      <c r="I262" s="19">
        <f t="shared" si="60"/>
        <v>1</v>
      </c>
      <c r="J262" s="13">
        <f t="shared" si="52"/>
        <v>0</v>
      </c>
      <c r="K262" s="13">
        <f t="shared" si="53"/>
        <v>-1.3679412404378172E-2</v>
      </c>
      <c r="L262" s="13">
        <f t="shared" si="54"/>
        <v>0</v>
      </c>
      <c r="M262" s="13">
        <f t="shared" si="55"/>
        <v>-1.0486649375916802E-2</v>
      </c>
      <c r="N262" s="13">
        <f t="shared" si="56"/>
        <v>-8.9104523069123732E-3</v>
      </c>
      <c r="O262" s="13">
        <f t="shared" si="57"/>
        <v>0</v>
      </c>
      <c r="P262" s="13">
        <f t="shared" si="58"/>
        <v>3.1429933253891595E-2</v>
      </c>
      <c r="Q262" s="13">
        <f t="shared" si="59"/>
        <v>0</v>
      </c>
      <c r="R262" s="13">
        <f t="shared" si="50"/>
        <v>0.83181237374159034</v>
      </c>
      <c r="S262" s="13">
        <f t="shared" si="50"/>
        <v>0.12986922076663918</v>
      </c>
      <c r="T262" s="13">
        <f t="shared" si="50"/>
        <v>-0.3165590519472104</v>
      </c>
      <c r="U262" s="13">
        <f t="shared" si="49"/>
        <v>0.81691036119967197</v>
      </c>
      <c r="V262" s="13">
        <f t="shared" si="49"/>
        <v>0.85832217407498035</v>
      </c>
      <c r="W262" s="13">
        <f t="shared" si="49"/>
        <v>-5.5917826137733655E-2</v>
      </c>
      <c r="X262" s="13">
        <f t="shared" si="49"/>
        <v>1.1078156971499356</v>
      </c>
      <c r="Y262" s="13">
        <f t="shared" si="49"/>
        <v>0.24496775676591592</v>
      </c>
    </row>
    <row r="263" spans="1:25" x14ac:dyDescent="0.25">
      <c r="A263" s="14">
        <f>[1]Data!A266</f>
        <v>45413</v>
      </c>
      <c r="B263" s="15">
        <f>[1]Data!B266</f>
        <v>4.9341926200576133E-2</v>
      </c>
      <c r="C263" s="15">
        <f>[1]Data!C266</f>
        <v>1.5893809749767701E-2</v>
      </c>
      <c r="D263" s="16">
        <f>[1]Data!F266</f>
        <v>-7.5375643514422695E-3</v>
      </c>
      <c r="E263" s="17">
        <f>[1]Data!G266</f>
        <v>-1.2524900429691337E-2</v>
      </c>
      <c r="F263" s="16">
        <f>[1]Data!H266</f>
        <v>2.9753173513714228E-2</v>
      </c>
      <c r="G263" s="17">
        <f>[1]Data!I266</f>
        <v>3.1661917816724595E-2</v>
      </c>
      <c r="H263" s="18">
        <f t="shared" si="51"/>
        <v>-1</v>
      </c>
      <c r="I263" s="19">
        <f t="shared" si="60"/>
        <v>1</v>
      </c>
      <c r="J263" s="13">
        <f t="shared" si="52"/>
        <v>0</v>
      </c>
      <c r="K263" s="13">
        <f t="shared" si="53"/>
        <v>7.5375643514422695E-3</v>
      </c>
      <c r="L263" s="13">
        <f t="shared" si="54"/>
        <v>0</v>
      </c>
      <c r="M263" s="13">
        <f t="shared" si="55"/>
        <v>-1.2524900429691337E-2</v>
      </c>
      <c r="N263" s="13">
        <f t="shared" si="56"/>
        <v>2.9753173513714228E-2</v>
      </c>
      <c r="O263" s="13">
        <f t="shared" si="57"/>
        <v>0</v>
      </c>
      <c r="P263" s="13">
        <f t="shared" si="58"/>
        <v>-3.1661917816724595E-2</v>
      </c>
      <c r="Q263" s="13">
        <f t="shared" si="59"/>
        <v>0</v>
      </c>
      <c r="R263" s="13">
        <f t="shared" si="50"/>
        <v>0.83181237374159034</v>
      </c>
      <c r="S263" s="13">
        <f t="shared" si="50"/>
        <v>0.13740678511808144</v>
      </c>
      <c r="T263" s="13">
        <f t="shared" si="50"/>
        <v>-0.3165590519472104</v>
      </c>
      <c r="U263" s="13">
        <f t="shared" si="49"/>
        <v>0.80438546076998063</v>
      </c>
      <c r="V263" s="13">
        <f t="shared" si="49"/>
        <v>0.88807534758869455</v>
      </c>
      <c r="W263" s="13">
        <f t="shared" si="49"/>
        <v>-5.5917826137733655E-2</v>
      </c>
      <c r="X263" s="13">
        <f t="shared" si="49"/>
        <v>1.076153779333211</v>
      </c>
      <c r="Y263" s="13">
        <f t="shared" si="49"/>
        <v>0.24496775676591592</v>
      </c>
    </row>
    <row r="264" spans="1:25" x14ac:dyDescent="0.25">
      <c r="A264" s="14">
        <f>[1]Data!A267</f>
        <v>45444</v>
      </c>
      <c r="B264" s="15">
        <f>[1]Data!B267</f>
        <v>3.4672137981978199E-2</v>
      </c>
      <c r="C264" s="15">
        <f>[1]Data!C267</f>
        <v>-1.3570107312282052E-2</v>
      </c>
      <c r="D264" s="16">
        <f>[1]Data!F267</f>
        <v>2.723190918377312E-3</v>
      </c>
      <c r="E264" s="17">
        <f>[1]Data!G267</f>
        <v>-2.7510876495499673E-2</v>
      </c>
      <c r="F264" s="16">
        <f>[1]Data!H267</f>
        <v>1.2512304391934124E-2</v>
      </c>
      <c r="G264" s="17">
        <f>[1]Data!I267</f>
        <v>1.4952763595864015E-2</v>
      </c>
      <c r="H264" s="18">
        <f t="shared" si="51"/>
        <v>1</v>
      </c>
      <c r="I264" s="19">
        <f t="shared" si="60"/>
        <v>1</v>
      </c>
      <c r="J264" s="13">
        <f t="shared" si="52"/>
        <v>2.723190918377312E-3</v>
      </c>
      <c r="K264" s="13">
        <f t="shared" si="53"/>
        <v>0</v>
      </c>
      <c r="L264" s="13">
        <f t="shared" si="54"/>
        <v>2.7510876495499673E-2</v>
      </c>
      <c r="M264" s="13">
        <f t="shared" si="55"/>
        <v>0</v>
      </c>
      <c r="N264" s="13">
        <f t="shared" si="56"/>
        <v>1.2512304391934124E-2</v>
      </c>
      <c r="O264" s="13">
        <f t="shared" si="57"/>
        <v>0</v>
      </c>
      <c r="P264" s="13">
        <f t="shared" si="58"/>
        <v>-1.4952763595864015E-2</v>
      </c>
      <c r="Q264" s="13">
        <f t="shared" si="59"/>
        <v>0</v>
      </c>
      <c r="R264" s="13">
        <f t="shared" si="50"/>
        <v>0.8345355646599677</v>
      </c>
      <c r="S264" s="13">
        <f t="shared" si="50"/>
        <v>0.13740678511808144</v>
      </c>
      <c r="T264" s="13">
        <f t="shared" si="50"/>
        <v>-0.28904817545171074</v>
      </c>
      <c r="U264" s="13">
        <f t="shared" si="49"/>
        <v>0.80438546076998063</v>
      </c>
      <c r="V264" s="13">
        <f t="shared" si="49"/>
        <v>0.90058765198062862</v>
      </c>
      <c r="W264" s="13">
        <f t="shared" si="49"/>
        <v>-5.5917826137733655E-2</v>
      </c>
      <c r="X264" s="13">
        <f t="shared" si="49"/>
        <v>1.061201015737347</v>
      </c>
      <c r="Y264" s="13">
        <f t="shared" si="49"/>
        <v>0.24496775676591592</v>
      </c>
    </row>
    <row r="265" spans="1:25" x14ac:dyDescent="0.25">
      <c r="A265" s="14">
        <f>[1]Data!A268</f>
        <v>45474</v>
      </c>
      <c r="B265" s="15">
        <f>[1]Data!B268</f>
        <v>1.2036422652770377E-2</v>
      </c>
      <c r="C265" s="15">
        <f>[1]Data!C268</f>
        <v>6.3733967610182553E-3</v>
      </c>
      <c r="D265" s="16">
        <f>[1]Data!F268</f>
        <v>-6.9474075330781503E-3</v>
      </c>
      <c r="E265" s="17">
        <f>[1]Data!G268</f>
        <v>2.3045732831310929E-2</v>
      </c>
      <c r="F265" s="16">
        <f>[1]Data!H268</f>
        <v>2.0119043559437007E-2</v>
      </c>
      <c r="G265" s="17">
        <f>[1]Data!I268</f>
        <v>1.37970494602731E-2</v>
      </c>
      <c r="H265" s="18">
        <f t="shared" si="51"/>
        <v>-1</v>
      </c>
      <c r="I265" s="19">
        <f t="shared" si="60"/>
        <v>-1</v>
      </c>
      <c r="J265" s="13">
        <f t="shared" si="52"/>
        <v>0</v>
      </c>
      <c r="K265" s="13">
        <f t="shared" si="53"/>
        <v>6.9474075330781503E-3</v>
      </c>
      <c r="L265" s="13">
        <f t="shared" si="54"/>
        <v>0</v>
      </c>
      <c r="M265" s="13">
        <f t="shared" si="55"/>
        <v>2.3045732831310929E-2</v>
      </c>
      <c r="N265" s="13">
        <f t="shared" si="56"/>
        <v>0</v>
      </c>
      <c r="O265" s="13">
        <f t="shared" si="57"/>
        <v>-2.0119043559437007E-2</v>
      </c>
      <c r="P265" s="13">
        <f t="shared" si="58"/>
        <v>0</v>
      </c>
      <c r="Q265" s="13">
        <f t="shared" si="59"/>
        <v>1.37970494602731E-2</v>
      </c>
      <c r="R265" s="13">
        <f t="shared" si="50"/>
        <v>0.8345355646599677</v>
      </c>
      <c r="S265" s="13">
        <f t="shared" si="50"/>
        <v>0.14435419265115959</v>
      </c>
      <c r="T265" s="13">
        <f t="shared" si="50"/>
        <v>-0.28904817545171074</v>
      </c>
      <c r="U265" s="13">
        <f t="shared" si="49"/>
        <v>0.82743119360129158</v>
      </c>
      <c r="V265" s="13">
        <f t="shared" si="49"/>
        <v>0.90058765198062862</v>
      </c>
      <c r="W265" s="13">
        <f t="shared" si="49"/>
        <v>-7.6036869697170661E-2</v>
      </c>
      <c r="X265" s="13">
        <f t="shared" si="49"/>
        <v>1.061201015737347</v>
      </c>
      <c r="Y265" s="13">
        <f t="shared" si="49"/>
        <v>0.25876480622618903</v>
      </c>
    </row>
    <row r="266" spans="1:25" x14ac:dyDescent="0.25">
      <c r="A266" s="14">
        <f>[1]Data!A269</f>
        <v>45505</v>
      </c>
      <c r="B266" s="15">
        <f>[1]Data!B269</f>
        <v>2.3096674300165244E-2</v>
      </c>
      <c r="C266" s="15">
        <f>[1]Data!C269</f>
        <v>-2.6188565902419116E-2</v>
      </c>
      <c r="D266" s="16">
        <f>[1]Data!F269</f>
        <v>5.4432595171319481E-3</v>
      </c>
      <c r="E266" s="17">
        <f>[1]Data!G269</f>
        <v>-2.2949531899315638E-2</v>
      </c>
      <c r="F266" s="16">
        <f>[1]Data!H269</f>
        <v>-6.0141403170915958E-2</v>
      </c>
      <c r="G266" s="17">
        <f>[1]Data!I269</f>
        <v>1.4863421378237351E-2</v>
      </c>
      <c r="H266" s="18">
        <f t="shared" si="51"/>
        <v>1</v>
      </c>
      <c r="I266" s="19">
        <f t="shared" si="60"/>
        <v>1</v>
      </c>
      <c r="J266" s="13">
        <f t="shared" si="52"/>
        <v>5.4432595171319481E-3</v>
      </c>
      <c r="K266" s="13">
        <f t="shared" si="53"/>
        <v>0</v>
      </c>
      <c r="L266" s="13">
        <f t="shared" si="54"/>
        <v>2.2949531899315638E-2</v>
      </c>
      <c r="M266" s="13">
        <f t="shared" si="55"/>
        <v>0</v>
      </c>
      <c r="N266" s="13">
        <f t="shared" si="56"/>
        <v>-6.0141403170915958E-2</v>
      </c>
      <c r="O266" s="13">
        <f t="shared" si="57"/>
        <v>0</v>
      </c>
      <c r="P266" s="13">
        <f t="shared" si="58"/>
        <v>-1.4863421378237351E-2</v>
      </c>
      <c r="Q266" s="13">
        <f t="shared" si="59"/>
        <v>0</v>
      </c>
      <c r="R266" s="13">
        <f t="shared" si="50"/>
        <v>0.83997882417709968</v>
      </c>
      <c r="S266" s="13">
        <f t="shared" si="50"/>
        <v>0.14435419265115959</v>
      </c>
      <c r="T266" s="13">
        <f t="shared" si="50"/>
        <v>-0.2660986435523951</v>
      </c>
      <c r="U266" s="13">
        <f t="shared" si="49"/>
        <v>0.82743119360129158</v>
      </c>
      <c r="V266" s="13">
        <f t="shared" si="49"/>
        <v>0.84044624880971264</v>
      </c>
      <c r="W266" s="13">
        <f t="shared" si="49"/>
        <v>-7.6036869697170661E-2</v>
      </c>
      <c r="X266" s="13">
        <f t="shared" si="49"/>
        <v>1.0463375943591098</v>
      </c>
      <c r="Y266" s="13">
        <f t="shared" si="49"/>
        <v>0.25876480622618903</v>
      </c>
    </row>
    <row r="267" spans="1:25" x14ac:dyDescent="0.25">
      <c r="A267" s="14">
        <f>[1]Data!A270</f>
        <v>45536</v>
      </c>
      <c r="B267" s="15">
        <f>[1]Data!B270</f>
        <v>2.0787250725068776E-2</v>
      </c>
      <c r="C267" s="15">
        <f>[1]Data!C270</f>
        <v>-1.1957683430430775E-2</v>
      </c>
      <c r="D267" s="16">
        <f>[1]Data!F270</f>
        <v>7.1541371203220332E-3</v>
      </c>
      <c r="E267" s="17">
        <f>[1]Data!G270</f>
        <v>-5.7935885191071632E-3</v>
      </c>
      <c r="F267" s="16">
        <f>[1]Data!H270</f>
        <v>-3.1117013644920338E-2</v>
      </c>
      <c r="G267" s="17">
        <f>[1]Data!I270</f>
        <v>3.8879968116322536E-2</v>
      </c>
      <c r="H267" s="18">
        <f t="shared" si="51"/>
        <v>1</v>
      </c>
      <c r="I267" s="19">
        <f t="shared" si="60"/>
        <v>-1</v>
      </c>
      <c r="J267" s="13">
        <f t="shared" si="52"/>
        <v>7.1541371203220332E-3</v>
      </c>
      <c r="K267" s="13">
        <f t="shared" si="53"/>
        <v>0</v>
      </c>
      <c r="L267" s="13">
        <f t="shared" si="54"/>
        <v>5.7935885191071632E-3</v>
      </c>
      <c r="M267" s="13">
        <f t="shared" si="55"/>
        <v>0</v>
      </c>
      <c r="N267" s="13">
        <f t="shared" si="56"/>
        <v>0</v>
      </c>
      <c r="O267" s="13">
        <f t="shared" si="57"/>
        <v>3.1117013644920338E-2</v>
      </c>
      <c r="P267" s="13">
        <f t="shared" si="58"/>
        <v>0</v>
      </c>
      <c r="Q267" s="13">
        <f t="shared" si="59"/>
        <v>3.8879968116322536E-2</v>
      </c>
      <c r="R267" s="13">
        <f t="shared" si="50"/>
        <v>0.84713296129742166</v>
      </c>
      <c r="S267" s="13">
        <f t="shared" si="50"/>
        <v>0.14435419265115959</v>
      </c>
      <c r="T267" s="13">
        <f t="shared" si="50"/>
        <v>-0.26030505503328794</v>
      </c>
      <c r="U267" s="13">
        <f t="shared" si="49"/>
        <v>0.82743119360129158</v>
      </c>
      <c r="V267" s="13">
        <f t="shared" si="49"/>
        <v>0.84044624880971264</v>
      </c>
      <c r="W267" s="13">
        <f t="shared" si="49"/>
        <v>-4.4919856052250323E-2</v>
      </c>
      <c r="X267" s="13">
        <f t="shared" si="49"/>
        <v>1.0463375943591098</v>
      </c>
      <c r="Y267" s="13">
        <f t="shared" si="49"/>
        <v>0.29764477434251158</v>
      </c>
    </row>
    <row r="268" spans="1:25" x14ac:dyDescent="0.25">
      <c r="A268" s="14">
        <f>[1]Data!A271</f>
        <v>45566</v>
      </c>
      <c r="B268" s="15">
        <f>[1]Data!B271</f>
        <v>-8.9637250286328206E-3</v>
      </c>
      <c r="C268" s="15">
        <f>[1]Data!C271</f>
        <v>7.5531379394351394E-2</v>
      </c>
      <c r="D268" s="16">
        <f>[1]Data!F271</f>
        <v>-2.601957976440664E-2</v>
      </c>
      <c r="E268" s="17">
        <f>[1]Data!G271</f>
        <v>2.3824947236706136E-3</v>
      </c>
      <c r="F268" s="16">
        <f>[1]Data!H271</f>
        <v>-1.0442140020132771E-2</v>
      </c>
      <c r="G268" s="17">
        <f>[1]Data!I271</f>
        <v>-3.0675082917408353E-2</v>
      </c>
      <c r="H268" s="18">
        <f t="shared" si="51"/>
        <v>-1</v>
      </c>
      <c r="I268" s="19">
        <f t="shared" si="60"/>
        <v>-1</v>
      </c>
      <c r="J268" s="13">
        <f t="shared" si="52"/>
        <v>0</v>
      </c>
      <c r="K268" s="13">
        <f t="shared" si="53"/>
        <v>2.601957976440664E-2</v>
      </c>
      <c r="L268" s="13">
        <f t="shared" si="54"/>
        <v>0</v>
      </c>
      <c r="M268" s="13">
        <f t="shared" si="55"/>
        <v>2.3824947236706136E-3</v>
      </c>
      <c r="N268" s="13">
        <f t="shared" si="56"/>
        <v>0</v>
      </c>
      <c r="O268" s="13">
        <f t="shared" si="57"/>
        <v>1.0442140020132771E-2</v>
      </c>
      <c r="P268" s="13">
        <f t="shared" si="58"/>
        <v>0</v>
      </c>
      <c r="Q268" s="13">
        <f t="shared" si="59"/>
        <v>-3.0675082917408353E-2</v>
      </c>
      <c r="R268" s="13">
        <f t="shared" si="50"/>
        <v>0.84713296129742166</v>
      </c>
      <c r="S268" s="13">
        <f t="shared" si="50"/>
        <v>0.17037377241556623</v>
      </c>
      <c r="T268" s="13">
        <f t="shared" si="50"/>
        <v>-0.26030505503328794</v>
      </c>
      <c r="U268" s="13">
        <f t="shared" si="49"/>
        <v>0.82981368832496216</v>
      </c>
      <c r="V268" s="13">
        <f t="shared" si="49"/>
        <v>0.84044624880971264</v>
      </c>
      <c r="W268" s="13">
        <f t="shared" si="49"/>
        <v>-3.447771603211755E-2</v>
      </c>
      <c r="X268" s="13">
        <f t="shared" si="49"/>
        <v>1.0463375943591098</v>
      </c>
      <c r="Y268" s="13">
        <f t="shared" si="49"/>
        <v>0.26696969142510324</v>
      </c>
    </row>
    <row r="269" spans="1:25" x14ac:dyDescent="0.25">
      <c r="A269" s="14">
        <f>[1]Data!A272</f>
        <v>45597</v>
      </c>
      <c r="B269" s="15">
        <f>[1]Data!B272</f>
        <v>5.7923013086624189E-2</v>
      </c>
      <c r="C269" s="15">
        <f>[1]Data!C272</f>
        <v>6.2794062589265745E-2</v>
      </c>
      <c r="D269" s="16">
        <f>[1]Data!F272</f>
        <v>1.4846949421476317E-2</v>
      </c>
      <c r="E269" s="17">
        <f>[1]Data!G272</f>
        <v>3.9395219458884141E-2</v>
      </c>
      <c r="F269" s="16">
        <f>[1]Data!H272</f>
        <v>4.6338520008788547E-2</v>
      </c>
      <c r="G269" s="17">
        <f>[1]Data!I272</f>
        <v>-8.818994088863677E-3</v>
      </c>
      <c r="H269" s="18">
        <f t="shared" si="51"/>
        <v>-1</v>
      </c>
      <c r="I269" s="19">
        <f t="shared" si="60"/>
        <v>1</v>
      </c>
      <c r="J269" s="13">
        <f t="shared" si="52"/>
        <v>0</v>
      </c>
      <c r="K269" s="13">
        <f t="shared" si="53"/>
        <v>-1.4846949421476317E-2</v>
      </c>
      <c r="L269" s="13">
        <f t="shared" si="54"/>
        <v>0</v>
      </c>
      <c r="M269" s="13">
        <f t="shared" si="55"/>
        <v>3.9395219458884141E-2</v>
      </c>
      <c r="N269" s="13">
        <f t="shared" si="56"/>
        <v>4.6338520008788547E-2</v>
      </c>
      <c r="O269" s="13">
        <f t="shared" si="57"/>
        <v>0</v>
      </c>
      <c r="P269" s="13">
        <f t="shared" si="58"/>
        <v>8.818994088863677E-3</v>
      </c>
      <c r="Q269" s="13">
        <f t="shared" si="59"/>
        <v>0</v>
      </c>
      <c r="R269" s="13">
        <f t="shared" si="50"/>
        <v>0.84713296129742166</v>
      </c>
      <c r="S269" s="13">
        <f t="shared" si="50"/>
        <v>0.1555268229940899</v>
      </c>
      <c r="T269" s="13">
        <f t="shared" si="50"/>
        <v>-0.26030505503328794</v>
      </c>
      <c r="U269" s="13">
        <f t="shared" si="49"/>
        <v>0.8692089077838463</v>
      </c>
      <c r="V269" s="13">
        <f t="shared" si="49"/>
        <v>0.88678476881850121</v>
      </c>
      <c r="W269" s="13">
        <f t="shared" si="49"/>
        <v>-3.447771603211755E-2</v>
      </c>
      <c r="X269" s="13">
        <f t="shared" si="49"/>
        <v>1.0551565884479734</v>
      </c>
      <c r="Y269" s="13">
        <f t="shared" si="49"/>
        <v>0.26696969142510324</v>
      </c>
    </row>
    <row r="270" spans="1:25" x14ac:dyDescent="0.25">
      <c r="A270" s="14">
        <f>[1]Data!A273</f>
        <v>45627</v>
      </c>
      <c r="B270" s="15">
        <f>[1]Data!B273</f>
        <v>-2.4354253846920634E-2</v>
      </c>
      <c r="C270" s="15">
        <f>[1]Data!C273</f>
        <v>3.9036998208068344E-2</v>
      </c>
      <c r="D270" s="16">
        <f>[1]Data!F273</f>
        <v>-8.6135309785591897E-3</v>
      </c>
      <c r="E270" s="17">
        <f>[1]Data!G273</f>
        <v>-1.115924717554876E-2</v>
      </c>
      <c r="F270" s="16">
        <f>[1]Data!H273</f>
        <v>8.6917097530328155E-3</v>
      </c>
      <c r="G270" s="17">
        <f>[1]Data!I273</f>
        <v>7.9242570584242746E-3</v>
      </c>
      <c r="H270" s="18">
        <f t="shared" si="51"/>
        <v>-1</v>
      </c>
      <c r="I270" s="19">
        <f t="shared" si="60"/>
        <v>1</v>
      </c>
      <c r="J270" s="13">
        <f t="shared" si="52"/>
        <v>0</v>
      </c>
      <c r="K270" s="13">
        <f t="shared" si="53"/>
        <v>8.6135309785591897E-3</v>
      </c>
      <c r="L270" s="13">
        <f t="shared" si="54"/>
        <v>0</v>
      </c>
      <c r="M270" s="13">
        <f t="shared" si="55"/>
        <v>-1.115924717554876E-2</v>
      </c>
      <c r="N270" s="13">
        <f t="shared" si="56"/>
        <v>8.6917097530328155E-3</v>
      </c>
      <c r="O270" s="13">
        <f t="shared" si="57"/>
        <v>0</v>
      </c>
      <c r="P270" s="13">
        <f t="shared" si="58"/>
        <v>-7.9242570584242746E-3</v>
      </c>
      <c r="Q270" s="13">
        <f t="shared" si="59"/>
        <v>0</v>
      </c>
      <c r="R270" s="13">
        <f t="shared" si="50"/>
        <v>0.84713296129742166</v>
      </c>
      <c r="S270" s="13">
        <f t="shared" si="50"/>
        <v>0.16414035397264909</v>
      </c>
      <c r="T270" s="13">
        <f t="shared" si="50"/>
        <v>-0.26030505503328794</v>
      </c>
      <c r="U270" s="13">
        <f t="shared" si="49"/>
        <v>0.85804966060829757</v>
      </c>
      <c r="V270" s="13">
        <f t="shared" si="49"/>
        <v>0.89547647857153401</v>
      </c>
      <c r="W270" s="13">
        <f t="shared" si="49"/>
        <v>-3.447771603211755E-2</v>
      </c>
      <c r="X270" s="13">
        <f t="shared" si="49"/>
        <v>1.0472323313895491</v>
      </c>
      <c r="Y270" s="13">
        <f t="shared" si="49"/>
        <v>0.26696969142510324</v>
      </c>
    </row>
    <row r="271" spans="1:25" x14ac:dyDescent="0.25">
      <c r="A271" s="14">
        <f>[1]Data!A274</f>
        <v>45658</v>
      </c>
      <c r="B271" s="15">
        <f>[1]Data!B274</f>
        <v>2.6502009567008759E-2</v>
      </c>
      <c r="C271" s="15">
        <f>[1]Data!C274</f>
        <v>3.7929519450425733E-2</v>
      </c>
      <c r="D271" s="16">
        <f>[1]Data!F274</f>
        <v>-1.0167113227328512E-2</v>
      </c>
      <c r="E271" s="17">
        <f>[1]Data!G274</f>
        <v>6.1722234289853725E-3</v>
      </c>
      <c r="F271" s="16">
        <f>[1]Data!H274</f>
        <v>5.8013851190404702E-3</v>
      </c>
      <c r="G271" s="17">
        <f>[1]Data!I274</f>
        <v>-1.499805088929935E-2</v>
      </c>
      <c r="H271" s="18">
        <f t="shared" si="51"/>
        <v>-1</v>
      </c>
      <c r="I271" s="19">
        <f t="shared" si="60"/>
        <v>1</v>
      </c>
      <c r="J271" s="13">
        <f t="shared" si="52"/>
        <v>0</v>
      </c>
      <c r="K271" s="13">
        <f t="shared" si="53"/>
        <v>1.0167113227328512E-2</v>
      </c>
      <c r="L271" s="13">
        <f t="shared" si="54"/>
        <v>0</v>
      </c>
      <c r="M271" s="13">
        <f t="shared" si="55"/>
        <v>6.1722234289853725E-3</v>
      </c>
      <c r="N271" s="13">
        <f t="shared" si="56"/>
        <v>5.8013851190404702E-3</v>
      </c>
      <c r="O271" s="13">
        <f t="shared" si="57"/>
        <v>0</v>
      </c>
      <c r="P271" s="13">
        <f t="shared" si="58"/>
        <v>1.499805088929935E-2</v>
      </c>
      <c r="Q271" s="13">
        <f t="shared" si="59"/>
        <v>0</v>
      </c>
      <c r="R271" s="13">
        <f t="shared" si="50"/>
        <v>0.84713296129742166</v>
      </c>
      <c r="S271" s="13">
        <f t="shared" si="50"/>
        <v>0.17430746719997761</v>
      </c>
      <c r="T271" s="13">
        <f t="shared" si="50"/>
        <v>-0.26030505503328794</v>
      </c>
      <c r="U271" s="13">
        <f t="shared" si="50"/>
        <v>0.86422188403728295</v>
      </c>
      <c r="V271" s="13">
        <f t="shared" si="50"/>
        <v>0.9012778636905745</v>
      </c>
      <c r="W271" s="13">
        <f t="shared" si="50"/>
        <v>-3.447771603211755E-2</v>
      </c>
      <c r="X271" s="13">
        <f t="shared" si="50"/>
        <v>1.0622303822788484</v>
      </c>
      <c r="Y271" s="13">
        <f t="shared" si="50"/>
        <v>0.26696969142510324</v>
      </c>
    </row>
    <row r="272" spans="1:25" x14ac:dyDescent="0.25">
      <c r="A272" s="14">
        <f>[1]Data!A275</f>
        <v>45689</v>
      </c>
      <c r="B272" s="15">
        <f>[1]Data!B275</f>
        <v>-1.2776043967811583E-2</v>
      </c>
      <c r="C272" s="15">
        <f>[1]Data!C275</f>
        <v>-3.500936501709119E-2</v>
      </c>
      <c r="D272" s="16">
        <f>[1]Data!F275</f>
        <v>-5.0865333317791379E-3</v>
      </c>
      <c r="E272" s="17">
        <f>[1]Data!G275</f>
        <v>2.8087473180161238E-2</v>
      </c>
      <c r="F272" s="16">
        <f>[1]Data!H275</f>
        <v>-1.7461244313232028E-3</v>
      </c>
      <c r="G272" s="17">
        <f>[1]Data!I275</f>
        <v>2.0621095775060161E-2</v>
      </c>
      <c r="H272" s="18">
        <f t="shared" si="51"/>
        <v>1</v>
      </c>
      <c r="I272" s="19">
        <f t="shared" si="60"/>
        <v>1</v>
      </c>
      <c r="J272" s="13">
        <f t="shared" si="52"/>
        <v>-5.0865333317791379E-3</v>
      </c>
      <c r="K272" s="13">
        <f t="shared" si="53"/>
        <v>0</v>
      </c>
      <c r="L272" s="13">
        <f t="shared" si="54"/>
        <v>-2.8087473180161238E-2</v>
      </c>
      <c r="M272" s="13">
        <f t="shared" si="55"/>
        <v>0</v>
      </c>
      <c r="N272" s="13">
        <f t="shared" si="56"/>
        <v>-1.7461244313232028E-3</v>
      </c>
      <c r="O272" s="13">
        <f t="shared" si="57"/>
        <v>0</v>
      </c>
      <c r="P272" s="13">
        <f t="shared" si="58"/>
        <v>-2.0621095775060161E-2</v>
      </c>
      <c r="Q272" s="13">
        <f t="shared" si="59"/>
        <v>0</v>
      </c>
      <c r="R272" s="13">
        <f t="shared" si="50"/>
        <v>0.84204642796564255</v>
      </c>
      <c r="S272" s="13">
        <f t="shared" si="50"/>
        <v>0.17430746719997761</v>
      </c>
      <c r="T272" s="13">
        <f t="shared" si="50"/>
        <v>-0.28839252821344918</v>
      </c>
      <c r="U272" s="13">
        <f t="shared" si="50"/>
        <v>0.86422188403728295</v>
      </c>
      <c r="V272" s="13">
        <f t="shared" si="50"/>
        <v>0.89953173925925134</v>
      </c>
      <c r="W272" s="13">
        <f t="shared" si="50"/>
        <v>-3.447771603211755E-2</v>
      </c>
      <c r="X272" s="13">
        <f t="shared" si="50"/>
        <v>1.0416092865037883</v>
      </c>
      <c r="Y272" s="13">
        <f t="shared" si="50"/>
        <v>0.26696969142510324</v>
      </c>
    </row>
    <row r="273" spans="1:25" x14ac:dyDescent="0.25">
      <c r="A273" s="14">
        <f>[1]Data!A276</f>
        <v>45717</v>
      </c>
      <c r="B273" s="15">
        <f>[1]Data!B276</f>
        <v>-5.7331697768171243E-2</v>
      </c>
      <c r="C273" s="15">
        <f>[1]Data!C276</f>
        <v>-3.3407846146737079E-2</v>
      </c>
      <c r="D273" s="16">
        <f>[1]Data!F276</f>
        <v>-8.1718970707223143E-3</v>
      </c>
      <c r="E273" s="17">
        <f>[1]Data!G276</f>
        <v>3.6319127510171141E-3</v>
      </c>
      <c r="F273" s="16">
        <f>[1]Data!H276</f>
        <v>-3.1213501580951396E-2</v>
      </c>
      <c r="G273" s="17">
        <f>[1]Data!I276</f>
        <v>-2.2278008159225978E-2</v>
      </c>
      <c r="H273" s="18">
        <f t="shared" si="51"/>
        <v>1</v>
      </c>
      <c r="I273" s="19">
        <f t="shared" si="60"/>
        <v>-1</v>
      </c>
      <c r="J273" s="13">
        <f t="shared" si="52"/>
        <v>-8.1718970707223143E-3</v>
      </c>
      <c r="K273" s="13">
        <f t="shared" si="53"/>
        <v>0</v>
      </c>
      <c r="L273" s="13">
        <f t="shared" si="54"/>
        <v>-3.6319127510171141E-3</v>
      </c>
      <c r="M273" s="13">
        <f t="shared" si="55"/>
        <v>0</v>
      </c>
      <c r="N273" s="13">
        <f t="shared" si="56"/>
        <v>0</v>
      </c>
      <c r="O273" s="13">
        <f t="shared" si="57"/>
        <v>3.1213501580951396E-2</v>
      </c>
      <c r="P273" s="13">
        <f t="shared" si="58"/>
        <v>0</v>
      </c>
      <c r="Q273" s="13">
        <f t="shared" si="59"/>
        <v>-2.2278008159225978E-2</v>
      </c>
      <c r="R273" s="13">
        <f t="shared" si="50"/>
        <v>0.83387453089492025</v>
      </c>
      <c r="S273" s="13">
        <f t="shared" si="50"/>
        <v>0.17430746719997761</v>
      </c>
      <c r="T273" s="13">
        <f t="shared" si="50"/>
        <v>-0.29202444096446628</v>
      </c>
      <c r="U273" s="13">
        <f t="shared" si="50"/>
        <v>0.86422188403728295</v>
      </c>
      <c r="V273" s="13">
        <f t="shared" si="50"/>
        <v>0.89953173925925134</v>
      </c>
      <c r="W273" s="13">
        <f t="shared" si="50"/>
        <v>-3.2642144511661544E-3</v>
      </c>
      <c r="X273" s="13">
        <f t="shared" si="50"/>
        <v>1.0416092865037883</v>
      </c>
      <c r="Y273" s="13">
        <f t="shared" si="50"/>
        <v>0.24469168326587726</v>
      </c>
    </row>
    <row r="274" spans="1:25" x14ac:dyDescent="0.25">
      <c r="A274" s="14">
        <f>[1]Data!A277</f>
        <v>45748</v>
      </c>
      <c r="B274" s="15">
        <f>[1]Data!B277</f>
        <v>-8.7079434414738428E-3</v>
      </c>
      <c r="C274" s="15">
        <f>[1]Data!C277</f>
        <v>-1.1483725364181536E-2</v>
      </c>
      <c r="D274" s="16">
        <f>[1]Data!F277</f>
        <v>5.0464070106939728E-2</v>
      </c>
      <c r="E274" s="17">
        <f>[1]Data!G277</f>
        <v>3.3990149814473548E-2</v>
      </c>
      <c r="F274" s="16">
        <f>[1]Data!H277</f>
        <v>-0.10351692435420581</v>
      </c>
      <c r="G274" s="17">
        <f>[1]Data!I277</f>
        <v>-7.2364724208488149E-3</v>
      </c>
      <c r="H274" s="18">
        <f t="shared" si="51"/>
        <v>1</v>
      </c>
      <c r="I274" s="19">
        <f t="shared" si="60"/>
        <v>-1</v>
      </c>
      <c r="J274" s="13">
        <f t="shared" si="52"/>
        <v>5.0464070106939728E-2</v>
      </c>
      <c r="K274" s="13">
        <f t="shared" si="53"/>
        <v>0</v>
      </c>
      <c r="L274" s="13">
        <f t="shared" si="54"/>
        <v>-3.3990149814473548E-2</v>
      </c>
      <c r="M274" s="13">
        <f t="shared" si="55"/>
        <v>0</v>
      </c>
      <c r="N274" s="13">
        <f t="shared" si="56"/>
        <v>0</v>
      </c>
      <c r="O274" s="13">
        <f t="shared" si="57"/>
        <v>0.10351692435420581</v>
      </c>
      <c r="P274" s="13">
        <f t="shared" si="58"/>
        <v>0</v>
      </c>
      <c r="Q274" s="13">
        <f t="shared" si="59"/>
        <v>-7.2364724208488149E-3</v>
      </c>
      <c r="R274" s="13">
        <f t="shared" si="50"/>
        <v>0.88433860100186001</v>
      </c>
      <c r="S274" s="13">
        <f t="shared" si="50"/>
        <v>0.17430746719997761</v>
      </c>
      <c r="T274" s="13">
        <f t="shared" si="50"/>
        <v>-0.32601459077893985</v>
      </c>
      <c r="U274" s="13">
        <f t="shared" si="50"/>
        <v>0.86422188403728295</v>
      </c>
      <c r="V274" s="13">
        <f t="shared" si="50"/>
        <v>0.89953173925925134</v>
      </c>
      <c r="W274" s="13">
        <f t="shared" si="50"/>
        <v>0.10025270990303967</v>
      </c>
      <c r="X274" s="13">
        <f t="shared" si="50"/>
        <v>1.0416092865037883</v>
      </c>
      <c r="Y274" s="13">
        <f t="shared" si="50"/>
        <v>0.23745521084502844</v>
      </c>
    </row>
    <row r="275" spans="1:25" x14ac:dyDescent="0.25">
      <c r="A275" s="14">
        <f>[1]Data!A278</f>
        <v>45778</v>
      </c>
      <c r="B275" s="15">
        <f>[1]Data!B278</f>
        <v>6.0949225706794605E-2</v>
      </c>
      <c r="C275" s="15">
        <f>[1]Data!C278</f>
        <v>0.10957911041744683</v>
      </c>
      <c r="D275" s="16">
        <f>[1]Data!F278</f>
        <v>1.1141170220970385E-2</v>
      </c>
      <c r="E275" s="17">
        <f>[1]Data!G278</f>
        <v>2.713825197772381E-2</v>
      </c>
      <c r="F275" s="16">
        <f>[1]Data!H278</f>
        <v>1.1849305622369077E-2</v>
      </c>
      <c r="G275" s="17">
        <f>[1]Data!I278</f>
        <v>-1.4030753308767668E-2</v>
      </c>
      <c r="H275" s="18">
        <f t="shared" si="51"/>
        <v>-1</v>
      </c>
      <c r="I275" s="19">
        <f t="shared" si="60"/>
        <v>-1</v>
      </c>
      <c r="J275" s="13">
        <f t="shared" si="52"/>
        <v>0</v>
      </c>
      <c r="K275" s="13">
        <f t="shared" si="53"/>
        <v>-1.1141170220970385E-2</v>
      </c>
      <c r="L275" s="13">
        <f t="shared" si="54"/>
        <v>0</v>
      </c>
      <c r="M275" s="13">
        <f t="shared" si="55"/>
        <v>2.713825197772381E-2</v>
      </c>
      <c r="N275" s="13">
        <f t="shared" si="56"/>
        <v>0</v>
      </c>
      <c r="O275" s="13">
        <f t="shared" si="57"/>
        <v>-1.1849305622369077E-2</v>
      </c>
      <c r="P275" s="13">
        <f t="shared" si="58"/>
        <v>0</v>
      </c>
      <c r="Q275" s="13">
        <f t="shared" si="59"/>
        <v>-1.4030753308767668E-2</v>
      </c>
      <c r="R275" s="13">
        <f t="shared" si="50"/>
        <v>0.88433860100186001</v>
      </c>
      <c r="S275" s="13">
        <f t="shared" si="50"/>
        <v>0.16316629697900722</v>
      </c>
      <c r="T275" s="13">
        <f t="shared" si="50"/>
        <v>-0.32601459077893985</v>
      </c>
      <c r="U275" s="13">
        <f t="shared" si="50"/>
        <v>0.89136013601500674</v>
      </c>
      <c r="V275" s="13">
        <f t="shared" si="50"/>
        <v>0.89953173925925134</v>
      </c>
      <c r="W275" s="13">
        <f t="shared" si="50"/>
        <v>8.8403404280670589E-2</v>
      </c>
      <c r="X275" s="13">
        <f t="shared" si="50"/>
        <v>1.0416092865037883</v>
      </c>
      <c r="Y275" s="13">
        <f t="shared" si="50"/>
        <v>0.22342445753626078</v>
      </c>
    </row>
    <row r="276" spans="1:25" x14ac:dyDescent="0.25">
      <c r="A276" s="14">
        <f>[1]Data!A279</f>
        <v>45809</v>
      </c>
      <c r="B276" s="15">
        <f>[1]Data!B279</f>
        <v>5.0109422082739628E-2</v>
      </c>
      <c r="C276" s="15">
        <f>[1]Data!C279</f>
        <v>1.1664630776718258E-2</v>
      </c>
      <c r="D276" s="16">
        <f>[1]Data!F279</f>
        <v>2.9066005384365462E-2</v>
      </c>
      <c r="E276" s="17">
        <f>[1]Data!G279</f>
        <v>1.6912792689625568E-2</v>
      </c>
      <c r="F276" s="16">
        <f>[1]Data!H279</f>
        <v>1.6407174187849045E-2</v>
      </c>
      <c r="G276" s="17">
        <f>[1]Data!I279</f>
        <v>-7.1216753098330733E-3</v>
      </c>
      <c r="H276" s="18">
        <f t="shared" si="51"/>
        <v>-1</v>
      </c>
      <c r="I276" s="19">
        <f t="shared" si="60"/>
        <v>1</v>
      </c>
      <c r="J276" s="13">
        <f t="shared" si="52"/>
        <v>0</v>
      </c>
      <c r="K276" s="13">
        <f t="shared" si="53"/>
        <v>-2.9066005384365462E-2</v>
      </c>
      <c r="L276" s="13">
        <f t="shared" si="54"/>
        <v>0</v>
      </c>
      <c r="M276" s="13">
        <f t="shared" si="55"/>
        <v>1.6912792689625568E-2</v>
      </c>
      <c r="N276" s="13">
        <f t="shared" si="56"/>
        <v>1.6407174187849045E-2</v>
      </c>
      <c r="O276" s="13">
        <f t="shared" si="57"/>
        <v>0</v>
      </c>
      <c r="P276" s="13">
        <f t="shared" si="58"/>
        <v>7.1216753098330733E-3</v>
      </c>
      <c r="Q276" s="13">
        <f t="shared" si="59"/>
        <v>0</v>
      </c>
      <c r="R276" s="13">
        <f t="shared" si="50"/>
        <v>0.88433860100186001</v>
      </c>
      <c r="S276" s="13">
        <f t="shared" si="50"/>
        <v>0.13410029159464176</v>
      </c>
      <c r="T276" s="13">
        <f t="shared" si="50"/>
        <v>-0.32601459077893985</v>
      </c>
      <c r="U276" s="13">
        <f t="shared" si="50"/>
        <v>0.90827292870463228</v>
      </c>
      <c r="V276" s="13">
        <f t="shared" si="50"/>
        <v>0.91593891344710043</v>
      </c>
      <c r="W276" s="13">
        <f t="shared" si="50"/>
        <v>8.8403404280670589E-2</v>
      </c>
      <c r="X276" s="13">
        <f t="shared" si="50"/>
        <v>1.0487309618136214</v>
      </c>
      <c r="Y276" s="13">
        <f t="shared" si="50"/>
        <v>0.22342445753626078</v>
      </c>
    </row>
    <row r="277" spans="1:25" x14ac:dyDescent="0.25">
      <c r="A277" s="14">
        <f>[1]Data!A280</f>
        <v>45839</v>
      </c>
      <c r="B277" s="15">
        <f>[1]Data!B280</f>
        <v>2.2770325416294181E-2</v>
      </c>
      <c r="C277" s="15">
        <f>[1]Data!C280</f>
        <v>3.3737406528080702E-2</v>
      </c>
      <c r="D277" s="16">
        <f>[1]Data!F280</f>
        <v>5.1073623354443189E-3</v>
      </c>
      <c r="E277" s="17">
        <f>[1]Data!G280</f>
        <v>4.6125415532246722E-3</v>
      </c>
      <c r="F277" s="16">
        <f>[1]Data!H280</f>
        <v>4.0220880825346979E-3</v>
      </c>
      <c r="G277" s="17">
        <f>[1]Data!I280</f>
        <v>-2.1753909381793265E-2</v>
      </c>
      <c r="H277" s="18">
        <f t="shared" si="51"/>
        <v>-1</v>
      </c>
      <c r="I277" s="19">
        <f t="shared" si="60"/>
        <v>1</v>
      </c>
      <c r="J277" s="13">
        <f t="shared" si="52"/>
        <v>0</v>
      </c>
      <c r="K277" s="13">
        <f t="shared" si="53"/>
        <v>-5.1073623354443189E-3</v>
      </c>
      <c r="L277" s="13">
        <f t="shared" si="54"/>
        <v>0</v>
      </c>
      <c r="M277" s="13">
        <f t="shared" si="55"/>
        <v>4.6125415532246722E-3</v>
      </c>
      <c r="N277" s="13">
        <f t="shared" si="56"/>
        <v>4.0220880825346979E-3</v>
      </c>
      <c r="O277" s="13">
        <f t="shared" si="57"/>
        <v>0</v>
      </c>
      <c r="P277" s="13">
        <f t="shared" si="58"/>
        <v>2.1753909381793265E-2</v>
      </c>
      <c r="Q277" s="13">
        <f t="shared" si="59"/>
        <v>0</v>
      </c>
      <c r="R277" s="13">
        <f t="shared" si="50"/>
        <v>0.88433860100186001</v>
      </c>
      <c r="S277" s="13">
        <f t="shared" si="50"/>
        <v>0.12899292925919745</v>
      </c>
      <c r="T277" s="13">
        <f t="shared" si="50"/>
        <v>-0.32601459077893985</v>
      </c>
      <c r="U277" s="13">
        <f t="shared" si="50"/>
        <v>0.91288547025785693</v>
      </c>
      <c r="V277" s="13">
        <f t="shared" si="50"/>
        <v>0.91996100152963511</v>
      </c>
      <c r="W277" s="13">
        <f t="shared" si="50"/>
        <v>8.8403404280670589E-2</v>
      </c>
      <c r="X277" s="13">
        <f t="shared" si="50"/>
        <v>1.0704848711954147</v>
      </c>
      <c r="Y277" s="13">
        <f t="shared" si="50"/>
        <v>0.22342445753626078</v>
      </c>
    </row>
    <row r="278" spans="1:25" ht="15.75" thickBot="1" x14ac:dyDescent="0.3">
      <c r="A278" s="20">
        <f>[1]Data!A281</f>
        <v>45870</v>
      </c>
      <c r="B278" s="21">
        <f>[1]Data!B281</f>
        <v>9.4946638684212728E-3</v>
      </c>
      <c r="C278" s="21">
        <f>[1]Data!C281</f>
        <v>6.6001117953861342E-3</v>
      </c>
      <c r="D278" s="22">
        <f>[1]Data!F281</f>
        <v>0</v>
      </c>
      <c r="E278" s="23">
        <f>[1]Data!G281</f>
        <v>0</v>
      </c>
      <c r="F278" s="22">
        <f>[1]Data!H281</f>
        <v>2.6889009812874562E-4</v>
      </c>
      <c r="G278" s="23">
        <f>[1]Data!I281</f>
        <v>1.2406993948444583E-2</v>
      </c>
      <c r="H278" s="18">
        <f t="shared" si="51"/>
        <v>-1</v>
      </c>
      <c r="I278" s="19">
        <f t="shared" si="60"/>
        <v>1</v>
      </c>
      <c r="J278" s="13">
        <f t="shared" si="52"/>
        <v>0</v>
      </c>
      <c r="K278" s="13">
        <f t="shared" si="53"/>
        <v>0</v>
      </c>
      <c r="L278" s="13">
        <f t="shared" si="54"/>
        <v>0</v>
      </c>
      <c r="M278" s="13">
        <f t="shared" si="55"/>
        <v>0</v>
      </c>
      <c r="N278" s="13">
        <f t="shared" si="56"/>
        <v>2.6889009812874562E-4</v>
      </c>
      <c r="O278" s="13">
        <f t="shared" si="57"/>
        <v>0</v>
      </c>
      <c r="P278" s="13">
        <f t="shared" si="58"/>
        <v>-1.2406993948444583E-2</v>
      </c>
      <c r="Q278" s="13">
        <f t="shared" si="59"/>
        <v>0</v>
      </c>
      <c r="R278" s="13">
        <f t="shared" si="50"/>
        <v>0.88433860100186001</v>
      </c>
      <c r="S278" s="13">
        <f t="shared" si="50"/>
        <v>0.12899292925919745</v>
      </c>
      <c r="T278" s="13">
        <f t="shared" si="50"/>
        <v>-0.32601459077893985</v>
      </c>
      <c r="U278" s="13">
        <f t="shared" si="50"/>
        <v>0.91288547025785693</v>
      </c>
      <c r="V278" s="13">
        <f t="shared" si="50"/>
        <v>0.92022989162776381</v>
      </c>
      <c r="W278" s="13">
        <f t="shared" si="50"/>
        <v>8.8403404280670589E-2</v>
      </c>
      <c r="X278" s="13">
        <f t="shared" si="50"/>
        <v>1.0580778772469701</v>
      </c>
      <c r="Y278" s="13">
        <f t="shared" si="50"/>
        <v>0.22342445753626078</v>
      </c>
    </row>
    <row r="279" spans="1:25" x14ac:dyDescent="0.25">
      <c r="A279" s="24">
        <v>45901</v>
      </c>
      <c r="B279" s="25">
        <v>3.5234000000000001E-2</v>
      </c>
      <c r="C279" s="25">
        <v>7.9579999999999998E-3</v>
      </c>
      <c r="D279" s="26">
        <v>-9.3199999999999999E-4</v>
      </c>
      <c r="E279" s="17">
        <v>7.5950000000000002E-3</v>
      </c>
      <c r="F279" s="16">
        <v>5.927E-3</v>
      </c>
      <c r="G279" s="17">
        <v>3.9731000000000002E-2</v>
      </c>
      <c r="H279" s="18">
        <f t="shared" si="51"/>
        <v>-1</v>
      </c>
      <c r="I279" s="19">
        <f t="shared" si="60"/>
        <v>1</v>
      </c>
      <c r="J279" s="13">
        <f t="shared" si="52"/>
        <v>0</v>
      </c>
      <c r="K279" s="13">
        <f t="shared" si="53"/>
        <v>9.3199999999999999E-4</v>
      </c>
      <c r="L279" s="13">
        <f t="shared" si="54"/>
        <v>0</v>
      </c>
      <c r="M279" s="13">
        <f t="shared" si="55"/>
        <v>7.5950000000000002E-3</v>
      </c>
      <c r="N279" s="13">
        <f t="shared" si="56"/>
        <v>5.927E-3</v>
      </c>
      <c r="O279" s="13">
        <f t="shared" si="57"/>
        <v>0</v>
      </c>
      <c r="P279" s="13">
        <f t="shared" si="58"/>
        <v>-3.9731000000000002E-2</v>
      </c>
      <c r="Q279" s="13">
        <f t="shared" si="59"/>
        <v>0</v>
      </c>
      <c r="R279" s="13">
        <f t="shared" si="50"/>
        <v>0.88433860100186001</v>
      </c>
      <c r="S279" s="13">
        <f t="shared" si="50"/>
        <v>0.12992492925919744</v>
      </c>
      <c r="T279" s="13">
        <f t="shared" si="50"/>
        <v>-0.32601459077893985</v>
      </c>
      <c r="U279" s="13">
        <f t="shared" si="50"/>
        <v>0.92048047025785695</v>
      </c>
      <c r="V279" s="13">
        <f t="shared" si="50"/>
        <v>0.92615689162776382</v>
      </c>
      <c r="W279" s="13">
        <f t="shared" si="50"/>
        <v>8.8403404280670589E-2</v>
      </c>
      <c r="X279" s="13">
        <f t="shared" si="50"/>
        <v>1.0183468772469702</v>
      </c>
      <c r="Y279" s="13">
        <f t="shared" si="50"/>
        <v>0.22342445753626078</v>
      </c>
    </row>
    <row r="280" spans="1:25" x14ac:dyDescent="0.25">
      <c r="A280" s="24">
        <v>45931</v>
      </c>
      <c r="B280" s="25">
        <v>3.2113000000000003E-2</v>
      </c>
      <c r="C280" s="27">
        <v>-2.4447E-2</v>
      </c>
      <c r="D280" s="16">
        <v>2.3838000000000002E-2</v>
      </c>
      <c r="E280" s="28">
        <v>-9.8560000000000002E-3</v>
      </c>
      <c r="F280" s="16">
        <v>4.4229999999999998E-3</v>
      </c>
      <c r="G280" s="17">
        <v>1.4040000000000001E-3</v>
      </c>
      <c r="H280" s="18">
        <f t="shared" si="51"/>
        <v>1</v>
      </c>
      <c r="I280" s="19">
        <f t="shared" si="60"/>
        <v>1</v>
      </c>
      <c r="J280" s="13">
        <f t="shared" si="52"/>
        <v>2.3838000000000002E-2</v>
      </c>
      <c r="K280" s="13">
        <f t="shared" si="53"/>
        <v>0</v>
      </c>
      <c r="L280" s="13">
        <f t="shared" si="54"/>
        <v>9.8560000000000002E-3</v>
      </c>
      <c r="M280" s="13">
        <f t="shared" si="55"/>
        <v>0</v>
      </c>
      <c r="N280" s="13">
        <f t="shared" si="56"/>
        <v>4.4229999999999998E-3</v>
      </c>
      <c r="O280" s="13">
        <f t="shared" si="57"/>
        <v>0</v>
      </c>
      <c r="P280" s="13">
        <f t="shared" si="58"/>
        <v>-1.4040000000000001E-3</v>
      </c>
      <c r="Q280" s="13">
        <f t="shared" si="59"/>
        <v>0</v>
      </c>
      <c r="R280" s="13">
        <f t="shared" si="50"/>
        <v>0.90817660100186004</v>
      </c>
      <c r="S280" s="13">
        <f t="shared" si="50"/>
        <v>0.12992492925919744</v>
      </c>
      <c r="T280" s="13">
        <f t="shared" si="50"/>
        <v>-0.31615859077893987</v>
      </c>
      <c r="U280" s="13">
        <f t="shared" si="50"/>
        <v>0.92048047025785695</v>
      </c>
      <c r="V280" s="13">
        <f t="shared" si="50"/>
        <v>0.93057989162776378</v>
      </c>
      <c r="W280" s="13">
        <f t="shared" si="50"/>
        <v>8.8403404280670589E-2</v>
      </c>
      <c r="X280" s="13">
        <f t="shared" si="50"/>
        <v>1.0169428772469702</v>
      </c>
      <c r="Y280" s="13">
        <f t="shared" si="50"/>
        <v>0.22342445753626078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6C25-4264-43AE-9DF9-D50730B997D3}">
  <dimension ref="A1:K278"/>
  <sheetViews>
    <sheetView workbookViewId="0">
      <selection activeCell="B1" sqref="B1:C278"/>
    </sheetView>
  </sheetViews>
  <sheetFormatPr defaultRowHeight="15" x14ac:dyDescent="0.25"/>
  <cols>
    <col min="1" max="1" width="18.28515625" bestFit="1" customWidth="1"/>
    <col min="2" max="2" width="15.7109375" bestFit="1" customWidth="1"/>
    <col min="3" max="3" width="15.42578125" bestFit="1" customWidth="1"/>
    <col min="4" max="4" width="36.7109375" bestFit="1" customWidth="1"/>
    <col min="5" max="5" width="37.28515625" bestFit="1" customWidth="1"/>
    <col min="6" max="6" width="36.42578125" bestFit="1" customWidth="1"/>
    <col min="7" max="7" width="35.85546875" bestFit="1" customWidth="1"/>
    <col min="8" max="8" width="37.5703125" bestFit="1" customWidth="1"/>
    <col min="9" max="9" width="38.140625" bestFit="1" customWidth="1"/>
    <col min="10" max="10" width="37.28515625" bestFit="1" customWidth="1"/>
    <col min="11" max="11" width="36.7109375" bestFit="1" customWidth="1"/>
  </cols>
  <sheetData>
    <row r="1" spans="1:11" s="4" customFormat="1" x14ac:dyDescent="0.25">
      <c r="A1" s="1" t="s">
        <v>0</v>
      </c>
      <c r="B1" s="1" t="s">
        <v>7</v>
      </c>
      <c r="C1" s="1" t="s">
        <v>8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A2" s="2">
        <v>37499</v>
      </c>
      <c r="B2" s="3">
        <v>-1</v>
      </c>
      <c r="C2" s="3">
        <v>0</v>
      </c>
      <c r="D2" s="3">
        <v>0</v>
      </c>
      <c r="E2" s="3">
        <v>4.1722424222282228E-2</v>
      </c>
      <c r="F2" s="3">
        <v>0</v>
      </c>
      <c r="G2" s="3">
        <v>1.486168362453011E-2</v>
      </c>
      <c r="H2" s="3">
        <v>0</v>
      </c>
      <c r="I2" s="3">
        <v>0</v>
      </c>
      <c r="J2" s="3">
        <v>0</v>
      </c>
      <c r="K2" s="3">
        <v>0</v>
      </c>
    </row>
    <row r="3" spans="1:11" x14ac:dyDescent="0.25">
      <c r="A3" s="2">
        <v>37529</v>
      </c>
      <c r="B3" s="3">
        <v>1</v>
      </c>
      <c r="C3" s="3">
        <v>-1</v>
      </c>
      <c r="D3" s="3">
        <v>-2.135314322155701E-2</v>
      </c>
      <c r="E3" s="3">
        <v>4.1722424222282228E-2</v>
      </c>
      <c r="F3" s="3">
        <v>-3.4572338190952401E-3</v>
      </c>
      <c r="G3" s="3">
        <v>1.486168362453011E-2</v>
      </c>
      <c r="H3" s="3">
        <v>0</v>
      </c>
      <c r="I3" s="3">
        <v>1.1274403985559459E-2</v>
      </c>
      <c r="J3" s="3">
        <v>0</v>
      </c>
      <c r="K3" s="3">
        <v>7.3616378364120827E-3</v>
      </c>
    </row>
    <row r="4" spans="1:11" x14ac:dyDescent="0.25">
      <c r="A4" s="2">
        <v>37560</v>
      </c>
      <c r="B4" s="3">
        <v>-1</v>
      </c>
      <c r="C4" s="3">
        <v>1</v>
      </c>
      <c r="D4" s="3">
        <v>-2.135314322155701E-2</v>
      </c>
      <c r="E4" s="3">
        <v>6.0265576461872472E-2</v>
      </c>
      <c r="F4" s="3">
        <v>-3.4572338190952401E-3</v>
      </c>
      <c r="G4" s="3">
        <v>4.0965047313783247E-2</v>
      </c>
      <c r="H4" s="3">
        <v>-3.1047478521914029E-2</v>
      </c>
      <c r="I4" s="3">
        <v>1.1274403985559459E-2</v>
      </c>
      <c r="J4" s="3">
        <v>4.3144156392858068E-3</v>
      </c>
      <c r="K4" s="3">
        <v>7.3616378364120827E-3</v>
      </c>
    </row>
    <row r="5" spans="1:11" x14ac:dyDescent="0.25">
      <c r="A5" s="2">
        <v>37590</v>
      </c>
      <c r="B5" s="3">
        <v>-1</v>
      </c>
      <c r="C5" s="3">
        <v>1</v>
      </c>
      <c r="D5" s="3">
        <v>-2.135314322155701E-2</v>
      </c>
      <c r="E5" s="3">
        <v>6.0866620264532489E-2</v>
      </c>
      <c r="F5" s="3">
        <v>-3.4572338190952401E-3</v>
      </c>
      <c r="G5" s="3">
        <v>3.4425514845310978E-2</v>
      </c>
      <c r="H5" s="3">
        <v>-6.1964305719636181E-3</v>
      </c>
      <c r="I5" s="3">
        <v>1.1274403985559459E-2</v>
      </c>
      <c r="J5" s="3">
        <v>-1.204984606911441E-2</v>
      </c>
      <c r="K5" s="3">
        <v>7.3616378364120827E-3</v>
      </c>
    </row>
    <row r="6" spans="1:11" x14ac:dyDescent="0.25">
      <c r="A6" s="2">
        <v>37621</v>
      </c>
      <c r="B6" s="3">
        <v>1</v>
      </c>
      <c r="C6" s="3">
        <v>-1</v>
      </c>
      <c r="D6" s="3">
        <v>-4.0370133522396157E-2</v>
      </c>
      <c r="E6" s="3">
        <v>6.0866620264532489E-2</v>
      </c>
      <c r="F6" s="3">
        <v>-2.201256253310668E-2</v>
      </c>
      <c r="G6" s="3">
        <v>3.4425514845310978E-2</v>
      </c>
      <c r="H6" s="3">
        <v>-6.1964305719636181E-3</v>
      </c>
      <c r="I6" s="3">
        <v>3.2291175973723003E-2</v>
      </c>
      <c r="J6" s="3">
        <v>-1.204984606911441E-2</v>
      </c>
      <c r="K6" s="3">
        <v>1.9246376922350979E-2</v>
      </c>
    </row>
    <row r="7" spans="1:11" x14ac:dyDescent="0.25">
      <c r="A7" s="2">
        <v>37652</v>
      </c>
      <c r="B7" s="3">
        <v>-1</v>
      </c>
      <c r="C7" s="3">
        <v>1</v>
      </c>
      <c r="D7" s="3">
        <v>-4.0370133522396157E-2</v>
      </c>
      <c r="E7" s="3">
        <v>9.2011031445723424E-2</v>
      </c>
      <c r="F7" s="3">
        <v>-2.201256253310668E-2</v>
      </c>
      <c r="G7" s="3">
        <v>4.1690657509962703E-2</v>
      </c>
      <c r="H7" s="3">
        <v>2.9543632895596469E-2</v>
      </c>
      <c r="I7" s="3">
        <v>3.2291175973723003E-2</v>
      </c>
      <c r="J7" s="3">
        <v>5.3720734392030964E-3</v>
      </c>
      <c r="K7" s="3">
        <v>1.9246376922350979E-2</v>
      </c>
    </row>
    <row r="8" spans="1:11" x14ac:dyDescent="0.25">
      <c r="A8" s="2">
        <v>37680</v>
      </c>
      <c r="B8" s="3">
        <v>1</v>
      </c>
      <c r="C8" s="3">
        <v>-1</v>
      </c>
      <c r="D8" s="3">
        <v>-2.7618024876297831E-2</v>
      </c>
      <c r="E8" s="3">
        <v>9.2011031445723424E-2</v>
      </c>
      <c r="F8" s="3">
        <v>-4.1170333518921957E-2</v>
      </c>
      <c r="G8" s="3">
        <v>4.1690657509962703E-2</v>
      </c>
      <c r="H8" s="3">
        <v>2.9543632895596469E-2</v>
      </c>
      <c r="I8" s="3">
        <v>6.4292040610697709E-2</v>
      </c>
      <c r="J8" s="3">
        <v>5.3720734392030964E-3</v>
      </c>
      <c r="K8" s="3">
        <v>2.7059981637780339E-2</v>
      </c>
    </row>
    <row r="9" spans="1:11" x14ac:dyDescent="0.25">
      <c r="A9" s="2">
        <v>37711</v>
      </c>
      <c r="B9" s="3">
        <v>-1</v>
      </c>
      <c r="C9" s="3">
        <v>1</v>
      </c>
      <c r="D9" s="3">
        <v>-2.7618024876297831E-2</v>
      </c>
      <c r="E9" s="3">
        <v>0.1527822643359131</v>
      </c>
      <c r="F9" s="3">
        <v>-4.1170333518921957E-2</v>
      </c>
      <c r="G9" s="3">
        <v>7.5857076935086809E-2</v>
      </c>
      <c r="H9" s="3">
        <v>1.04797739671556E-2</v>
      </c>
      <c r="I9" s="3">
        <v>6.4292040610697709E-2</v>
      </c>
      <c r="J9" s="3">
        <v>5.671086313741025E-4</v>
      </c>
      <c r="K9" s="3">
        <v>2.7059981637780339E-2</v>
      </c>
    </row>
    <row r="10" spans="1:11" x14ac:dyDescent="0.25">
      <c r="A10" s="2">
        <v>37741</v>
      </c>
      <c r="B10" s="3">
        <v>-1</v>
      </c>
      <c r="C10" s="3">
        <v>1</v>
      </c>
      <c r="D10" s="3">
        <v>-2.7618024876297831E-2</v>
      </c>
      <c r="E10" s="3">
        <v>0.14524743938381521</v>
      </c>
      <c r="F10" s="3">
        <v>-4.1170333518921957E-2</v>
      </c>
      <c r="G10" s="3">
        <v>9.6597118982103991E-2</v>
      </c>
      <c r="H10" s="3">
        <v>4.9638348292349477E-2</v>
      </c>
      <c r="I10" s="3">
        <v>6.4292040610697709E-2</v>
      </c>
      <c r="J10" s="3">
        <v>1.958150661948399E-2</v>
      </c>
      <c r="K10" s="3">
        <v>2.7059981637780339E-2</v>
      </c>
    </row>
    <row r="11" spans="1:11" x14ac:dyDescent="0.25">
      <c r="A11" s="2">
        <v>37772</v>
      </c>
      <c r="B11" s="3">
        <v>1</v>
      </c>
      <c r="C11" s="3">
        <v>-1</v>
      </c>
      <c r="D11" s="3">
        <v>1.6822537926621139E-2</v>
      </c>
      <c r="E11" s="3">
        <v>0.14524743938381521</v>
      </c>
      <c r="F11" s="3">
        <v>-3.9687719244984709E-2</v>
      </c>
      <c r="G11" s="3">
        <v>9.6597118982103991E-2</v>
      </c>
      <c r="H11" s="3">
        <v>4.9638348292349477E-2</v>
      </c>
      <c r="I11" s="3">
        <v>4.7117550788567282E-2</v>
      </c>
      <c r="J11" s="3">
        <v>1.958150661948399E-2</v>
      </c>
      <c r="K11" s="3">
        <v>4.2006640864263867E-2</v>
      </c>
    </row>
    <row r="12" spans="1:11" x14ac:dyDescent="0.25">
      <c r="A12" s="2">
        <v>37802</v>
      </c>
      <c r="B12" s="3">
        <v>-1</v>
      </c>
      <c r="C12" s="3">
        <v>1</v>
      </c>
      <c r="D12" s="3">
        <v>1.6822537926621139E-2</v>
      </c>
      <c r="E12" s="3">
        <v>0.16599286516392259</v>
      </c>
      <c r="F12" s="3">
        <v>-3.9687719244984709E-2</v>
      </c>
      <c r="G12" s="3">
        <v>8.2203795458644979E-2</v>
      </c>
      <c r="H12" s="3">
        <v>7.4501592444357057E-2</v>
      </c>
      <c r="I12" s="3">
        <v>4.7117550788567282E-2</v>
      </c>
      <c r="J12" s="3">
        <v>2.0150287424442581E-2</v>
      </c>
      <c r="K12" s="3">
        <v>4.2006640864263867E-2</v>
      </c>
    </row>
    <row r="13" spans="1:11" x14ac:dyDescent="0.25">
      <c r="A13" s="2">
        <v>37833</v>
      </c>
      <c r="B13" s="3">
        <v>-1</v>
      </c>
      <c r="C13" s="3">
        <v>1</v>
      </c>
      <c r="D13" s="3">
        <v>1.6822537926621139E-2</v>
      </c>
      <c r="E13" s="3">
        <v>0.16316915244016261</v>
      </c>
      <c r="F13" s="3">
        <v>-3.9687719244984709E-2</v>
      </c>
      <c r="G13" s="3">
        <v>4.0299682068167357E-2</v>
      </c>
      <c r="H13" s="3">
        <v>0.1129675350525163</v>
      </c>
      <c r="I13" s="3">
        <v>4.7117550788567282E-2</v>
      </c>
      <c r="J13" s="3">
        <v>4.2924815502027869E-2</v>
      </c>
      <c r="K13" s="3">
        <v>4.2006640864263867E-2</v>
      </c>
    </row>
    <row r="14" spans="1:11" x14ac:dyDescent="0.25">
      <c r="A14" s="2">
        <v>37864</v>
      </c>
      <c r="B14" s="3">
        <v>-1</v>
      </c>
      <c r="C14" s="3">
        <v>1</v>
      </c>
      <c r="D14" s="3">
        <v>1.6822537926621139E-2</v>
      </c>
      <c r="E14" s="3">
        <v>0.15535065396636669</v>
      </c>
      <c r="F14" s="3">
        <v>-3.9687719244984709E-2</v>
      </c>
      <c r="G14" s="3">
        <v>4.8558656496862307E-2</v>
      </c>
      <c r="H14" s="3">
        <v>9.7670583114680465E-2</v>
      </c>
      <c r="I14" s="3">
        <v>4.7117550788567282E-2</v>
      </c>
      <c r="J14" s="3">
        <v>2.4686329548855971E-2</v>
      </c>
      <c r="K14" s="3">
        <v>4.2006640864263867E-2</v>
      </c>
    </row>
    <row r="15" spans="1:11" x14ac:dyDescent="0.25">
      <c r="A15" s="2">
        <v>37894</v>
      </c>
      <c r="B15" s="3">
        <v>1</v>
      </c>
      <c r="C15" s="3">
        <v>-1</v>
      </c>
      <c r="D15" s="3">
        <v>-8.9830848306572397E-3</v>
      </c>
      <c r="E15" s="3">
        <v>0.15535065396636669</v>
      </c>
      <c r="F15" s="3">
        <v>-7.6229857122773192E-2</v>
      </c>
      <c r="G15" s="3">
        <v>4.8558656496862307E-2</v>
      </c>
      <c r="H15" s="3">
        <v>9.7670583114680465E-2</v>
      </c>
      <c r="I15" s="3">
        <v>2.4085797149494329E-2</v>
      </c>
      <c r="J15" s="3">
        <v>2.4686329548855971E-2</v>
      </c>
      <c r="K15" s="3">
        <v>4.1368079224542782E-2</v>
      </c>
    </row>
    <row r="16" spans="1:11" x14ac:dyDescent="0.25">
      <c r="A16" s="2">
        <v>37925</v>
      </c>
      <c r="B16" s="3">
        <v>-1</v>
      </c>
      <c r="C16" s="3">
        <v>1</v>
      </c>
      <c r="D16" s="3">
        <v>-8.9830848306572397E-3</v>
      </c>
      <c r="E16" s="3">
        <v>0.1503059386571568</v>
      </c>
      <c r="F16" s="3">
        <v>-7.6229857122773192E-2</v>
      </c>
      <c r="G16" s="3">
        <v>6.1945728215964557E-2</v>
      </c>
      <c r="H16" s="3">
        <v>0.14432943423118871</v>
      </c>
      <c r="I16" s="3">
        <v>2.4085797149494329E-2</v>
      </c>
      <c r="J16" s="3">
        <v>6.2174197735811898E-2</v>
      </c>
      <c r="K16" s="3">
        <v>4.1368079224542782E-2</v>
      </c>
    </row>
    <row r="17" spans="1:11" x14ac:dyDescent="0.25">
      <c r="A17" s="2">
        <v>37955</v>
      </c>
      <c r="B17" s="3">
        <v>1</v>
      </c>
      <c r="C17" s="3">
        <v>-1</v>
      </c>
      <c r="D17" s="3">
        <v>1.219293587320891E-2</v>
      </c>
      <c r="E17" s="3">
        <v>0.1503059386571568</v>
      </c>
      <c r="F17" s="3">
        <v>-6.1572104915141528E-2</v>
      </c>
      <c r="G17" s="3">
        <v>6.1945728215964557E-2</v>
      </c>
      <c r="H17" s="3">
        <v>0.14432943423118871</v>
      </c>
      <c r="I17" s="3">
        <v>2.1008052787988781E-2</v>
      </c>
      <c r="J17" s="3">
        <v>6.2174197735811898E-2</v>
      </c>
      <c r="K17" s="3">
        <v>2.4863032314518699E-2</v>
      </c>
    </row>
    <row r="18" spans="1:11" x14ac:dyDescent="0.25">
      <c r="A18" s="2">
        <v>37986</v>
      </c>
      <c r="B18" s="3">
        <v>-1</v>
      </c>
      <c r="C18" s="3">
        <v>1</v>
      </c>
      <c r="D18" s="3">
        <v>1.219293587320891E-2</v>
      </c>
      <c r="E18" s="3">
        <v>0.12530589436283179</v>
      </c>
      <c r="F18" s="3">
        <v>-6.1572104915141528E-2</v>
      </c>
      <c r="G18" s="3">
        <v>4.7138878591564959E-2</v>
      </c>
      <c r="H18" s="3">
        <v>0.1487308005990304</v>
      </c>
      <c r="I18" s="3">
        <v>2.1008052787988781E-2</v>
      </c>
      <c r="J18" s="3">
        <v>4.8446083970024027E-2</v>
      </c>
      <c r="K18" s="3">
        <v>2.4863032314518699E-2</v>
      </c>
    </row>
    <row r="19" spans="1:11" x14ac:dyDescent="0.25">
      <c r="A19" s="2">
        <v>38017</v>
      </c>
      <c r="B19" s="3">
        <v>-1</v>
      </c>
      <c r="C19" s="3">
        <v>1</v>
      </c>
      <c r="D19" s="3">
        <v>1.219293587320891E-2</v>
      </c>
      <c r="E19" s="3">
        <v>0.13446453689656779</v>
      </c>
      <c r="F19" s="3">
        <v>-6.1572104915141528E-2</v>
      </c>
      <c r="G19" s="3">
        <v>4.3164978787259438E-2</v>
      </c>
      <c r="H19" s="3">
        <v>0.17029031459480271</v>
      </c>
      <c r="I19" s="3">
        <v>2.1008052787988781E-2</v>
      </c>
      <c r="J19" s="3">
        <v>4.8174167204948708E-2</v>
      </c>
      <c r="K19" s="3">
        <v>2.4863032314518699E-2</v>
      </c>
    </row>
    <row r="20" spans="1:11" x14ac:dyDescent="0.25">
      <c r="A20" s="2">
        <v>38046</v>
      </c>
      <c r="B20" s="3">
        <v>1</v>
      </c>
      <c r="C20" s="3">
        <v>-1</v>
      </c>
      <c r="D20" s="3">
        <v>1.599534169898242E-2</v>
      </c>
      <c r="E20" s="3">
        <v>0.13446453689656779</v>
      </c>
      <c r="F20" s="3">
        <v>-6.9907308522666134E-2</v>
      </c>
      <c r="G20" s="3">
        <v>4.3164978787259438E-2</v>
      </c>
      <c r="H20" s="3">
        <v>0.17029031459480271</v>
      </c>
      <c r="I20" s="3">
        <v>1.220446907636452E-2</v>
      </c>
      <c r="J20" s="3">
        <v>4.8174167204948708E-2</v>
      </c>
      <c r="K20" s="3">
        <v>3.3168515866715431E-2</v>
      </c>
    </row>
    <row r="21" spans="1:11" x14ac:dyDescent="0.25">
      <c r="A21" s="2">
        <v>38077</v>
      </c>
      <c r="B21" s="3">
        <v>1</v>
      </c>
      <c r="C21" s="3">
        <v>-1</v>
      </c>
      <c r="D21" s="3">
        <v>3.4767046976571507E-2</v>
      </c>
      <c r="E21" s="3">
        <v>0.13446453689656779</v>
      </c>
      <c r="F21" s="3">
        <v>-6.0922323921116739E-2</v>
      </c>
      <c r="G21" s="3">
        <v>4.3164978787259438E-2</v>
      </c>
      <c r="H21" s="3">
        <v>0.17029031459480271</v>
      </c>
      <c r="I21" s="3">
        <v>2.2920448840557661E-4</v>
      </c>
      <c r="J21" s="3">
        <v>4.8174167204948708E-2</v>
      </c>
      <c r="K21" s="3">
        <v>4.8905837486253663E-2</v>
      </c>
    </row>
    <row r="22" spans="1:11" x14ac:dyDescent="0.25">
      <c r="A22" s="2">
        <v>38107</v>
      </c>
      <c r="B22" s="3">
        <v>-1</v>
      </c>
      <c r="C22" s="3">
        <v>1</v>
      </c>
      <c r="D22" s="3">
        <v>3.4767046976571507E-2</v>
      </c>
      <c r="E22" s="3">
        <v>0.16743683296282569</v>
      </c>
      <c r="F22" s="3">
        <v>-6.0922323921116739E-2</v>
      </c>
      <c r="G22" s="3">
        <v>3.2339911672285997E-2</v>
      </c>
      <c r="H22" s="3">
        <v>0.18609669908179449</v>
      </c>
      <c r="I22" s="3">
        <v>2.2920448840557661E-4</v>
      </c>
      <c r="J22" s="3">
        <v>8.2458248235536935E-2</v>
      </c>
      <c r="K22" s="3">
        <v>4.8905837486253663E-2</v>
      </c>
    </row>
    <row r="23" spans="1:11" x14ac:dyDescent="0.25">
      <c r="A23" s="2">
        <v>38138</v>
      </c>
      <c r="B23" s="3">
        <v>-1</v>
      </c>
      <c r="C23" s="3">
        <v>1</v>
      </c>
      <c r="D23" s="3">
        <v>3.4767046976571507E-2</v>
      </c>
      <c r="E23" s="3">
        <v>0.135298874835724</v>
      </c>
      <c r="F23" s="3">
        <v>-6.0922323921116739E-2</v>
      </c>
      <c r="G23" s="3">
        <v>4.9434430390133947E-2</v>
      </c>
      <c r="H23" s="3">
        <v>0.17565914161984739</v>
      </c>
      <c r="I23" s="3">
        <v>2.2920448840557661E-4</v>
      </c>
      <c r="J23" s="3">
        <v>0.1085649165392446</v>
      </c>
      <c r="K23" s="3">
        <v>4.8905837486253663E-2</v>
      </c>
    </row>
    <row r="24" spans="1:11" x14ac:dyDescent="0.25">
      <c r="A24" s="2">
        <v>38168</v>
      </c>
      <c r="B24" s="3">
        <v>-1</v>
      </c>
      <c r="C24" s="3">
        <v>1</v>
      </c>
      <c r="D24" s="3">
        <v>3.4767046976571507E-2</v>
      </c>
      <c r="E24" s="3">
        <v>0.12764664182287369</v>
      </c>
      <c r="F24" s="3">
        <v>-6.0922323921116739E-2</v>
      </c>
      <c r="G24" s="3">
        <v>6.5514384427157513E-2</v>
      </c>
      <c r="H24" s="3">
        <v>0.19490257834109509</v>
      </c>
      <c r="I24" s="3">
        <v>2.2920448840557661E-4</v>
      </c>
      <c r="J24" s="3">
        <v>0.1254708538074927</v>
      </c>
      <c r="K24" s="3">
        <v>4.8905837486253663E-2</v>
      </c>
    </row>
    <row r="25" spans="1:11" x14ac:dyDescent="0.25">
      <c r="A25" s="2">
        <v>38199</v>
      </c>
      <c r="B25" s="3">
        <v>1</v>
      </c>
      <c r="C25" s="3">
        <v>-1</v>
      </c>
      <c r="D25" s="3">
        <v>4.3869492342299983E-2</v>
      </c>
      <c r="E25" s="3">
        <v>0.12764664182287369</v>
      </c>
      <c r="F25" s="3">
        <v>-6.0202480969942629E-2</v>
      </c>
      <c r="G25" s="3">
        <v>6.5514384427157513E-2</v>
      </c>
      <c r="H25" s="3">
        <v>0.19490257834109509</v>
      </c>
      <c r="I25" s="3">
        <v>2.742107989346465E-2</v>
      </c>
      <c r="J25" s="3">
        <v>0.1254708538074927</v>
      </c>
      <c r="K25" s="3">
        <v>6.1183922114533378E-2</v>
      </c>
    </row>
    <row r="26" spans="1:11" x14ac:dyDescent="0.25">
      <c r="A26" s="2">
        <v>38230</v>
      </c>
      <c r="B26" s="3">
        <v>1</v>
      </c>
      <c r="C26" s="3">
        <v>-1</v>
      </c>
      <c r="D26" s="3">
        <v>4.9888779947236062E-2</v>
      </c>
      <c r="E26" s="3">
        <v>0.12764664182287369</v>
      </c>
      <c r="F26" s="3">
        <v>-7.3530736263569318E-2</v>
      </c>
      <c r="G26" s="3">
        <v>6.5514384427157513E-2</v>
      </c>
      <c r="H26" s="3">
        <v>0.19490257834109509</v>
      </c>
      <c r="I26" s="3">
        <v>6.4810127277419749E-2</v>
      </c>
      <c r="J26" s="3">
        <v>0.1254708538074927</v>
      </c>
      <c r="K26" s="3">
        <v>8.82062862298163E-2</v>
      </c>
    </row>
    <row r="27" spans="1:11" x14ac:dyDescent="0.25">
      <c r="A27" s="2">
        <v>38260</v>
      </c>
      <c r="B27" s="3">
        <v>1</v>
      </c>
      <c r="C27" s="3">
        <v>-1</v>
      </c>
      <c r="D27" s="3">
        <v>5.1936083858590047E-2</v>
      </c>
      <c r="E27" s="3">
        <v>0.12764664182287369</v>
      </c>
      <c r="F27" s="3">
        <v>-5.8713899548101578E-2</v>
      </c>
      <c r="G27" s="3">
        <v>6.5514384427157513E-2</v>
      </c>
      <c r="H27" s="3">
        <v>0.19490257834109509</v>
      </c>
      <c r="I27" s="3">
        <v>5.0710641638489477E-2</v>
      </c>
      <c r="J27" s="3">
        <v>0.1254708538074927</v>
      </c>
      <c r="K27" s="3">
        <v>8.6803436160471481E-2</v>
      </c>
    </row>
    <row r="28" spans="1:11" x14ac:dyDescent="0.25">
      <c r="A28" s="2">
        <v>38291</v>
      </c>
      <c r="B28" s="3">
        <v>1</v>
      </c>
      <c r="C28" s="3">
        <v>-1</v>
      </c>
      <c r="D28" s="3">
        <v>7.0578513331313042E-2</v>
      </c>
      <c r="E28" s="3">
        <v>0.12764664182287369</v>
      </c>
      <c r="F28" s="3">
        <v>-5.6994011893249492E-2</v>
      </c>
      <c r="G28" s="3">
        <v>6.5514384427157513E-2</v>
      </c>
      <c r="H28" s="3">
        <v>0.19490257834109509</v>
      </c>
      <c r="I28" s="3">
        <v>3.470511276625543E-2</v>
      </c>
      <c r="J28" s="3">
        <v>0.1254708538074927</v>
      </c>
      <c r="K28" s="3">
        <v>7.328899668699429E-2</v>
      </c>
    </row>
    <row r="29" spans="1:11" x14ac:dyDescent="0.25">
      <c r="A29" s="2">
        <v>38321</v>
      </c>
      <c r="B29" s="3">
        <v>-1</v>
      </c>
      <c r="C29" s="3">
        <v>1</v>
      </c>
      <c r="D29" s="3">
        <v>7.0578513331313042E-2</v>
      </c>
      <c r="E29" s="3">
        <v>0.123112659407572</v>
      </c>
      <c r="F29" s="3">
        <v>-5.6994011893249492E-2</v>
      </c>
      <c r="G29" s="3">
        <v>4.9566196221356718E-2</v>
      </c>
      <c r="H29" s="3">
        <v>0.23744399595475069</v>
      </c>
      <c r="I29" s="3">
        <v>3.470511276625543E-2</v>
      </c>
      <c r="J29" s="3">
        <v>0.14146414064464091</v>
      </c>
      <c r="K29" s="3">
        <v>7.328899668699429E-2</v>
      </c>
    </row>
    <row r="30" spans="1:11" x14ac:dyDescent="0.25">
      <c r="A30" s="2">
        <v>38352</v>
      </c>
      <c r="B30" s="3">
        <v>1</v>
      </c>
      <c r="C30" s="3">
        <v>-1</v>
      </c>
      <c r="D30" s="3">
        <v>7.4866082891492658E-2</v>
      </c>
      <c r="E30" s="3">
        <v>0.123112659407572</v>
      </c>
      <c r="F30" s="3">
        <v>-5.3971085884080061E-2</v>
      </c>
      <c r="G30" s="3">
        <v>4.9566196221356718E-2</v>
      </c>
      <c r="H30" s="3">
        <v>0.23744399595475069</v>
      </c>
      <c r="I30" s="3">
        <v>3.2751175437710563E-2</v>
      </c>
      <c r="J30" s="3">
        <v>0.14146414064464091</v>
      </c>
      <c r="K30" s="3">
        <v>8.9001987558324336E-2</v>
      </c>
    </row>
    <row r="31" spans="1:11" x14ac:dyDescent="0.25">
      <c r="A31" s="2">
        <v>38383</v>
      </c>
      <c r="B31" s="3">
        <v>1</v>
      </c>
      <c r="C31" s="3">
        <v>-1</v>
      </c>
      <c r="D31" s="3">
        <v>8.9643689242512314E-2</v>
      </c>
      <c r="E31" s="3">
        <v>0.123112659407572</v>
      </c>
      <c r="F31" s="3">
        <v>-5.7270813846743929E-2</v>
      </c>
      <c r="G31" s="3">
        <v>4.9566196221356718E-2</v>
      </c>
      <c r="H31" s="3">
        <v>0.23744399595475069</v>
      </c>
      <c r="I31" s="3">
        <v>5.3597318345836031E-2</v>
      </c>
      <c r="J31" s="3">
        <v>0.14146414064464091</v>
      </c>
      <c r="K31" s="3">
        <v>8.8960851655479178E-2</v>
      </c>
    </row>
    <row r="32" spans="1:11" x14ac:dyDescent="0.25">
      <c r="A32" s="2">
        <v>38411</v>
      </c>
      <c r="B32" s="3">
        <v>-1</v>
      </c>
      <c r="C32" s="3">
        <v>1</v>
      </c>
      <c r="D32" s="3">
        <v>8.9643689242512314E-2</v>
      </c>
      <c r="E32" s="3">
        <v>0.1039193442410697</v>
      </c>
      <c r="F32" s="3">
        <v>-5.7270813846743929E-2</v>
      </c>
      <c r="G32" s="3">
        <v>4.4530738078197629E-2</v>
      </c>
      <c r="H32" s="3">
        <v>0.25739276410671258</v>
      </c>
      <c r="I32" s="3">
        <v>5.3597318345836031E-2</v>
      </c>
      <c r="J32" s="3">
        <v>0.116907174505561</v>
      </c>
      <c r="K32" s="3">
        <v>8.8960851655479178E-2</v>
      </c>
    </row>
    <row r="33" spans="1:11" x14ac:dyDescent="0.25">
      <c r="A33" s="2">
        <v>38442</v>
      </c>
      <c r="B33" s="3">
        <v>1</v>
      </c>
      <c r="C33" s="3">
        <v>-1</v>
      </c>
      <c r="D33" s="3">
        <v>8.8544422387723198E-2</v>
      </c>
      <c r="E33" s="3">
        <v>0.1039193442410697</v>
      </c>
      <c r="F33" s="3">
        <v>-6.7040623965447965E-2</v>
      </c>
      <c r="G33" s="3">
        <v>4.4530738078197629E-2</v>
      </c>
      <c r="H33" s="3">
        <v>0.25739276410671258</v>
      </c>
      <c r="I33" s="3">
        <v>3.4804024178577857E-2</v>
      </c>
      <c r="J33" s="3">
        <v>0.116907174505561</v>
      </c>
      <c r="K33" s="3">
        <v>0.1026845769317111</v>
      </c>
    </row>
    <row r="34" spans="1:11" x14ac:dyDescent="0.25">
      <c r="A34" s="2">
        <v>38472</v>
      </c>
      <c r="B34" s="3">
        <v>1</v>
      </c>
      <c r="C34" s="3">
        <v>-1</v>
      </c>
      <c r="D34" s="3">
        <v>8.6378850416296782E-2</v>
      </c>
      <c r="E34" s="3">
        <v>0.1039193442410697</v>
      </c>
      <c r="F34" s="3">
        <v>-8.4736970824325741E-2</v>
      </c>
      <c r="G34" s="3">
        <v>4.4530738078197629E-2</v>
      </c>
      <c r="H34" s="3">
        <v>0.25739276410671258</v>
      </c>
      <c r="I34" s="3">
        <v>2.3590679207978301E-2</v>
      </c>
      <c r="J34" s="3">
        <v>0.116907174505561</v>
      </c>
      <c r="K34" s="3">
        <v>9.8267901204300845E-2</v>
      </c>
    </row>
    <row r="35" spans="1:11" x14ac:dyDescent="0.25">
      <c r="A35" s="2">
        <v>38503</v>
      </c>
      <c r="B35" s="3">
        <v>-1</v>
      </c>
      <c r="C35" s="3">
        <v>1</v>
      </c>
      <c r="D35" s="3">
        <v>8.6378850416296782E-2</v>
      </c>
      <c r="E35" s="3">
        <v>0.1005281346474873</v>
      </c>
      <c r="F35" s="3">
        <v>-8.4736970824325741E-2</v>
      </c>
      <c r="G35" s="3">
        <v>6.1966008577935661E-2</v>
      </c>
      <c r="H35" s="3">
        <v>0.27193039716232148</v>
      </c>
      <c r="I35" s="3">
        <v>2.3590679207978301E-2</v>
      </c>
      <c r="J35" s="3">
        <v>0.1296306352438579</v>
      </c>
      <c r="K35" s="3">
        <v>9.8267901204300845E-2</v>
      </c>
    </row>
    <row r="36" spans="1:11" x14ac:dyDescent="0.25">
      <c r="A36" s="2">
        <v>38533</v>
      </c>
      <c r="B36" s="3">
        <v>-1</v>
      </c>
      <c r="C36" s="3">
        <v>1</v>
      </c>
      <c r="D36" s="3">
        <v>8.6378850416296782E-2</v>
      </c>
      <c r="E36" s="3">
        <v>0.12127433833664519</v>
      </c>
      <c r="F36" s="3">
        <v>-8.4736970824325741E-2</v>
      </c>
      <c r="G36" s="3">
        <v>8.2530992672939618E-2</v>
      </c>
      <c r="H36" s="3">
        <v>0.2788969867652844</v>
      </c>
      <c r="I36" s="3">
        <v>2.3590679207978301E-2</v>
      </c>
      <c r="J36" s="3">
        <v>0.10748178478296901</v>
      </c>
      <c r="K36" s="3">
        <v>9.8267901204300845E-2</v>
      </c>
    </row>
    <row r="37" spans="1:11" x14ac:dyDescent="0.25">
      <c r="A37" s="2">
        <v>38564</v>
      </c>
      <c r="B37" s="3">
        <v>-1</v>
      </c>
      <c r="C37" s="3">
        <v>1</v>
      </c>
      <c r="D37" s="3">
        <v>8.6378850416296782E-2</v>
      </c>
      <c r="E37" s="3">
        <v>0.1194003653036242</v>
      </c>
      <c r="F37" s="3">
        <v>-8.4736970824325741E-2</v>
      </c>
      <c r="G37" s="3">
        <v>7.7532464600389428E-2</v>
      </c>
      <c r="H37" s="3">
        <v>0.30184185168705802</v>
      </c>
      <c r="I37" s="3">
        <v>2.3590679207978301E-2</v>
      </c>
      <c r="J37" s="3">
        <v>0.12747747302429599</v>
      </c>
      <c r="K37" s="3">
        <v>9.8267901204300845E-2</v>
      </c>
    </row>
    <row r="38" spans="1:11" x14ac:dyDescent="0.25">
      <c r="A38" s="2">
        <v>38595</v>
      </c>
      <c r="B38" s="3">
        <v>1</v>
      </c>
      <c r="C38" s="3">
        <v>-1</v>
      </c>
      <c r="D38" s="3">
        <v>8.7565321325532963E-2</v>
      </c>
      <c r="E38" s="3">
        <v>0.1194003653036242</v>
      </c>
      <c r="F38" s="3">
        <v>-0.10612172236958201</v>
      </c>
      <c r="G38" s="3">
        <v>7.7532464600389428E-2</v>
      </c>
      <c r="H38" s="3">
        <v>0.30184185168705802</v>
      </c>
      <c r="I38" s="3">
        <v>3.0650967680642349E-2</v>
      </c>
      <c r="J38" s="3">
        <v>0.12747747302429599</v>
      </c>
      <c r="K38" s="3">
        <v>8.5169971072077022E-2</v>
      </c>
    </row>
    <row r="39" spans="1:11" x14ac:dyDescent="0.25">
      <c r="A39" s="2">
        <v>38625</v>
      </c>
      <c r="B39" s="3">
        <v>-1</v>
      </c>
      <c r="C39" s="3">
        <v>1</v>
      </c>
      <c r="D39" s="3">
        <v>8.7565321325532963E-2</v>
      </c>
      <c r="E39" s="3">
        <v>0.1037816690342248</v>
      </c>
      <c r="F39" s="3">
        <v>-0.10612172236958201</v>
      </c>
      <c r="G39" s="3">
        <v>6.4722440611575394E-2</v>
      </c>
      <c r="H39" s="3">
        <v>0.3116765371782062</v>
      </c>
      <c r="I39" s="3">
        <v>3.0650967680642349E-2</v>
      </c>
      <c r="J39" s="3">
        <v>0.15067112573151159</v>
      </c>
      <c r="K39" s="3">
        <v>8.5169971072077022E-2</v>
      </c>
    </row>
    <row r="40" spans="1:11" x14ac:dyDescent="0.25">
      <c r="A40" s="2">
        <v>38656</v>
      </c>
      <c r="B40" s="3">
        <v>1</v>
      </c>
      <c r="C40" s="3">
        <v>-1</v>
      </c>
      <c r="D40" s="3">
        <v>0.1061372957658417</v>
      </c>
      <c r="E40" s="3">
        <v>0.1037816690342248</v>
      </c>
      <c r="F40" s="3">
        <v>-8.9935075403076992E-2</v>
      </c>
      <c r="G40" s="3">
        <v>6.4722440611575394E-2</v>
      </c>
      <c r="H40" s="3">
        <v>0.3116765371782062</v>
      </c>
      <c r="I40" s="3">
        <v>5.9616425215687663E-2</v>
      </c>
      <c r="J40" s="3">
        <v>0.15067112573151159</v>
      </c>
      <c r="K40" s="3">
        <v>8.5259837264730187E-2</v>
      </c>
    </row>
    <row r="41" spans="1:11" x14ac:dyDescent="0.25">
      <c r="A41" s="2">
        <v>38686</v>
      </c>
      <c r="B41" s="3">
        <v>-1</v>
      </c>
      <c r="C41" s="3">
        <v>1</v>
      </c>
      <c r="D41" s="3">
        <v>0.1061372957658417</v>
      </c>
      <c r="E41" s="3">
        <v>0.10678476393790939</v>
      </c>
      <c r="F41" s="3">
        <v>-8.9935075403076992E-2</v>
      </c>
      <c r="G41" s="3">
        <v>5.9959977013380288E-2</v>
      </c>
      <c r="H41" s="3">
        <v>0.33449939797077399</v>
      </c>
      <c r="I41" s="3">
        <v>5.9616425215687663E-2</v>
      </c>
      <c r="J41" s="3">
        <v>0.16308808080517331</v>
      </c>
      <c r="K41" s="3">
        <v>8.5259837264730187E-2</v>
      </c>
    </row>
    <row r="42" spans="1:11" x14ac:dyDescent="0.25">
      <c r="A42" s="2">
        <v>38717</v>
      </c>
      <c r="B42" s="3">
        <v>-1</v>
      </c>
      <c r="C42" s="3">
        <v>1</v>
      </c>
      <c r="D42" s="3">
        <v>0.1061372957658417</v>
      </c>
      <c r="E42" s="3">
        <v>0.1201113739459108</v>
      </c>
      <c r="F42" s="3">
        <v>-8.9935075403076992E-2</v>
      </c>
      <c r="G42" s="3">
        <v>8.04905235269473E-2</v>
      </c>
      <c r="H42" s="3">
        <v>0.34170817080897198</v>
      </c>
      <c r="I42" s="3">
        <v>5.9616425215687663E-2</v>
      </c>
      <c r="J42" s="3">
        <v>0.1622278678989659</v>
      </c>
      <c r="K42" s="3">
        <v>8.5259837264730187E-2</v>
      </c>
    </row>
    <row r="43" spans="1:11" x14ac:dyDescent="0.25">
      <c r="A43" s="2">
        <v>38748</v>
      </c>
      <c r="B43" s="3">
        <v>-1</v>
      </c>
      <c r="C43" s="3">
        <v>1</v>
      </c>
      <c r="D43" s="3">
        <v>0.1061372957658417</v>
      </c>
      <c r="E43" s="3">
        <v>0.11163848908903409</v>
      </c>
      <c r="F43" s="3">
        <v>-8.9935075403076992E-2</v>
      </c>
      <c r="G43" s="3">
        <v>6.6010127566099586E-2</v>
      </c>
      <c r="H43" s="3">
        <v>0.38711688810561529</v>
      </c>
      <c r="I43" s="3">
        <v>5.9616425215687663E-2</v>
      </c>
      <c r="J43" s="3">
        <v>0.16373934950459851</v>
      </c>
      <c r="K43" s="3">
        <v>8.5259837264730187E-2</v>
      </c>
    </row>
    <row r="44" spans="1:11" x14ac:dyDescent="0.25">
      <c r="A44" s="2">
        <v>38776</v>
      </c>
      <c r="B44" s="3">
        <v>-1</v>
      </c>
      <c r="C44" s="3">
        <v>1</v>
      </c>
      <c r="D44" s="3">
        <v>0.1061372957658417</v>
      </c>
      <c r="E44" s="3">
        <v>0.1205626170152152</v>
      </c>
      <c r="F44" s="3">
        <v>-8.9935075403076992E-2</v>
      </c>
      <c r="G44" s="3">
        <v>6.5213031292418622E-2</v>
      </c>
      <c r="H44" s="3">
        <v>0.36516920210426501</v>
      </c>
      <c r="I44" s="3">
        <v>5.9616425215687663E-2</v>
      </c>
      <c r="J44" s="3">
        <v>0.16045779477828151</v>
      </c>
      <c r="K44" s="3">
        <v>8.5259837264730187E-2</v>
      </c>
    </row>
    <row r="45" spans="1:11" x14ac:dyDescent="0.25">
      <c r="A45" s="2">
        <v>38807</v>
      </c>
      <c r="B45" s="3">
        <v>-1</v>
      </c>
      <c r="C45" s="3">
        <v>1</v>
      </c>
      <c r="D45" s="3">
        <v>0.1061372957658417</v>
      </c>
      <c r="E45" s="3">
        <v>0.118419608540334</v>
      </c>
      <c r="F45" s="3">
        <v>-8.9935075403076992E-2</v>
      </c>
      <c r="G45" s="3">
        <v>4.5178588539715792E-2</v>
      </c>
      <c r="H45" s="3">
        <v>0.36248237223502261</v>
      </c>
      <c r="I45" s="3">
        <v>5.9616425215687663E-2</v>
      </c>
      <c r="J45" s="3">
        <v>0.19161246356242101</v>
      </c>
      <c r="K45" s="3">
        <v>8.5259837264730187E-2</v>
      </c>
    </row>
    <row r="46" spans="1:11" x14ac:dyDescent="0.25">
      <c r="A46" s="2">
        <v>38837</v>
      </c>
      <c r="B46" s="3">
        <v>-1</v>
      </c>
      <c r="C46" s="3">
        <v>1</v>
      </c>
      <c r="D46" s="3">
        <v>0.1061372957658417</v>
      </c>
      <c r="E46" s="3">
        <v>0.1136168418938204</v>
      </c>
      <c r="F46" s="3">
        <v>-8.9935075403076992E-2</v>
      </c>
      <c r="G46" s="3">
        <v>3.3154401745514088E-2</v>
      </c>
      <c r="H46" s="3">
        <v>0.3595437814599296</v>
      </c>
      <c r="I46" s="3">
        <v>5.9616425215687663E-2</v>
      </c>
      <c r="J46" s="3">
        <v>0.2115409163506059</v>
      </c>
      <c r="K46" s="3">
        <v>8.5259837264730187E-2</v>
      </c>
    </row>
    <row r="47" spans="1:11" x14ac:dyDescent="0.25">
      <c r="A47" s="2">
        <v>38868</v>
      </c>
      <c r="B47" s="3">
        <v>1</v>
      </c>
      <c r="C47" s="3">
        <v>-1</v>
      </c>
      <c r="D47" s="3">
        <v>0.11014312528894669</v>
      </c>
      <c r="E47" s="3">
        <v>0.1136168418938204</v>
      </c>
      <c r="F47" s="3">
        <v>-8.1731831075702033E-2</v>
      </c>
      <c r="G47" s="3">
        <v>3.3154401745514088E-2</v>
      </c>
      <c r="H47" s="3">
        <v>0.3595437814599296</v>
      </c>
      <c r="I47" s="3">
        <v>5.1066517949422519E-2</v>
      </c>
      <c r="J47" s="3">
        <v>0.2115409163506059</v>
      </c>
      <c r="K47" s="3">
        <v>8.2336594007706099E-2</v>
      </c>
    </row>
    <row r="48" spans="1:11" x14ac:dyDescent="0.25">
      <c r="A48" s="2">
        <v>38898</v>
      </c>
      <c r="B48" s="3">
        <v>1</v>
      </c>
      <c r="C48" s="3">
        <v>-1</v>
      </c>
      <c r="D48" s="3">
        <v>0.13043306982301159</v>
      </c>
      <c r="E48" s="3">
        <v>0.1136168418938204</v>
      </c>
      <c r="F48" s="3">
        <v>-8.4549827900513685E-2</v>
      </c>
      <c r="G48" s="3">
        <v>3.3154401745514088E-2</v>
      </c>
      <c r="H48" s="3">
        <v>0.3595437814599296</v>
      </c>
      <c r="I48" s="3">
        <v>6.4560763987299818E-2</v>
      </c>
      <c r="J48" s="3">
        <v>0.2115409163506059</v>
      </c>
      <c r="K48" s="3">
        <v>0.10509540233828731</v>
      </c>
    </row>
    <row r="49" spans="1:11" x14ac:dyDescent="0.25">
      <c r="A49" s="2">
        <v>38929</v>
      </c>
      <c r="B49" s="3">
        <v>1</v>
      </c>
      <c r="C49" s="3">
        <v>-1</v>
      </c>
      <c r="D49" s="3">
        <v>0.1450927234518056</v>
      </c>
      <c r="E49" s="3">
        <v>0.1136168418938204</v>
      </c>
      <c r="F49" s="3">
        <v>-9.024863248541215E-2</v>
      </c>
      <c r="G49" s="3">
        <v>3.3154401745514088E-2</v>
      </c>
      <c r="H49" s="3">
        <v>0.3595437814599296</v>
      </c>
      <c r="I49" s="3">
        <v>6.8107843410400104E-2</v>
      </c>
      <c r="J49" s="3">
        <v>0.2115409163506059</v>
      </c>
      <c r="K49" s="3">
        <v>0.11012332089895981</v>
      </c>
    </row>
    <row r="50" spans="1:11" x14ac:dyDescent="0.25">
      <c r="A50" s="2">
        <v>38960</v>
      </c>
      <c r="B50" s="3">
        <v>1</v>
      </c>
      <c r="C50" s="3">
        <v>-1</v>
      </c>
      <c r="D50" s="3">
        <v>0.14959198039886029</v>
      </c>
      <c r="E50" s="3">
        <v>0.1136168418938204</v>
      </c>
      <c r="F50" s="3">
        <v>-0.10064573074254859</v>
      </c>
      <c r="G50" s="3">
        <v>3.3154401745514088E-2</v>
      </c>
      <c r="H50" s="3">
        <v>0.3595437814599296</v>
      </c>
      <c r="I50" s="3">
        <v>6.7644424566298378E-2</v>
      </c>
      <c r="J50" s="3">
        <v>0.2115409163506059</v>
      </c>
      <c r="K50" s="3">
        <v>0.1218060230521012</v>
      </c>
    </row>
    <row r="51" spans="1:11" x14ac:dyDescent="0.25">
      <c r="A51" s="2">
        <v>38990</v>
      </c>
      <c r="B51" s="3">
        <v>1</v>
      </c>
      <c r="C51" s="3">
        <v>-1</v>
      </c>
      <c r="D51" s="3">
        <v>0.16797044388113941</v>
      </c>
      <c r="E51" s="3">
        <v>0.1136168418938204</v>
      </c>
      <c r="F51" s="3">
        <v>-9.7969133526240704E-2</v>
      </c>
      <c r="G51" s="3">
        <v>3.3154401745514088E-2</v>
      </c>
      <c r="H51" s="3">
        <v>0.3595437814599296</v>
      </c>
      <c r="I51" s="3">
        <v>7.0512947592534569E-2</v>
      </c>
      <c r="J51" s="3">
        <v>0.2115409163506059</v>
      </c>
      <c r="K51" s="3">
        <v>0.1167046825073639</v>
      </c>
    </row>
    <row r="52" spans="1:11" x14ac:dyDescent="0.25">
      <c r="A52" s="2">
        <v>39021</v>
      </c>
      <c r="B52" s="3">
        <v>-1</v>
      </c>
      <c r="C52" s="3">
        <v>1</v>
      </c>
      <c r="D52" s="3">
        <v>0.16797044388113941</v>
      </c>
      <c r="E52" s="3">
        <v>0.1058623450819396</v>
      </c>
      <c r="F52" s="3">
        <v>-9.7969133526240704E-2</v>
      </c>
      <c r="G52" s="3">
        <v>5.9594372538158247E-2</v>
      </c>
      <c r="H52" s="3">
        <v>0.37412893743529901</v>
      </c>
      <c r="I52" s="3">
        <v>7.0512947592534569E-2</v>
      </c>
      <c r="J52" s="3">
        <v>0.22214682564967059</v>
      </c>
      <c r="K52" s="3">
        <v>0.1167046825073639</v>
      </c>
    </row>
    <row r="53" spans="1:11" x14ac:dyDescent="0.25">
      <c r="A53" s="2">
        <v>39051</v>
      </c>
      <c r="B53" s="3">
        <v>-1</v>
      </c>
      <c r="C53" s="3">
        <v>1</v>
      </c>
      <c r="D53" s="3">
        <v>0.16797044388113941</v>
      </c>
      <c r="E53" s="3">
        <v>0.10654075630417489</v>
      </c>
      <c r="F53" s="3">
        <v>-9.7969133526240704E-2</v>
      </c>
      <c r="G53" s="3">
        <v>7.3850110568103089E-2</v>
      </c>
      <c r="H53" s="3">
        <v>0.38241407071063399</v>
      </c>
      <c r="I53" s="3">
        <v>7.0512947592534569E-2</v>
      </c>
      <c r="J53" s="3">
        <v>0.22563933318179871</v>
      </c>
      <c r="K53" s="3">
        <v>0.1167046825073639</v>
      </c>
    </row>
    <row r="54" spans="1:11" x14ac:dyDescent="0.25">
      <c r="A54" s="2">
        <v>39082</v>
      </c>
      <c r="B54" s="3">
        <v>-1</v>
      </c>
      <c r="C54" s="3">
        <v>1</v>
      </c>
      <c r="D54" s="3">
        <v>0.16797044388113941</v>
      </c>
      <c r="E54" s="3">
        <v>0.10646485112203451</v>
      </c>
      <c r="F54" s="3">
        <v>-9.7969133526240704E-2</v>
      </c>
      <c r="G54" s="3">
        <v>5.7702032784794799E-2</v>
      </c>
      <c r="H54" s="3">
        <v>0.38866738889299041</v>
      </c>
      <c r="I54" s="3">
        <v>7.0512947592534569E-2</v>
      </c>
      <c r="J54" s="3">
        <v>0.22949267578479951</v>
      </c>
      <c r="K54" s="3">
        <v>0.1167046825073639</v>
      </c>
    </row>
    <row r="55" spans="1:11" x14ac:dyDescent="0.25">
      <c r="A55" s="2">
        <v>39113</v>
      </c>
      <c r="B55" s="3">
        <v>-1</v>
      </c>
      <c r="C55" s="3">
        <v>1</v>
      </c>
      <c r="D55" s="3">
        <v>0.16797044388113941</v>
      </c>
      <c r="E55" s="3">
        <v>0.1078856623452442</v>
      </c>
      <c r="F55" s="3">
        <v>-9.7969133526240704E-2</v>
      </c>
      <c r="G55" s="3">
        <v>5.7044395617650068E-2</v>
      </c>
      <c r="H55" s="3">
        <v>0.38332859448075179</v>
      </c>
      <c r="I55" s="3">
        <v>7.0512947592534569E-2</v>
      </c>
      <c r="J55" s="3">
        <v>0.21642556110273969</v>
      </c>
      <c r="K55" s="3">
        <v>0.1167046825073639</v>
      </c>
    </row>
    <row r="56" spans="1:11" x14ac:dyDescent="0.25">
      <c r="A56" s="2">
        <v>39141</v>
      </c>
      <c r="B56" s="3">
        <v>-1</v>
      </c>
      <c r="C56" s="3">
        <v>1</v>
      </c>
      <c r="D56" s="3">
        <v>0.16797044388113941</v>
      </c>
      <c r="E56" s="3">
        <v>0.14512075553365891</v>
      </c>
      <c r="F56" s="3">
        <v>-9.7969133526240704E-2</v>
      </c>
      <c r="G56" s="3">
        <v>8.0184495821444379E-2</v>
      </c>
      <c r="H56" s="3">
        <v>0.39733706552172721</v>
      </c>
      <c r="I56" s="3">
        <v>7.0512947592534569E-2</v>
      </c>
      <c r="J56" s="3">
        <v>0.2043902020388049</v>
      </c>
      <c r="K56" s="3">
        <v>0.1167046825073639</v>
      </c>
    </row>
    <row r="57" spans="1:11" x14ac:dyDescent="0.25">
      <c r="A57" s="2">
        <v>39172</v>
      </c>
      <c r="B57" s="3">
        <v>-1</v>
      </c>
      <c r="C57" s="3">
        <v>1</v>
      </c>
      <c r="D57" s="3">
        <v>0.16797044388113941</v>
      </c>
      <c r="E57" s="3">
        <v>0.15543937492584489</v>
      </c>
      <c r="F57" s="3">
        <v>-9.7969133526240704E-2</v>
      </c>
      <c r="G57" s="3">
        <v>6.2391705253807439E-2</v>
      </c>
      <c r="H57" s="3">
        <v>0.38408017822935969</v>
      </c>
      <c r="I57" s="3">
        <v>7.0512947592534569E-2</v>
      </c>
      <c r="J57" s="3">
        <v>0.1960329843919473</v>
      </c>
      <c r="K57" s="3">
        <v>0.1167046825073639</v>
      </c>
    </row>
    <row r="58" spans="1:11" x14ac:dyDescent="0.25">
      <c r="A58" s="2">
        <v>39202</v>
      </c>
      <c r="B58" s="3">
        <v>-1</v>
      </c>
      <c r="C58" s="3">
        <v>1</v>
      </c>
      <c r="D58" s="3">
        <v>0.16797044388113941</v>
      </c>
      <c r="E58" s="3">
        <v>0.15355635239309581</v>
      </c>
      <c r="F58" s="3">
        <v>-9.7969133526240704E-2</v>
      </c>
      <c r="G58" s="3">
        <v>6.5848299477640815E-2</v>
      </c>
      <c r="H58" s="3">
        <v>0.40774846641514118</v>
      </c>
      <c r="I58" s="3">
        <v>7.0512947592534569E-2</v>
      </c>
      <c r="J58" s="3">
        <v>0.2067045305666535</v>
      </c>
      <c r="K58" s="3">
        <v>0.1167046825073639</v>
      </c>
    </row>
    <row r="59" spans="1:11" x14ac:dyDescent="0.25">
      <c r="A59" s="2">
        <v>39233</v>
      </c>
      <c r="B59" s="3">
        <v>-1</v>
      </c>
      <c r="C59" s="3">
        <v>1</v>
      </c>
      <c r="D59" s="3">
        <v>0.16797044388113941</v>
      </c>
      <c r="E59" s="3">
        <v>0.1475686756705781</v>
      </c>
      <c r="F59" s="3">
        <v>-9.7969133526240704E-2</v>
      </c>
      <c r="G59" s="3">
        <v>5.5926291081618729E-2</v>
      </c>
      <c r="H59" s="3">
        <v>0.43283595756127352</v>
      </c>
      <c r="I59" s="3">
        <v>7.0512947592534569E-2</v>
      </c>
      <c r="J59" s="3">
        <v>0.20105049668051311</v>
      </c>
      <c r="K59" s="3">
        <v>0.1167046825073639</v>
      </c>
    </row>
    <row r="60" spans="1:11" x14ac:dyDescent="0.25">
      <c r="A60" s="2">
        <v>39263</v>
      </c>
      <c r="B60" s="3">
        <v>-1</v>
      </c>
      <c r="C60" s="3">
        <v>1</v>
      </c>
      <c r="D60" s="3">
        <v>0.16797044388113941</v>
      </c>
      <c r="E60" s="3">
        <v>0.1590918727413824</v>
      </c>
      <c r="F60" s="3">
        <v>-9.7969133526240704E-2</v>
      </c>
      <c r="G60" s="3">
        <v>8.0477420586934523E-2</v>
      </c>
      <c r="H60" s="3">
        <v>0.39319386373693571</v>
      </c>
      <c r="I60" s="3">
        <v>7.0512947592534569E-2</v>
      </c>
      <c r="J60" s="3">
        <v>0.231509594989499</v>
      </c>
      <c r="K60" s="3">
        <v>0.1167046825073639</v>
      </c>
    </row>
    <row r="61" spans="1:11" x14ac:dyDescent="0.25">
      <c r="A61" s="2">
        <v>39294</v>
      </c>
      <c r="B61" s="3">
        <v>-1</v>
      </c>
      <c r="C61" s="3">
        <v>1</v>
      </c>
      <c r="D61" s="3">
        <v>0.16797044388113941</v>
      </c>
      <c r="E61" s="3">
        <v>0.22197424617108941</v>
      </c>
      <c r="F61" s="3">
        <v>-9.7969133526240704E-2</v>
      </c>
      <c r="G61" s="3">
        <v>0.10348228335701951</v>
      </c>
      <c r="H61" s="3">
        <v>0.41779129460366021</v>
      </c>
      <c r="I61" s="3">
        <v>7.0512947592534569E-2</v>
      </c>
      <c r="J61" s="3">
        <v>0.24691584963996169</v>
      </c>
      <c r="K61" s="3">
        <v>0.1167046825073639</v>
      </c>
    </row>
    <row r="62" spans="1:11" x14ac:dyDescent="0.25">
      <c r="A62" s="2">
        <v>39325</v>
      </c>
      <c r="B62" s="3">
        <v>1</v>
      </c>
      <c r="C62" s="3">
        <v>-1</v>
      </c>
      <c r="D62" s="3">
        <v>0.19000262640037999</v>
      </c>
      <c r="E62" s="3">
        <v>0.22197424617108941</v>
      </c>
      <c r="F62" s="3">
        <v>-0.1146162920344435</v>
      </c>
      <c r="G62" s="3">
        <v>0.10348228335701951</v>
      </c>
      <c r="H62" s="3">
        <v>0.41779129460366021</v>
      </c>
      <c r="I62" s="3">
        <v>5.4940802977951453E-2</v>
      </c>
      <c r="J62" s="3">
        <v>0.24691584963996169</v>
      </c>
      <c r="K62" s="3">
        <v>0.1154974311550347</v>
      </c>
    </row>
    <row r="63" spans="1:11" x14ac:dyDescent="0.25">
      <c r="A63" s="2">
        <v>39355</v>
      </c>
      <c r="B63" s="3">
        <v>-1</v>
      </c>
      <c r="C63" s="3">
        <v>1</v>
      </c>
      <c r="D63" s="3">
        <v>0.19000262640037999</v>
      </c>
      <c r="E63" s="3">
        <v>0.2147783482644188</v>
      </c>
      <c r="F63" s="3">
        <v>-0.1146162920344435</v>
      </c>
      <c r="G63" s="3">
        <v>0.110757125621386</v>
      </c>
      <c r="H63" s="3">
        <v>0.40066399133982378</v>
      </c>
      <c r="I63" s="3">
        <v>5.4940802977951453E-2</v>
      </c>
      <c r="J63" s="3">
        <v>0.21222976865512311</v>
      </c>
      <c r="K63" s="3">
        <v>0.1154974311550347</v>
      </c>
    </row>
    <row r="64" spans="1:11" x14ac:dyDescent="0.25">
      <c r="A64" s="2">
        <v>39386</v>
      </c>
      <c r="B64" s="3">
        <v>1</v>
      </c>
      <c r="C64" s="3">
        <v>-1</v>
      </c>
      <c r="D64" s="3">
        <v>0.22919739023886751</v>
      </c>
      <c r="E64" s="3">
        <v>0.2147783482644188</v>
      </c>
      <c r="F64" s="3">
        <v>-0.1099801594690354</v>
      </c>
      <c r="G64" s="3">
        <v>0.110757125621386</v>
      </c>
      <c r="H64" s="3">
        <v>0.40066399133982378</v>
      </c>
      <c r="I64" s="3">
        <v>3.2425741067234837E-2</v>
      </c>
      <c r="J64" s="3">
        <v>0.21222976865512311</v>
      </c>
      <c r="K64" s="3">
        <v>0.1143986755394166</v>
      </c>
    </row>
    <row r="65" spans="1:11" x14ac:dyDescent="0.25">
      <c r="A65" s="2">
        <v>39416</v>
      </c>
      <c r="B65" s="3">
        <v>1</v>
      </c>
      <c r="C65" s="3">
        <v>-1</v>
      </c>
      <c r="D65" s="3">
        <v>0.28955320192193801</v>
      </c>
      <c r="E65" s="3">
        <v>0.2147783482644188</v>
      </c>
      <c r="F65" s="3">
        <v>-0.11907346366067929</v>
      </c>
      <c r="G65" s="3">
        <v>0.110757125621386</v>
      </c>
      <c r="H65" s="3">
        <v>0.40066399133982378</v>
      </c>
      <c r="I65" s="3">
        <v>7.7626545584216666E-2</v>
      </c>
      <c r="J65" s="3">
        <v>0.21222976865512311</v>
      </c>
      <c r="K65" s="3">
        <v>0.12853089460681999</v>
      </c>
    </row>
    <row r="66" spans="1:11" x14ac:dyDescent="0.25">
      <c r="A66" s="2">
        <v>39447</v>
      </c>
      <c r="B66" s="3">
        <v>-1</v>
      </c>
      <c r="C66" s="3">
        <v>1</v>
      </c>
      <c r="D66" s="3">
        <v>0.28955320192193801</v>
      </c>
      <c r="E66" s="3">
        <v>0.2304570730115105</v>
      </c>
      <c r="F66" s="3">
        <v>-0.11907346366067929</v>
      </c>
      <c r="G66" s="3">
        <v>0.13196416648415951</v>
      </c>
      <c r="H66" s="3">
        <v>0.42212828777940592</v>
      </c>
      <c r="I66" s="3">
        <v>7.7626545584216666E-2</v>
      </c>
      <c r="J66" s="3">
        <v>0.24140220875378571</v>
      </c>
      <c r="K66" s="3">
        <v>0.12853089460681999</v>
      </c>
    </row>
    <row r="67" spans="1:11" x14ac:dyDescent="0.25">
      <c r="A67" s="2">
        <v>39478</v>
      </c>
      <c r="B67" s="3">
        <v>1</v>
      </c>
      <c r="C67" s="3">
        <v>-1</v>
      </c>
      <c r="D67" s="3">
        <v>0.32354990464656641</v>
      </c>
      <c r="E67" s="3">
        <v>0.2304570730115105</v>
      </c>
      <c r="F67" s="3">
        <v>-0.107469709189689</v>
      </c>
      <c r="G67" s="3">
        <v>0.13196416648415951</v>
      </c>
      <c r="H67" s="3">
        <v>0.42212828777940592</v>
      </c>
      <c r="I67" s="3">
        <v>0.13230679263374359</v>
      </c>
      <c r="J67" s="3">
        <v>0.24140220875378571</v>
      </c>
      <c r="K67" s="3">
        <v>0.147066532821954</v>
      </c>
    </row>
    <row r="68" spans="1:11" x14ac:dyDescent="0.25">
      <c r="A68" s="2">
        <v>39507</v>
      </c>
      <c r="B68" s="3">
        <v>-1</v>
      </c>
      <c r="C68" s="3">
        <v>1</v>
      </c>
      <c r="D68" s="3">
        <v>0.32354990464656641</v>
      </c>
      <c r="E68" s="3">
        <v>0.24639611902113701</v>
      </c>
      <c r="F68" s="3">
        <v>-0.107469709189689</v>
      </c>
      <c r="G68" s="3">
        <v>0.15919670003368161</v>
      </c>
      <c r="H68" s="3">
        <v>0.38695503965622507</v>
      </c>
      <c r="I68" s="3">
        <v>0.13230679263374359</v>
      </c>
      <c r="J68" s="3">
        <v>0.26776922115302959</v>
      </c>
      <c r="K68" s="3">
        <v>0.147066532821954</v>
      </c>
    </row>
    <row r="69" spans="1:11" x14ac:dyDescent="0.25">
      <c r="A69" s="2">
        <v>39538</v>
      </c>
      <c r="B69" s="3">
        <v>1</v>
      </c>
      <c r="C69" s="3">
        <v>-1</v>
      </c>
      <c r="D69" s="3">
        <v>0.2964286824291722</v>
      </c>
      <c r="E69" s="3">
        <v>0.24639611902113701</v>
      </c>
      <c r="F69" s="3">
        <v>-0.1130636836651783</v>
      </c>
      <c r="G69" s="3">
        <v>0.15919670003368161</v>
      </c>
      <c r="H69" s="3">
        <v>0.38695503965622507</v>
      </c>
      <c r="I69" s="3">
        <v>0.1672881528512864</v>
      </c>
      <c r="J69" s="3">
        <v>0.26776922115302959</v>
      </c>
      <c r="K69" s="3">
        <v>0.12686110227327199</v>
      </c>
    </row>
    <row r="70" spans="1:11" x14ac:dyDescent="0.25">
      <c r="A70" s="2">
        <v>39568</v>
      </c>
      <c r="B70" s="3">
        <v>-1</v>
      </c>
      <c r="C70" s="3">
        <v>1</v>
      </c>
      <c r="D70" s="3">
        <v>0.2964286824291722</v>
      </c>
      <c r="E70" s="3">
        <v>0.2488980072245903</v>
      </c>
      <c r="F70" s="3">
        <v>-0.1130636836651783</v>
      </c>
      <c r="G70" s="3">
        <v>0.15894078742016521</v>
      </c>
      <c r="H70" s="3">
        <v>0.43927448046494438</v>
      </c>
      <c r="I70" s="3">
        <v>0.1672881528512864</v>
      </c>
      <c r="J70" s="3">
        <v>0.27797602243403019</v>
      </c>
      <c r="K70" s="3">
        <v>0.12686110227327199</v>
      </c>
    </row>
    <row r="71" spans="1:11" x14ac:dyDescent="0.25">
      <c r="A71" s="2">
        <v>39599</v>
      </c>
      <c r="B71" s="3">
        <v>-1</v>
      </c>
      <c r="C71" s="3">
        <v>1</v>
      </c>
      <c r="D71" s="3">
        <v>0.2964286824291722</v>
      </c>
      <c r="E71" s="3">
        <v>0.24104107829236979</v>
      </c>
      <c r="F71" s="3">
        <v>-0.1130636836651783</v>
      </c>
      <c r="G71" s="3">
        <v>0.1315086864590338</v>
      </c>
      <c r="H71" s="3">
        <v>0.45294206768288547</v>
      </c>
      <c r="I71" s="3">
        <v>0.1672881528512864</v>
      </c>
      <c r="J71" s="3">
        <v>0.29773502996792639</v>
      </c>
      <c r="K71" s="3">
        <v>0.12686110227327199</v>
      </c>
    </row>
    <row r="72" spans="1:11" x14ac:dyDescent="0.25">
      <c r="A72" s="2">
        <v>39629</v>
      </c>
      <c r="B72" s="3">
        <v>1</v>
      </c>
      <c r="C72" s="3">
        <v>-1</v>
      </c>
      <c r="D72" s="3">
        <v>0.26099645648893399</v>
      </c>
      <c r="E72" s="3">
        <v>0.24104107829236979</v>
      </c>
      <c r="F72" s="3">
        <v>-0.13780538517396501</v>
      </c>
      <c r="G72" s="3">
        <v>0.1315086864590338</v>
      </c>
      <c r="H72" s="3">
        <v>0.45294206768288547</v>
      </c>
      <c r="I72" s="3">
        <v>0.20063369958596861</v>
      </c>
      <c r="J72" s="3">
        <v>0.29773502996792639</v>
      </c>
      <c r="K72" s="3">
        <v>0.13712079147367609</v>
      </c>
    </row>
    <row r="73" spans="1:11" x14ac:dyDescent="0.25">
      <c r="A73" s="2">
        <v>39660</v>
      </c>
      <c r="B73" s="3">
        <v>-1</v>
      </c>
      <c r="C73" s="3">
        <v>1</v>
      </c>
      <c r="D73" s="3">
        <v>0.26099645648893399</v>
      </c>
      <c r="E73" s="3">
        <v>0.24637801058446041</v>
      </c>
      <c r="F73" s="3">
        <v>-0.13780538517396501</v>
      </c>
      <c r="G73" s="3">
        <v>0.1481552748056576</v>
      </c>
      <c r="H73" s="3">
        <v>0.44504278029344291</v>
      </c>
      <c r="I73" s="3">
        <v>0.20063369958596861</v>
      </c>
      <c r="J73" s="3">
        <v>0.28249763179768622</v>
      </c>
      <c r="K73" s="3">
        <v>0.13712079147367609</v>
      </c>
    </row>
    <row r="74" spans="1:11" x14ac:dyDescent="0.25">
      <c r="A74" s="2">
        <v>39691</v>
      </c>
      <c r="B74" s="3">
        <v>1</v>
      </c>
      <c r="C74" s="3">
        <v>-1</v>
      </c>
      <c r="D74" s="3">
        <v>0.27135057530406748</v>
      </c>
      <c r="E74" s="3">
        <v>0.24637801058446041</v>
      </c>
      <c r="F74" s="3">
        <v>-0.14431333727922871</v>
      </c>
      <c r="G74" s="3">
        <v>0.1481552748056576</v>
      </c>
      <c r="H74" s="3">
        <v>0.44504278029344291</v>
      </c>
      <c r="I74" s="3">
        <v>0.19828727186115391</v>
      </c>
      <c r="J74" s="3">
        <v>0.28249763179768622</v>
      </c>
      <c r="K74" s="3">
        <v>0.1424358311131475</v>
      </c>
    </row>
    <row r="75" spans="1:11" x14ac:dyDescent="0.25">
      <c r="A75" s="2">
        <v>39721</v>
      </c>
      <c r="B75" s="3">
        <v>1</v>
      </c>
      <c r="C75" s="3">
        <v>-1</v>
      </c>
      <c r="D75" s="3">
        <v>0.2200114279096943</v>
      </c>
      <c r="E75" s="3">
        <v>0.24637801058446041</v>
      </c>
      <c r="F75" s="3">
        <v>-0.15330293697710209</v>
      </c>
      <c r="G75" s="3">
        <v>0.1481552748056576</v>
      </c>
      <c r="H75" s="3">
        <v>0.44504278029344291</v>
      </c>
      <c r="I75" s="3">
        <v>0.2143166130864993</v>
      </c>
      <c r="J75" s="3">
        <v>0.28249763179768622</v>
      </c>
      <c r="K75" s="3">
        <v>0.1712586144171675</v>
      </c>
    </row>
    <row r="76" spans="1:11" x14ac:dyDescent="0.25">
      <c r="A76" s="2">
        <v>39752</v>
      </c>
      <c r="B76" s="3">
        <v>1</v>
      </c>
      <c r="C76" s="3">
        <v>-1</v>
      </c>
      <c r="D76" s="3">
        <v>0.24516176870607739</v>
      </c>
      <c r="E76" s="3">
        <v>0.24637801058446041</v>
      </c>
      <c r="F76" s="3">
        <v>-0.13312165162684389</v>
      </c>
      <c r="G76" s="3">
        <v>0.1481552748056576</v>
      </c>
      <c r="H76" s="3">
        <v>0.44504278029344291</v>
      </c>
      <c r="I76" s="3">
        <v>0.39025978794778271</v>
      </c>
      <c r="J76" s="3">
        <v>0.28249763179768622</v>
      </c>
      <c r="K76" s="3">
        <v>0.22346344720254521</v>
      </c>
    </row>
    <row r="77" spans="1:11" x14ac:dyDescent="0.25">
      <c r="A77" s="2">
        <v>39782</v>
      </c>
      <c r="B77" s="3">
        <v>1</v>
      </c>
      <c r="C77" s="3">
        <v>-1</v>
      </c>
      <c r="D77" s="3">
        <v>0.40445416355168717</v>
      </c>
      <c r="E77" s="3">
        <v>0.24637801058446041</v>
      </c>
      <c r="F77" s="3">
        <v>-0.156931643499753</v>
      </c>
      <c r="G77" s="3">
        <v>0.1481552748056576</v>
      </c>
      <c r="H77" s="3">
        <v>0.44504278029344291</v>
      </c>
      <c r="I77" s="3">
        <v>0.4285576692252111</v>
      </c>
      <c r="J77" s="3">
        <v>0.28249763179768622</v>
      </c>
      <c r="K77" s="3">
        <v>0.2474130607944558</v>
      </c>
    </row>
    <row r="78" spans="1:11" x14ac:dyDescent="0.25">
      <c r="A78" s="2">
        <v>39813</v>
      </c>
      <c r="B78" s="3">
        <v>1</v>
      </c>
      <c r="C78" s="3">
        <v>-1</v>
      </c>
      <c r="D78" s="3">
        <v>0.43750281296131027</v>
      </c>
      <c r="E78" s="3">
        <v>0.24637801058446041</v>
      </c>
      <c r="F78" s="3">
        <v>-0.13970037447586911</v>
      </c>
      <c r="G78" s="3">
        <v>0.1481552748056576</v>
      </c>
      <c r="H78" s="3">
        <v>0.44504278029344291</v>
      </c>
      <c r="I78" s="3">
        <v>0.45477540814369249</v>
      </c>
      <c r="J78" s="3">
        <v>0.28249763179768622</v>
      </c>
      <c r="K78" s="3">
        <v>0.30785564319409747</v>
      </c>
    </row>
    <row r="79" spans="1:11" x14ac:dyDescent="0.25">
      <c r="A79" s="2">
        <v>39844</v>
      </c>
      <c r="B79" s="3">
        <v>-1</v>
      </c>
      <c r="C79" s="3">
        <v>1</v>
      </c>
      <c r="D79" s="3">
        <v>0.43750281296131027</v>
      </c>
      <c r="E79" s="3">
        <v>0.24885911731505489</v>
      </c>
      <c r="F79" s="3">
        <v>-0.13970037447586911</v>
      </c>
      <c r="G79" s="3">
        <v>0.1063952045665701</v>
      </c>
      <c r="H79" s="3">
        <v>0.45914727095456881</v>
      </c>
      <c r="I79" s="3">
        <v>0.45477540814369249</v>
      </c>
      <c r="J79" s="3">
        <v>0.35669778471350583</v>
      </c>
      <c r="K79" s="3">
        <v>0.30785564319409747</v>
      </c>
    </row>
    <row r="80" spans="1:11" x14ac:dyDescent="0.25">
      <c r="A80" s="2">
        <v>39872</v>
      </c>
      <c r="B80" s="3">
        <v>1</v>
      </c>
      <c r="C80" s="3">
        <v>-1</v>
      </c>
      <c r="D80" s="3">
        <v>0.42517948380148751</v>
      </c>
      <c r="E80" s="3">
        <v>0.24885911731505489</v>
      </c>
      <c r="F80" s="3">
        <v>-0.1148551381890109</v>
      </c>
      <c r="G80" s="3">
        <v>0.1063952045665701</v>
      </c>
      <c r="H80" s="3">
        <v>0.45914727095456881</v>
      </c>
      <c r="I80" s="3">
        <v>0.38274898250059869</v>
      </c>
      <c r="J80" s="3">
        <v>0.35669778471350583</v>
      </c>
      <c r="K80" s="3">
        <v>0.2935338009241677</v>
      </c>
    </row>
    <row r="81" spans="1:11" x14ac:dyDescent="0.25">
      <c r="A81" s="2">
        <v>39903</v>
      </c>
      <c r="B81" s="3">
        <v>-1</v>
      </c>
      <c r="C81" s="3">
        <v>1</v>
      </c>
      <c r="D81" s="3">
        <v>0.42517948380148751</v>
      </c>
      <c r="E81" s="3">
        <v>0.1992615409677467</v>
      </c>
      <c r="F81" s="3">
        <v>-0.1148551381890109</v>
      </c>
      <c r="G81" s="3">
        <v>0.12562470465214279</v>
      </c>
      <c r="H81" s="3">
        <v>0.35997986241613122</v>
      </c>
      <c r="I81" s="3">
        <v>0.38274898250059869</v>
      </c>
      <c r="J81" s="3">
        <v>0.3208354456595921</v>
      </c>
      <c r="K81" s="3">
        <v>0.2935338009241677</v>
      </c>
    </row>
    <row r="82" spans="1:11" x14ac:dyDescent="0.25">
      <c r="A82" s="2">
        <v>39933</v>
      </c>
      <c r="B82" s="3">
        <v>-1</v>
      </c>
      <c r="C82" s="3">
        <v>1</v>
      </c>
      <c r="D82" s="3">
        <v>0.42517948380148751</v>
      </c>
      <c r="E82" s="3">
        <v>0.15856678532776061</v>
      </c>
      <c r="F82" s="3">
        <v>-0.1148551381890109</v>
      </c>
      <c r="G82" s="3">
        <v>8.6207254827976421E-2</v>
      </c>
      <c r="H82" s="3">
        <v>0.39723577927614029</v>
      </c>
      <c r="I82" s="3">
        <v>0.38274898250059869</v>
      </c>
      <c r="J82" s="3">
        <v>0.35424743729559532</v>
      </c>
      <c r="K82" s="3">
        <v>0.2935338009241677</v>
      </c>
    </row>
    <row r="83" spans="1:11" x14ac:dyDescent="0.25">
      <c r="A83" s="2">
        <v>39964</v>
      </c>
      <c r="B83" s="3">
        <v>-1</v>
      </c>
      <c r="C83" s="3">
        <v>1</v>
      </c>
      <c r="D83" s="3">
        <v>0.42517948380148751</v>
      </c>
      <c r="E83" s="3">
        <v>0.11537917084279831</v>
      </c>
      <c r="F83" s="3">
        <v>-0.1148551381890109</v>
      </c>
      <c r="G83" s="3">
        <v>8.2320575576195987E-2</v>
      </c>
      <c r="H83" s="3">
        <v>0.45232612510429709</v>
      </c>
      <c r="I83" s="3">
        <v>0.38274898250059869</v>
      </c>
      <c r="J83" s="3">
        <v>0.39703579417101542</v>
      </c>
      <c r="K83" s="3">
        <v>0.2935338009241677</v>
      </c>
    </row>
    <row r="84" spans="1:11" x14ac:dyDescent="0.25">
      <c r="A84" s="2">
        <v>39994</v>
      </c>
      <c r="B84" s="3">
        <v>-1</v>
      </c>
      <c r="C84" s="3">
        <v>1</v>
      </c>
      <c r="D84" s="3">
        <v>0.42517948380148751</v>
      </c>
      <c r="E84" s="3">
        <v>0.1155676732817119</v>
      </c>
      <c r="F84" s="3">
        <v>-0.1148551381890109</v>
      </c>
      <c r="G84" s="3">
        <v>0.1161574627960873</v>
      </c>
      <c r="H84" s="3">
        <v>0.4842902018802302</v>
      </c>
      <c r="I84" s="3">
        <v>0.38274898250059869</v>
      </c>
      <c r="J84" s="3">
        <v>0.45721629152616511</v>
      </c>
      <c r="K84" s="3">
        <v>0.2935338009241677</v>
      </c>
    </row>
    <row r="85" spans="1:11" x14ac:dyDescent="0.25">
      <c r="A85" s="2">
        <v>40025</v>
      </c>
      <c r="B85" s="3">
        <v>-1</v>
      </c>
      <c r="C85" s="3">
        <v>1</v>
      </c>
      <c r="D85" s="3">
        <v>0.42517948380148751</v>
      </c>
      <c r="E85" s="3">
        <v>7.778219979869494E-2</v>
      </c>
      <c r="F85" s="3">
        <v>-0.1148551381890109</v>
      </c>
      <c r="G85" s="3">
        <v>0.14181439115928879</v>
      </c>
      <c r="H85" s="3">
        <v>0.41997506789064198</v>
      </c>
      <c r="I85" s="3">
        <v>0.38274898250059869</v>
      </c>
      <c r="J85" s="3">
        <v>0.42281237004845668</v>
      </c>
      <c r="K85" s="3">
        <v>0.2935338009241677</v>
      </c>
    </row>
    <row r="86" spans="1:11" x14ac:dyDescent="0.25">
      <c r="A86" s="2">
        <v>40056</v>
      </c>
      <c r="B86" s="3">
        <v>-1</v>
      </c>
      <c r="C86" s="3">
        <v>1</v>
      </c>
      <c r="D86" s="3">
        <v>0.42517948380148751</v>
      </c>
      <c r="E86" s="3">
        <v>8.3085868926459749E-2</v>
      </c>
      <c r="F86" s="3">
        <v>-0.1148551381890109</v>
      </c>
      <c r="G86" s="3">
        <v>0.17600193702605879</v>
      </c>
      <c r="H86" s="3">
        <v>0.45425393570572448</v>
      </c>
      <c r="I86" s="3">
        <v>0.38274898250059869</v>
      </c>
      <c r="J86" s="3">
        <v>0.48395588829288161</v>
      </c>
      <c r="K86" s="3">
        <v>0.2935338009241677</v>
      </c>
    </row>
    <row r="87" spans="1:11" x14ac:dyDescent="0.25">
      <c r="A87" s="2">
        <v>40086</v>
      </c>
      <c r="B87" s="3">
        <v>-1</v>
      </c>
      <c r="C87" s="3">
        <v>1</v>
      </c>
      <c r="D87" s="3">
        <v>0.42517948380148751</v>
      </c>
      <c r="E87" s="3">
        <v>9.7858389931861689E-2</v>
      </c>
      <c r="F87" s="3">
        <v>-0.1148551381890109</v>
      </c>
      <c r="G87" s="3">
        <v>0.2060909405935043</v>
      </c>
      <c r="H87" s="3">
        <v>0.46166514579293078</v>
      </c>
      <c r="I87" s="3">
        <v>0.38274898250059869</v>
      </c>
      <c r="J87" s="3">
        <v>0.51077709431196228</v>
      </c>
      <c r="K87" s="3">
        <v>0.2935338009241677</v>
      </c>
    </row>
    <row r="88" spans="1:11" x14ac:dyDescent="0.25">
      <c r="A88" s="2">
        <v>40117</v>
      </c>
      <c r="B88" s="3">
        <v>-1</v>
      </c>
      <c r="C88" s="3">
        <v>1</v>
      </c>
      <c r="D88" s="3">
        <v>0.42517948380148751</v>
      </c>
      <c r="E88" s="3">
        <v>0.14515983908657629</v>
      </c>
      <c r="F88" s="3">
        <v>-0.1148551381890109</v>
      </c>
      <c r="G88" s="3">
        <v>0.20204064315465639</v>
      </c>
      <c r="H88" s="3">
        <v>0.46535883495233082</v>
      </c>
      <c r="I88" s="3">
        <v>0.38274898250059869</v>
      </c>
      <c r="J88" s="3">
        <v>0.49761980068406908</v>
      </c>
      <c r="K88" s="3">
        <v>0.2935338009241677</v>
      </c>
    </row>
    <row r="89" spans="1:11" x14ac:dyDescent="0.25">
      <c r="A89" s="2">
        <v>40147</v>
      </c>
      <c r="B89" s="3">
        <v>-1</v>
      </c>
      <c r="C89" s="3">
        <v>1</v>
      </c>
      <c r="D89" s="3">
        <v>0.42517948380148751</v>
      </c>
      <c r="E89" s="3">
        <v>0.13957536202505441</v>
      </c>
      <c r="F89" s="3">
        <v>-0.1148551381890109</v>
      </c>
      <c r="G89" s="3">
        <v>0.2210209605990672</v>
      </c>
      <c r="H89" s="3">
        <v>0.51532389417159385</v>
      </c>
      <c r="I89" s="3">
        <v>0.38274898250059869</v>
      </c>
      <c r="J89" s="3">
        <v>0.531450173726699</v>
      </c>
      <c r="K89" s="3">
        <v>0.2935338009241677</v>
      </c>
    </row>
    <row r="90" spans="1:11" x14ac:dyDescent="0.25">
      <c r="A90" s="2">
        <v>40178</v>
      </c>
      <c r="B90" s="3">
        <v>-1</v>
      </c>
      <c r="C90" s="3">
        <v>1</v>
      </c>
      <c r="D90" s="3">
        <v>0.42517948380148751</v>
      </c>
      <c r="E90" s="3">
        <v>0.13837003493271899</v>
      </c>
      <c r="F90" s="3">
        <v>-0.1148551381890109</v>
      </c>
      <c r="G90" s="3">
        <v>0.20866368852916481</v>
      </c>
      <c r="H90" s="3">
        <v>0.52786571385120329</v>
      </c>
      <c r="I90" s="3">
        <v>0.38274898250059869</v>
      </c>
      <c r="J90" s="3">
        <v>0.57739112916269852</v>
      </c>
      <c r="K90" s="3">
        <v>0.2935338009241677</v>
      </c>
    </row>
    <row r="91" spans="1:11" x14ac:dyDescent="0.25">
      <c r="A91" s="2">
        <v>40209</v>
      </c>
      <c r="B91" s="3">
        <v>1</v>
      </c>
      <c r="C91" s="3">
        <v>-1</v>
      </c>
      <c r="D91" s="3">
        <v>0.39414731706381878</v>
      </c>
      <c r="E91" s="3">
        <v>0.13837003493271899</v>
      </c>
      <c r="F91" s="3">
        <v>-0.121916914378479</v>
      </c>
      <c r="G91" s="3">
        <v>0.20866368852916481</v>
      </c>
      <c r="H91" s="3">
        <v>0.52786571385120329</v>
      </c>
      <c r="I91" s="3">
        <v>0.34422611063822067</v>
      </c>
      <c r="J91" s="3">
        <v>0.57739112916269852</v>
      </c>
      <c r="K91" s="3">
        <v>0.28501717042892022</v>
      </c>
    </row>
    <row r="92" spans="1:11" x14ac:dyDescent="0.25">
      <c r="A92" s="2">
        <v>40237</v>
      </c>
      <c r="B92" s="3">
        <v>-1</v>
      </c>
      <c r="C92" s="3">
        <v>1</v>
      </c>
      <c r="D92" s="3">
        <v>0.39414731706381878</v>
      </c>
      <c r="E92" s="3">
        <v>0.1425458101229404</v>
      </c>
      <c r="F92" s="3">
        <v>-0.121916914378479</v>
      </c>
      <c r="G92" s="3">
        <v>0.2434883904549752</v>
      </c>
      <c r="H92" s="3">
        <v>0.51850329650303317</v>
      </c>
      <c r="I92" s="3">
        <v>0.34422611063822067</v>
      </c>
      <c r="J92" s="3">
        <v>0.5771000926601233</v>
      </c>
      <c r="K92" s="3">
        <v>0.28501717042892022</v>
      </c>
    </row>
    <row r="93" spans="1:11" x14ac:dyDescent="0.25">
      <c r="A93" s="2">
        <v>40268</v>
      </c>
      <c r="B93" s="3">
        <v>-1</v>
      </c>
      <c r="C93" s="3">
        <v>1</v>
      </c>
      <c r="D93" s="3">
        <v>0.39414731706381878</v>
      </c>
      <c r="E93" s="3">
        <v>0.13235361121823291</v>
      </c>
      <c r="F93" s="3">
        <v>-0.121916914378479</v>
      </c>
      <c r="G93" s="3">
        <v>0.2195731534127339</v>
      </c>
      <c r="H93" s="3">
        <v>0.56613479970455716</v>
      </c>
      <c r="I93" s="3">
        <v>0.34422611063822067</v>
      </c>
      <c r="J93" s="3">
        <v>0.5962082526952841</v>
      </c>
      <c r="K93" s="3">
        <v>0.28501717042892022</v>
      </c>
    </row>
    <row r="94" spans="1:11" x14ac:dyDescent="0.25">
      <c r="A94" s="2">
        <v>40298</v>
      </c>
      <c r="B94" s="3">
        <v>-1</v>
      </c>
      <c r="C94" s="3">
        <v>1</v>
      </c>
      <c r="D94" s="3">
        <v>0.39414731706381878</v>
      </c>
      <c r="E94" s="3">
        <v>0.15258556705411591</v>
      </c>
      <c r="F94" s="3">
        <v>-0.121916914378479</v>
      </c>
      <c r="G94" s="3">
        <v>0.24255126882376629</v>
      </c>
      <c r="H94" s="3">
        <v>0.58977722344414341</v>
      </c>
      <c r="I94" s="3">
        <v>0.34422611063822067</v>
      </c>
      <c r="J94" s="3">
        <v>0.6029887588054399</v>
      </c>
      <c r="K94" s="3">
        <v>0.28501717042892022</v>
      </c>
    </row>
    <row r="95" spans="1:11" x14ac:dyDescent="0.25">
      <c r="A95" s="2">
        <v>40329</v>
      </c>
      <c r="B95" s="3">
        <v>1</v>
      </c>
      <c r="C95" s="3">
        <v>-1</v>
      </c>
      <c r="D95" s="3">
        <v>0.39848288415426941</v>
      </c>
      <c r="E95" s="3">
        <v>0.15258556705411591</v>
      </c>
      <c r="F95" s="3">
        <v>-0.1047864333553218</v>
      </c>
      <c r="G95" s="3">
        <v>0.24255126882376629</v>
      </c>
      <c r="H95" s="3">
        <v>0.58977722344414341</v>
      </c>
      <c r="I95" s="3">
        <v>0.43106044071734823</v>
      </c>
      <c r="J95" s="3">
        <v>0.6029887588054399</v>
      </c>
      <c r="K95" s="3">
        <v>0.33766017177544261</v>
      </c>
    </row>
    <row r="96" spans="1:11" x14ac:dyDescent="0.25">
      <c r="A96" s="2">
        <v>40359</v>
      </c>
      <c r="B96" s="3">
        <v>-1</v>
      </c>
      <c r="C96" s="3">
        <v>1</v>
      </c>
      <c r="D96" s="3">
        <v>0.39848288415426941</v>
      </c>
      <c r="E96" s="3">
        <v>0.23963725658221449</v>
      </c>
      <c r="F96" s="3">
        <v>-0.1047864333553218</v>
      </c>
      <c r="G96" s="3">
        <v>0.29701831585726263</v>
      </c>
      <c r="H96" s="3">
        <v>0.53424947877927509</v>
      </c>
      <c r="I96" s="3">
        <v>0.43106044071734823</v>
      </c>
      <c r="J96" s="3">
        <v>0.56326035014282638</v>
      </c>
      <c r="K96" s="3">
        <v>0.33766017177544261</v>
      </c>
    </row>
    <row r="97" spans="1:11" x14ac:dyDescent="0.25">
      <c r="A97" s="2">
        <v>40390</v>
      </c>
      <c r="B97" s="3">
        <v>-1</v>
      </c>
      <c r="C97" s="3">
        <v>1</v>
      </c>
      <c r="D97" s="3">
        <v>0.39848288415426941</v>
      </c>
      <c r="E97" s="3">
        <v>0.23034404407695461</v>
      </c>
      <c r="F97" s="3">
        <v>-0.1047864333553218</v>
      </c>
      <c r="G97" s="3">
        <v>0.29254895084408222</v>
      </c>
      <c r="H97" s="3">
        <v>0.59261464220609894</v>
      </c>
      <c r="I97" s="3">
        <v>0.43106044071734823</v>
      </c>
      <c r="J97" s="3">
        <v>0.58865271786245588</v>
      </c>
      <c r="K97" s="3">
        <v>0.33766017177544261</v>
      </c>
    </row>
    <row r="98" spans="1:11" x14ac:dyDescent="0.25">
      <c r="A98" s="2">
        <v>40421</v>
      </c>
      <c r="B98" s="3">
        <v>1</v>
      </c>
      <c r="C98" s="3">
        <v>-1</v>
      </c>
      <c r="D98" s="3">
        <v>0.36983076462824988</v>
      </c>
      <c r="E98" s="3">
        <v>0.23034404407695461</v>
      </c>
      <c r="F98" s="3">
        <v>-0.12655251976912771</v>
      </c>
      <c r="G98" s="3">
        <v>0.29254895084408222</v>
      </c>
      <c r="H98" s="3">
        <v>0.59261464220609894</v>
      </c>
      <c r="I98" s="3">
        <v>0.40338811486771903</v>
      </c>
      <c r="J98" s="3">
        <v>0.58865271786245588</v>
      </c>
      <c r="K98" s="3">
        <v>0.33720040096191689</v>
      </c>
    </row>
    <row r="99" spans="1:11" x14ac:dyDescent="0.25">
      <c r="A99" s="2">
        <v>40451</v>
      </c>
      <c r="B99" s="3">
        <v>-1</v>
      </c>
      <c r="C99" s="3">
        <v>1</v>
      </c>
      <c r="D99" s="3">
        <v>0.36983076462824988</v>
      </c>
      <c r="E99" s="3">
        <v>0.22233824984078421</v>
      </c>
      <c r="F99" s="3">
        <v>-0.12655251976912771</v>
      </c>
      <c r="G99" s="3">
        <v>0.30397921855475302</v>
      </c>
      <c r="H99" s="3">
        <v>0.66897485433486636</v>
      </c>
      <c r="I99" s="3">
        <v>0.40338811486771903</v>
      </c>
      <c r="J99" s="3">
        <v>0.63808718513224805</v>
      </c>
      <c r="K99" s="3">
        <v>0.33720040096191689</v>
      </c>
    </row>
    <row r="100" spans="1:11" x14ac:dyDescent="0.25">
      <c r="A100" s="2">
        <v>40482</v>
      </c>
      <c r="B100" s="3">
        <v>-1</v>
      </c>
      <c r="C100" s="3">
        <v>1</v>
      </c>
      <c r="D100" s="3">
        <v>0.36983076462824988</v>
      </c>
      <c r="E100" s="3">
        <v>0.21860633675035149</v>
      </c>
      <c r="F100" s="3">
        <v>-0.12655251976912771</v>
      </c>
      <c r="G100" s="3">
        <v>0.30065359356645738</v>
      </c>
      <c r="H100" s="3">
        <v>0.69491258838606051</v>
      </c>
      <c r="I100" s="3">
        <v>0.40338811486771903</v>
      </c>
      <c r="J100" s="3">
        <v>0.64468695646142726</v>
      </c>
      <c r="K100" s="3">
        <v>0.33720040096191689</v>
      </c>
    </row>
    <row r="101" spans="1:11" x14ac:dyDescent="0.25">
      <c r="A101" s="2">
        <v>40512</v>
      </c>
      <c r="B101" s="3">
        <v>-1</v>
      </c>
      <c r="C101" s="3">
        <v>1</v>
      </c>
      <c r="D101" s="3">
        <v>0.36983076462824988</v>
      </c>
      <c r="E101" s="3">
        <v>0.23661032322169101</v>
      </c>
      <c r="F101" s="3">
        <v>-0.12655251976912771</v>
      </c>
      <c r="G101" s="3">
        <v>0.32536040020268198</v>
      </c>
      <c r="H101" s="3">
        <v>0.7547543094180571</v>
      </c>
      <c r="I101" s="3">
        <v>0.40338811486771903</v>
      </c>
      <c r="J101" s="3">
        <v>0.67911351375908513</v>
      </c>
      <c r="K101" s="3">
        <v>0.33720040096191689</v>
      </c>
    </row>
    <row r="102" spans="1:11" x14ac:dyDescent="0.25">
      <c r="A102" s="2">
        <v>40543</v>
      </c>
      <c r="B102" s="3">
        <v>-1</v>
      </c>
      <c r="C102" s="3">
        <v>1</v>
      </c>
      <c r="D102" s="3">
        <v>0.36983076462824988</v>
      </c>
      <c r="E102" s="3">
        <v>0.23305402301991959</v>
      </c>
      <c r="F102" s="3">
        <v>-0.12655251976912771</v>
      </c>
      <c r="G102" s="3">
        <v>0.33516184684122319</v>
      </c>
      <c r="H102" s="3">
        <v>0.81841983552005848</v>
      </c>
      <c r="I102" s="3">
        <v>0.40338811486771903</v>
      </c>
      <c r="J102" s="3">
        <v>0.74621657955069698</v>
      </c>
      <c r="K102" s="3">
        <v>0.33720040096191689</v>
      </c>
    </row>
    <row r="103" spans="1:11" x14ac:dyDescent="0.25">
      <c r="A103" s="2">
        <v>40574</v>
      </c>
      <c r="B103" s="3">
        <v>-1</v>
      </c>
      <c r="C103" s="3">
        <v>1</v>
      </c>
      <c r="D103" s="3">
        <v>0.36983076462824988</v>
      </c>
      <c r="E103" s="3">
        <v>0.2368339410024918</v>
      </c>
      <c r="F103" s="3">
        <v>-0.12655251976912771</v>
      </c>
      <c r="G103" s="3">
        <v>0.33047996151742481</v>
      </c>
      <c r="H103" s="3">
        <v>0.83853693186085354</v>
      </c>
      <c r="I103" s="3">
        <v>0.40338811486771903</v>
      </c>
      <c r="J103" s="3">
        <v>0.77884546654473796</v>
      </c>
      <c r="K103" s="3">
        <v>0.33720040096191689</v>
      </c>
    </row>
    <row r="104" spans="1:11" x14ac:dyDescent="0.25">
      <c r="A104" s="2">
        <v>40602</v>
      </c>
      <c r="B104" s="3">
        <v>-1</v>
      </c>
      <c r="C104" s="3">
        <v>1</v>
      </c>
      <c r="D104" s="3">
        <v>0.36983076462824988</v>
      </c>
      <c r="E104" s="3">
        <v>0.22439384666804421</v>
      </c>
      <c r="F104" s="3">
        <v>-0.12655251976912771</v>
      </c>
      <c r="G104" s="3">
        <v>0.35333999855614429</v>
      </c>
      <c r="H104" s="3">
        <v>0.88523633589046691</v>
      </c>
      <c r="I104" s="3">
        <v>0.40338811486771903</v>
      </c>
      <c r="J104" s="3">
        <v>0.81083363879779236</v>
      </c>
      <c r="K104" s="3">
        <v>0.33720040096191689</v>
      </c>
    </row>
    <row r="105" spans="1:11" x14ac:dyDescent="0.25">
      <c r="A105" s="2">
        <v>40633</v>
      </c>
      <c r="B105" s="3">
        <v>1</v>
      </c>
      <c r="C105" s="3">
        <v>-1</v>
      </c>
      <c r="D105" s="3">
        <v>0.3997469643274576</v>
      </c>
      <c r="E105" s="3">
        <v>0.22439384666804421</v>
      </c>
      <c r="F105" s="3">
        <v>-0.11927810492203569</v>
      </c>
      <c r="G105" s="3">
        <v>0.35333999855614429</v>
      </c>
      <c r="H105" s="3">
        <v>0.88523633589046691</v>
      </c>
      <c r="I105" s="3">
        <v>0.4211450266923229</v>
      </c>
      <c r="J105" s="3">
        <v>0.81083363879779236</v>
      </c>
      <c r="K105" s="3">
        <v>0.31002977558820161</v>
      </c>
    </row>
    <row r="106" spans="1:11" x14ac:dyDescent="0.25">
      <c r="A106" s="2">
        <v>40663</v>
      </c>
      <c r="B106" s="3">
        <v>1</v>
      </c>
      <c r="C106" s="3">
        <v>-1</v>
      </c>
      <c r="D106" s="3">
        <v>0.42729595183929941</v>
      </c>
      <c r="E106" s="3">
        <v>0.22439384666804421</v>
      </c>
      <c r="F106" s="3">
        <v>-0.13158673279438751</v>
      </c>
      <c r="G106" s="3">
        <v>0.35333999855614429</v>
      </c>
      <c r="H106" s="3">
        <v>0.88523633589046691</v>
      </c>
      <c r="I106" s="3">
        <v>0.413316678392464</v>
      </c>
      <c r="J106" s="3">
        <v>0.81083363879779236</v>
      </c>
      <c r="K106" s="3">
        <v>0.29029504509443299</v>
      </c>
    </row>
    <row r="107" spans="1:11" x14ac:dyDescent="0.25">
      <c r="A107" s="2">
        <v>40694</v>
      </c>
      <c r="B107" s="3">
        <v>1</v>
      </c>
      <c r="C107" s="3">
        <v>-1</v>
      </c>
      <c r="D107" s="3">
        <v>0.44121818481302189</v>
      </c>
      <c r="E107" s="3">
        <v>0.22439384666804421</v>
      </c>
      <c r="F107" s="3">
        <v>-0.1440398746824019</v>
      </c>
      <c r="G107" s="3">
        <v>0.35333999855614429</v>
      </c>
      <c r="H107" s="3">
        <v>0.88523633589046691</v>
      </c>
      <c r="I107" s="3">
        <v>0.43649420399262612</v>
      </c>
      <c r="J107" s="3">
        <v>0.81083363879779236</v>
      </c>
      <c r="K107" s="3">
        <v>0.31202447700927932</v>
      </c>
    </row>
    <row r="108" spans="1:11" x14ac:dyDescent="0.25">
      <c r="A108" s="2">
        <v>40724</v>
      </c>
      <c r="B108" s="3">
        <v>1</v>
      </c>
      <c r="C108" s="3">
        <v>-1</v>
      </c>
      <c r="D108" s="3">
        <v>0.46943101769709927</v>
      </c>
      <c r="E108" s="3">
        <v>0.22439384666804421</v>
      </c>
      <c r="F108" s="3">
        <v>-0.1218470587734045</v>
      </c>
      <c r="G108" s="3">
        <v>0.35333999855614429</v>
      </c>
      <c r="H108" s="3">
        <v>0.88523633589046691</v>
      </c>
      <c r="I108" s="3">
        <v>0.50066043302683427</v>
      </c>
      <c r="J108" s="3">
        <v>0.81083363879779236</v>
      </c>
      <c r="K108" s="3">
        <v>0.30839080842235322</v>
      </c>
    </row>
    <row r="109" spans="1:11" x14ac:dyDescent="0.25">
      <c r="A109" s="2">
        <v>40755</v>
      </c>
      <c r="B109" s="3">
        <v>1</v>
      </c>
      <c r="C109" s="3">
        <v>-1</v>
      </c>
      <c r="D109" s="3">
        <v>0.41134616982111449</v>
      </c>
      <c r="E109" s="3">
        <v>0.22439384666804421</v>
      </c>
      <c r="F109" s="3">
        <v>-0.1390286190634196</v>
      </c>
      <c r="G109" s="3">
        <v>0.35333999855614429</v>
      </c>
      <c r="H109" s="3">
        <v>0.88523633589046691</v>
      </c>
      <c r="I109" s="3">
        <v>0.47299735240092261</v>
      </c>
      <c r="J109" s="3">
        <v>0.81083363879779236</v>
      </c>
      <c r="K109" s="3">
        <v>0.33054498352423112</v>
      </c>
    </row>
    <row r="110" spans="1:11" x14ac:dyDescent="0.25">
      <c r="A110" s="2">
        <v>40786</v>
      </c>
      <c r="B110" s="3">
        <v>1</v>
      </c>
      <c r="C110" s="3">
        <v>-1</v>
      </c>
      <c r="D110" s="3">
        <v>0.52833954254331594</v>
      </c>
      <c r="E110" s="3">
        <v>0.22439384666804421</v>
      </c>
      <c r="F110" s="3">
        <v>-0.1069504178555034</v>
      </c>
      <c r="G110" s="3">
        <v>0.35333999855614429</v>
      </c>
      <c r="H110" s="3">
        <v>0.88523633589046691</v>
      </c>
      <c r="I110" s="3">
        <v>0.58011309460535854</v>
      </c>
      <c r="J110" s="3">
        <v>0.81083363879779236</v>
      </c>
      <c r="K110" s="3">
        <v>0.39549672863653179</v>
      </c>
    </row>
    <row r="111" spans="1:11" x14ac:dyDescent="0.25">
      <c r="A111" s="2">
        <v>40816</v>
      </c>
      <c r="B111" s="3">
        <v>1</v>
      </c>
      <c r="C111" s="3">
        <v>-1</v>
      </c>
      <c r="D111" s="3">
        <v>0.53366516961752497</v>
      </c>
      <c r="E111" s="3">
        <v>0.22439384666804421</v>
      </c>
      <c r="F111" s="3">
        <v>-9.0638164566508417E-2</v>
      </c>
      <c r="G111" s="3">
        <v>0.35333999855614429</v>
      </c>
      <c r="H111" s="3">
        <v>0.88523633589046691</v>
      </c>
      <c r="I111" s="3">
        <v>0.62041245669637712</v>
      </c>
      <c r="J111" s="3">
        <v>0.81083363879779236</v>
      </c>
      <c r="K111" s="3">
        <v>0.4708014507744871</v>
      </c>
    </row>
    <row r="112" spans="1:11" x14ac:dyDescent="0.25">
      <c r="A112" s="2">
        <v>40847</v>
      </c>
      <c r="B112" s="3">
        <v>-1</v>
      </c>
      <c r="C112" s="3">
        <v>1</v>
      </c>
      <c r="D112" s="3">
        <v>0.53366516961752497</v>
      </c>
      <c r="E112" s="3">
        <v>0.20789931805533371</v>
      </c>
      <c r="F112" s="3">
        <v>-9.0638164566508417E-2</v>
      </c>
      <c r="G112" s="3">
        <v>0.38839059170275642</v>
      </c>
      <c r="H112" s="3">
        <v>0.9293048021790058</v>
      </c>
      <c r="I112" s="3">
        <v>0.62041245669637712</v>
      </c>
      <c r="J112" s="3">
        <v>0.84379944705564203</v>
      </c>
      <c r="K112" s="3">
        <v>0.4708014507744871</v>
      </c>
    </row>
    <row r="113" spans="1:11" x14ac:dyDescent="0.25">
      <c r="A113" s="2">
        <v>40877</v>
      </c>
      <c r="B113" s="3">
        <v>1</v>
      </c>
      <c r="C113" s="3">
        <v>-1</v>
      </c>
      <c r="D113" s="3">
        <v>0.6027962820382029</v>
      </c>
      <c r="E113" s="3">
        <v>0.20789931805533371</v>
      </c>
      <c r="F113" s="3">
        <v>-7.4389308631916728E-2</v>
      </c>
      <c r="G113" s="3">
        <v>0.38839059170275642</v>
      </c>
      <c r="H113" s="3">
        <v>0.9293048021790058</v>
      </c>
      <c r="I113" s="3">
        <v>0.60944604875847386</v>
      </c>
      <c r="J113" s="3">
        <v>0.84379944705564203</v>
      </c>
      <c r="K113" s="3">
        <v>0.4926046531914352</v>
      </c>
    </row>
    <row r="114" spans="1:11" x14ac:dyDescent="0.25">
      <c r="A114" s="2">
        <v>40908</v>
      </c>
      <c r="B114" s="3">
        <v>1</v>
      </c>
      <c r="C114" s="3">
        <v>-1</v>
      </c>
      <c r="D114" s="3">
        <v>0.62024325179637363</v>
      </c>
      <c r="E114" s="3">
        <v>0.20789931805533371</v>
      </c>
      <c r="F114" s="3">
        <v>-9.4166956921675427E-2</v>
      </c>
      <c r="G114" s="3">
        <v>0.38839059170275642</v>
      </c>
      <c r="H114" s="3">
        <v>0.9293048021790058</v>
      </c>
      <c r="I114" s="3">
        <v>0.58708953263429708</v>
      </c>
      <c r="J114" s="3">
        <v>0.84379944705564203</v>
      </c>
      <c r="K114" s="3">
        <v>0.4941198474694144</v>
      </c>
    </row>
    <row r="115" spans="1:11" x14ac:dyDescent="0.25">
      <c r="A115" s="2">
        <v>40939</v>
      </c>
      <c r="B115" s="3">
        <v>-1</v>
      </c>
      <c r="C115" s="3">
        <v>1</v>
      </c>
      <c r="D115" s="3">
        <v>0.62024325179637363</v>
      </c>
      <c r="E115" s="3">
        <v>0.20912096481038131</v>
      </c>
      <c r="F115" s="3">
        <v>-9.4166956921675427E-2</v>
      </c>
      <c r="G115" s="3">
        <v>0.44020308320367668</v>
      </c>
      <c r="H115" s="3">
        <v>0.9679239071061756</v>
      </c>
      <c r="I115" s="3">
        <v>0.58708953263429708</v>
      </c>
      <c r="J115" s="3">
        <v>0.88538450103910149</v>
      </c>
      <c r="K115" s="3">
        <v>0.4941198474694144</v>
      </c>
    </row>
    <row r="116" spans="1:11" x14ac:dyDescent="0.25">
      <c r="A116" s="2">
        <v>40968</v>
      </c>
      <c r="B116" s="3">
        <v>-1</v>
      </c>
      <c r="C116" s="3">
        <v>1</v>
      </c>
      <c r="D116" s="3">
        <v>0.62024325179637363</v>
      </c>
      <c r="E116" s="3">
        <v>0.20032175877599581</v>
      </c>
      <c r="F116" s="3">
        <v>-9.4166956921675427E-2</v>
      </c>
      <c r="G116" s="3">
        <v>0.44881160562604411</v>
      </c>
      <c r="H116" s="3">
        <v>1.01952379171528</v>
      </c>
      <c r="I116" s="3">
        <v>0.58708953263429708</v>
      </c>
      <c r="J116" s="3">
        <v>0.95290687796372642</v>
      </c>
      <c r="K116" s="3">
        <v>0.4941198474694144</v>
      </c>
    </row>
    <row r="117" spans="1:11" x14ac:dyDescent="0.25">
      <c r="A117" s="2">
        <v>40999</v>
      </c>
      <c r="B117" s="3">
        <v>-1</v>
      </c>
      <c r="C117" s="3">
        <v>1</v>
      </c>
      <c r="D117" s="3">
        <v>0.62024325179637363</v>
      </c>
      <c r="E117" s="3">
        <v>0.19500886230685111</v>
      </c>
      <c r="F117" s="3">
        <v>-9.4166956921675427E-2</v>
      </c>
      <c r="G117" s="3">
        <v>0.45449620146980552</v>
      </c>
      <c r="H117" s="3">
        <v>1.0001454220636889</v>
      </c>
      <c r="I117" s="3">
        <v>0.58708953263429708</v>
      </c>
      <c r="J117" s="3">
        <v>0.95671505192376594</v>
      </c>
      <c r="K117" s="3">
        <v>0.4941198474694144</v>
      </c>
    </row>
    <row r="118" spans="1:11" x14ac:dyDescent="0.25">
      <c r="A118" s="2">
        <v>41029</v>
      </c>
      <c r="B118" s="3">
        <v>1</v>
      </c>
      <c r="C118" s="3">
        <v>-1</v>
      </c>
      <c r="D118" s="3">
        <v>0.65653479068777476</v>
      </c>
      <c r="E118" s="3">
        <v>0.19500886230685111</v>
      </c>
      <c r="F118" s="3">
        <v>-8.9597688271416009E-2</v>
      </c>
      <c r="G118" s="3">
        <v>0.45449620146980552</v>
      </c>
      <c r="H118" s="3">
        <v>1.0001454220636889</v>
      </c>
      <c r="I118" s="3">
        <v>0.61631822288467331</v>
      </c>
      <c r="J118" s="3">
        <v>0.95671505192376594</v>
      </c>
      <c r="K118" s="3">
        <v>0.54277472011127736</v>
      </c>
    </row>
    <row r="119" spans="1:11" x14ac:dyDescent="0.25">
      <c r="A119" s="2">
        <v>41060</v>
      </c>
      <c r="B119" s="3">
        <v>1</v>
      </c>
      <c r="C119" s="3">
        <v>-1</v>
      </c>
      <c r="D119" s="3">
        <v>0.65056249095419405</v>
      </c>
      <c r="E119" s="3">
        <v>0.19500886230685111</v>
      </c>
      <c r="F119" s="3">
        <v>-0.11653742243724489</v>
      </c>
      <c r="G119" s="3">
        <v>0.45449620146980552</v>
      </c>
      <c r="H119" s="3">
        <v>1.0001454220636889</v>
      </c>
      <c r="I119" s="3">
        <v>0.6483501419436426</v>
      </c>
      <c r="J119" s="3">
        <v>0.95671505192376594</v>
      </c>
      <c r="K119" s="3">
        <v>0.55761305255901017</v>
      </c>
    </row>
    <row r="120" spans="1:11" x14ac:dyDescent="0.25">
      <c r="A120" s="2">
        <v>41090</v>
      </c>
      <c r="B120" s="3">
        <v>-1</v>
      </c>
      <c r="C120" s="3">
        <v>1</v>
      </c>
      <c r="D120" s="3">
        <v>0.65056249095419405</v>
      </c>
      <c r="E120" s="3">
        <v>0.16180841302308949</v>
      </c>
      <c r="F120" s="3">
        <v>-0.11653742243724489</v>
      </c>
      <c r="G120" s="3">
        <v>0.43748440824717411</v>
      </c>
      <c r="H120" s="3">
        <v>1.010149511944948</v>
      </c>
      <c r="I120" s="3">
        <v>0.6483501419436426</v>
      </c>
      <c r="J120" s="3">
        <v>0.98802792431035735</v>
      </c>
      <c r="K120" s="3">
        <v>0.55761305255901017</v>
      </c>
    </row>
    <row r="121" spans="1:11" x14ac:dyDescent="0.25">
      <c r="A121" s="2">
        <v>41121</v>
      </c>
      <c r="B121" s="3">
        <v>1</v>
      </c>
      <c r="C121" s="3">
        <v>-1</v>
      </c>
      <c r="D121" s="3">
        <v>0.68286861602471793</v>
      </c>
      <c r="E121" s="3">
        <v>0.16180841302308949</v>
      </c>
      <c r="F121" s="3">
        <v>-0.10939664926241489</v>
      </c>
      <c r="G121" s="3">
        <v>0.43748440824717411</v>
      </c>
      <c r="H121" s="3">
        <v>1.010149511944948</v>
      </c>
      <c r="I121" s="3">
        <v>0.65768821007281075</v>
      </c>
      <c r="J121" s="3">
        <v>0.98802792431035735</v>
      </c>
      <c r="K121" s="3">
        <v>0.59787866666650769</v>
      </c>
    </row>
    <row r="122" spans="1:11" x14ac:dyDescent="0.25">
      <c r="A122" s="2">
        <v>41152</v>
      </c>
      <c r="B122" s="3">
        <v>-1</v>
      </c>
      <c r="C122" s="3">
        <v>1</v>
      </c>
      <c r="D122" s="3">
        <v>0.68286861602471793</v>
      </c>
      <c r="E122" s="3">
        <v>0.1666312948949269</v>
      </c>
      <c r="F122" s="3">
        <v>-0.10939664926241489</v>
      </c>
      <c r="G122" s="3">
        <v>0.49917158446440202</v>
      </c>
      <c r="H122" s="3">
        <v>1.0483595556326011</v>
      </c>
      <c r="I122" s="3">
        <v>0.65768821007281075</v>
      </c>
      <c r="J122" s="3">
        <v>1.0435759746854369</v>
      </c>
      <c r="K122" s="3">
        <v>0.59787866666650769</v>
      </c>
    </row>
    <row r="123" spans="1:11" x14ac:dyDescent="0.25">
      <c r="A123" s="2">
        <v>41182</v>
      </c>
      <c r="B123" s="3">
        <v>-1</v>
      </c>
      <c r="C123" s="3">
        <v>1</v>
      </c>
      <c r="D123" s="3">
        <v>0.68286861602471793</v>
      </c>
      <c r="E123" s="3">
        <v>0.18001699222004011</v>
      </c>
      <c r="F123" s="3">
        <v>-0.10939664926241489</v>
      </c>
      <c r="G123" s="3">
        <v>0.52027251525888207</v>
      </c>
      <c r="H123" s="3">
        <v>1.082646264138847</v>
      </c>
      <c r="I123" s="3">
        <v>0.65768821007281075</v>
      </c>
      <c r="J123" s="3">
        <v>1.0938547075196989</v>
      </c>
      <c r="K123" s="3">
        <v>0.59787866666650769</v>
      </c>
    </row>
    <row r="124" spans="1:11" x14ac:dyDescent="0.25">
      <c r="A124" s="2">
        <v>41213</v>
      </c>
      <c r="B124" s="3">
        <v>-1</v>
      </c>
      <c r="C124" s="3">
        <v>1</v>
      </c>
      <c r="D124" s="3">
        <v>0.68286861602471793</v>
      </c>
      <c r="E124" s="3">
        <v>0.1968007249665453</v>
      </c>
      <c r="F124" s="3">
        <v>-0.10939664926241489</v>
      </c>
      <c r="G124" s="3">
        <v>0.54083811209895649</v>
      </c>
      <c r="H124" s="3">
        <v>1.113881248686426</v>
      </c>
      <c r="I124" s="3">
        <v>0.65768821007281075</v>
      </c>
      <c r="J124" s="3">
        <v>1.1415086090124109</v>
      </c>
      <c r="K124" s="3">
        <v>0.59787866666650769</v>
      </c>
    </row>
    <row r="125" spans="1:11" x14ac:dyDescent="0.25">
      <c r="A125" s="2">
        <v>41243</v>
      </c>
      <c r="B125" s="3">
        <v>1</v>
      </c>
      <c r="C125" s="3">
        <v>-1</v>
      </c>
      <c r="D125" s="3">
        <v>0.71539375795893712</v>
      </c>
      <c r="E125" s="3">
        <v>0.1968007249665453</v>
      </c>
      <c r="F125" s="3">
        <v>-0.1127065121159259</v>
      </c>
      <c r="G125" s="3">
        <v>0.54083811209895649</v>
      </c>
      <c r="H125" s="3">
        <v>1.113881248686426</v>
      </c>
      <c r="I125" s="3">
        <v>0.67627268367884197</v>
      </c>
      <c r="J125" s="3">
        <v>1.1415086090124109</v>
      </c>
      <c r="K125" s="3">
        <v>0.60655868106383592</v>
      </c>
    </row>
    <row r="126" spans="1:11" x14ac:dyDescent="0.25">
      <c r="A126" s="2">
        <v>41274</v>
      </c>
      <c r="B126" s="3">
        <v>-1</v>
      </c>
      <c r="C126" s="3">
        <v>1</v>
      </c>
      <c r="D126" s="3">
        <v>0.71539375795893712</v>
      </c>
      <c r="E126" s="3">
        <v>0.19973110952465989</v>
      </c>
      <c r="F126" s="3">
        <v>-0.1127065121159259</v>
      </c>
      <c r="G126" s="3">
        <v>0.53095865065545755</v>
      </c>
      <c r="H126" s="3">
        <v>1.117797278393061</v>
      </c>
      <c r="I126" s="3">
        <v>0.67627268367884197</v>
      </c>
      <c r="J126" s="3">
        <v>1.1433527222205451</v>
      </c>
      <c r="K126" s="3">
        <v>0.60655868106383592</v>
      </c>
    </row>
    <row r="127" spans="1:11" x14ac:dyDescent="0.25">
      <c r="A127" s="2">
        <v>41305</v>
      </c>
      <c r="B127" s="3">
        <v>-1</v>
      </c>
      <c r="C127" s="3">
        <v>1</v>
      </c>
      <c r="D127" s="3">
        <v>0.71539375795893712</v>
      </c>
      <c r="E127" s="3">
        <v>0.19704075964538889</v>
      </c>
      <c r="F127" s="3">
        <v>-0.1127065121159259</v>
      </c>
      <c r="G127" s="3">
        <v>0.49543974437793281</v>
      </c>
      <c r="H127" s="3">
        <v>1.1647112453630439</v>
      </c>
      <c r="I127" s="3">
        <v>0.67627268367884197</v>
      </c>
      <c r="J127" s="3">
        <v>1.1776680114367839</v>
      </c>
      <c r="K127" s="3">
        <v>0.60655868106383592</v>
      </c>
    </row>
    <row r="128" spans="1:11" x14ac:dyDescent="0.25">
      <c r="A128" s="2">
        <v>41333</v>
      </c>
      <c r="B128" s="3">
        <v>-1</v>
      </c>
      <c r="C128" s="3">
        <v>1</v>
      </c>
      <c r="D128" s="3">
        <v>0.71539375795893712</v>
      </c>
      <c r="E128" s="3">
        <v>0.19890562861293579</v>
      </c>
      <c r="F128" s="3">
        <v>-0.1127065121159259</v>
      </c>
      <c r="G128" s="3">
        <v>0.51455190855249011</v>
      </c>
      <c r="H128" s="3">
        <v>1.1832173763747209</v>
      </c>
      <c r="I128" s="3">
        <v>0.67627268367884197</v>
      </c>
      <c r="J128" s="3">
        <v>1.184407636566462</v>
      </c>
      <c r="K128" s="3">
        <v>0.60655868106383592</v>
      </c>
    </row>
    <row r="129" spans="1:11" x14ac:dyDescent="0.25">
      <c r="A129" s="2">
        <v>41364</v>
      </c>
      <c r="B129" s="3">
        <v>-1</v>
      </c>
      <c r="C129" s="3">
        <v>1</v>
      </c>
      <c r="D129" s="3">
        <v>0.71539375795893712</v>
      </c>
      <c r="E129" s="3">
        <v>0.1810049715007733</v>
      </c>
      <c r="F129" s="3">
        <v>-0.1127065121159259</v>
      </c>
      <c r="G129" s="3">
        <v>0.52133149000643697</v>
      </c>
      <c r="H129" s="3">
        <v>1.2285308084664139</v>
      </c>
      <c r="I129" s="3">
        <v>0.67627268367884197</v>
      </c>
      <c r="J129" s="3">
        <v>1.227007622186471</v>
      </c>
      <c r="K129" s="3">
        <v>0.60655868106383592</v>
      </c>
    </row>
    <row r="130" spans="1:11" x14ac:dyDescent="0.25">
      <c r="A130" s="2">
        <v>41394</v>
      </c>
      <c r="B130" s="3">
        <v>1</v>
      </c>
      <c r="C130" s="3">
        <v>-1</v>
      </c>
      <c r="D130" s="3">
        <v>0.76128456340774253</v>
      </c>
      <c r="E130" s="3">
        <v>0.1810049715007733</v>
      </c>
      <c r="F130" s="3">
        <v>-0.1140650802076045</v>
      </c>
      <c r="G130" s="3">
        <v>0.52133149000643697</v>
      </c>
      <c r="H130" s="3">
        <v>1.2285308084664139</v>
      </c>
      <c r="I130" s="3">
        <v>0.69235560479166458</v>
      </c>
      <c r="J130" s="3">
        <v>1.227007622186471</v>
      </c>
      <c r="K130" s="3">
        <v>0.67818967251886275</v>
      </c>
    </row>
    <row r="131" spans="1:11" x14ac:dyDescent="0.25">
      <c r="A131" s="2">
        <v>41425</v>
      </c>
      <c r="B131" s="3">
        <v>-1</v>
      </c>
      <c r="C131" s="3">
        <v>1</v>
      </c>
      <c r="D131" s="3">
        <v>0.76128456340774253</v>
      </c>
      <c r="E131" s="3">
        <v>0.20736734077063401</v>
      </c>
      <c r="F131" s="3">
        <v>-0.1140650802076045</v>
      </c>
      <c r="G131" s="3">
        <v>0.47771779088436878</v>
      </c>
      <c r="H131" s="3">
        <v>1.269245990980413</v>
      </c>
      <c r="I131" s="3">
        <v>0.69235560479166458</v>
      </c>
      <c r="J131" s="3">
        <v>1.2737091099743909</v>
      </c>
      <c r="K131" s="3">
        <v>0.67818967251886275</v>
      </c>
    </row>
    <row r="132" spans="1:11" x14ac:dyDescent="0.25">
      <c r="A132" s="2">
        <v>41455</v>
      </c>
      <c r="B132" s="3">
        <v>-1</v>
      </c>
      <c r="C132" s="3">
        <v>1</v>
      </c>
      <c r="D132" s="3">
        <v>0.76128456340774253</v>
      </c>
      <c r="E132" s="3">
        <v>0.19692090693708561</v>
      </c>
      <c r="F132" s="3">
        <v>-0.1140650802076045</v>
      </c>
      <c r="G132" s="3">
        <v>0.5054828206413704</v>
      </c>
      <c r="H132" s="3">
        <v>1.2884725202028431</v>
      </c>
      <c r="I132" s="3">
        <v>0.69235560479166458</v>
      </c>
      <c r="J132" s="3">
        <v>1.293300599488483</v>
      </c>
      <c r="K132" s="3">
        <v>0.67818967251886275</v>
      </c>
    </row>
    <row r="133" spans="1:11" x14ac:dyDescent="0.25">
      <c r="A133" s="2">
        <v>41486</v>
      </c>
      <c r="B133" s="3">
        <v>-1</v>
      </c>
      <c r="C133" s="3">
        <v>1</v>
      </c>
      <c r="D133" s="3">
        <v>0.76128456340774253</v>
      </c>
      <c r="E133" s="3">
        <v>0.20249196602484559</v>
      </c>
      <c r="F133" s="3">
        <v>-0.1140650802076045</v>
      </c>
      <c r="G133" s="3">
        <v>0.48266920785545953</v>
      </c>
      <c r="H133" s="3">
        <v>1.338492356560244</v>
      </c>
      <c r="I133" s="3">
        <v>0.69235560479166458</v>
      </c>
      <c r="J133" s="3">
        <v>1.3529372112447</v>
      </c>
      <c r="K133" s="3">
        <v>0.67818967251886275</v>
      </c>
    </row>
    <row r="134" spans="1:11" x14ac:dyDescent="0.25">
      <c r="A134" s="2">
        <v>41517</v>
      </c>
      <c r="B134" s="3">
        <v>-1</v>
      </c>
      <c r="C134" s="3">
        <v>1</v>
      </c>
      <c r="D134" s="3">
        <v>0.76128456340774253</v>
      </c>
      <c r="E134" s="3">
        <v>0.20892337603261499</v>
      </c>
      <c r="F134" s="3">
        <v>-0.1140650802076045</v>
      </c>
      <c r="G134" s="3">
        <v>0.53806898600539976</v>
      </c>
      <c r="H134" s="3">
        <v>1.3452099558011119</v>
      </c>
      <c r="I134" s="3">
        <v>0.69235560479166458</v>
      </c>
      <c r="J134" s="3">
        <v>1.3660467111013299</v>
      </c>
      <c r="K134" s="3">
        <v>0.67818967251886275</v>
      </c>
    </row>
    <row r="135" spans="1:11" x14ac:dyDescent="0.25">
      <c r="A135" s="2">
        <v>41547</v>
      </c>
      <c r="B135" s="3">
        <v>-1</v>
      </c>
      <c r="C135" s="3">
        <v>1</v>
      </c>
      <c r="D135" s="3">
        <v>0.76128456340774253</v>
      </c>
      <c r="E135" s="3">
        <v>0.2226131088536418</v>
      </c>
      <c r="F135" s="3">
        <v>-0.1140650802076045</v>
      </c>
      <c r="G135" s="3">
        <v>0.54850319643122059</v>
      </c>
      <c r="H135" s="3">
        <v>1.401775956874747</v>
      </c>
      <c r="I135" s="3">
        <v>0.69235560479166458</v>
      </c>
      <c r="J135" s="3">
        <v>1.4247152141579551</v>
      </c>
      <c r="K135" s="3">
        <v>0.67818967251886275</v>
      </c>
    </row>
    <row r="136" spans="1:11" x14ac:dyDescent="0.25">
      <c r="A136" s="2">
        <v>41578</v>
      </c>
      <c r="B136" s="3">
        <v>-1</v>
      </c>
      <c r="C136" s="3">
        <v>1</v>
      </c>
      <c r="D136" s="3">
        <v>0.76128456340774253</v>
      </c>
      <c r="E136" s="3">
        <v>0.21281390885555049</v>
      </c>
      <c r="F136" s="3">
        <v>-0.1140650802076045</v>
      </c>
      <c r="G136" s="3">
        <v>0.56225733007199707</v>
      </c>
      <c r="H136" s="3">
        <v>1.393808091394604</v>
      </c>
      <c r="I136" s="3">
        <v>0.69235560479166458</v>
      </c>
      <c r="J136" s="3">
        <v>1.424267604285153</v>
      </c>
      <c r="K136" s="3">
        <v>0.67818967251886275</v>
      </c>
    </row>
    <row r="137" spans="1:11" x14ac:dyDescent="0.25">
      <c r="A137" s="2">
        <v>41608</v>
      </c>
      <c r="B137" s="3">
        <v>-1</v>
      </c>
      <c r="C137" s="3">
        <v>1</v>
      </c>
      <c r="D137" s="3">
        <v>0.76128456340774253</v>
      </c>
      <c r="E137" s="3">
        <v>0.2054683976788505</v>
      </c>
      <c r="F137" s="3">
        <v>-0.1140650802076045</v>
      </c>
      <c r="G137" s="3">
        <v>0.58494330851050536</v>
      </c>
      <c r="H137" s="3">
        <v>1.382325373143255</v>
      </c>
      <c r="I137" s="3">
        <v>0.69235560479166458</v>
      </c>
      <c r="J137" s="3">
        <v>1.455502359434816</v>
      </c>
      <c r="K137" s="3">
        <v>0.67818967251886275</v>
      </c>
    </row>
    <row r="138" spans="1:11" x14ac:dyDescent="0.25">
      <c r="A138" s="2">
        <v>41639</v>
      </c>
      <c r="B138" s="3">
        <v>-1</v>
      </c>
      <c r="C138" s="3">
        <v>1</v>
      </c>
      <c r="D138" s="3">
        <v>0.76128456340774253</v>
      </c>
      <c r="E138" s="3">
        <v>0.1848142678604319</v>
      </c>
      <c r="F138" s="3">
        <v>-0.1140650802076045</v>
      </c>
      <c r="G138" s="3">
        <v>0.55352134830172961</v>
      </c>
      <c r="H138" s="3">
        <v>1.3817368662264331</v>
      </c>
      <c r="I138" s="3">
        <v>0.69235560479166458</v>
      </c>
      <c r="J138" s="3">
        <v>1.484198463226134</v>
      </c>
      <c r="K138" s="3">
        <v>0.67818967251886275</v>
      </c>
    </row>
    <row r="139" spans="1:11" x14ac:dyDescent="0.25">
      <c r="A139" s="2">
        <v>41670</v>
      </c>
      <c r="B139" s="3">
        <v>1</v>
      </c>
      <c r="C139" s="3">
        <v>-1</v>
      </c>
      <c r="D139" s="3">
        <v>0.71696404974593331</v>
      </c>
      <c r="E139" s="3">
        <v>0.1848142678604319</v>
      </c>
      <c r="F139" s="3">
        <v>-0.12643652684752971</v>
      </c>
      <c r="G139" s="3">
        <v>0.55352134830172961</v>
      </c>
      <c r="H139" s="3">
        <v>1.3817368662264331</v>
      </c>
      <c r="I139" s="3">
        <v>0.70299296199864103</v>
      </c>
      <c r="J139" s="3">
        <v>1.484198463226134</v>
      </c>
      <c r="K139" s="3">
        <v>0.69004373341708303</v>
      </c>
    </row>
    <row r="140" spans="1:11" x14ac:dyDescent="0.25">
      <c r="A140" s="2">
        <v>41698</v>
      </c>
      <c r="B140" s="3">
        <v>-1</v>
      </c>
      <c r="C140" s="3">
        <v>1</v>
      </c>
      <c r="D140" s="3">
        <v>0.71696404974593331</v>
      </c>
      <c r="E140" s="3">
        <v>0.1759844369065566</v>
      </c>
      <c r="F140" s="3">
        <v>-0.12643652684752971</v>
      </c>
      <c r="G140" s="3">
        <v>0.58499213999096256</v>
      </c>
      <c r="H140" s="3">
        <v>1.402762186303729</v>
      </c>
      <c r="I140" s="3">
        <v>0.70299296199864103</v>
      </c>
      <c r="J140" s="3">
        <v>1.511824812164335</v>
      </c>
      <c r="K140" s="3">
        <v>0.69004373341708303</v>
      </c>
    </row>
    <row r="141" spans="1:11" x14ac:dyDescent="0.25">
      <c r="A141" s="2">
        <v>41729</v>
      </c>
      <c r="B141" s="3">
        <v>-1</v>
      </c>
      <c r="C141" s="3">
        <v>1</v>
      </c>
      <c r="D141" s="3">
        <v>0.71696404974593331</v>
      </c>
      <c r="E141" s="3">
        <v>0.17077012710836259</v>
      </c>
      <c r="F141" s="3">
        <v>-0.12643652684752971</v>
      </c>
      <c r="G141" s="3">
        <v>0.5978308641646557</v>
      </c>
      <c r="H141" s="3">
        <v>1.428340620672893</v>
      </c>
      <c r="I141" s="3">
        <v>0.70299296199864103</v>
      </c>
      <c r="J141" s="3">
        <v>1.567992443696445</v>
      </c>
      <c r="K141" s="3">
        <v>0.69004373341708303</v>
      </c>
    </row>
    <row r="142" spans="1:11" x14ac:dyDescent="0.25">
      <c r="A142" s="2">
        <v>41759</v>
      </c>
      <c r="B142" s="3">
        <v>1</v>
      </c>
      <c r="C142" s="3">
        <v>-1</v>
      </c>
      <c r="D142" s="3">
        <v>0.72089926782302882</v>
      </c>
      <c r="E142" s="3">
        <v>0.17077012710836259</v>
      </c>
      <c r="F142" s="3">
        <v>-0.13254744570835009</v>
      </c>
      <c r="G142" s="3">
        <v>0.5978308641646557</v>
      </c>
      <c r="H142" s="3">
        <v>1.428340620672893</v>
      </c>
      <c r="I142" s="3">
        <v>0.72720886081506309</v>
      </c>
      <c r="J142" s="3">
        <v>1.567992443696445</v>
      </c>
      <c r="K142" s="3">
        <v>0.69471614264075998</v>
      </c>
    </row>
    <row r="143" spans="1:11" x14ac:dyDescent="0.25">
      <c r="A143" s="2">
        <v>41790</v>
      </c>
      <c r="B143" s="3">
        <v>1</v>
      </c>
      <c r="C143" s="3">
        <v>-1</v>
      </c>
      <c r="D143" s="3">
        <v>0.75297769761174371</v>
      </c>
      <c r="E143" s="3">
        <v>0.17077012710836259</v>
      </c>
      <c r="F143" s="3">
        <v>-0.1467561259430018</v>
      </c>
      <c r="G143" s="3">
        <v>0.5978308641646557</v>
      </c>
      <c r="H143" s="3">
        <v>1.428340620672893</v>
      </c>
      <c r="I143" s="3">
        <v>0.73105765866867323</v>
      </c>
      <c r="J143" s="3">
        <v>1.567992443696445</v>
      </c>
      <c r="K143" s="3">
        <v>0.71389096234405125</v>
      </c>
    </row>
    <row r="144" spans="1:11" x14ac:dyDescent="0.25">
      <c r="A144" s="2">
        <v>41820</v>
      </c>
      <c r="B144" s="3">
        <v>-1</v>
      </c>
      <c r="C144" s="3">
        <v>1</v>
      </c>
      <c r="D144" s="3">
        <v>0.75297769761174371</v>
      </c>
      <c r="E144" s="3">
        <v>0.17204913682707049</v>
      </c>
      <c r="F144" s="3">
        <v>-0.1467561259430018</v>
      </c>
      <c r="G144" s="3">
        <v>0.62234531073069066</v>
      </c>
      <c r="H144" s="3">
        <v>1.462219323159865</v>
      </c>
      <c r="I144" s="3">
        <v>0.73105765866867323</v>
      </c>
      <c r="J144" s="3">
        <v>1.618221350369343</v>
      </c>
      <c r="K144" s="3">
        <v>0.71389096234405125</v>
      </c>
    </row>
    <row r="145" spans="1:11" x14ac:dyDescent="0.25">
      <c r="A145" s="2">
        <v>41851</v>
      </c>
      <c r="B145" s="3">
        <v>1</v>
      </c>
      <c r="C145" s="3">
        <v>-1</v>
      </c>
      <c r="D145" s="3">
        <v>0.70757587665451815</v>
      </c>
      <c r="E145" s="3">
        <v>0.17204913682707049</v>
      </c>
      <c r="F145" s="3">
        <v>-0.1368861439091644</v>
      </c>
      <c r="G145" s="3">
        <v>0.62234531073069066</v>
      </c>
      <c r="H145" s="3">
        <v>1.462219323159865</v>
      </c>
      <c r="I145" s="3">
        <v>0.72635786770330468</v>
      </c>
      <c r="J145" s="3">
        <v>1.618221350369343</v>
      </c>
      <c r="K145" s="3">
        <v>0.7068117474825224</v>
      </c>
    </row>
    <row r="146" spans="1:11" x14ac:dyDescent="0.25">
      <c r="A146" s="2">
        <v>41882</v>
      </c>
      <c r="B146" s="3">
        <v>-1</v>
      </c>
      <c r="C146" s="3">
        <v>1</v>
      </c>
      <c r="D146" s="3">
        <v>0.70757587665451815</v>
      </c>
      <c r="E146" s="3">
        <v>0.16494037493116331</v>
      </c>
      <c r="F146" s="3">
        <v>-0.1368861439091644</v>
      </c>
      <c r="G146" s="3">
        <v>0.65565034278795964</v>
      </c>
      <c r="H146" s="3">
        <v>1.436037919205909</v>
      </c>
      <c r="I146" s="3">
        <v>0.72635786770330468</v>
      </c>
      <c r="J146" s="3">
        <v>1.570307571141772</v>
      </c>
      <c r="K146" s="3">
        <v>0.7068117474825224</v>
      </c>
    </row>
    <row r="147" spans="1:11" x14ac:dyDescent="0.25">
      <c r="A147" s="2">
        <v>41912</v>
      </c>
      <c r="B147" s="3">
        <v>-1</v>
      </c>
      <c r="C147" s="3">
        <v>1</v>
      </c>
      <c r="D147" s="3">
        <v>0.70757587665451815</v>
      </c>
      <c r="E147" s="3">
        <v>0.17721668222956891</v>
      </c>
      <c r="F147" s="3">
        <v>-0.1368861439091644</v>
      </c>
      <c r="G147" s="3">
        <v>0.67783494730076299</v>
      </c>
      <c r="H147" s="3">
        <v>1.4346170771292019</v>
      </c>
      <c r="I147" s="3">
        <v>0.72635786770330468</v>
      </c>
      <c r="J147" s="3">
        <v>1.6354131140500019</v>
      </c>
      <c r="K147" s="3">
        <v>0.7068117474825224</v>
      </c>
    </row>
    <row r="148" spans="1:11" x14ac:dyDescent="0.25">
      <c r="A148" s="2">
        <v>41943</v>
      </c>
      <c r="B148" s="3">
        <v>1</v>
      </c>
      <c r="C148" s="3">
        <v>-1</v>
      </c>
      <c r="D148" s="3">
        <v>0.77355476543441526</v>
      </c>
      <c r="E148" s="3">
        <v>0.17721668222956891</v>
      </c>
      <c r="F148" s="3">
        <v>-0.1276587213924234</v>
      </c>
      <c r="G148" s="3">
        <v>0.67783494730076299</v>
      </c>
      <c r="H148" s="3">
        <v>1.4346170771292019</v>
      </c>
      <c r="I148" s="3">
        <v>0.75915002827726474</v>
      </c>
      <c r="J148" s="3">
        <v>1.6354131140500019</v>
      </c>
      <c r="K148" s="3">
        <v>0.75637939174864632</v>
      </c>
    </row>
    <row r="149" spans="1:11" x14ac:dyDescent="0.25">
      <c r="A149" s="2">
        <v>41973</v>
      </c>
      <c r="B149" s="3">
        <v>-1</v>
      </c>
      <c r="C149" s="3">
        <v>1</v>
      </c>
      <c r="D149" s="3">
        <v>0.77355476543441526</v>
      </c>
      <c r="E149" s="3">
        <v>0.17424660125651339</v>
      </c>
      <c r="F149" s="3">
        <v>-0.1276587213924234</v>
      </c>
      <c r="G149" s="3">
        <v>0.71101240816251843</v>
      </c>
      <c r="H149" s="3">
        <v>1.454899732014534</v>
      </c>
      <c r="I149" s="3">
        <v>0.75915002827726474</v>
      </c>
      <c r="J149" s="3">
        <v>1.617727618247224</v>
      </c>
      <c r="K149" s="3">
        <v>0.75637939174864632</v>
      </c>
    </row>
    <row r="150" spans="1:11" x14ac:dyDescent="0.25">
      <c r="A150" s="2">
        <v>42004</v>
      </c>
      <c r="B150" s="3">
        <v>1</v>
      </c>
      <c r="C150" s="3">
        <v>-1</v>
      </c>
      <c r="D150" s="3">
        <v>0.76526371476516708</v>
      </c>
      <c r="E150" s="3">
        <v>0.17424660125651339</v>
      </c>
      <c r="F150" s="3">
        <v>-0.13007237405031261</v>
      </c>
      <c r="G150" s="3">
        <v>0.71101240816251843</v>
      </c>
      <c r="H150" s="3">
        <v>1.454899732014534</v>
      </c>
      <c r="I150" s="3">
        <v>0.75227568755088559</v>
      </c>
      <c r="J150" s="3">
        <v>1.617727618247224</v>
      </c>
      <c r="K150" s="3">
        <v>0.74038437969979731</v>
      </c>
    </row>
    <row r="151" spans="1:11" x14ac:dyDescent="0.25">
      <c r="A151" s="2">
        <v>42035</v>
      </c>
      <c r="B151" s="3">
        <v>1</v>
      </c>
      <c r="C151" s="3">
        <v>-1</v>
      </c>
      <c r="D151" s="3">
        <v>0.71759428385710256</v>
      </c>
      <c r="E151" s="3">
        <v>0.17424660125651339</v>
      </c>
      <c r="F151" s="3">
        <v>-0.1527132646282611</v>
      </c>
      <c r="G151" s="3">
        <v>0.71101240816251843</v>
      </c>
      <c r="H151" s="3">
        <v>1.454899732014534</v>
      </c>
      <c r="I151" s="3">
        <v>0.74843454106172125</v>
      </c>
      <c r="J151" s="3">
        <v>1.617727618247224</v>
      </c>
      <c r="K151" s="3">
        <v>0.79194604636760069</v>
      </c>
    </row>
    <row r="152" spans="1:11" x14ac:dyDescent="0.25">
      <c r="A152" s="2">
        <v>42063</v>
      </c>
      <c r="B152" s="3">
        <v>-1</v>
      </c>
      <c r="C152" s="3">
        <v>1</v>
      </c>
      <c r="D152" s="3">
        <v>0.71759428385710256</v>
      </c>
      <c r="E152" s="3">
        <v>0.1772955634371132</v>
      </c>
      <c r="F152" s="3">
        <v>-0.1527132646282611</v>
      </c>
      <c r="G152" s="3">
        <v>0.73185973354655265</v>
      </c>
      <c r="H152" s="3">
        <v>1.5294472458015591</v>
      </c>
      <c r="I152" s="3">
        <v>0.74843454106172125</v>
      </c>
      <c r="J152" s="3">
        <v>1.7536241655506519</v>
      </c>
      <c r="K152" s="3">
        <v>0.79194604636760069</v>
      </c>
    </row>
    <row r="153" spans="1:11" x14ac:dyDescent="0.25">
      <c r="A153" s="2">
        <v>42094</v>
      </c>
      <c r="B153" s="3">
        <v>1</v>
      </c>
      <c r="C153" s="3">
        <v>-1</v>
      </c>
      <c r="D153" s="3">
        <v>0.68521233410124616</v>
      </c>
      <c r="E153" s="3">
        <v>0.1772955634371132</v>
      </c>
      <c r="F153" s="3">
        <v>-0.14766528845135521</v>
      </c>
      <c r="G153" s="3">
        <v>0.73185973354655265</v>
      </c>
      <c r="H153" s="3">
        <v>1.5294472458015591</v>
      </c>
      <c r="I153" s="3">
        <v>0.77462048683561191</v>
      </c>
      <c r="J153" s="3">
        <v>1.7536241655506519</v>
      </c>
      <c r="K153" s="3">
        <v>0.71078313748471933</v>
      </c>
    </row>
    <row r="154" spans="1:11" x14ac:dyDescent="0.25">
      <c r="A154" s="2">
        <v>42124</v>
      </c>
      <c r="B154" s="3">
        <v>-1</v>
      </c>
      <c r="C154" s="3">
        <v>1</v>
      </c>
      <c r="D154" s="3">
        <v>0.68521233410124616</v>
      </c>
      <c r="E154" s="3">
        <v>0.18939486639932229</v>
      </c>
      <c r="F154" s="3">
        <v>-0.14766528845135521</v>
      </c>
      <c r="G154" s="3">
        <v>0.70804083757696912</v>
      </c>
      <c r="H154" s="3">
        <v>1.548481906411328</v>
      </c>
      <c r="I154" s="3">
        <v>0.77462048683561191</v>
      </c>
      <c r="J154" s="3">
        <v>1.7380787075246009</v>
      </c>
      <c r="K154" s="3">
        <v>0.71078313748471933</v>
      </c>
    </row>
    <row r="155" spans="1:11" x14ac:dyDescent="0.25">
      <c r="A155" s="2">
        <v>42155</v>
      </c>
      <c r="B155" s="3">
        <v>-1</v>
      </c>
      <c r="C155" s="3">
        <v>1</v>
      </c>
      <c r="D155" s="3">
        <v>0.68521233410124616</v>
      </c>
      <c r="E155" s="3">
        <v>0.20246570719010931</v>
      </c>
      <c r="F155" s="3">
        <v>-0.14766528845135521</v>
      </c>
      <c r="G155" s="3">
        <v>0.74147170951028674</v>
      </c>
      <c r="H155" s="3">
        <v>1.553858063051049</v>
      </c>
      <c r="I155" s="3">
        <v>0.77462048683561191</v>
      </c>
      <c r="J155" s="3">
        <v>1.8146482356547149</v>
      </c>
      <c r="K155" s="3">
        <v>0.71078313748471933</v>
      </c>
    </row>
    <row r="156" spans="1:11" x14ac:dyDescent="0.25">
      <c r="A156" s="2">
        <v>42185</v>
      </c>
      <c r="B156" s="3">
        <v>-1</v>
      </c>
      <c r="C156" s="3">
        <v>1</v>
      </c>
      <c r="D156" s="3">
        <v>0.68521233410124616</v>
      </c>
      <c r="E156" s="3">
        <v>0.23077140005239971</v>
      </c>
      <c r="F156" s="3">
        <v>-0.14766528845135521</v>
      </c>
      <c r="G156" s="3">
        <v>0.71884411975302287</v>
      </c>
      <c r="H156" s="3">
        <v>1.537344940221959</v>
      </c>
      <c r="I156" s="3">
        <v>0.77462048683561191</v>
      </c>
      <c r="J156" s="3">
        <v>1.9270537003879229</v>
      </c>
      <c r="K156" s="3">
        <v>0.71078313748471933</v>
      </c>
    </row>
    <row r="157" spans="1:11" x14ac:dyDescent="0.25">
      <c r="A157" s="2">
        <v>42216</v>
      </c>
      <c r="B157" s="3">
        <v>-1</v>
      </c>
      <c r="C157" s="3">
        <v>1</v>
      </c>
      <c r="D157" s="3">
        <v>0.68521233410124616</v>
      </c>
      <c r="E157" s="3">
        <v>0.2356176823385914</v>
      </c>
      <c r="F157" s="3">
        <v>-0.14766528845135521</v>
      </c>
      <c r="G157" s="3">
        <v>0.76076256812681775</v>
      </c>
      <c r="H157" s="3">
        <v>1.5215257444469941</v>
      </c>
      <c r="I157" s="3">
        <v>0.77462048683561191</v>
      </c>
      <c r="J157" s="3">
        <v>1.849913593405009</v>
      </c>
      <c r="K157" s="3">
        <v>0.71078313748471933</v>
      </c>
    </row>
    <row r="158" spans="1:11" x14ac:dyDescent="0.25">
      <c r="A158" s="2">
        <v>42247</v>
      </c>
      <c r="B158" s="3">
        <v>1</v>
      </c>
      <c r="C158" s="3">
        <v>-1</v>
      </c>
      <c r="D158" s="3">
        <v>0.68727687251483816</v>
      </c>
      <c r="E158" s="3">
        <v>0.2356176823385914</v>
      </c>
      <c r="F158" s="3">
        <v>-0.1137062948119294</v>
      </c>
      <c r="G158" s="3">
        <v>0.76076256812681775</v>
      </c>
      <c r="H158" s="3">
        <v>1.5215257444469941</v>
      </c>
      <c r="I158" s="3">
        <v>0.79616291503414849</v>
      </c>
      <c r="J158" s="3">
        <v>1.849913593405009</v>
      </c>
      <c r="K158" s="3">
        <v>0.74001195931488595</v>
      </c>
    </row>
    <row r="159" spans="1:11" x14ac:dyDescent="0.25">
      <c r="A159" s="2">
        <v>42277</v>
      </c>
      <c r="B159" s="3">
        <v>1</v>
      </c>
      <c r="C159" s="3">
        <v>-1</v>
      </c>
      <c r="D159" s="3">
        <v>0.66816449268075218</v>
      </c>
      <c r="E159" s="3">
        <v>0.2356176823385914</v>
      </c>
      <c r="F159" s="3">
        <v>-0.12661464772097639</v>
      </c>
      <c r="G159" s="3">
        <v>0.76076256812681775</v>
      </c>
      <c r="H159" s="3">
        <v>1.5215257444469941</v>
      </c>
      <c r="I159" s="3">
        <v>0.79644276933773051</v>
      </c>
      <c r="J159" s="3">
        <v>1.849913593405009</v>
      </c>
      <c r="K159" s="3">
        <v>0.73627826093934146</v>
      </c>
    </row>
    <row r="160" spans="1:11" x14ac:dyDescent="0.25">
      <c r="A160" s="2">
        <v>42308</v>
      </c>
      <c r="B160" s="3">
        <v>-1</v>
      </c>
      <c r="C160" s="3">
        <v>1</v>
      </c>
      <c r="D160" s="3">
        <v>0.66816449268075218</v>
      </c>
      <c r="E160" s="3">
        <v>0.19860347107097051</v>
      </c>
      <c r="F160" s="3">
        <v>-0.12661464772097639</v>
      </c>
      <c r="G160" s="3">
        <v>0.74304466513937717</v>
      </c>
      <c r="H160" s="3">
        <v>1.622654145196865</v>
      </c>
      <c r="I160" s="3">
        <v>0.79644276933773051</v>
      </c>
      <c r="J160" s="3">
        <v>1.85633311281421</v>
      </c>
      <c r="K160" s="3">
        <v>0.73627826093934146</v>
      </c>
    </row>
    <row r="161" spans="1:11" x14ac:dyDescent="0.25">
      <c r="A161" s="2">
        <v>42338</v>
      </c>
      <c r="B161" s="3">
        <v>-1</v>
      </c>
      <c r="C161" s="3">
        <v>1</v>
      </c>
      <c r="D161" s="3">
        <v>0.66816449268075218</v>
      </c>
      <c r="E161" s="3">
        <v>0.20214623813927221</v>
      </c>
      <c r="F161" s="3">
        <v>-0.12661464772097639</v>
      </c>
      <c r="G161" s="3">
        <v>0.75748303453061028</v>
      </c>
      <c r="H161" s="3">
        <v>1.6493410421655501</v>
      </c>
      <c r="I161" s="3">
        <v>0.79644276933773051</v>
      </c>
      <c r="J161" s="3">
        <v>1.938986480178293</v>
      </c>
      <c r="K161" s="3">
        <v>0.73627826093934146</v>
      </c>
    </row>
    <row r="162" spans="1:11" x14ac:dyDescent="0.25">
      <c r="A162" s="2">
        <v>42369</v>
      </c>
      <c r="B162" s="3">
        <v>1</v>
      </c>
      <c r="C162" s="3">
        <v>-1</v>
      </c>
      <c r="D162" s="3">
        <v>0.68668638849734687</v>
      </c>
      <c r="E162" s="3">
        <v>0.20214623813927221</v>
      </c>
      <c r="F162" s="3">
        <v>-0.1098672444277649</v>
      </c>
      <c r="G162" s="3">
        <v>0.75748303453061028</v>
      </c>
      <c r="H162" s="3">
        <v>1.6493410421655501</v>
      </c>
      <c r="I162" s="3">
        <v>0.79864876177988786</v>
      </c>
      <c r="J162" s="3">
        <v>1.938986480178293</v>
      </c>
      <c r="K162" s="3">
        <v>0.74519731356245744</v>
      </c>
    </row>
    <row r="163" spans="1:11" x14ac:dyDescent="0.25">
      <c r="A163" s="2">
        <v>42400</v>
      </c>
      <c r="B163" s="3">
        <v>1</v>
      </c>
      <c r="C163" s="3">
        <v>-1</v>
      </c>
      <c r="D163" s="3">
        <v>0.74124440481010145</v>
      </c>
      <c r="E163" s="3">
        <v>0.20214623813927221</v>
      </c>
      <c r="F163" s="3">
        <v>-0.1188958850780821</v>
      </c>
      <c r="G163" s="3">
        <v>0.75748303453061028</v>
      </c>
      <c r="H163" s="3">
        <v>1.6493410421655501</v>
      </c>
      <c r="I163" s="3">
        <v>0.90633475577670852</v>
      </c>
      <c r="J163" s="3">
        <v>1.938986480178293</v>
      </c>
      <c r="K163" s="3">
        <v>0.78521288016112223</v>
      </c>
    </row>
    <row r="164" spans="1:11" x14ac:dyDescent="0.25">
      <c r="A164" s="2">
        <v>42429</v>
      </c>
      <c r="B164" s="3">
        <v>1</v>
      </c>
      <c r="C164" s="3">
        <v>-1</v>
      </c>
      <c r="D164" s="3">
        <v>0.73064710164667135</v>
      </c>
      <c r="E164" s="3">
        <v>0.20214623813927221</v>
      </c>
      <c r="F164" s="3">
        <v>-0.11922906282386279</v>
      </c>
      <c r="G164" s="3">
        <v>0.75748303453061028</v>
      </c>
      <c r="H164" s="3">
        <v>1.6493410421655501</v>
      </c>
      <c r="I164" s="3">
        <v>0.96327782889353375</v>
      </c>
      <c r="J164" s="3">
        <v>1.938986480178293</v>
      </c>
      <c r="K164" s="3">
        <v>0.80879549729279332</v>
      </c>
    </row>
    <row r="165" spans="1:11" x14ac:dyDescent="0.25">
      <c r="A165" s="2">
        <v>42460</v>
      </c>
      <c r="B165" s="3">
        <v>-1</v>
      </c>
      <c r="C165" s="3">
        <v>1</v>
      </c>
      <c r="D165" s="3">
        <v>0.73064710164667135</v>
      </c>
      <c r="E165" s="3">
        <v>0.19707086668608079</v>
      </c>
      <c r="F165" s="3">
        <v>-0.11922906282386279</v>
      </c>
      <c r="G165" s="3">
        <v>0.7923492267336103</v>
      </c>
      <c r="H165" s="3">
        <v>1.7446397960154629</v>
      </c>
      <c r="I165" s="3">
        <v>0.96327782889353375</v>
      </c>
      <c r="J165" s="3">
        <v>1.9876589235857329</v>
      </c>
      <c r="K165" s="3">
        <v>0.80879549729279332</v>
      </c>
    </row>
    <row r="166" spans="1:11" x14ac:dyDescent="0.25">
      <c r="A166" s="2">
        <v>42490</v>
      </c>
      <c r="B166" s="3">
        <v>-1</v>
      </c>
      <c r="C166" s="3">
        <v>1</v>
      </c>
      <c r="D166" s="3">
        <v>0.73064710164667135</v>
      </c>
      <c r="E166" s="3">
        <v>0.21221745761619731</v>
      </c>
      <c r="F166" s="3">
        <v>-0.11922906282386279</v>
      </c>
      <c r="G166" s="3">
        <v>0.80208374809173955</v>
      </c>
      <c r="H166" s="3">
        <v>1.7241674040252071</v>
      </c>
      <c r="I166" s="3">
        <v>0.96327782889353375</v>
      </c>
      <c r="J166" s="3">
        <v>1.9301775298686681</v>
      </c>
      <c r="K166" s="3">
        <v>0.80879549729279332</v>
      </c>
    </row>
    <row r="167" spans="1:11" x14ac:dyDescent="0.25">
      <c r="A167" s="2">
        <v>42521</v>
      </c>
      <c r="B167" s="3">
        <v>1</v>
      </c>
      <c r="C167" s="3">
        <v>-1</v>
      </c>
      <c r="D167" s="3">
        <v>0.76710483597603041</v>
      </c>
      <c r="E167" s="3">
        <v>0.21221745761619731</v>
      </c>
      <c r="F167" s="3">
        <v>-0.1193289801510036</v>
      </c>
      <c r="G167" s="3">
        <v>0.80208374809173955</v>
      </c>
      <c r="H167" s="3">
        <v>1.7241674040252071</v>
      </c>
      <c r="I167" s="3">
        <v>0.96891017914440569</v>
      </c>
      <c r="J167" s="3">
        <v>1.9301775298686681</v>
      </c>
      <c r="K167" s="3">
        <v>0.82764965136742119</v>
      </c>
    </row>
    <row r="168" spans="1:11" x14ac:dyDescent="0.25">
      <c r="A168" s="2">
        <v>42551</v>
      </c>
      <c r="B168" s="3">
        <v>1</v>
      </c>
      <c r="C168" s="3">
        <v>-1</v>
      </c>
      <c r="D168" s="3">
        <v>0.77820470102089545</v>
      </c>
      <c r="E168" s="3">
        <v>0.21221745761619731</v>
      </c>
      <c r="F168" s="3">
        <v>-0.1546613048465546</v>
      </c>
      <c r="G168" s="3">
        <v>0.80208374809173955</v>
      </c>
      <c r="H168" s="3">
        <v>1.7241674040252071</v>
      </c>
      <c r="I168" s="3">
        <v>0.95167072850231049</v>
      </c>
      <c r="J168" s="3">
        <v>1.9301775298686681</v>
      </c>
      <c r="K168" s="3">
        <v>0.86509693541005617</v>
      </c>
    </row>
    <row r="169" spans="1:11" x14ac:dyDescent="0.25">
      <c r="A169" s="2">
        <v>42582</v>
      </c>
      <c r="B169" s="3">
        <v>-1</v>
      </c>
      <c r="C169" s="3">
        <v>1</v>
      </c>
      <c r="D169" s="3">
        <v>0.77820470102089545</v>
      </c>
      <c r="E169" s="3">
        <v>0.21287983198655461</v>
      </c>
      <c r="F169" s="3">
        <v>-0.1546613048465546</v>
      </c>
      <c r="G169" s="3">
        <v>0.8377726661933913</v>
      </c>
      <c r="H169" s="3">
        <v>1.7655077058193109</v>
      </c>
      <c r="I169" s="3">
        <v>0.95167072850231049</v>
      </c>
      <c r="J169" s="3">
        <v>1.826694073861781</v>
      </c>
      <c r="K169" s="3">
        <v>0.86509693541005617</v>
      </c>
    </row>
    <row r="170" spans="1:11" x14ac:dyDescent="0.25">
      <c r="A170" s="2">
        <v>42613</v>
      </c>
      <c r="B170" s="3">
        <v>-1</v>
      </c>
      <c r="C170" s="3">
        <v>1</v>
      </c>
      <c r="D170" s="3">
        <v>0.77820470102089545</v>
      </c>
      <c r="E170" s="3">
        <v>0.2192927628620758</v>
      </c>
      <c r="F170" s="3">
        <v>-0.1546613048465546</v>
      </c>
      <c r="G170" s="3">
        <v>0.85337112864337139</v>
      </c>
      <c r="H170" s="3">
        <v>1.7791393660176791</v>
      </c>
      <c r="I170" s="3">
        <v>0.95167072850231049</v>
      </c>
      <c r="J170" s="3">
        <v>1.892980651149216</v>
      </c>
      <c r="K170" s="3">
        <v>0.86509693541005617</v>
      </c>
    </row>
    <row r="171" spans="1:11" x14ac:dyDescent="0.25">
      <c r="A171" s="2">
        <v>42643</v>
      </c>
      <c r="B171" s="3">
        <v>-1</v>
      </c>
      <c r="C171" s="3">
        <v>1</v>
      </c>
      <c r="D171" s="3">
        <v>0.77820470102089545</v>
      </c>
      <c r="E171" s="3">
        <v>0.22406170117647559</v>
      </c>
      <c r="F171" s="3">
        <v>-0.1546613048465546</v>
      </c>
      <c r="G171" s="3">
        <v>0.86110762180206013</v>
      </c>
      <c r="H171" s="3">
        <v>1.793596928312442</v>
      </c>
      <c r="I171" s="3">
        <v>0.95167072850231049</v>
      </c>
      <c r="J171" s="3">
        <v>1.9306625129163031</v>
      </c>
      <c r="K171" s="3">
        <v>0.86509693541005617</v>
      </c>
    </row>
    <row r="172" spans="1:11" x14ac:dyDescent="0.25">
      <c r="A172" s="2">
        <v>42674</v>
      </c>
      <c r="B172" s="3">
        <v>-1</v>
      </c>
      <c r="C172" s="3">
        <v>1</v>
      </c>
      <c r="D172" s="3">
        <v>0.77820470102089545</v>
      </c>
      <c r="E172" s="3">
        <v>0.2322391947985207</v>
      </c>
      <c r="F172" s="3">
        <v>-0.1546613048465546</v>
      </c>
      <c r="G172" s="3">
        <v>0.83234179284616228</v>
      </c>
      <c r="H172" s="3">
        <v>1.777365523661901</v>
      </c>
      <c r="I172" s="3">
        <v>0.95167072850231049</v>
      </c>
      <c r="J172" s="3">
        <v>2.0026245550244859</v>
      </c>
      <c r="K172" s="3">
        <v>0.86509693541005617</v>
      </c>
    </row>
    <row r="173" spans="1:11" x14ac:dyDescent="0.25">
      <c r="A173" s="2">
        <v>42704</v>
      </c>
      <c r="B173" s="3">
        <v>-1</v>
      </c>
      <c r="C173" s="3">
        <v>1</v>
      </c>
      <c r="D173" s="3">
        <v>0.77820470102089545</v>
      </c>
      <c r="E173" s="3">
        <v>0.2309221028137507</v>
      </c>
      <c r="F173" s="3">
        <v>-0.1546613048465546</v>
      </c>
      <c r="G173" s="3">
        <v>0.81885068310930054</v>
      </c>
      <c r="H173" s="3">
        <v>1.7860146741791381</v>
      </c>
      <c r="I173" s="3">
        <v>0.95167072850231049</v>
      </c>
      <c r="J173" s="3">
        <v>2.0110014885250238</v>
      </c>
      <c r="K173" s="3">
        <v>0.86509693541005617</v>
      </c>
    </row>
    <row r="174" spans="1:11" x14ac:dyDescent="0.25">
      <c r="A174" s="2">
        <v>42735</v>
      </c>
      <c r="B174" s="3">
        <v>-1</v>
      </c>
      <c r="C174" s="3">
        <v>1</v>
      </c>
      <c r="D174" s="3">
        <v>0.77820470102089545</v>
      </c>
      <c r="E174" s="3">
        <v>0.24313837654485121</v>
      </c>
      <c r="F174" s="3">
        <v>-0.1546613048465546</v>
      </c>
      <c r="G174" s="3">
        <v>0.83594036219525769</v>
      </c>
      <c r="H174" s="3">
        <v>1.8391790646934041</v>
      </c>
      <c r="I174" s="3">
        <v>0.95167072850231049</v>
      </c>
      <c r="J174" s="3">
        <v>2.0005439019400608</v>
      </c>
      <c r="K174" s="3">
        <v>0.86509693541005617</v>
      </c>
    </row>
    <row r="175" spans="1:11" x14ac:dyDescent="0.25">
      <c r="A175" s="2">
        <v>42766</v>
      </c>
      <c r="B175" s="3">
        <v>-1</v>
      </c>
      <c r="C175" s="3">
        <v>1</v>
      </c>
      <c r="D175" s="3">
        <v>0.77820470102089545</v>
      </c>
      <c r="E175" s="3">
        <v>0.24344840656471761</v>
      </c>
      <c r="F175" s="3">
        <v>-0.1546613048465546</v>
      </c>
      <c r="G175" s="3">
        <v>0.83295446359266845</v>
      </c>
      <c r="H175" s="3">
        <v>1.876319897871912</v>
      </c>
      <c r="I175" s="3">
        <v>0.95167072850231049</v>
      </c>
      <c r="J175" s="3">
        <v>1.932661501124721</v>
      </c>
      <c r="K175" s="3">
        <v>0.86509693541005617</v>
      </c>
    </row>
    <row r="176" spans="1:11" x14ac:dyDescent="0.25">
      <c r="A176" s="2">
        <v>42794</v>
      </c>
      <c r="B176" s="3">
        <v>-1</v>
      </c>
      <c r="C176" s="3">
        <v>1</v>
      </c>
      <c r="D176" s="3">
        <v>0.77820470102089545</v>
      </c>
      <c r="E176" s="3">
        <v>0.24244165520318051</v>
      </c>
      <c r="F176" s="3">
        <v>-0.1546613048465546</v>
      </c>
      <c r="G176" s="3">
        <v>0.85477692839999331</v>
      </c>
      <c r="H176" s="3">
        <v>1.894163625414051</v>
      </c>
      <c r="I176" s="3">
        <v>0.95167072850231049</v>
      </c>
      <c r="J176" s="3">
        <v>1.9139577754967061</v>
      </c>
      <c r="K176" s="3">
        <v>0.86509693541005617</v>
      </c>
    </row>
    <row r="177" spans="1:11" x14ac:dyDescent="0.25">
      <c r="A177" s="2">
        <v>42825</v>
      </c>
      <c r="B177" s="3">
        <v>-1</v>
      </c>
      <c r="C177" s="3">
        <v>1</v>
      </c>
      <c r="D177" s="3">
        <v>0.77820470102089545</v>
      </c>
      <c r="E177" s="3">
        <v>0.23175478530281721</v>
      </c>
      <c r="F177" s="3">
        <v>-0.1546613048465546</v>
      </c>
      <c r="G177" s="3">
        <v>0.86374633410074897</v>
      </c>
      <c r="H177" s="3">
        <v>1.9010085005083639</v>
      </c>
      <c r="I177" s="3">
        <v>0.95167072850231049</v>
      </c>
      <c r="J177" s="3">
        <v>1.9884322288222409</v>
      </c>
      <c r="K177" s="3">
        <v>0.86509693541005617</v>
      </c>
    </row>
    <row r="178" spans="1:11" x14ac:dyDescent="0.25">
      <c r="A178" s="2">
        <v>42855</v>
      </c>
      <c r="B178" s="3">
        <v>1</v>
      </c>
      <c r="C178" s="3">
        <v>-1</v>
      </c>
      <c r="D178" s="3">
        <v>0.78504970868481294</v>
      </c>
      <c r="E178" s="3">
        <v>0.23175478530281721</v>
      </c>
      <c r="F178" s="3">
        <v>-0.15074004027688931</v>
      </c>
      <c r="G178" s="3">
        <v>0.86374633410074897</v>
      </c>
      <c r="H178" s="3">
        <v>1.9010085005083639</v>
      </c>
      <c r="I178" s="3">
        <v>0.95612515455986946</v>
      </c>
      <c r="J178" s="3">
        <v>1.9884322288222409</v>
      </c>
      <c r="K178" s="3">
        <v>0.86918902434330336</v>
      </c>
    </row>
    <row r="179" spans="1:11" x14ac:dyDescent="0.25">
      <c r="A179" s="2">
        <v>42886</v>
      </c>
      <c r="B179" s="3">
        <v>1</v>
      </c>
      <c r="C179" s="3">
        <v>-1</v>
      </c>
      <c r="D179" s="3">
        <v>0.80839548361209435</v>
      </c>
      <c r="E179" s="3">
        <v>0.23175478530281721</v>
      </c>
      <c r="F179" s="3">
        <v>-0.155513804338584</v>
      </c>
      <c r="G179" s="3">
        <v>0.86374633410074897</v>
      </c>
      <c r="H179" s="3">
        <v>1.9010085005083639</v>
      </c>
      <c r="I179" s="3">
        <v>0.94283574816040727</v>
      </c>
      <c r="J179" s="3">
        <v>1.9884322288222409</v>
      </c>
      <c r="K179" s="3">
        <v>0.85693757154649464</v>
      </c>
    </row>
    <row r="180" spans="1:11" x14ac:dyDescent="0.25">
      <c r="A180" s="2">
        <v>42916</v>
      </c>
      <c r="B180" s="3">
        <v>1</v>
      </c>
      <c r="C180" s="3">
        <v>-1</v>
      </c>
      <c r="D180" s="3">
        <v>0.80002162742200866</v>
      </c>
      <c r="E180" s="3">
        <v>0.23175478530281721</v>
      </c>
      <c r="F180" s="3">
        <v>-0.1392971468266794</v>
      </c>
      <c r="G180" s="3">
        <v>0.86374633410074897</v>
      </c>
      <c r="H180" s="3">
        <v>1.9010085005083639</v>
      </c>
      <c r="I180" s="3">
        <v>0.92496754948665183</v>
      </c>
      <c r="J180" s="3">
        <v>1.9884322288222409</v>
      </c>
      <c r="K180" s="3">
        <v>0.86882627973104842</v>
      </c>
    </row>
    <row r="181" spans="1:11" x14ac:dyDescent="0.25">
      <c r="A181" s="2">
        <v>42947</v>
      </c>
      <c r="B181" s="3">
        <v>-1</v>
      </c>
      <c r="C181" s="3">
        <v>1</v>
      </c>
      <c r="D181" s="3">
        <v>0.80002162742200866</v>
      </c>
      <c r="E181" s="3">
        <v>0.23199942195491091</v>
      </c>
      <c r="F181" s="3">
        <v>-0.1392971468266794</v>
      </c>
      <c r="G181" s="3">
        <v>0.84661614157401077</v>
      </c>
      <c r="H181" s="3">
        <v>1.9080352824229421</v>
      </c>
      <c r="I181" s="3">
        <v>0.92496754948665183</v>
      </c>
      <c r="J181" s="3">
        <v>2.0355879684616278</v>
      </c>
      <c r="K181" s="3">
        <v>0.86882627973104842</v>
      </c>
    </row>
    <row r="182" spans="1:11" x14ac:dyDescent="0.25">
      <c r="A182" s="2">
        <v>42978</v>
      </c>
      <c r="B182" s="3">
        <v>1</v>
      </c>
      <c r="C182" s="3">
        <v>-1</v>
      </c>
      <c r="D182" s="3">
        <v>0.83389165789754127</v>
      </c>
      <c r="E182" s="3">
        <v>0.23199942195491091</v>
      </c>
      <c r="F182" s="3">
        <v>-0.14650204963365979</v>
      </c>
      <c r="G182" s="3">
        <v>0.84661614157401077</v>
      </c>
      <c r="H182" s="3">
        <v>1.9080352824229421</v>
      </c>
      <c r="I182" s="3">
        <v>0.91639076173519007</v>
      </c>
      <c r="J182" s="3">
        <v>2.0355879684616278</v>
      </c>
      <c r="K182" s="3">
        <v>0.88855219233243976</v>
      </c>
    </row>
    <row r="183" spans="1:11" x14ac:dyDescent="0.25">
      <c r="A183" s="2">
        <v>43008</v>
      </c>
      <c r="B183" s="3">
        <v>-1</v>
      </c>
      <c r="C183" s="3">
        <v>1</v>
      </c>
      <c r="D183" s="3">
        <v>0.83389165789754127</v>
      </c>
      <c r="E183" s="3">
        <v>0.2231696089865676</v>
      </c>
      <c r="F183" s="3">
        <v>-0.14650204963365979</v>
      </c>
      <c r="G183" s="3">
        <v>0.82568791088424098</v>
      </c>
      <c r="H183" s="3">
        <v>1.8974195944096059</v>
      </c>
      <c r="I183" s="3">
        <v>0.91639076173519007</v>
      </c>
      <c r="J183" s="3">
        <v>2.0047930105455598</v>
      </c>
      <c r="K183" s="3">
        <v>0.88855219233243976</v>
      </c>
    </row>
    <row r="184" spans="1:11" x14ac:dyDescent="0.25">
      <c r="A184" s="2">
        <v>43039</v>
      </c>
      <c r="B184" s="3">
        <v>-1</v>
      </c>
      <c r="C184" s="3">
        <v>1</v>
      </c>
      <c r="D184" s="3">
        <v>0.83389165789754127</v>
      </c>
      <c r="E184" s="3">
        <v>0.2229012588145016</v>
      </c>
      <c r="F184" s="3">
        <v>-0.14650204963365979</v>
      </c>
      <c r="G184" s="3">
        <v>0.83293565716418638</v>
      </c>
      <c r="H184" s="3">
        <v>1.9334971359399911</v>
      </c>
      <c r="I184" s="3">
        <v>0.91639076173519007</v>
      </c>
      <c r="J184" s="3">
        <v>2.0269890660162742</v>
      </c>
      <c r="K184" s="3">
        <v>0.88855219233243976</v>
      </c>
    </row>
    <row r="185" spans="1:11" x14ac:dyDescent="0.25">
      <c r="A185" s="2">
        <v>43069</v>
      </c>
      <c r="B185" s="3">
        <v>1</v>
      </c>
      <c r="C185" s="3">
        <v>-1</v>
      </c>
      <c r="D185" s="3">
        <v>0.86913396292743661</v>
      </c>
      <c r="E185" s="3">
        <v>0.2229012588145016</v>
      </c>
      <c r="F185" s="3">
        <v>-0.13557846333469861</v>
      </c>
      <c r="G185" s="3">
        <v>0.83293565716418638</v>
      </c>
      <c r="H185" s="3">
        <v>1.9334971359399911</v>
      </c>
      <c r="I185" s="3">
        <v>0.90508097593869596</v>
      </c>
      <c r="J185" s="3">
        <v>2.0269890660162742</v>
      </c>
      <c r="K185" s="3">
        <v>0.92541276877687584</v>
      </c>
    </row>
    <row r="186" spans="1:11" x14ac:dyDescent="0.25">
      <c r="A186" s="2">
        <v>43100</v>
      </c>
      <c r="B186" s="3">
        <v>-1</v>
      </c>
      <c r="C186" s="3">
        <v>1</v>
      </c>
      <c r="D186" s="3">
        <v>0.86913396292743661</v>
      </c>
      <c r="E186" s="3">
        <v>0.2261835877470966</v>
      </c>
      <c r="F186" s="3">
        <v>-0.13557846333469861</v>
      </c>
      <c r="G186" s="3">
        <v>0.8660511337757526</v>
      </c>
      <c r="H186" s="3">
        <v>1.9231143710816629</v>
      </c>
      <c r="I186" s="3">
        <v>0.90508097593869596</v>
      </c>
      <c r="J186" s="3">
        <v>1.982884699245685</v>
      </c>
      <c r="K186" s="3">
        <v>0.92541276877687584</v>
      </c>
    </row>
    <row r="187" spans="1:11" x14ac:dyDescent="0.25">
      <c r="A187" s="2">
        <v>43131</v>
      </c>
      <c r="B187" s="3">
        <v>-1</v>
      </c>
      <c r="C187" s="3">
        <v>1</v>
      </c>
      <c r="D187" s="3">
        <v>0.86913396292743661</v>
      </c>
      <c r="E187" s="3">
        <v>0.2320408814316115</v>
      </c>
      <c r="F187" s="3">
        <v>-0.13557846333469861</v>
      </c>
      <c r="G187" s="3">
        <v>0.85142294357040971</v>
      </c>
      <c r="H187" s="3">
        <v>1.999671079166143</v>
      </c>
      <c r="I187" s="3">
        <v>0.90508097593869596</v>
      </c>
      <c r="J187" s="3">
        <v>2.0117245796164211</v>
      </c>
      <c r="K187" s="3">
        <v>0.92541276877687584</v>
      </c>
    </row>
    <row r="188" spans="1:11" x14ac:dyDescent="0.25">
      <c r="A188" s="2">
        <v>43159</v>
      </c>
      <c r="B188" s="3">
        <v>-1</v>
      </c>
      <c r="C188" s="3">
        <v>1</v>
      </c>
      <c r="D188" s="3">
        <v>0.86913396292743661</v>
      </c>
      <c r="E188" s="3">
        <v>0.22596088406234621</v>
      </c>
      <c r="F188" s="3">
        <v>-0.13557846333469861</v>
      </c>
      <c r="G188" s="3">
        <v>0.87759877834263333</v>
      </c>
      <c r="H188" s="3">
        <v>1.8483369973468839</v>
      </c>
      <c r="I188" s="3">
        <v>0.90508097593869596</v>
      </c>
      <c r="J188" s="3">
        <v>2.1021926633796109</v>
      </c>
      <c r="K188" s="3">
        <v>0.92541276877687584</v>
      </c>
    </row>
    <row r="189" spans="1:11" x14ac:dyDescent="0.25">
      <c r="A189" s="2">
        <v>43190</v>
      </c>
      <c r="B189" s="3">
        <v>1</v>
      </c>
      <c r="C189" s="3">
        <v>-1</v>
      </c>
      <c r="D189" s="3">
        <v>0.82027213502726903</v>
      </c>
      <c r="E189" s="3">
        <v>0.22596088406234621</v>
      </c>
      <c r="F189" s="3">
        <v>-0.1559217044135208</v>
      </c>
      <c r="G189" s="3">
        <v>0.87759877834263333</v>
      </c>
      <c r="H189" s="3">
        <v>1.8483369973468839</v>
      </c>
      <c r="I189" s="3">
        <v>0.89681143091056659</v>
      </c>
      <c r="J189" s="3">
        <v>2.1021926633796109</v>
      </c>
      <c r="K189" s="3">
        <v>0.91737427887614564</v>
      </c>
    </row>
    <row r="190" spans="1:11" x14ac:dyDescent="0.25">
      <c r="A190" s="2">
        <v>43220</v>
      </c>
      <c r="B190" s="3">
        <v>-1</v>
      </c>
      <c r="C190" s="3">
        <v>1</v>
      </c>
      <c r="D190" s="3">
        <v>0.82027213502726903</v>
      </c>
      <c r="E190" s="3">
        <v>0.23543969232262629</v>
      </c>
      <c r="F190" s="3">
        <v>-0.1559217044135208</v>
      </c>
      <c r="G190" s="3">
        <v>0.88788204951877314</v>
      </c>
      <c r="H190" s="3">
        <v>1.8128398373912871</v>
      </c>
      <c r="I190" s="3">
        <v>0.89681143091056659</v>
      </c>
      <c r="J190" s="3">
        <v>2.115618767452303</v>
      </c>
      <c r="K190" s="3">
        <v>0.91737427887614564</v>
      </c>
    </row>
    <row r="191" spans="1:11" x14ac:dyDescent="0.25">
      <c r="A191" s="2">
        <v>43251</v>
      </c>
      <c r="B191" s="3">
        <v>-1</v>
      </c>
      <c r="C191" s="3">
        <v>1</v>
      </c>
      <c r="D191" s="3">
        <v>0.82027213502726903</v>
      </c>
      <c r="E191" s="3">
        <v>0.24624075331720949</v>
      </c>
      <c r="F191" s="3">
        <v>-0.1559217044135208</v>
      </c>
      <c r="G191" s="3">
        <v>0.95106376614048016</v>
      </c>
      <c r="H191" s="3">
        <v>1.8386770145106419</v>
      </c>
      <c r="I191" s="3">
        <v>0.89681143091056659</v>
      </c>
      <c r="J191" s="3">
        <v>2.1165547357452978</v>
      </c>
      <c r="K191" s="3">
        <v>0.91737427887614564</v>
      </c>
    </row>
    <row r="192" spans="1:11" x14ac:dyDescent="0.25">
      <c r="A192" s="2">
        <v>43281</v>
      </c>
      <c r="B192" s="3">
        <v>-1</v>
      </c>
      <c r="C192" s="3">
        <v>1</v>
      </c>
      <c r="D192" s="3">
        <v>0.82027213502726903</v>
      </c>
      <c r="E192" s="3">
        <v>0.25957886149949072</v>
      </c>
      <c r="F192" s="3">
        <v>-0.1559217044135208</v>
      </c>
      <c r="G192" s="3">
        <v>0.97017564427479264</v>
      </c>
      <c r="H192" s="3">
        <v>1.905525278786093</v>
      </c>
      <c r="I192" s="3">
        <v>0.89681143091056659</v>
      </c>
      <c r="J192" s="3">
        <v>2.143323572564519</v>
      </c>
      <c r="K192" s="3">
        <v>0.91737427887614564</v>
      </c>
    </row>
    <row r="193" spans="1:11" x14ac:dyDescent="0.25">
      <c r="A193" s="2">
        <v>43312</v>
      </c>
      <c r="B193" s="3">
        <v>-1</v>
      </c>
      <c r="C193" s="3">
        <v>1</v>
      </c>
      <c r="D193" s="3">
        <v>0.82027213502726903</v>
      </c>
      <c r="E193" s="3">
        <v>0.25438316172615649</v>
      </c>
      <c r="F193" s="3">
        <v>-0.1559217044135208</v>
      </c>
      <c r="G193" s="3">
        <v>0.97732785763810992</v>
      </c>
      <c r="H193" s="3">
        <v>1.9759178264399879</v>
      </c>
      <c r="I193" s="3">
        <v>0.89681143091056659</v>
      </c>
      <c r="J193" s="3">
        <v>2.1298828217664449</v>
      </c>
      <c r="K193" s="3">
        <v>0.91737427887614564</v>
      </c>
    </row>
    <row r="194" spans="1:11" x14ac:dyDescent="0.25">
      <c r="A194" s="2">
        <v>43343</v>
      </c>
      <c r="B194" s="3">
        <v>-1</v>
      </c>
      <c r="C194" s="3">
        <v>1</v>
      </c>
      <c r="D194" s="3">
        <v>0.82027213502726903</v>
      </c>
      <c r="E194" s="3">
        <v>0.23701946727401271</v>
      </c>
      <c r="F194" s="3">
        <v>-0.1559217044135208</v>
      </c>
      <c r="G194" s="3">
        <v>0.97123103162308366</v>
      </c>
      <c r="H194" s="3">
        <v>2.0206486245647648</v>
      </c>
      <c r="I194" s="3">
        <v>0.89681143091056659</v>
      </c>
      <c r="J194" s="3">
        <v>2.1497527506834508</v>
      </c>
      <c r="K194" s="3">
        <v>0.91737427887614564</v>
      </c>
    </row>
    <row r="195" spans="1:11" x14ac:dyDescent="0.25">
      <c r="A195" s="2">
        <v>43373</v>
      </c>
      <c r="B195" s="3">
        <v>-1</v>
      </c>
      <c r="C195" s="3">
        <v>1</v>
      </c>
      <c r="D195" s="3">
        <v>0.82027213502726903</v>
      </c>
      <c r="E195" s="3">
        <v>0.2382839062610855</v>
      </c>
      <c r="F195" s="3">
        <v>-0.1559217044135208</v>
      </c>
      <c r="G195" s="3">
        <v>0.97920446972380715</v>
      </c>
      <c r="H195" s="3">
        <v>1.997603404502496</v>
      </c>
      <c r="I195" s="3">
        <v>0.89681143091056659</v>
      </c>
      <c r="J195" s="3">
        <v>2.1798919869436122</v>
      </c>
      <c r="K195" s="3">
        <v>0.91737427887614564</v>
      </c>
    </row>
    <row r="196" spans="1:11" x14ac:dyDescent="0.25">
      <c r="A196" s="2">
        <v>43404</v>
      </c>
      <c r="B196" s="3">
        <v>1</v>
      </c>
      <c r="C196" s="3">
        <v>-1</v>
      </c>
      <c r="D196" s="3">
        <v>0.78465694490770388</v>
      </c>
      <c r="E196" s="3">
        <v>0.2382839062610855</v>
      </c>
      <c r="F196" s="3">
        <v>-0.15503123794589069</v>
      </c>
      <c r="G196" s="3">
        <v>0.97920446972380715</v>
      </c>
      <c r="H196" s="3">
        <v>1.997603404502496</v>
      </c>
      <c r="I196" s="3">
        <v>0.91572724759517654</v>
      </c>
      <c r="J196" s="3">
        <v>2.1798919869436122</v>
      </c>
      <c r="K196" s="3">
        <v>0.85170717162200837</v>
      </c>
    </row>
    <row r="197" spans="1:11" x14ac:dyDescent="0.25">
      <c r="A197" s="2">
        <v>43434</v>
      </c>
      <c r="B197" s="3">
        <v>1</v>
      </c>
      <c r="C197" s="3">
        <v>-1</v>
      </c>
      <c r="D197" s="3">
        <v>0.85562446700811545</v>
      </c>
      <c r="E197" s="3">
        <v>0.2382839062610855</v>
      </c>
      <c r="F197" s="3">
        <v>-0.1573312948254382</v>
      </c>
      <c r="G197" s="3">
        <v>0.97920446972380715</v>
      </c>
      <c r="H197" s="3">
        <v>1.997603404502496</v>
      </c>
      <c r="I197" s="3">
        <v>0.84298270299386835</v>
      </c>
      <c r="J197" s="3">
        <v>2.1798919869436122</v>
      </c>
      <c r="K197" s="3">
        <v>0.83899433268114709</v>
      </c>
    </row>
    <row r="198" spans="1:11" x14ac:dyDescent="0.25">
      <c r="A198" s="2">
        <v>43465</v>
      </c>
      <c r="B198" s="3">
        <v>1</v>
      </c>
      <c r="C198" s="3">
        <v>-1</v>
      </c>
      <c r="D198" s="3">
        <v>0.97748514061163716</v>
      </c>
      <c r="E198" s="3">
        <v>0.2382839062610855</v>
      </c>
      <c r="F198" s="3">
        <v>-0.15873453101540089</v>
      </c>
      <c r="G198" s="3">
        <v>0.97920446972380715</v>
      </c>
      <c r="H198" s="3">
        <v>1.997603404502496</v>
      </c>
      <c r="I198" s="3">
        <v>0.92041924781647166</v>
      </c>
      <c r="J198" s="3">
        <v>2.1798919869436122</v>
      </c>
      <c r="K198" s="3">
        <v>0.89964732339152276</v>
      </c>
    </row>
    <row r="199" spans="1:11" x14ac:dyDescent="0.25">
      <c r="A199" s="2">
        <v>43496</v>
      </c>
      <c r="B199" s="3">
        <v>-1</v>
      </c>
      <c r="C199" s="3">
        <v>1</v>
      </c>
      <c r="D199" s="3">
        <v>0.97748514061163716</v>
      </c>
      <c r="E199" s="3">
        <v>0.20772418755140781</v>
      </c>
      <c r="F199" s="3">
        <v>-0.15873453101540089</v>
      </c>
      <c r="G199" s="3">
        <v>1.0063267639354521</v>
      </c>
      <c r="H199" s="3">
        <v>2.0813957964810661</v>
      </c>
      <c r="I199" s="3">
        <v>0.92041924781647166</v>
      </c>
      <c r="J199" s="3">
        <v>2.1814979006866579</v>
      </c>
      <c r="K199" s="3">
        <v>0.89964732339152276</v>
      </c>
    </row>
    <row r="200" spans="1:11" x14ac:dyDescent="0.25">
      <c r="A200" s="2">
        <v>43524</v>
      </c>
      <c r="B200" s="3">
        <v>-1</v>
      </c>
      <c r="C200" s="3">
        <v>1</v>
      </c>
      <c r="D200" s="3">
        <v>0.97748514061163716</v>
      </c>
      <c r="E200" s="3">
        <v>0.2097127226126583</v>
      </c>
      <c r="F200" s="3">
        <v>-0.15873453101540089</v>
      </c>
      <c r="G200" s="3">
        <v>0.98075597283956784</v>
      </c>
      <c r="H200" s="3">
        <v>2.0840388378387131</v>
      </c>
      <c r="I200" s="3">
        <v>0.92041924781647166</v>
      </c>
      <c r="J200" s="3">
        <v>2.177779505346201</v>
      </c>
      <c r="K200" s="3">
        <v>0.89964732339152276</v>
      </c>
    </row>
    <row r="201" spans="1:11" x14ac:dyDescent="0.25">
      <c r="A201" s="2">
        <v>43555</v>
      </c>
      <c r="B201" s="3">
        <v>1</v>
      </c>
      <c r="C201" s="3">
        <v>-1</v>
      </c>
      <c r="D201" s="3">
        <v>0.96230299659828944</v>
      </c>
      <c r="E201" s="3">
        <v>0.2097127226126583</v>
      </c>
      <c r="F201" s="3">
        <v>-0.18242456472357069</v>
      </c>
      <c r="G201" s="3">
        <v>0.98075597283956784</v>
      </c>
      <c r="H201" s="3">
        <v>2.0840388378387131</v>
      </c>
      <c r="I201" s="3">
        <v>0.94572268075001054</v>
      </c>
      <c r="J201" s="3">
        <v>2.177779505346201</v>
      </c>
      <c r="K201" s="3">
        <v>0.92024194373420709</v>
      </c>
    </row>
    <row r="202" spans="1:11" x14ac:dyDescent="0.25">
      <c r="A202" s="2">
        <v>43585</v>
      </c>
      <c r="B202" s="3">
        <v>-1</v>
      </c>
      <c r="C202" s="3">
        <v>1</v>
      </c>
      <c r="D202" s="3">
        <v>0.96230299659828944</v>
      </c>
      <c r="E202" s="3">
        <v>0.19411796875339579</v>
      </c>
      <c r="F202" s="3">
        <v>-0.18242456472357069</v>
      </c>
      <c r="G202" s="3">
        <v>1.0024888848520881</v>
      </c>
      <c r="H202" s="3">
        <v>2.1500882538809249</v>
      </c>
      <c r="I202" s="3">
        <v>0.94572268075001054</v>
      </c>
      <c r="J202" s="3">
        <v>2.231476454345608</v>
      </c>
      <c r="K202" s="3">
        <v>0.92024194373420709</v>
      </c>
    </row>
    <row r="203" spans="1:11" x14ac:dyDescent="0.25">
      <c r="A203" s="2">
        <v>43616</v>
      </c>
      <c r="B203" s="3">
        <v>1</v>
      </c>
      <c r="C203" s="3">
        <v>-1</v>
      </c>
      <c r="D203" s="3">
        <v>0.88424788457051573</v>
      </c>
      <c r="E203" s="3">
        <v>0.19411796875339579</v>
      </c>
      <c r="F203" s="3">
        <v>-0.22264356401139981</v>
      </c>
      <c r="G203" s="3">
        <v>1.0024888848520881</v>
      </c>
      <c r="H203" s="3">
        <v>2.1500882538809249</v>
      </c>
      <c r="I203" s="3">
        <v>0.98600402582872637</v>
      </c>
      <c r="J203" s="3">
        <v>2.231476454345608</v>
      </c>
      <c r="K203" s="3">
        <v>0.94446084310908929</v>
      </c>
    </row>
    <row r="204" spans="1:11" x14ac:dyDescent="0.25">
      <c r="A204" s="2">
        <v>43646</v>
      </c>
      <c r="B204" s="3">
        <v>-1</v>
      </c>
      <c r="C204" s="3">
        <v>1</v>
      </c>
      <c r="D204" s="3">
        <v>0.88424788457051573</v>
      </c>
      <c r="E204" s="3">
        <v>0.1981038267461597</v>
      </c>
      <c r="F204" s="3">
        <v>-0.22264356401139981</v>
      </c>
      <c r="G204" s="3">
        <v>1.0235615316884581</v>
      </c>
      <c r="H204" s="3">
        <v>2.2897488944149469</v>
      </c>
      <c r="I204" s="3">
        <v>0.98600402582872637</v>
      </c>
      <c r="J204" s="3">
        <v>2.2265857691932829</v>
      </c>
      <c r="K204" s="3">
        <v>0.94446084310908929</v>
      </c>
    </row>
    <row r="205" spans="1:11" x14ac:dyDescent="0.25">
      <c r="A205" s="2">
        <v>43677</v>
      </c>
      <c r="B205" s="3">
        <v>-1</v>
      </c>
      <c r="C205" s="3">
        <v>1</v>
      </c>
      <c r="D205" s="3">
        <v>0.88424788457051573</v>
      </c>
      <c r="E205" s="3">
        <v>0.1998333777587962</v>
      </c>
      <c r="F205" s="3">
        <v>-0.22264356401139981</v>
      </c>
      <c r="G205" s="3">
        <v>1.03822802763274</v>
      </c>
      <c r="H205" s="3">
        <v>2.3326634540459379</v>
      </c>
      <c r="I205" s="3">
        <v>0.98600402582872637</v>
      </c>
      <c r="J205" s="3">
        <v>2.2246498068040759</v>
      </c>
      <c r="K205" s="3">
        <v>0.94446084310908929</v>
      </c>
    </row>
    <row r="206" spans="1:11" x14ac:dyDescent="0.25">
      <c r="A206" s="2">
        <v>43708</v>
      </c>
      <c r="B206" s="3">
        <v>1</v>
      </c>
      <c r="C206" s="3">
        <v>-1</v>
      </c>
      <c r="D206" s="3">
        <v>0.88520848333514146</v>
      </c>
      <c r="E206" s="3">
        <v>0.1998333777587962</v>
      </c>
      <c r="F206" s="3">
        <v>-0.23735956982321921</v>
      </c>
      <c r="G206" s="3">
        <v>1.03822802763274</v>
      </c>
      <c r="H206" s="3">
        <v>2.3326634540459379</v>
      </c>
      <c r="I206" s="3">
        <v>1.048953905943679</v>
      </c>
      <c r="J206" s="3">
        <v>2.2246498068040759</v>
      </c>
      <c r="K206" s="3">
        <v>1.050901622001311</v>
      </c>
    </row>
    <row r="207" spans="1:11" x14ac:dyDescent="0.25">
      <c r="A207" s="2">
        <v>43738</v>
      </c>
      <c r="B207" s="3">
        <v>-1</v>
      </c>
      <c r="C207" s="3">
        <v>1</v>
      </c>
      <c r="D207" s="3">
        <v>0.88520848333514146</v>
      </c>
      <c r="E207" s="3">
        <v>0.20555033044776441</v>
      </c>
      <c r="F207" s="3">
        <v>-0.23735956982321921</v>
      </c>
      <c r="G207" s="3">
        <v>1.056102014264152</v>
      </c>
      <c r="H207" s="3">
        <v>2.398095768482265</v>
      </c>
      <c r="I207" s="3">
        <v>1.048953905943679</v>
      </c>
      <c r="J207" s="3">
        <v>2.3084078236943291</v>
      </c>
      <c r="K207" s="3">
        <v>1.050901622001311</v>
      </c>
    </row>
    <row r="208" spans="1:11" x14ac:dyDescent="0.25">
      <c r="A208" s="2">
        <v>43769</v>
      </c>
      <c r="B208" s="3">
        <v>-1</v>
      </c>
      <c r="C208" s="3">
        <v>1</v>
      </c>
      <c r="D208" s="3">
        <v>0.88520848333514146</v>
      </c>
      <c r="E208" s="3">
        <v>0.19214992153756369</v>
      </c>
      <c r="F208" s="3">
        <v>-0.23735956982321921</v>
      </c>
      <c r="G208" s="3">
        <v>1.0964913132631819</v>
      </c>
      <c r="H208" s="3">
        <v>2.3568112528567089</v>
      </c>
      <c r="I208" s="3">
        <v>1.048953905943679</v>
      </c>
      <c r="J208" s="3">
        <v>2.2631792944372662</v>
      </c>
      <c r="K208" s="3">
        <v>1.050901622001311</v>
      </c>
    </row>
    <row r="209" spans="1:11" x14ac:dyDescent="0.25">
      <c r="A209" s="2">
        <v>43799</v>
      </c>
      <c r="B209" s="3">
        <v>-1</v>
      </c>
      <c r="C209" s="3">
        <v>1</v>
      </c>
      <c r="D209" s="3">
        <v>0.88520848333514146</v>
      </c>
      <c r="E209" s="3">
        <v>0.1766654338508056</v>
      </c>
      <c r="F209" s="3">
        <v>-0.23735956982321921</v>
      </c>
      <c r="G209" s="3">
        <v>1.1070284609122301</v>
      </c>
      <c r="H209" s="3">
        <v>2.410252902773669</v>
      </c>
      <c r="I209" s="3">
        <v>1.048953905943679</v>
      </c>
      <c r="J209" s="3">
        <v>2.3922478060026222</v>
      </c>
      <c r="K209" s="3">
        <v>1.050901622001311</v>
      </c>
    </row>
    <row r="210" spans="1:11" x14ac:dyDescent="0.25">
      <c r="A210" s="2">
        <v>43830</v>
      </c>
      <c r="B210" s="3">
        <v>-1</v>
      </c>
      <c r="C210" s="3">
        <v>1</v>
      </c>
      <c r="D210" s="3">
        <v>0.88520848333514146</v>
      </c>
      <c r="E210" s="3">
        <v>0.17248766655854531</v>
      </c>
      <c r="F210" s="3">
        <v>-0.23735956982321921</v>
      </c>
      <c r="G210" s="3">
        <v>1.0890449556366999</v>
      </c>
      <c r="H210" s="3">
        <v>2.416736717980879</v>
      </c>
      <c r="I210" s="3">
        <v>1.048953905943679</v>
      </c>
      <c r="J210" s="3">
        <v>2.4354966990327882</v>
      </c>
      <c r="K210" s="3">
        <v>1.050901622001311</v>
      </c>
    </row>
    <row r="211" spans="1:11" x14ac:dyDescent="0.25">
      <c r="A211" s="2">
        <v>43861</v>
      </c>
      <c r="B211" s="3">
        <v>1</v>
      </c>
      <c r="C211" s="3">
        <v>-1</v>
      </c>
      <c r="D211" s="3">
        <v>0.82830929932612363</v>
      </c>
      <c r="E211" s="3">
        <v>0.17248766655854531</v>
      </c>
      <c r="F211" s="3">
        <v>-0.26394454566787451</v>
      </c>
      <c r="G211" s="3">
        <v>1.0890449556366999</v>
      </c>
      <c r="H211" s="3">
        <v>2.416736717980879</v>
      </c>
      <c r="I211" s="3">
        <v>1.0323318857548269</v>
      </c>
      <c r="J211" s="3">
        <v>2.4354966990327882</v>
      </c>
      <c r="K211" s="3">
        <v>1.0703601100991289</v>
      </c>
    </row>
    <row r="212" spans="1:11" x14ac:dyDescent="0.25">
      <c r="A212" s="2">
        <v>43890</v>
      </c>
      <c r="B212" s="3">
        <v>1</v>
      </c>
      <c r="C212" s="3">
        <v>-1</v>
      </c>
      <c r="D212" s="3">
        <v>0.67638850166937803</v>
      </c>
      <c r="E212" s="3">
        <v>0.17248766655854531</v>
      </c>
      <c r="F212" s="3">
        <v>-0.28857381743524851</v>
      </c>
      <c r="G212" s="3">
        <v>1.0890449556366999</v>
      </c>
      <c r="H212" s="3">
        <v>2.416736717980879</v>
      </c>
      <c r="I212" s="3">
        <v>0.96678341481710328</v>
      </c>
      <c r="J212" s="3">
        <v>2.4354966990327882</v>
      </c>
      <c r="K212" s="3">
        <v>1.0533270270439301</v>
      </c>
    </row>
    <row r="213" spans="1:11" x14ac:dyDescent="0.25">
      <c r="A213" s="2">
        <v>43921</v>
      </c>
      <c r="B213" s="3">
        <v>1</v>
      </c>
      <c r="C213" s="3">
        <v>-1</v>
      </c>
      <c r="D213" s="3">
        <v>0.88791483724582432</v>
      </c>
      <c r="E213" s="3">
        <v>0.17248766655854531</v>
      </c>
      <c r="F213" s="3">
        <v>-0.31389528906633429</v>
      </c>
      <c r="G213" s="3">
        <v>1.0890449556366999</v>
      </c>
      <c r="H213" s="3">
        <v>2.416736717980879</v>
      </c>
      <c r="I213" s="3">
        <v>0.95314535014604429</v>
      </c>
      <c r="J213" s="3">
        <v>2.4354966990327882</v>
      </c>
      <c r="K213" s="3">
        <v>1.206267990543856</v>
      </c>
    </row>
    <row r="214" spans="1:11" x14ac:dyDescent="0.25">
      <c r="A214" s="2">
        <v>43951</v>
      </c>
      <c r="B214" s="3">
        <v>-1</v>
      </c>
      <c r="C214" s="3">
        <v>1</v>
      </c>
      <c r="D214" s="3">
        <v>0.88791483724582432</v>
      </c>
      <c r="E214" s="3">
        <v>0.1249373677411354</v>
      </c>
      <c r="F214" s="3">
        <v>-0.31389528906633429</v>
      </c>
      <c r="G214" s="3">
        <v>1.0549658606269361</v>
      </c>
      <c r="H214" s="3">
        <v>2.525396027088767</v>
      </c>
      <c r="I214" s="3">
        <v>0.95314535014604429</v>
      </c>
      <c r="J214" s="3">
        <v>2.4023345178106101</v>
      </c>
      <c r="K214" s="3">
        <v>1.206267990543856</v>
      </c>
    </row>
    <row r="215" spans="1:11" x14ac:dyDescent="0.25">
      <c r="A215" s="2">
        <v>43982</v>
      </c>
      <c r="B215" s="3">
        <v>-1</v>
      </c>
      <c r="C215" s="3">
        <v>1</v>
      </c>
      <c r="D215" s="3">
        <v>0.88791483724582432</v>
      </c>
      <c r="E215" s="3">
        <v>8.9265950428182528E-2</v>
      </c>
      <c r="F215" s="3">
        <v>-0.31389528906633429</v>
      </c>
      <c r="G215" s="3">
        <v>1.0431089742995729</v>
      </c>
      <c r="H215" s="3">
        <v>2.4930049044575679</v>
      </c>
      <c r="I215" s="3">
        <v>0.95314535014604429</v>
      </c>
      <c r="J215" s="3">
        <v>2.40903956438884</v>
      </c>
      <c r="K215" s="3">
        <v>1.206267990543856</v>
      </c>
    </row>
    <row r="216" spans="1:11" x14ac:dyDescent="0.25">
      <c r="A216" s="2">
        <v>44012</v>
      </c>
      <c r="B216" s="3">
        <v>-1</v>
      </c>
      <c r="C216" s="3">
        <v>1</v>
      </c>
      <c r="D216" s="3">
        <v>0.88791483724582432</v>
      </c>
      <c r="E216" s="3">
        <v>8.9280695666295484E-2</v>
      </c>
      <c r="F216" s="3">
        <v>-0.31389528906633429</v>
      </c>
      <c r="G216" s="3">
        <v>1.06271717092289</v>
      </c>
      <c r="H216" s="3">
        <v>2.662879357070095</v>
      </c>
      <c r="I216" s="3">
        <v>0.95314535014604429</v>
      </c>
      <c r="J216" s="3">
        <v>2.56335862553065</v>
      </c>
      <c r="K216" s="3">
        <v>1.206267990543856</v>
      </c>
    </row>
    <row r="217" spans="1:11" x14ac:dyDescent="0.25">
      <c r="A217" s="2">
        <v>44043</v>
      </c>
      <c r="B217" s="3">
        <v>-1</v>
      </c>
      <c r="C217" s="3">
        <v>1</v>
      </c>
      <c r="D217" s="3">
        <v>0.88791483724582432</v>
      </c>
      <c r="E217" s="3">
        <v>9.0140072432901563E-2</v>
      </c>
      <c r="F217" s="3">
        <v>-0.31389528906633429</v>
      </c>
      <c r="G217" s="3">
        <v>1.1020574514612049</v>
      </c>
      <c r="H217" s="3">
        <v>2.7554917496689182</v>
      </c>
      <c r="I217" s="3">
        <v>0.95314535014604429</v>
      </c>
      <c r="J217" s="3">
        <v>2.5453150524780082</v>
      </c>
      <c r="K217" s="3">
        <v>1.206267990543856</v>
      </c>
    </row>
    <row r="218" spans="1:11" x14ac:dyDescent="0.25">
      <c r="A218" s="2">
        <v>44074</v>
      </c>
      <c r="B218" s="3">
        <v>-1</v>
      </c>
      <c r="C218" s="3">
        <v>1</v>
      </c>
      <c r="D218" s="3">
        <v>0.88791483724582432</v>
      </c>
      <c r="E218" s="3">
        <v>5.8872861582385472E-2</v>
      </c>
      <c r="F218" s="3">
        <v>-0.31389528906633429</v>
      </c>
      <c r="G218" s="3">
        <v>1.051151517948445</v>
      </c>
      <c r="H218" s="3">
        <v>2.8472311885795021</v>
      </c>
      <c r="I218" s="3">
        <v>0.95314535014604429</v>
      </c>
      <c r="J218" s="3">
        <v>2.564195362434841</v>
      </c>
      <c r="K218" s="3">
        <v>1.206267990543856</v>
      </c>
    </row>
    <row r="219" spans="1:11" x14ac:dyDescent="0.25">
      <c r="A219" s="2">
        <v>44104</v>
      </c>
      <c r="B219" s="3">
        <v>1</v>
      </c>
      <c r="C219" s="3">
        <v>-1</v>
      </c>
      <c r="D219" s="3">
        <v>0.91507552411752258</v>
      </c>
      <c r="E219" s="3">
        <v>5.8872861582385472E-2</v>
      </c>
      <c r="F219" s="3">
        <v>-0.30970446015158398</v>
      </c>
      <c r="G219" s="3">
        <v>1.051151517948445</v>
      </c>
      <c r="H219" s="3">
        <v>2.8472311885795021</v>
      </c>
      <c r="I219" s="3">
        <v>1.043028158910702</v>
      </c>
      <c r="J219" s="3">
        <v>2.564195362434841</v>
      </c>
      <c r="K219" s="3">
        <v>1.230440565160362</v>
      </c>
    </row>
    <row r="220" spans="1:11" x14ac:dyDescent="0.25">
      <c r="A220" s="2">
        <v>44135</v>
      </c>
      <c r="B220" s="3">
        <v>-1</v>
      </c>
      <c r="C220" s="3">
        <v>1</v>
      </c>
      <c r="D220" s="3">
        <v>0.91507552411752258</v>
      </c>
      <c r="E220" s="3">
        <v>0.1091553581322042</v>
      </c>
      <c r="F220" s="3">
        <v>-0.30970446015158398</v>
      </c>
      <c r="G220" s="3">
        <v>1.036977463553546</v>
      </c>
      <c r="H220" s="3">
        <v>2.9159033458423269</v>
      </c>
      <c r="I220" s="3">
        <v>1.043028158910702</v>
      </c>
      <c r="J220" s="3">
        <v>2.648052086979118</v>
      </c>
      <c r="K220" s="3">
        <v>1.230440565160362</v>
      </c>
    </row>
    <row r="221" spans="1:11" x14ac:dyDescent="0.25">
      <c r="A221" s="2">
        <v>44165</v>
      </c>
      <c r="B221" s="3">
        <v>-1</v>
      </c>
      <c r="C221" s="3">
        <v>1</v>
      </c>
      <c r="D221" s="3">
        <v>0.91507552411752258</v>
      </c>
      <c r="E221" s="3">
        <v>8.8165550294234007E-2</v>
      </c>
      <c r="F221" s="3">
        <v>-0.30970446015158398</v>
      </c>
      <c r="G221" s="3">
        <v>1.0183285722958899</v>
      </c>
      <c r="H221" s="3">
        <v>3.1919269710508131</v>
      </c>
      <c r="I221" s="3">
        <v>1.043028158910702</v>
      </c>
      <c r="J221" s="3">
        <v>2.6005013760453339</v>
      </c>
      <c r="K221" s="3">
        <v>1.230440565160362</v>
      </c>
    </row>
    <row r="222" spans="1:11" x14ac:dyDescent="0.25">
      <c r="A222" s="2">
        <v>44196</v>
      </c>
      <c r="B222" s="3">
        <v>-1</v>
      </c>
      <c r="C222" s="3">
        <v>1</v>
      </c>
      <c r="D222" s="3">
        <v>0.91507552411752258</v>
      </c>
      <c r="E222" s="3">
        <v>7.0434523020239226E-2</v>
      </c>
      <c r="F222" s="3">
        <v>-0.30970446015158398</v>
      </c>
      <c r="G222" s="3">
        <v>1.028433625873219</v>
      </c>
      <c r="H222" s="3">
        <v>3.2729633414482171</v>
      </c>
      <c r="I222" s="3">
        <v>1.043028158910702</v>
      </c>
      <c r="J222" s="3">
        <v>2.673455635266853</v>
      </c>
      <c r="K222" s="3">
        <v>1.230440565160362</v>
      </c>
    </row>
    <row r="223" spans="1:11" x14ac:dyDescent="0.25">
      <c r="A223" s="2">
        <v>44227</v>
      </c>
      <c r="B223" s="3">
        <v>-1</v>
      </c>
      <c r="C223" s="3">
        <v>1</v>
      </c>
      <c r="D223" s="3">
        <v>0.91507552411752258</v>
      </c>
      <c r="E223" s="3">
        <v>0.1104910365972769</v>
      </c>
      <c r="F223" s="3">
        <v>-0.30970446015158398</v>
      </c>
      <c r="G223" s="3">
        <v>1.006347151444108</v>
      </c>
      <c r="H223" s="3">
        <v>3.357597956870801</v>
      </c>
      <c r="I223" s="3">
        <v>1.043028158910702</v>
      </c>
      <c r="J223" s="3">
        <v>2.8248081674017951</v>
      </c>
      <c r="K223" s="3">
        <v>1.230440565160362</v>
      </c>
    </row>
    <row r="224" spans="1:11" x14ac:dyDescent="0.25">
      <c r="A224" s="2">
        <v>44255</v>
      </c>
      <c r="B224" s="3">
        <v>-1</v>
      </c>
      <c r="C224" s="3">
        <v>1</v>
      </c>
      <c r="D224" s="3">
        <v>0.91507552411752258</v>
      </c>
      <c r="E224" s="3">
        <v>0.12938595341218459</v>
      </c>
      <c r="F224" s="3">
        <v>-0.30970446015158398</v>
      </c>
      <c r="G224" s="3">
        <v>1.0209632808222591</v>
      </c>
      <c r="H224" s="3">
        <v>3.5618547391678468</v>
      </c>
      <c r="I224" s="3">
        <v>1.043028158910702</v>
      </c>
      <c r="J224" s="3">
        <v>2.921220252633955</v>
      </c>
      <c r="K224" s="3">
        <v>1.230440565160362</v>
      </c>
    </row>
    <row r="225" spans="1:11" x14ac:dyDescent="0.25">
      <c r="A225" s="2">
        <v>44286</v>
      </c>
      <c r="B225" s="3">
        <v>-1</v>
      </c>
      <c r="C225" s="3">
        <v>1</v>
      </c>
      <c r="D225" s="3">
        <v>0.91507552411752258</v>
      </c>
      <c r="E225" s="3">
        <v>0.10943359723199041</v>
      </c>
      <c r="F225" s="3">
        <v>-0.30970446015158398</v>
      </c>
      <c r="G225" s="3">
        <v>1.031879428692847</v>
      </c>
      <c r="H225" s="3">
        <v>3.6038839633931401</v>
      </c>
      <c r="I225" s="3">
        <v>1.043028158910702</v>
      </c>
      <c r="J225" s="3">
        <v>3.03291395651148</v>
      </c>
      <c r="K225" s="3">
        <v>1.230440565160362</v>
      </c>
    </row>
    <row r="226" spans="1:11" x14ac:dyDescent="0.25">
      <c r="A226" s="2">
        <v>44316</v>
      </c>
      <c r="B226" s="3">
        <v>-1</v>
      </c>
      <c r="C226" s="3">
        <v>1</v>
      </c>
      <c r="D226" s="3">
        <v>0.91507552411752258</v>
      </c>
      <c r="E226" s="3">
        <v>9.5865748415038032E-2</v>
      </c>
      <c r="F226" s="3">
        <v>-0.30970446015158398</v>
      </c>
      <c r="G226" s="3">
        <v>1.0064926786499391</v>
      </c>
      <c r="H226" s="3">
        <v>3.7441443187639978</v>
      </c>
      <c r="I226" s="3">
        <v>1.043028158910702</v>
      </c>
      <c r="J226" s="3">
        <v>2.9509765560358918</v>
      </c>
      <c r="K226" s="3">
        <v>1.230440565160362</v>
      </c>
    </row>
    <row r="227" spans="1:11" x14ac:dyDescent="0.25">
      <c r="A227" s="2">
        <v>44347</v>
      </c>
      <c r="B227" s="3">
        <v>-1</v>
      </c>
      <c r="C227" s="3">
        <v>1</v>
      </c>
      <c r="D227" s="3">
        <v>0.91507552411752258</v>
      </c>
      <c r="E227" s="3">
        <v>8.2415148827207352E-2</v>
      </c>
      <c r="F227" s="3">
        <v>-0.30970446015158398</v>
      </c>
      <c r="G227" s="3">
        <v>1.017804612270248</v>
      </c>
      <c r="H227" s="3">
        <v>3.799004697548976</v>
      </c>
      <c r="I227" s="3">
        <v>1.043028158910702</v>
      </c>
      <c r="J227" s="3">
        <v>2.928259538472493</v>
      </c>
      <c r="K227" s="3">
        <v>1.230440565160362</v>
      </c>
    </row>
    <row r="228" spans="1:11" x14ac:dyDescent="0.25">
      <c r="A228" s="2">
        <v>44377</v>
      </c>
      <c r="B228" s="3">
        <v>1</v>
      </c>
      <c r="C228" s="3">
        <v>-1</v>
      </c>
      <c r="D228" s="3">
        <v>0.94764030342617778</v>
      </c>
      <c r="E228" s="3">
        <v>8.2415148827207352E-2</v>
      </c>
      <c r="F228" s="3">
        <v>-0.31487915688273632</v>
      </c>
      <c r="G228" s="3">
        <v>1.017804612270248</v>
      </c>
      <c r="H228" s="3">
        <v>3.799004697548976</v>
      </c>
      <c r="I228" s="3">
        <v>1.032494450692063</v>
      </c>
      <c r="J228" s="3">
        <v>2.928259538472493</v>
      </c>
      <c r="K228" s="3">
        <v>1.2504217536040609</v>
      </c>
    </row>
    <row r="229" spans="1:11" x14ac:dyDescent="0.25">
      <c r="A229" s="2">
        <v>44408</v>
      </c>
      <c r="B229" s="3">
        <v>1</v>
      </c>
      <c r="C229" s="3">
        <v>-1</v>
      </c>
      <c r="D229" s="3">
        <v>0.96140231795490116</v>
      </c>
      <c r="E229" s="3">
        <v>8.2415148827207352E-2</v>
      </c>
      <c r="F229" s="3">
        <v>-0.31504606137211028</v>
      </c>
      <c r="G229" s="3">
        <v>1.017804612270248</v>
      </c>
      <c r="H229" s="3">
        <v>3.799004697548976</v>
      </c>
      <c r="I229" s="3">
        <v>1.0187859127761361</v>
      </c>
      <c r="J229" s="3">
        <v>2.928259538472493</v>
      </c>
      <c r="K229" s="3">
        <v>1.319256870037296</v>
      </c>
    </row>
    <row r="230" spans="1:11" x14ac:dyDescent="0.25">
      <c r="A230" s="2">
        <v>44439</v>
      </c>
      <c r="B230" s="3">
        <v>-1</v>
      </c>
      <c r="C230" s="3">
        <v>1</v>
      </c>
      <c r="D230" s="3">
        <v>0.96140231795490116</v>
      </c>
      <c r="E230" s="3">
        <v>6.2459647303991783E-2</v>
      </c>
      <c r="F230" s="3">
        <v>-0.31504606137211028</v>
      </c>
      <c r="G230" s="3">
        <v>0.99485713611874882</v>
      </c>
      <c r="H230" s="3">
        <v>3.8426946737011791</v>
      </c>
      <c r="I230" s="3">
        <v>1.0187859127761361</v>
      </c>
      <c r="J230" s="3">
        <v>2.9686881702614798</v>
      </c>
      <c r="K230" s="3">
        <v>1.319256870037296</v>
      </c>
    </row>
    <row r="231" spans="1:11" x14ac:dyDescent="0.25">
      <c r="A231" s="2">
        <v>44469</v>
      </c>
      <c r="B231" s="3">
        <v>1</v>
      </c>
      <c r="C231" s="3">
        <v>-1</v>
      </c>
      <c r="D231" s="3">
        <v>0.92265487893961406</v>
      </c>
      <c r="E231" s="3">
        <v>6.2459647303991783E-2</v>
      </c>
      <c r="F231" s="3">
        <v>-0.28078009623445221</v>
      </c>
      <c r="G231" s="3">
        <v>0.99485713611874882</v>
      </c>
      <c r="H231" s="3">
        <v>3.8426946737011791</v>
      </c>
      <c r="I231" s="3">
        <v>1.0216696681538151</v>
      </c>
      <c r="J231" s="3">
        <v>2.9686881702614798</v>
      </c>
      <c r="K231" s="3">
        <v>1.308395191785845</v>
      </c>
    </row>
    <row r="232" spans="1:11" x14ac:dyDescent="0.25">
      <c r="A232" s="2">
        <v>44500</v>
      </c>
      <c r="B232" s="3">
        <v>-1</v>
      </c>
      <c r="C232" s="3">
        <v>1</v>
      </c>
      <c r="D232" s="3">
        <v>0.92265487893961406</v>
      </c>
      <c r="E232" s="3">
        <v>4.920606514843251E-2</v>
      </c>
      <c r="F232" s="3">
        <v>-0.28078009623445221</v>
      </c>
      <c r="G232" s="3">
        <v>1.0659168347650549</v>
      </c>
      <c r="H232" s="3">
        <v>3.950178267575208</v>
      </c>
      <c r="I232" s="3">
        <v>1.0216696681538151</v>
      </c>
      <c r="J232" s="3">
        <v>3.0028302922475851</v>
      </c>
      <c r="K232" s="3">
        <v>1.308395191785845</v>
      </c>
    </row>
    <row r="233" spans="1:11" x14ac:dyDescent="0.25">
      <c r="A233" s="2">
        <v>44530</v>
      </c>
      <c r="B233" s="3">
        <v>-1</v>
      </c>
      <c r="C233" s="3">
        <v>1</v>
      </c>
      <c r="D233" s="3">
        <v>0.92265487893961406</v>
      </c>
      <c r="E233" s="3">
        <v>7.891263575760088E-2</v>
      </c>
      <c r="F233" s="3">
        <v>-0.28078009623445221</v>
      </c>
      <c r="G233" s="3">
        <v>1.1119888846386241</v>
      </c>
      <c r="H233" s="3">
        <v>4.0494327607278642</v>
      </c>
      <c r="I233" s="3">
        <v>1.0216696681538151</v>
      </c>
      <c r="J233" s="3">
        <v>2.9533115485419659</v>
      </c>
      <c r="K233" s="3">
        <v>1.308395191785845</v>
      </c>
    </row>
    <row r="234" spans="1:11" x14ac:dyDescent="0.25">
      <c r="A234" s="2">
        <v>44561</v>
      </c>
      <c r="B234" s="3">
        <v>-1</v>
      </c>
      <c r="C234" s="3">
        <v>1</v>
      </c>
      <c r="D234" s="3">
        <v>0.92265487893961406</v>
      </c>
      <c r="E234" s="3">
        <v>5.1346064558962963E-2</v>
      </c>
      <c r="F234" s="3">
        <v>-0.28078009623445221</v>
      </c>
      <c r="G234" s="3">
        <v>1.098964629101048</v>
      </c>
      <c r="H234" s="3">
        <v>4.1909974481955139</v>
      </c>
      <c r="I234" s="3">
        <v>1.0216696681538151</v>
      </c>
      <c r="J234" s="3">
        <v>2.9630652754497242</v>
      </c>
      <c r="K234" s="3">
        <v>1.308395191785845</v>
      </c>
    </row>
    <row r="235" spans="1:11" x14ac:dyDescent="0.25">
      <c r="A235" s="2">
        <v>44592</v>
      </c>
      <c r="B235" s="3">
        <v>1</v>
      </c>
      <c r="C235" s="3">
        <v>-1</v>
      </c>
      <c r="D235" s="3">
        <v>0.96724251720236887</v>
      </c>
      <c r="E235" s="3">
        <v>5.1346064558962963E-2</v>
      </c>
      <c r="F235" s="3">
        <v>-0.28066030179278251</v>
      </c>
      <c r="G235" s="3">
        <v>1.098964629101048</v>
      </c>
      <c r="H235" s="3">
        <v>4.1909974481955139</v>
      </c>
      <c r="I235" s="3">
        <v>1.0593535696369729</v>
      </c>
      <c r="J235" s="3">
        <v>2.9630652754497242</v>
      </c>
      <c r="K235" s="3">
        <v>1.2150544659279701</v>
      </c>
    </row>
    <row r="236" spans="1:11" x14ac:dyDescent="0.25">
      <c r="A236" s="2">
        <v>44620</v>
      </c>
      <c r="B236" s="3">
        <v>1</v>
      </c>
      <c r="C236" s="3">
        <v>-1</v>
      </c>
      <c r="D236" s="3">
        <v>1.0003233057818239</v>
      </c>
      <c r="E236" s="3">
        <v>5.1346064558962963E-2</v>
      </c>
      <c r="F236" s="3">
        <v>-0.28751325125469368</v>
      </c>
      <c r="G236" s="3">
        <v>1.098964629101048</v>
      </c>
      <c r="H236" s="3">
        <v>4.1909974481955139</v>
      </c>
      <c r="I236" s="3">
        <v>1.070764572076401</v>
      </c>
      <c r="J236" s="3">
        <v>2.9630652754497242</v>
      </c>
      <c r="K236" s="3">
        <v>1.1666924886660861</v>
      </c>
    </row>
    <row r="237" spans="1:11" x14ac:dyDescent="0.25">
      <c r="A237" s="2">
        <v>44651</v>
      </c>
      <c r="B237" s="3">
        <v>-1</v>
      </c>
      <c r="C237" s="3">
        <v>1</v>
      </c>
      <c r="D237" s="3">
        <v>1.0003233057818239</v>
      </c>
      <c r="E237" s="3">
        <v>3.3789767756212008E-2</v>
      </c>
      <c r="F237" s="3">
        <v>-0.28751325125469368</v>
      </c>
      <c r="G237" s="3">
        <v>1.127782999338665</v>
      </c>
      <c r="H237" s="3">
        <v>3.9863880832747518</v>
      </c>
      <c r="I237" s="3">
        <v>1.070764572076401</v>
      </c>
      <c r="J237" s="3">
        <v>2.974168171846947</v>
      </c>
      <c r="K237" s="3">
        <v>1.1666924886660861</v>
      </c>
    </row>
    <row r="238" spans="1:11" x14ac:dyDescent="0.25">
      <c r="A238" s="2">
        <v>44681</v>
      </c>
      <c r="B238" s="3">
        <v>-1</v>
      </c>
      <c r="C238" s="3">
        <v>1</v>
      </c>
      <c r="D238" s="3">
        <v>1.0003233057818239</v>
      </c>
      <c r="E238" s="3">
        <v>6.6920286932627304E-2</v>
      </c>
      <c r="F238" s="3">
        <v>-0.28751325125469368</v>
      </c>
      <c r="G238" s="3">
        <v>1.1187579632760709</v>
      </c>
      <c r="H238" s="3">
        <v>3.9555172426489862</v>
      </c>
      <c r="I238" s="3">
        <v>1.070764572076401</v>
      </c>
      <c r="J238" s="3">
        <v>3.1385463953507302</v>
      </c>
      <c r="K238" s="3">
        <v>1.1666924886660861</v>
      </c>
    </row>
    <row r="239" spans="1:11" x14ac:dyDescent="0.25">
      <c r="A239" s="2">
        <v>44712</v>
      </c>
      <c r="B239" s="3">
        <v>1</v>
      </c>
      <c r="C239" s="3">
        <v>-1</v>
      </c>
      <c r="D239" s="3">
        <v>1.1180038143289459</v>
      </c>
      <c r="E239" s="3">
        <v>6.6920286932627304E-2</v>
      </c>
      <c r="F239" s="3">
        <v>-0.27610365077920379</v>
      </c>
      <c r="G239" s="3">
        <v>1.1187579632760709</v>
      </c>
      <c r="H239" s="3">
        <v>3.9555172426489862</v>
      </c>
      <c r="I239" s="3">
        <v>1.0717074956101369</v>
      </c>
      <c r="J239" s="3">
        <v>3.1385463953507302</v>
      </c>
      <c r="K239" s="3">
        <v>1.0643900118939329</v>
      </c>
    </row>
    <row r="240" spans="1:11" x14ac:dyDescent="0.25">
      <c r="A240" s="2">
        <v>44742</v>
      </c>
      <c r="B240" s="3">
        <v>1</v>
      </c>
      <c r="C240" s="3">
        <v>-1</v>
      </c>
      <c r="D240" s="3">
        <v>1.1358061739448131</v>
      </c>
      <c r="E240" s="3">
        <v>6.6920286932627304E-2</v>
      </c>
      <c r="F240" s="3">
        <v>-0.28688492964941498</v>
      </c>
      <c r="G240" s="3">
        <v>1.1187579632760709</v>
      </c>
      <c r="H240" s="3">
        <v>3.9555172426489862</v>
      </c>
      <c r="I240" s="3">
        <v>1.0568319557179271</v>
      </c>
      <c r="J240" s="3">
        <v>3.1385463953507302</v>
      </c>
      <c r="K240" s="3">
        <v>1.042878116399792</v>
      </c>
    </row>
    <row r="241" spans="1:11" x14ac:dyDescent="0.25">
      <c r="A241" s="2">
        <v>44773</v>
      </c>
      <c r="B241" s="3">
        <v>-1</v>
      </c>
      <c r="C241" s="3">
        <v>1</v>
      </c>
      <c r="D241" s="3">
        <v>1.1358061739448131</v>
      </c>
      <c r="E241" s="3">
        <v>2.1606669398912311E-2</v>
      </c>
      <c r="F241" s="3">
        <v>-0.28688492964941498</v>
      </c>
      <c r="G241" s="3">
        <v>1.0988572425428149</v>
      </c>
      <c r="H241" s="3">
        <v>4.1041680049210223</v>
      </c>
      <c r="I241" s="3">
        <v>1.0568319557179271</v>
      </c>
      <c r="J241" s="3">
        <v>3.2152901905699389</v>
      </c>
      <c r="K241" s="3">
        <v>1.042878116399792</v>
      </c>
    </row>
    <row r="242" spans="1:11" x14ac:dyDescent="0.25">
      <c r="A242" s="2">
        <v>44804</v>
      </c>
      <c r="B242" s="3">
        <v>-1</v>
      </c>
      <c r="C242" s="3">
        <v>1</v>
      </c>
      <c r="D242" s="3">
        <v>1.1358061739448131</v>
      </c>
      <c r="E242" s="3">
        <v>8.7981474792729442E-2</v>
      </c>
      <c r="F242" s="3">
        <v>-0.28688492964941498</v>
      </c>
      <c r="G242" s="3">
        <v>1.0777445824518901</v>
      </c>
      <c r="H242" s="3">
        <v>4.1232332479015144</v>
      </c>
      <c r="I242" s="3">
        <v>1.0568319557179271</v>
      </c>
      <c r="J242" s="3">
        <v>3.2383483300667129</v>
      </c>
      <c r="K242" s="3">
        <v>1.042878116399792</v>
      </c>
    </row>
    <row r="243" spans="1:11" x14ac:dyDescent="0.25">
      <c r="A243" s="2">
        <v>44834</v>
      </c>
      <c r="B243" s="3">
        <v>-1</v>
      </c>
      <c r="C243" s="3">
        <v>1</v>
      </c>
      <c r="D243" s="3">
        <v>1.1358061739448131</v>
      </c>
      <c r="E243" s="3">
        <v>0.13789405772529381</v>
      </c>
      <c r="F243" s="3">
        <v>-0.28688492964941498</v>
      </c>
      <c r="G243" s="3">
        <v>1.0238029372030191</v>
      </c>
      <c r="H243" s="3">
        <v>4.1914813558152204</v>
      </c>
      <c r="I243" s="3">
        <v>1.0568319557179271</v>
      </c>
      <c r="J243" s="3">
        <v>3.3733902471170891</v>
      </c>
      <c r="K243" s="3">
        <v>1.042878116399792</v>
      </c>
    </row>
    <row r="244" spans="1:11" x14ac:dyDescent="0.25">
      <c r="A244" s="2">
        <v>44865</v>
      </c>
      <c r="B244" s="3">
        <v>-1</v>
      </c>
      <c r="C244" s="3">
        <v>1</v>
      </c>
      <c r="D244" s="3">
        <v>1.1358061739448131</v>
      </c>
      <c r="E244" s="3">
        <v>0.1015971517970078</v>
      </c>
      <c r="F244" s="3">
        <v>-0.28688492964941498</v>
      </c>
      <c r="G244" s="3">
        <v>1.0880060354015779</v>
      </c>
      <c r="H244" s="3">
        <v>4.278958240387662</v>
      </c>
      <c r="I244" s="3">
        <v>1.0568319557179271</v>
      </c>
      <c r="J244" s="3">
        <v>3.4246955139262441</v>
      </c>
      <c r="K244" s="3">
        <v>1.042878116399792</v>
      </c>
    </row>
    <row r="245" spans="1:11" x14ac:dyDescent="0.25">
      <c r="A245" s="2">
        <v>44895</v>
      </c>
      <c r="B245" s="3">
        <v>1</v>
      </c>
      <c r="C245" s="3">
        <v>-1</v>
      </c>
      <c r="D245" s="3">
        <v>1.207058462741293</v>
      </c>
      <c r="E245" s="3">
        <v>0.1015971517970078</v>
      </c>
      <c r="F245" s="3">
        <v>-0.30591820872414061</v>
      </c>
      <c r="G245" s="3">
        <v>1.0880060354015779</v>
      </c>
      <c r="H245" s="3">
        <v>4.278958240387662</v>
      </c>
      <c r="I245" s="3">
        <v>1.08935089928261</v>
      </c>
      <c r="J245" s="3">
        <v>3.4246955139262441</v>
      </c>
      <c r="K245" s="3">
        <v>0.98737571356427889</v>
      </c>
    </row>
    <row r="246" spans="1:11" x14ac:dyDescent="0.25">
      <c r="A246" s="2">
        <v>44926</v>
      </c>
      <c r="B246" s="3">
        <v>1</v>
      </c>
      <c r="C246" s="3">
        <v>-1</v>
      </c>
      <c r="D246" s="3">
        <v>1.1860497142564661</v>
      </c>
      <c r="E246" s="3">
        <v>0.1015971517970078</v>
      </c>
      <c r="F246" s="3">
        <v>-0.27795265704977867</v>
      </c>
      <c r="G246" s="3">
        <v>1.0880060354015779</v>
      </c>
      <c r="H246" s="3">
        <v>4.278958240387662</v>
      </c>
      <c r="I246" s="3">
        <v>1.164556347232075</v>
      </c>
      <c r="J246" s="3">
        <v>3.4246955139262441</v>
      </c>
      <c r="K246" s="3">
        <v>1.120444322646599</v>
      </c>
    </row>
    <row r="247" spans="1:11" x14ac:dyDescent="0.25">
      <c r="A247" s="2">
        <v>44957</v>
      </c>
      <c r="B247" s="3">
        <v>1</v>
      </c>
      <c r="C247" s="3">
        <v>-1</v>
      </c>
      <c r="D247" s="3">
        <v>1.220631745639799</v>
      </c>
      <c r="E247" s="3">
        <v>0.1015971517970078</v>
      </c>
      <c r="F247" s="3">
        <v>-0.27765603942942629</v>
      </c>
      <c r="G247" s="3">
        <v>1.0880060354015779</v>
      </c>
      <c r="H247" s="3">
        <v>4.278958240387662</v>
      </c>
      <c r="I247" s="3">
        <v>1.1332523460682331</v>
      </c>
      <c r="J247" s="3">
        <v>3.4246955139262441</v>
      </c>
      <c r="K247" s="3">
        <v>1.2491247112232371</v>
      </c>
    </row>
    <row r="248" spans="1:11" x14ac:dyDescent="0.25">
      <c r="A248" s="2">
        <v>44985</v>
      </c>
      <c r="B248" s="3">
        <v>-1</v>
      </c>
      <c r="C248" s="3">
        <v>1</v>
      </c>
      <c r="D248" s="3">
        <v>1.220631745639799</v>
      </c>
      <c r="E248" s="3">
        <v>0.1078246580973752</v>
      </c>
      <c r="F248" s="3">
        <v>-0.27765603942942629</v>
      </c>
      <c r="G248" s="3">
        <v>1.096540275595755</v>
      </c>
      <c r="H248" s="3">
        <v>4.3925771705354846</v>
      </c>
      <c r="I248" s="3">
        <v>1.1332523460682331</v>
      </c>
      <c r="J248" s="3">
        <v>3.500225647963823</v>
      </c>
      <c r="K248" s="3">
        <v>1.2491247112232371</v>
      </c>
    </row>
    <row r="249" spans="1:11" x14ac:dyDescent="0.25">
      <c r="A249" s="2">
        <v>45016</v>
      </c>
      <c r="B249" s="3">
        <v>1</v>
      </c>
      <c r="C249" s="3">
        <v>-1</v>
      </c>
      <c r="D249" s="3">
        <v>1.2790987641576901</v>
      </c>
      <c r="E249" s="3">
        <v>0.1078246580973752</v>
      </c>
      <c r="F249" s="3">
        <v>-0.28738322706740138</v>
      </c>
      <c r="G249" s="3">
        <v>1.096540275595755</v>
      </c>
      <c r="H249" s="3">
        <v>4.3925771705354846</v>
      </c>
      <c r="I249" s="3">
        <v>1.121854095989324</v>
      </c>
      <c r="J249" s="3">
        <v>3.500225647963823</v>
      </c>
      <c r="K249" s="3">
        <v>1.2558594412374819</v>
      </c>
    </row>
    <row r="250" spans="1:11" x14ac:dyDescent="0.25">
      <c r="A250" s="2">
        <v>45046</v>
      </c>
      <c r="B250" s="3">
        <v>-1</v>
      </c>
      <c r="C250" s="3">
        <v>1</v>
      </c>
      <c r="D250" s="3">
        <v>1.2790987641576901</v>
      </c>
      <c r="E250" s="3">
        <v>9.8592429404126936E-2</v>
      </c>
      <c r="F250" s="3">
        <v>-0.28738322706740138</v>
      </c>
      <c r="G250" s="3">
        <v>1.1180392172773219</v>
      </c>
      <c r="H250" s="3">
        <v>4.3956581954092409</v>
      </c>
      <c r="I250" s="3">
        <v>1.121854095989324</v>
      </c>
      <c r="J250" s="3">
        <v>3.470562952486719</v>
      </c>
      <c r="K250" s="3">
        <v>1.2558594412374819</v>
      </c>
    </row>
    <row r="251" spans="1:11" x14ac:dyDescent="0.25">
      <c r="A251" s="2">
        <v>45077</v>
      </c>
      <c r="B251" s="3">
        <v>-1</v>
      </c>
      <c r="C251" s="3">
        <v>1</v>
      </c>
      <c r="D251" s="3">
        <v>1.2790987641576901</v>
      </c>
      <c r="E251" s="3">
        <v>0.1003667900795473</v>
      </c>
      <c r="F251" s="3">
        <v>-0.28738322706740138</v>
      </c>
      <c r="G251" s="3">
        <v>1.1575773333419681</v>
      </c>
      <c r="H251" s="3">
        <v>4.3542020919310938</v>
      </c>
      <c r="I251" s="3">
        <v>1.121854095989324</v>
      </c>
      <c r="J251" s="3">
        <v>3.522140909755811</v>
      </c>
      <c r="K251" s="3">
        <v>1.2558594412374819</v>
      </c>
    </row>
    <row r="252" spans="1:11" x14ac:dyDescent="0.25">
      <c r="A252" s="2">
        <v>45107</v>
      </c>
      <c r="B252" s="3">
        <v>-1</v>
      </c>
      <c r="C252" s="3">
        <v>1</v>
      </c>
      <c r="D252" s="3">
        <v>1.2790987641576901</v>
      </c>
      <c r="E252" s="3">
        <v>8.3240810797893472E-2</v>
      </c>
      <c r="F252" s="3">
        <v>-0.28738322706740138</v>
      </c>
      <c r="G252" s="3">
        <v>1.1714610330541959</v>
      </c>
      <c r="H252" s="3">
        <v>4.4653850722479014</v>
      </c>
      <c r="I252" s="3">
        <v>1.121854095989324</v>
      </c>
      <c r="J252" s="3">
        <v>3.6028498281000449</v>
      </c>
      <c r="K252" s="3">
        <v>1.2558594412374819</v>
      </c>
    </row>
    <row r="253" spans="1:11" x14ac:dyDescent="0.25">
      <c r="A253" s="2">
        <v>45138</v>
      </c>
      <c r="B253" s="3">
        <v>-1</v>
      </c>
      <c r="C253" s="3">
        <v>1</v>
      </c>
      <c r="D253" s="3">
        <v>1.2790987641576901</v>
      </c>
      <c r="E253" s="3">
        <v>7.4631058871336808E-2</v>
      </c>
      <c r="F253" s="3">
        <v>-0.28738322706740138</v>
      </c>
      <c r="G253" s="3">
        <v>1.1436696478829269</v>
      </c>
      <c r="H253" s="3">
        <v>4.4207824753282194</v>
      </c>
      <c r="I253" s="3">
        <v>1.121854095989324</v>
      </c>
      <c r="J253" s="3">
        <v>3.7594446893556448</v>
      </c>
      <c r="K253" s="3">
        <v>1.2558594412374819</v>
      </c>
    </row>
    <row r="254" spans="1:11" x14ac:dyDescent="0.25">
      <c r="A254" s="2">
        <v>45169</v>
      </c>
      <c r="B254" s="3">
        <v>-1</v>
      </c>
      <c r="C254" s="3">
        <v>1</v>
      </c>
      <c r="D254" s="3">
        <v>1.2790987641576901</v>
      </c>
      <c r="E254" s="3">
        <v>4.7688586495506342E-2</v>
      </c>
      <c r="F254" s="3">
        <v>-0.28738322706740138</v>
      </c>
      <c r="G254" s="3">
        <v>1.237971823339538</v>
      </c>
      <c r="H254" s="3">
        <v>4.3371257333511473</v>
      </c>
      <c r="I254" s="3">
        <v>1.121854095989324</v>
      </c>
      <c r="J254" s="3">
        <v>3.9607055716368911</v>
      </c>
      <c r="K254" s="3">
        <v>1.2558594412374819</v>
      </c>
    </row>
    <row r="255" spans="1:11" x14ac:dyDescent="0.25">
      <c r="A255" s="2">
        <v>45199</v>
      </c>
      <c r="B255" s="3">
        <v>-1</v>
      </c>
      <c r="C255" s="3">
        <v>1</v>
      </c>
      <c r="D255" s="3">
        <v>1.2790987641576901</v>
      </c>
      <c r="E255" s="3">
        <v>5.4725295577257471E-2</v>
      </c>
      <c r="F255" s="3">
        <v>-0.28738322706740138</v>
      </c>
      <c r="G255" s="3">
        <v>1.1706217603699121</v>
      </c>
      <c r="H255" s="3">
        <v>4.2797867731022663</v>
      </c>
      <c r="I255" s="3">
        <v>1.121854095989324</v>
      </c>
      <c r="J255" s="3">
        <v>4.0625912412389447</v>
      </c>
      <c r="K255" s="3">
        <v>1.2558594412374819</v>
      </c>
    </row>
    <row r="256" spans="1:11" x14ac:dyDescent="0.25">
      <c r="A256" s="2">
        <v>45230</v>
      </c>
      <c r="B256" s="3">
        <v>-1</v>
      </c>
      <c r="C256" s="3">
        <v>1</v>
      </c>
      <c r="D256" s="3">
        <v>1.2790987641576901</v>
      </c>
      <c r="E256" s="3">
        <v>6.1915736703531898E-2</v>
      </c>
      <c r="F256" s="3">
        <v>-0.28738322706740138</v>
      </c>
      <c r="G256" s="3">
        <v>1.180678923665893</v>
      </c>
      <c r="H256" s="3">
        <v>4.3061550600360601</v>
      </c>
      <c r="I256" s="3">
        <v>1.121854095989324</v>
      </c>
      <c r="J256" s="3">
        <v>4.2714036049153963</v>
      </c>
      <c r="K256" s="3">
        <v>1.2558594412374819</v>
      </c>
    </row>
    <row r="257" spans="1:11" x14ac:dyDescent="0.25">
      <c r="A257" s="2">
        <v>45260</v>
      </c>
      <c r="B257" s="3">
        <v>1</v>
      </c>
      <c r="C257" s="3">
        <v>-1</v>
      </c>
      <c r="D257" s="3">
        <v>1.294823098827057</v>
      </c>
      <c r="E257" s="3">
        <v>6.1915736703531898E-2</v>
      </c>
      <c r="F257" s="3">
        <v>-0.29554547249074892</v>
      </c>
      <c r="G257" s="3">
        <v>1.180678923665893</v>
      </c>
      <c r="H257" s="3">
        <v>4.3061550600360601</v>
      </c>
      <c r="I257" s="3">
        <v>1.028282387272212</v>
      </c>
      <c r="J257" s="3">
        <v>4.2714036049153963</v>
      </c>
      <c r="K257" s="3">
        <v>1.3828803846863751</v>
      </c>
    </row>
    <row r="258" spans="1:11" x14ac:dyDescent="0.25">
      <c r="A258" s="2">
        <v>45291</v>
      </c>
      <c r="B258" s="3">
        <v>1</v>
      </c>
      <c r="C258" s="3">
        <v>-1</v>
      </c>
      <c r="D258" s="3">
        <v>1.307497496480192</v>
      </c>
      <c r="E258" s="3">
        <v>6.1915736703531898E-2</v>
      </c>
      <c r="F258" s="3">
        <v>-0.29535623265925243</v>
      </c>
      <c r="G258" s="3">
        <v>1.180678923665893</v>
      </c>
      <c r="H258" s="3">
        <v>4.3061550600360601</v>
      </c>
      <c r="I258" s="3">
        <v>1.0200272267961019</v>
      </c>
      <c r="J258" s="3">
        <v>4.2714036049153963</v>
      </c>
      <c r="K258" s="3">
        <v>1.487540591375718</v>
      </c>
    </row>
    <row r="259" spans="1:11" x14ac:dyDescent="0.25">
      <c r="A259" s="2">
        <v>45322</v>
      </c>
      <c r="B259" s="3">
        <v>-1</v>
      </c>
      <c r="C259" s="3">
        <v>1</v>
      </c>
      <c r="D259" s="3">
        <v>1.307497496480192</v>
      </c>
      <c r="E259" s="3">
        <v>6.6067701909375165E-2</v>
      </c>
      <c r="F259" s="3">
        <v>-0.29535623265925243</v>
      </c>
      <c r="G259" s="3">
        <v>1.244276447696133</v>
      </c>
      <c r="H259" s="3">
        <v>4.2990528755407089</v>
      </c>
      <c r="I259" s="3">
        <v>1.0200272267961019</v>
      </c>
      <c r="J259" s="3">
        <v>4.3583207235142858</v>
      </c>
      <c r="K259" s="3">
        <v>1.487540591375718</v>
      </c>
    </row>
    <row r="260" spans="1:11" x14ac:dyDescent="0.25">
      <c r="A260" s="2">
        <v>45351</v>
      </c>
      <c r="B260" s="3">
        <v>-1</v>
      </c>
      <c r="C260" s="3">
        <v>1</v>
      </c>
      <c r="D260" s="3">
        <v>1.307497496480192</v>
      </c>
      <c r="E260" s="3">
        <v>6.4833152275489692E-2</v>
      </c>
      <c r="F260" s="3">
        <v>-0.29535623265925243</v>
      </c>
      <c r="G260" s="3">
        <v>1.2818852547661661</v>
      </c>
      <c r="H260" s="3">
        <v>4.4644792397421247</v>
      </c>
      <c r="I260" s="3">
        <v>1.0200272267961019</v>
      </c>
      <c r="J260" s="3">
        <v>4.4533343348819256</v>
      </c>
      <c r="K260" s="3">
        <v>1.487540591375718</v>
      </c>
    </row>
    <row r="261" spans="1:11" x14ac:dyDescent="0.25">
      <c r="A261" s="2">
        <v>45382</v>
      </c>
      <c r="B261" s="3">
        <v>-1</v>
      </c>
      <c r="C261" s="3">
        <v>1</v>
      </c>
      <c r="D261" s="3">
        <v>1.307497496480192</v>
      </c>
      <c r="E261" s="3">
        <v>6.3015325476572404E-2</v>
      </c>
      <c r="F261" s="3">
        <v>-0.29535623265925243</v>
      </c>
      <c r="G261" s="3">
        <v>1.3193375406398939</v>
      </c>
      <c r="H261" s="3">
        <v>4.5372410296589942</v>
      </c>
      <c r="I261" s="3">
        <v>1.0200272267961019</v>
      </c>
      <c r="J261" s="3">
        <v>4.3367371449508214</v>
      </c>
      <c r="K261" s="3">
        <v>1.487540591375718</v>
      </c>
    </row>
    <row r="262" spans="1:11" x14ac:dyDescent="0.25">
      <c r="A262" s="2">
        <v>45412</v>
      </c>
      <c r="B262" s="3">
        <v>-1</v>
      </c>
      <c r="C262" s="3">
        <v>1</v>
      </c>
      <c r="D262" s="3">
        <v>1.307497496480192</v>
      </c>
      <c r="E262" s="3">
        <v>4.8158283529701862E-2</v>
      </c>
      <c r="F262" s="3">
        <v>-0.29535623265925243</v>
      </c>
      <c r="G262" s="3">
        <v>1.295332470693495</v>
      </c>
      <c r="H262" s="3">
        <v>4.4887438215647606</v>
      </c>
      <c r="I262" s="3">
        <v>1.0200272267961019</v>
      </c>
      <c r="J262" s="3">
        <v>4.5027911023632416</v>
      </c>
      <c r="K262" s="3">
        <v>1.487540591375718</v>
      </c>
    </row>
    <row r="263" spans="1:11" x14ac:dyDescent="0.25">
      <c r="A263" s="2">
        <v>45443</v>
      </c>
      <c r="B263" s="3">
        <v>-1</v>
      </c>
      <c r="C263" s="3">
        <v>1</v>
      </c>
      <c r="D263" s="3">
        <v>1.307497496480192</v>
      </c>
      <c r="E263" s="3">
        <v>5.5910966767613653E-2</v>
      </c>
      <c r="F263" s="3">
        <v>-0.29535623265925243</v>
      </c>
      <c r="G263" s="3">
        <v>1.267209628057026</v>
      </c>
      <c r="H263" s="3">
        <v>4.6530322354960383</v>
      </c>
      <c r="I263" s="3">
        <v>1.0200272267961019</v>
      </c>
      <c r="J263" s="3">
        <v>4.3279390287253658</v>
      </c>
      <c r="K263" s="3">
        <v>1.487540591375718</v>
      </c>
    </row>
    <row r="264" spans="1:11" x14ac:dyDescent="0.25">
      <c r="A264" s="2">
        <v>45473</v>
      </c>
      <c r="B264" s="3">
        <v>1</v>
      </c>
      <c r="C264" s="3">
        <v>-1</v>
      </c>
      <c r="D264" s="3">
        <v>1.3138206816743141</v>
      </c>
      <c r="E264" s="3">
        <v>5.5910966767613653E-2</v>
      </c>
      <c r="F264" s="3">
        <v>-0.27617361367360499</v>
      </c>
      <c r="G264" s="3">
        <v>1.267209628057026</v>
      </c>
      <c r="H264" s="3">
        <v>4.6530322354960383</v>
      </c>
      <c r="I264" s="3">
        <v>0.99460749419379746</v>
      </c>
      <c r="J264" s="3">
        <v>4.3279390287253658</v>
      </c>
      <c r="K264" s="3">
        <v>1.5257203656868521</v>
      </c>
    </row>
    <row r="265" spans="1:11" x14ac:dyDescent="0.25">
      <c r="A265" s="2">
        <v>45504</v>
      </c>
      <c r="B265" s="3">
        <v>-1</v>
      </c>
      <c r="C265" s="3">
        <v>1</v>
      </c>
      <c r="D265" s="3">
        <v>1.3138206816743141</v>
      </c>
      <c r="E265" s="3">
        <v>6.2738392142796195E-2</v>
      </c>
      <c r="F265" s="3">
        <v>-0.27617361367360499</v>
      </c>
      <c r="G265" s="3">
        <v>1.3199065578688769</v>
      </c>
      <c r="H265" s="3">
        <v>4.7670586310526222</v>
      </c>
      <c r="I265" s="3">
        <v>0.99460749419379746</v>
      </c>
      <c r="J265" s="3">
        <v>4.252817334332021</v>
      </c>
      <c r="K265" s="3">
        <v>1.5257203656868521</v>
      </c>
    </row>
    <row r="266" spans="1:11" x14ac:dyDescent="0.25">
      <c r="A266" s="2">
        <v>45535</v>
      </c>
      <c r="B266" s="3">
        <v>1</v>
      </c>
      <c r="C266" s="3">
        <v>-1</v>
      </c>
      <c r="D266" s="3">
        <v>1.3267696513012459</v>
      </c>
      <c r="E266" s="3">
        <v>6.2738392142796195E-2</v>
      </c>
      <c r="F266" s="3">
        <v>-0.25966282032454879</v>
      </c>
      <c r="G266" s="3">
        <v>1.3199065578688769</v>
      </c>
      <c r="H266" s="3">
        <v>4.7670586310526222</v>
      </c>
      <c r="I266" s="3">
        <v>1.113022066420587</v>
      </c>
      <c r="J266" s="3">
        <v>4.252817334332021</v>
      </c>
      <c r="K266" s="3">
        <v>1.565295276161188</v>
      </c>
    </row>
    <row r="267" spans="1:11" x14ac:dyDescent="0.25">
      <c r="A267" s="2">
        <v>45565</v>
      </c>
      <c r="B267" s="3">
        <v>1</v>
      </c>
      <c r="C267" s="3">
        <v>-1</v>
      </c>
      <c r="D267" s="3">
        <v>1.343469810615161</v>
      </c>
      <c r="E267" s="3">
        <v>6.2738392142796195E-2</v>
      </c>
      <c r="F267" s="3">
        <v>-0.25541984814818153</v>
      </c>
      <c r="G267" s="3">
        <v>1.3199065578688769</v>
      </c>
      <c r="H267" s="3">
        <v>4.7670586310526222</v>
      </c>
      <c r="I267" s="3">
        <v>1.177874695130251</v>
      </c>
      <c r="J267" s="3">
        <v>4.252817334332021</v>
      </c>
      <c r="K267" s="3">
        <v>1.6656488877767579</v>
      </c>
    </row>
    <row r="268" spans="1:11" x14ac:dyDescent="0.25">
      <c r="A268" s="2">
        <v>45596</v>
      </c>
      <c r="B268" s="3">
        <v>-1</v>
      </c>
      <c r="C268" s="3">
        <v>1</v>
      </c>
      <c r="D268" s="3">
        <v>1.343469810615161</v>
      </c>
      <c r="E268" s="3">
        <v>9.0124909052738289E-2</v>
      </c>
      <c r="F268" s="3">
        <v>-0.25541984814818153</v>
      </c>
      <c r="G268" s="3">
        <v>1.3255522169921019</v>
      </c>
      <c r="H268" s="3">
        <v>4.7075559066888344</v>
      </c>
      <c r="I268" s="3">
        <v>1.177874695130251</v>
      </c>
      <c r="J268" s="3">
        <v>4.4128387478975339</v>
      </c>
      <c r="K268" s="3">
        <v>1.6656488877767579</v>
      </c>
    </row>
    <row r="269" spans="1:11" x14ac:dyDescent="0.25">
      <c r="A269" s="2">
        <v>45626</v>
      </c>
      <c r="B269" s="3">
        <v>-1</v>
      </c>
      <c r="C269" s="3">
        <v>1</v>
      </c>
      <c r="D269" s="3">
        <v>1.343469810615161</v>
      </c>
      <c r="E269" s="3">
        <v>7.3887342141165879E-2</v>
      </c>
      <c r="F269" s="3">
        <v>-0.25541984814818153</v>
      </c>
      <c r="G269" s="3">
        <v>1.418130599421181</v>
      </c>
      <c r="H269" s="3">
        <v>4.974418596124246</v>
      </c>
      <c r="I269" s="3">
        <v>1.177874695130251</v>
      </c>
      <c r="J269" s="3">
        <v>4.4568219174901316</v>
      </c>
      <c r="K269" s="3">
        <v>1.6656488877767579</v>
      </c>
    </row>
    <row r="270" spans="1:11" x14ac:dyDescent="0.25">
      <c r="A270" s="2">
        <v>45657</v>
      </c>
      <c r="B270" s="3">
        <v>-1</v>
      </c>
      <c r="C270" s="3">
        <v>1</v>
      </c>
      <c r="D270" s="3">
        <v>1.343469810615161</v>
      </c>
      <c r="E270" s="3">
        <v>8.2914693804006845E-2</v>
      </c>
      <c r="F270" s="3">
        <v>-0.25541984814818153</v>
      </c>
      <c r="G270" s="3">
        <v>1.391464719507242</v>
      </c>
      <c r="H270" s="3">
        <v>5.0264896780736494</v>
      </c>
      <c r="I270" s="3">
        <v>1.177874695130251</v>
      </c>
      <c r="J270" s="3">
        <v>4.4130320240860321</v>
      </c>
      <c r="K270" s="3">
        <v>1.6656488877767579</v>
      </c>
    </row>
    <row r="271" spans="1:11" x14ac:dyDescent="0.25">
      <c r="A271" s="2">
        <v>45688</v>
      </c>
      <c r="B271" s="3">
        <v>-1</v>
      </c>
      <c r="C271" s="3">
        <v>1</v>
      </c>
      <c r="D271" s="3">
        <v>1.343469810615161</v>
      </c>
      <c r="E271" s="3">
        <v>9.3733832184675459E-2</v>
      </c>
      <c r="F271" s="3">
        <v>-0.25541984814818153</v>
      </c>
      <c r="G271" s="3">
        <v>1.4064646768977871</v>
      </c>
      <c r="H271" s="3">
        <v>5.0624301652030974</v>
      </c>
      <c r="I271" s="3">
        <v>1.177874695130251</v>
      </c>
      <c r="J271" s="3">
        <v>4.4937626063463414</v>
      </c>
      <c r="K271" s="3">
        <v>1.6656488877767579</v>
      </c>
    </row>
    <row r="272" spans="1:11" x14ac:dyDescent="0.25">
      <c r="A272" s="2">
        <v>45716</v>
      </c>
      <c r="B272" s="3">
        <v>1</v>
      </c>
      <c r="C272" s="3">
        <v>-1</v>
      </c>
      <c r="D272" s="3">
        <v>1.332163128191677</v>
      </c>
      <c r="E272" s="3">
        <v>9.3733832184675459E-2</v>
      </c>
      <c r="F272" s="3">
        <v>-0.27652991676716138</v>
      </c>
      <c r="G272" s="3">
        <v>1.4064646768977871</v>
      </c>
      <c r="H272" s="3">
        <v>5.0624301652030974</v>
      </c>
      <c r="I272" s="3">
        <v>1.1814569410454481</v>
      </c>
      <c r="J272" s="3">
        <v>4.4937626063463414</v>
      </c>
      <c r="K272" s="3">
        <v>1.721133415327972</v>
      </c>
    </row>
    <row r="273" spans="1:11" x14ac:dyDescent="0.25">
      <c r="A273" s="2">
        <v>45747</v>
      </c>
      <c r="B273" s="3">
        <v>1</v>
      </c>
      <c r="C273" s="3">
        <v>-1</v>
      </c>
      <c r="D273" s="3">
        <v>1.3141888362814409</v>
      </c>
      <c r="E273" s="3">
        <v>9.3733832184675459E-2</v>
      </c>
      <c r="F273" s="3">
        <v>-0.27931805397574061</v>
      </c>
      <c r="G273" s="3">
        <v>1.4064646768977871</v>
      </c>
      <c r="H273" s="3">
        <v>5.0624301652030974</v>
      </c>
      <c r="I273" s="3">
        <v>1.248548277695263</v>
      </c>
      <c r="J273" s="3">
        <v>4.4937626063463414</v>
      </c>
      <c r="K273" s="3">
        <v>1.660865753587482</v>
      </c>
    </row>
    <row r="274" spans="1:11" x14ac:dyDescent="0.25">
      <c r="A274" s="2">
        <v>45777</v>
      </c>
      <c r="B274" s="3">
        <v>1</v>
      </c>
      <c r="C274" s="3">
        <v>-1</v>
      </c>
      <c r="D274" s="3">
        <v>1.431859120390012</v>
      </c>
      <c r="E274" s="3">
        <v>9.3733832184675459E-2</v>
      </c>
      <c r="F274" s="3">
        <v>-0.30397023409914897</v>
      </c>
      <c r="G274" s="3">
        <v>1.4064646768977871</v>
      </c>
      <c r="H274" s="3">
        <v>5.0624301652030974</v>
      </c>
      <c r="I274" s="3">
        <v>1.4744197653192781</v>
      </c>
      <c r="J274" s="3">
        <v>4.4937626063463414</v>
      </c>
      <c r="K274" s="3">
        <v>1.643130226382548</v>
      </c>
    </row>
    <row r="275" spans="1:11" x14ac:dyDescent="0.25">
      <c r="A275" s="2">
        <v>45808</v>
      </c>
      <c r="B275" s="3">
        <v>-1</v>
      </c>
      <c r="C275" s="3">
        <v>1</v>
      </c>
      <c r="D275" s="3">
        <v>1.431859120390012</v>
      </c>
      <c r="E275" s="3">
        <v>8.1262083108918581E-2</v>
      </c>
      <c r="F275" s="3">
        <v>-0.30397023409914897</v>
      </c>
      <c r="G275" s="3">
        <v>1.472168324353829</v>
      </c>
      <c r="H275" s="3">
        <v>5.1354448271094988</v>
      </c>
      <c r="I275" s="3">
        <v>1.4744197653192781</v>
      </c>
      <c r="J275" s="3">
        <v>4.5702839096700973</v>
      </c>
      <c r="K275" s="3">
        <v>1.643130226382548</v>
      </c>
    </row>
    <row r="276" spans="1:11" x14ac:dyDescent="0.25">
      <c r="A276" s="2">
        <v>45838</v>
      </c>
      <c r="B276" s="3">
        <v>-1</v>
      </c>
      <c r="C276" s="3">
        <v>1</v>
      </c>
      <c r="D276" s="3">
        <v>1.431859120390012</v>
      </c>
      <c r="E276" s="3">
        <v>4.9709819670465061E-2</v>
      </c>
      <c r="F276" s="3">
        <v>-0.30397023409914897</v>
      </c>
      <c r="G276" s="3">
        <v>1.514246695723273</v>
      </c>
      <c r="H276" s="3">
        <v>5.2367001310987451</v>
      </c>
      <c r="I276" s="3">
        <v>1.4744197653192781</v>
      </c>
      <c r="J276" s="3">
        <v>4.608520428831743</v>
      </c>
      <c r="K276" s="3">
        <v>1.643130226382548</v>
      </c>
    </row>
    <row r="277" spans="1:11" x14ac:dyDescent="0.25">
      <c r="A277" s="2">
        <v>45869</v>
      </c>
      <c r="B277" s="3">
        <v>-1</v>
      </c>
      <c r="C277" s="3">
        <v>1</v>
      </c>
      <c r="D277" s="3">
        <v>1.431859120390012</v>
      </c>
      <c r="E277" s="3">
        <v>4.4289485965217423E-2</v>
      </c>
      <c r="F277" s="3">
        <v>-0.30397023409914897</v>
      </c>
      <c r="G277" s="3">
        <v>1.5263773576227879</v>
      </c>
      <c r="H277" s="3">
        <v>5.2622164313929041</v>
      </c>
      <c r="I277" s="3">
        <v>1.4744197653192781</v>
      </c>
      <c r="J277" s="3">
        <v>4.7299981611196387</v>
      </c>
      <c r="K277" s="3">
        <v>1.643130226382548</v>
      </c>
    </row>
    <row r="278" spans="1:11" x14ac:dyDescent="0.25">
      <c r="A278" s="2">
        <v>45900</v>
      </c>
      <c r="B278" s="3">
        <v>-1</v>
      </c>
      <c r="C278" s="3">
        <v>1</v>
      </c>
      <c r="D278" s="3">
        <v>1.431859120390012</v>
      </c>
      <c r="E278" s="3">
        <v>2.862621164399148E-2</v>
      </c>
      <c r="F278" s="3">
        <v>-0.30397023409914897</v>
      </c>
      <c r="G278" s="3">
        <v>1.532126287133506</v>
      </c>
      <c r="H278" s="3">
        <v>5.2657324344127261</v>
      </c>
      <c r="I278" s="3">
        <v>1.4744197653192781</v>
      </c>
      <c r="J278" s="3">
        <v>4.6581803694827366</v>
      </c>
      <c r="K278" s="3">
        <v>1.643130226382548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A20B-575C-4637-85C6-08B80B031949}">
  <dimension ref="A1:K280"/>
  <sheetViews>
    <sheetView zoomScale="70" zoomScaleNormal="70" workbookViewId="0">
      <selection activeCell="A4" sqref="A4:XFD4"/>
    </sheetView>
  </sheetViews>
  <sheetFormatPr defaultRowHeight="15" x14ac:dyDescent="0.25"/>
  <cols>
    <col min="1" max="1" width="12" bestFit="1" customWidth="1"/>
    <col min="2" max="2" width="21.140625" bestFit="1" customWidth="1"/>
    <col min="3" max="3" width="21" bestFit="1" customWidth="1"/>
    <col min="4" max="4" width="50.5703125" bestFit="1" customWidth="1"/>
    <col min="5" max="5" width="51" bestFit="1" customWidth="1"/>
    <col min="6" max="6" width="49.7109375" bestFit="1" customWidth="1"/>
    <col min="7" max="7" width="49.28515625" bestFit="1" customWidth="1"/>
    <col min="8" max="8" width="51.7109375" bestFit="1" customWidth="1"/>
    <col min="9" max="9" width="52.140625" bestFit="1" customWidth="1"/>
    <col min="10" max="10" width="51" bestFit="1" customWidth="1"/>
    <col min="11" max="11" width="50.5703125" bestFit="1" customWidth="1"/>
  </cols>
  <sheetData>
    <row r="1" spans="1:11" ht="15.75" thickBot="1" x14ac:dyDescent="0.3">
      <c r="A1" s="1" t="s">
        <v>0</v>
      </c>
      <c r="B1" s="1" t="s">
        <v>7</v>
      </c>
      <c r="C1" s="1" t="s">
        <v>8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A2" s="7">
        <v>37469</v>
      </c>
      <c r="B2" s="11">
        <v>-1</v>
      </c>
      <c r="C2" s="12">
        <v>0</v>
      </c>
      <c r="D2" s="13">
        <v>0</v>
      </c>
      <c r="E2" s="13">
        <v>4.2345772443368498E-2</v>
      </c>
      <c r="F2" s="13">
        <v>0</v>
      </c>
      <c r="G2" s="13">
        <v>1.469165253014592E-2</v>
      </c>
      <c r="H2" s="13">
        <v>0</v>
      </c>
      <c r="I2" s="13">
        <v>0</v>
      </c>
      <c r="J2" s="13">
        <v>0</v>
      </c>
      <c r="K2" s="13">
        <v>0</v>
      </c>
    </row>
    <row r="3" spans="1:11" x14ac:dyDescent="0.25">
      <c r="A3" s="14">
        <v>37500</v>
      </c>
      <c r="B3" s="18">
        <v>1</v>
      </c>
      <c r="C3" s="19">
        <v>1</v>
      </c>
      <c r="D3" s="13">
        <v>-2.2605263607593816E-2</v>
      </c>
      <c r="E3" s="13">
        <v>4.2345772443368498E-2</v>
      </c>
      <c r="F3" s="13">
        <v>-3.3248630832344141E-3</v>
      </c>
      <c r="G3" s="13">
        <v>1.469165253014592E-2</v>
      </c>
      <c r="H3" s="13">
        <v>-1.2278930521347042E-2</v>
      </c>
      <c r="I3" s="13">
        <v>0</v>
      </c>
      <c r="J3" s="13">
        <v>-7.1598070258672257E-3</v>
      </c>
      <c r="K3" s="13">
        <v>0</v>
      </c>
    </row>
    <row r="4" spans="1:11" x14ac:dyDescent="0.25">
      <c r="A4" s="14">
        <v>37530</v>
      </c>
      <c r="B4" s="18">
        <v>-1</v>
      </c>
      <c r="C4" s="19">
        <v>-1</v>
      </c>
      <c r="D4" s="13">
        <v>-2.2605263607593816E-2</v>
      </c>
      <c r="E4" s="13">
        <v>6.0814529746157503E-2</v>
      </c>
      <c r="F4" s="13">
        <v>-3.3248630832344141E-3</v>
      </c>
      <c r="G4" s="13">
        <v>4.0266545160584352E-2</v>
      </c>
      <c r="H4" s="13">
        <v>-1.2278930521347042E-2</v>
      </c>
      <c r="I4" s="13">
        <v>3.3063528520603847E-2</v>
      </c>
      <c r="J4" s="13">
        <v>-7.1598070258672257E-3</v>
      </c>
      <c r="K4" s="13">
        <v>-4.4185292609520352E-3</v>
      </c>
    </row>
    <row r="5" spans="1:11" x14ac:dyDescent="0.25">
      <c r="A5" s="14">
        <v>37561</v>
      </c>
      <c r="B5" s="18">
        <v>-1</v>
      </c>
      <c r="C5" s="19">
        <v>1</v>
      </c>
      <c r="D5" s="13">
        <v>-2.2605263607593816E-2</v>
      </c>
      <c r="E5" s="13">
        <v>6.1983884398680383E-2</v>
      </c>
      <c r="F5" s="13">
        <v>-3.3248630832344141E-3</v>
      </c>
      <c r="G5" s="13">
        <v>3.3626016616285309E-2</v>
      </c>
      <c r="H5" s="13">
        <v>1.2711889576180573E-2</v>
      </c>
      <c r="I5" s="13">
        <v>3.3063528520603847E-2</v>
      </c>
      <c r="J5" s="13">
        <v>-2.3119247267142821E-2</v>
      </c>
      <c r="K5" s="13">
        <v>-4.4185292609520352E-3</v>
      </c>
    </row>
    <row r="6" spans="1:11" x14ac:dyDescent="0.25">
      <c r="A6" s="14">
        <v>37591</v>
      </c>
      <c r="B6" s="18">
        <v>1</v>
      </c>
      <c r="C6" s="19">
        <v>1</v>
      </c>
      <c r="D6" s="13">
        <v>-4.2356676496760656E-2</v>
      </c>
      <c r="E6" s="13">
        <v>6.1983884398680383E-2</v>
      </c>
      <c r="F6" s="13">
        <v>-2.1862024457226719E-2</v>
      </c>
      <c r="G6" s="13">
        <v>3.3626016616285309E-2</v>
      </c>
      <c r="H6" s="13">
        <v>-8.2554784776929825E-3</v>
      </c>
      <c r="I6" s="13">
        <v>3.3063528520603847E-2</v>
      </c>
      <c r="J6" s="13">
        <v>-3.4897737685516447E-2</v>
      </c>
      <c r="K6" s="13">
        <v>-4.4185292609520352E-3</v>
      </c>
    </row>
    <row r="7" spans="1:11" x14ac:dyDescent="0.25">
      <c r="A7" s="14">
        <v>37622</v>
      </c>
      <c r="B7" s="18">
        <v>-1</v>
      </c>
      <c r="C7" s="19">
        <v>-1</v>
      </c>
      <c r="D7" s="13">
        <v>-4.2356676496760656E-2</v>
      </c>
      <c r="E7" s="13">
        <v>9.2312190200281835E-2</v>
      </c>
      <c r="F7" s="13">
        <v>-2.1862024457226719E-2</v>
      </c>
      <c r="G7" s="13">
        <v>4.0576626676998573E-2</v>
      </c>
      <c r="H7" s="13">
        <v>-8.2554784776929825E-3</v>
      </c>
      <c r="I7" s="13">
        <v>-2.1251890185759181E-3</v>
      </c>
      <c r="J7" s="13">
        <v>-3.4897737685516447E-2</v>
      </c>
      <c r="K7" s="13">
        <v>-2.241898056289798E-2</v>
      </c>
    </row>
    <row r="8" spans="1:11" x14ac:dyDescent="0.25">
      <c r="A8" s="14">
        <v>37653</v>
      </c>
      <c r="B8" s="18">
        <v>1</v>
      </c>
      <c r="C8" s="19">
        <v>1</v>
      </c>
      <c r="D8" s="13">
        <v>-2.9315873374077286E-2</v>
      </c>
      <c r="E8" s="13">
        <v>9.2312190200281835E-2</v>
      </c>
      <c r="F8" s="13">
        <v>-4.1394777532902126E-2</v>
      </c>
      <c r="G8" s="13">
        <v>4.0576626676998573E-2</v>
      </c>
      <c r="H8" s="13">
        <v>-3.9411561126588758E-2</v>
      </c>
      <c r="I8" s="13">
        <v>-2.1251890185759181E-3</v>
      </c>
      <c r="J8" s="13">
        <v>-4.2481940369078416E-2</v>
      </c>
      <c r="K8" s="13">
        <v>-2.241898056289798E-2</v>
      </c>
    </row>
    <row r="9" spans="1:11" x14ac:dyDescent="0.25">
      <c r="A9" s="14">
        <v>37681</v>
      </c>
      <c r="B9" s="18">
        <v>-1</v>
      </c>
      <c r="C9" s="19">
        <v>-1</v>
      </c>
      <c r="D9" s="13">
        <v>-2.9315873374077286E-2</v>
      </c>
      <c r="E9" s="13">
        <v>0.14886189660016563</v>
      </c>
      <c r="F9" s="13">
        <v>-4.1394777532902126E-2</v>
      </c>
      <c r="G9" s="13">
        <v>7.3160005852478227E-2</v>
      </c>
      <c r="H9" s="13">
        <v>-3.9411561126588758E-2</v>
      </c>
      <c r="I9" s="13">
        <v>1.6660445669879211E-2</v>
      </c>
      <c r="J9" s="13">
        <v>-4.2481940369078416E-2</v>
      </c>
      <c r="K9" s="13">
        <v>-1.7658363042101572E-2</v>
      </c>
    </row>
    <row r="10" spans="1:11" x14ac:dyDescent="0.25">
      <c r="A10" s="14">
        <v>37712</v>
      </c>
      <c r="B10" s="18">
        <v>-1</v>
      </c>
      <c r="C10" s="19">
        <v>1</v>
      </c>
      <c r="D10" s="13">
        <v>-2.9315873374077286E-2</v>
      </c>
      <c r="E10" s="13">
        <v>0.14264041658129892</v>
      </c>
      <c r="F10" s="13">
        <v>-4.1394777532902126E-2</v>
      </c>
      <c r="G10" s="13">
        <v>9.2348043258399154E-2</v>
      </c>
      <c r="H10" s="13">
        <v>-1.0939635159420077E-3</v>
      </c>
      <c r="I10" s="13">
        <v>1.6660445669879211E-2</v>
      </c>
      <c r="J10" s="13">
        <v>-2.3413877926529349E-2</v>
      </c>
      <c r="K10" s="13">
        <v>-1.7658363042101572E-2</v>
      </c>
    </row>
    <row r="11" spans="1:11" x14ac:dyDescent="0.25">
      <c r="A11" s="14">
        <v>37742</v>
      </c>
      <c r="B11" s="18">
        <v>1</v>
      </c>
      <c r="C11" s="19">
        <v>1</v>
      </c>
      <c r="D11" s="13">
        <v>1.604876877848101E-2</v>
      </c>
      <c r="E11" s="13">
        <v>0.14264041658129892</v>
      </c>
      <c r="F11" s="13">
        <v>-3.9599712159192009E-2</v>
      </c>
      <c r="G11" s="13">
        <v>9.2348043258399154E-2</v>
      </c>
      <c r="H11" s="13">
        <v>1.4879464054476273E-2</v>
      </c>
      <c r="I11" s="13">
        <v>1.6660445669879211E-2</v>
      </c>
      <c r="J11" s="13">
        <v>-3.7840915782096571E-2</v>
      </c>
      <c r="K11" s="13">
        <v>-1.7658363042101572E-2</v>
      </c>
    </row>
    <row r="12" spans="1:11" x14ac:dyDescent="0.25">
      <c r="A12" s="14">
        <v>37773</v>
      </c>
      <c r="B12" s="18">
        <v>-1</v>
      </c>
      <c r="C12" s="19">
        <v>-1</v>
      </c>
      <c r="D12" s="13">
        <v>1.604876877848101E-2</v>
      </c>
      <c r="E12" s="13">
        <v>0.16100988943116501</v>
      </c>
      <c r="F12" s="13">
        <v>-3.9599712159192009E-2</v>
      </c>
      <c r="G12" s="13">
        <v>7.8924782549834233E-2</v>
      </c>
      <c r="H12" s="13">
        <v>1.4879464054476273E-2</v>
      </c>
      <c r="I12" s="13">
        <v>-6.8877758552846335E-3</v>
      </c>
      <c r="J12" s="13">
        <v>-3.7840915782096571E-2</v>
      </c>
      <c r="K12" s="13">
        <v>-1.8316960690168482E-2</v>
      </c>
    </row>
    <row r="13" spans="1:11" x14ac:dyDescent="0.25">
      <c r="A13" s="14">
        <v>37803</v>
      </c>
      <c r="B13" s="18">
        <v>-1</v>
      </c>
      <c r="C13" s="19">
        <v>1</v>
      </c>
      <c r="D13" s="13">
        <v>1.604876877848101E-2</v>
      </c>
      <c r="E13" s="13">
        <v>0.15879349176114946</v>
      </c>
      <c r="F13" s="13">
        <v>-3.9599712159192009E-2</v>
      </c>
      <c r="G13" s="13">
        <v>3.9796992948244861E-2</v>
      </c>
      <c r="H13" s="13">
        <v>5.0299206211558839E-2</v>
      </c>
      <c r="I13" s="13">
        <v>-6.8877758552846335E-3</v>
      </c>
      <c r="J13" s="13">
        <v>-1.5375876185781276E-2</v>
      </c>
      <c r="K13" s="13">
        <v>-1.8316960690168482E-2</v>
      </c>
    </row>
    <row r="14" spans="1:11" x14ac:dyDescent="0.25">
      <c r="A14" s="14">
        <v>37834</v>
      </c>
      <c r="B14" s="18">
        <v>-1</v>
      </c>
      <c r="C14" s="19">
        <v>1</v>
      </c>
      <c r="D14" s="13">
        <v>1.604876877848101E-2</v>
      </c>
      <c r="E14" s="13">
        <v>0.15216686635732865</v>
      </c>
      <c r="F14" s="13">
        <v>-3.9599712159192009E-2</v>
      </c>
      <c r="G14" s="13">
        <v>4.7598354246022496E-2</v>
      </c>
      <c r="H14" s="13">
        <v>3.6215164348081322E-2</v>
      </c>
      <c r="I14" s="13">
        <v>-6.8877758552846335E-3</v>
      </c>
      <c r="J14" s="13">
        <v>-3.2522056101904909E-2</v>
      </c>
      <c r="K14" s="13">
        <v>-1.8316960690168482E-2</v>
      </c>
    </row>
    <row r="15" spans="1:11" x14ac:dyDescent="0.25">
      <c r="A15" s="14">
        <v>37865</v>
      </c>
      <c r="B15" s="18">
        <v>1</v>
      </c>
      <c r="C15" s="19">
        <v>1</v>
      </c>
      <c r="D15" s="13">
        <v>-9.631583630163084E-3</v>
      </c>
      <c r="E15" s="13">
        <v>0.15216686635732865</v>
      </c>
      <c r="F15" s="13">
        <v>-7.7370917706054837E-2</v>
      </c>
      <c r="G15" s="13">
        <v>4.7598354246022496E-2</v>
      </c>
      <c r="H15" s="13">
        <v>5.8056828970641454E-2</v>
      </c>
      <c r="I15" s="13">
        <v>-6.8877758552846335E-3</v>
      </c>
      <c r="J15" s="13">
        <v>-3.1584434193476001E-2</v>
      </c>
      <c r="K15" s="13">
        <v>-1.8316960690168482E-2</v>
      </c>
    </row>
    <row r="16" spans="1:11" x14ac:dyDescent="0.25">
      <c r="A16" s="14">
        <v>37895</v>
      </c>
      <c r="B16" s="18">
        <v>-1</v>
      </c>
      <c r="C16" s="19">
        <v>-1</v>
      </c>
      <c r="D16" s="13">
        <v>-9.631583630163084E-3</v>
      </c>
      <c r="E16" s="13">
        <v>0.14797939285850556</v>
      </c>
      <c r="F16" s="13">
        <v>-7.7370917706054837E-2</v>
      </c>
      <c r="G16" s="13">
        <v>6.0119037378526211E-2</v>
      </c>
      <c r="H16" s="13">
        <v>5.8056828970641454E-2</v>
      </c>
      <c r="I16" s="13">
        <v>-4.9105894413632653E-2</v>
      </c>
      <c r="J16" s="13">
        <v>-3.1584434193476001E-2</v>
      </c>
      <c r="K16" s="13">
        <v>-5.5221082589869866E-2</v>
      </c>
    </row>
    <row r="17" spans="1:11" x14ac:dyDescent="0.25">
      <c r="A17" s="14">
        <v>37926</v>
      </c>
      <c r="B17" s="18">
        <v>1</v>
      </c>
      <c r="C17" s="19">
        <v>1</v>
      </c>
      <c r="D17" s="13">
        <v>1.163540606693083E-2</v>
      </c>
      <c r="E17" s="13">
        <v>0.14797939285850556</v>
      </c>
      <c r="F17" s="13">
        <v>-6.1405797517105537E-2</v>
      </c>
      <c r="G17" s="13">
        <v>6.0119037378526211E-2</v>
      </c>
      <c r="H17" s="13">
        <v>6.0995346276044304E-2</v>
      </c>
      <c r="I17" s="13">
        <v>-4.9105894413632653E-2</v>
      </c>
      <c r="J17" s="13">
        <v>-1.5640985387876231E-2</v>
      </c>
      <c r="K17" s="13">
        <v>-5.5221082589869866E-2</v>
      </c>
    </row>
    <row r="18" spans="1:11" x14ac:dyDescent="0.25">
      <c r="A18" s="14">
        <v>37956</v>
      </c>
      <c r="B18" s="18">
        <v>-1</v>
      </c>
      <c r="C18" s="19">
        <v>-1</v>
      </c>
      <c r="D18" s="13">
        <v>1.163540606693083E-2</v>
      </c>
      <c r="E18" s="13">
        <v>0.12636009312577995</v>
      </c>
      <c r="F18" s="13">
        <v>-6.1405797517105537E-2</v>
      </c>
      <c r="G18" s="13">
        <v>4.6007318114471674E-2</v>
      </c>
      <c r="H18" s="13">
        <v>6.0995346276044304E-2</v>
      </c>
      <c r="I18" s="13">
        <v>-5.2856259028692877E-2</v>
      </c>
      <c r="J18" s="13">
        <v>-1.5640985387876231E-2</v>
      </c>
      <c r="K18" s="13">
        <v>-4.245908566956029E-2</v>
      </c>
    </row>
    <row r="19" spans="1:11" x14ac:dyDescent="0.25">
      <c r="A19" s="14">
        <v>37987</v>
      </c>
      <c r="B19" s="18">
        <v>-1</v>
      </c>
      <c r="C19" s="19">
        <v>1</v>
      </c>
      <c r="D19" s="13">
        <v>1.163540606693083E-2</v>
      </c>
      <c r="E19" s="13">
        <v>0.13469718938304048</v>
      </c>
      <c r="F19" s="13">
        <v>-6.1405797517105537E-2</v>
      </c>
      <c r="G19" s="13">
        <v>4.2107471857398132E-2</v>
      </c>
      <c r="H19" s="13">
        <v>7.9691001279818263E-2</v>
      </c>
      <c r="I19" s="13">
        <v>-5.2856259028692877E-2</v>
      </c>
      <c r="J19" s="13">
        <v>-1.5758425811556849E-2</v>
      </c>
      <c r="K19" s="13">
        <v>-4.245908566956029E-2</v>
      </c>
    </row>
    <row r="20" spans="1:11" x14ac:dyDescent="0.25">
      <c r="A20" s="14">
        <v>38018</v>
      </c>
      <c r="B20" s="18">
        <v>1</v>
      </c>
      <c r="C20" s="19">
        <v>1</v>
      </c>
      <c r="D20" s="13">
        <v>1.5380946304114905E-2</v>
      </c>
      <c r="E20" s="13">
        <v>0.13469718938304048</v>
      </c>
      <c r="F20" s="13">
        <v>-7.024362210648627E-2</v>
      </c>
      <c r="G20" s="13">
        <v>4.2107471857398132E-2</v>
      </c>
      <c r="H20" s="13">
        <v>8.8202377794913384E-2</v>
      </c>
      <c r="I20" s="13">
        <v>-5.2856259028692877E-2</v>
      </c>
      <c r="J20" s="13">
        <v>-2.3779694893029932E-2</v>
      </c>
      <c r="K20" s="13">
        <v>-4.245908566956029E-2</v>
      </c>
    </row>
    <row r="21" spans="1:11" x14ac:dyDescent="0.25">
      <c r="A21" s="14">
        <v>38047</v>
      </c>
      <c r="B21" s="18">
        <v>1</v>
      </c>
      <c r="C21" s="19">
        <v>-1</v>
      </c>
      <c r="D21" s="13">
        <v>3.3582937104233004E-2</v>
      </c>
      <c r="E21" s="13">
        <v>0.13469718938304048</v>
      </c>
      <c r="F21" s="13">
        <v>-6.0464271820768245E-2</v>
      </c>
      <c r="G21" s="13">
        <v>4.2107471857398132E-2</v>
      </c>
      <c r="H21" s="13">
        <v>8.8202377794913384E-2</v>
      </c>
      <c r="I21" s="13">
        <v>-6.4610700525629089E-2</v>
      </c>
      <c r="J21" s="13">
        <v>-2.3779694893029932E-2</v>
      </c>
      <c r="K21" s="13">
        <v>-2.7443448530156195E-2</v>
      </c>
    </row>
    <row r="22" spans="1:11" x14ac:dyDescent="0.25">
      <c r="A22" s="14">
        <v>38078</v>
      </c>
      <c r="B22" s="18">
        <v>-1</v>
      </c>
      <c r="C22" s="19">
        <v>-1</v>
      </c>
      <c r="D22" s="13">
        <v>3.3582937104233004E-2</v>
      </c>
      <c r="E22" s="13">
        <v>0.1639165354523946</v>
      </c>
      <c r="F22" s="13">
        <v>-6.0464271820768245E-2</v>
      </c>
      <c r="G22" s="13">
        <v>3.1641386877285141E-2</v>
      </c>
      <c r="H22" s="13">
        <v>8.8202377794913384E-2</v>
      </c>
      <c r="I22" s="13">
        <v>-7.8047842012404473E-2</v>
      </c>
      <c r="J22" s="13">
        <v>-2.3779694893029932E-2</v>
      </c>
      <c r="K22" s="13">
        <v>-6.0516641749513031E-2</v>
      </c>
    </row>
    <row r="23" spans="1:11" x14ac:dyDescent="0.25">
      <c r="A23" s="14">
        <v>38108</v>
      </c>
      <c r="B23" s="18">
        <v>-1</v>
      </c>
      <c r="C23" s="19">
        <v>1</v>
      </c>
      <c r="D23" s="13">
        <v>3.3582937104233004E-2</v>
      </c>
      <c r="E23" s="13">
        <v>0.13651983102963855</v>
      </c>
      <c r="F23" s="13">
        <v>-6.0464271820768245E-2</v>
      </c>
      <c r="G23" s="13">
        <v>4.8142865168756085E-2</v>
      </c>
      <c r="H23" s="13">
        <v>7.9149727555373667E-2</v>
      </c>
      <c r="I23" s="13">
        <v>-7.8047842012404473E-2</v>
      </c>
      <c r="J23" s="13">
        <v>4.5696768084813391E-4</v>
      </c>
      <c r="K23" s="13">
        <v>-6.0516641749513031E-2</v>
      </c>
    </row>
    <row r="24" spans="1:11" x14ac:dyDescent="0.25">
      <c r="A24" s="14">
        <v>38139</v>
      </c>
      <c r="B24" s="18">
        <v>-1</v>
      </c>
      <c r="C24" s="19">
        <v>1</v>
      </c>
      <c r="D24" s="13">
        <v>3.3582937104233004E-2</v>
      </c>
      <c r="E24" s="13">
        <v>0.12986176615430398</v>
      </c>
      <c r="F24" s="13">
        <v>-6.0464271820768245E-2</v>
      </c>
      <c r="G24" s="13">
        <v>6.3320705217321416E-2</v>
      </c>
      <c r="H24" s="13">
        <v>9.5321045598599344E-2</v>
      </c>
      <c r="I24" s="13">
        <v>-7.8047842012404473E-2</v>
      </c>
      <c r="J24" s="13">
        <v>1.5770715876449563E-2</v>
      </c>
      <c r="K24" s="13">
        <v>-6.0516641749513031E-2</v>
      </c>
    </row>
    <row r="25" spans="1:11" x14ac:dyDescent="0.25">
      <c r="A25" s="14">
        <v>38169</v>
      </c>
      <c r="B25" s="18">
        <v>1</v>
      </c>
      <c r="C25" s="19">
        <v>1</v>
      </c>
      <c r="D25" s="13">
        <v>4.2281692554052772E-2</v>
      </c>
      <c r="E25" s="13">
        <v>0.12986176615430398</v>
      </c>
      <c r="F25" s="13">
        <v>-5.9518743709160708E-2</v>
      </c>
      <c r="G25" s="13">
        <v>6.3320705217321416E-2</v>
      </c>
      <c r="H25" s="13">
        <v>6.7970903191639176E-2</v>
      </c>
      <c r="I25" s="13">
        <v>-7.8047842012404473E-2</v>
      </c>
      <c r="J25" s="13">
        <v>4.1237208776916095E-3</v>
      </c>
      <c r="K25" s="13">
        <v>-6.0516641749513031E-2</v>
      </c>
    </row>
    <row r="26" spans="1:11" x14ac:dyDescent="0.25">
      <c r="A26" s="14">
        <v>38200</v>
      </c>
      <c r="B26" s="18">
        <v>1</v>
      </c>
      <c r="C26" s="19">
        <v>-1</v>
      </c>
      <c r="D26" s="13">
        <v>4.7967649669893267E-2</v>
      </c>
      <c r="E26" s="13">
        <v>0.12986176615430398</v>
      </c>
      <c r="F26" s="13">
        <v>-7.3632153834318703E-2</v>
      </c>
      <c r="G26" s="13">
        <v>6.3320705217321416E-2</v>
      </c>
      <c r="H26" s="13">
        <v>6.7970903191639176E-2</v>
      </c>
      <c r="I26" s="13">
        <v>-4.1386399757192181E-2</v>
      </c>
      <c r="J26" s="13">
        <v>4.1237208776916095E-3</v>
      </c>
      <c r="K26" s="13">
        <v>-3.5204856102515003E-2</v>
      </c>
    </row>
    <row r="27" spans="1:11" x14ac:dyDescent="0.25">
      <c r="A27" s="14">
        <v>38231</v>
      </c>
      <c r="B27" s="18">
        <v>1</v>
      </c>
      <c r="C27" s="19">
        <v>-1</v>
      </c>
      <c r="D27" s="13">
        <v>4.9847802975439448E-2</v>
      </c>
      <c r="E27" s="13">
        <v>0.12986176615430398</v>
      </c>
      <c r="F27" s="13">
        <v>-5.7558482050567406E-2</v>
      </c>
      <c r="G27" s="13">
        <v>6.3320705217321416E-2</v>
      </c>
      <c r="H27" s="13">
        <v>6.7970903191639176E-2</v>
      </c>
      <c r="I27" s="13">
        <v>-5.4529808800818008E-2</v>
      </c>
      <c r="J27" s="13">
        <v>4.1237208776916095E-3</v>
      </c>
      <c r="K27" s="13">
        <v>-3.6578948730424769E-2</v>
      </c>
    </row>
    <row r="28" spans="1:11" x14ac:dyDescent="0.25">
      <c r="A28" s="14">
        <v>38261</v>
      </c>
      <c r="B28" s="18">
        <v>1</v>
      </c>
      <c r="C28" s="19">
        <v>-1</v>
      </c>
      <c r="D28" s="13">
        <v>6.731355152909535E-2</v>
      </c>
      <c r="E28" s="13">
        <v>0.12986176615430398</v>
      </c>
      <c r="F28" s="13">
        <v>-5.565940108368745E-2</v>
      </c>
      <c r="G28" s="13">
        <v>6.3320705217321416E-2</v>
      </c>
      <c r="H28" s="13">
        <v>6.7970903191639176E-2</v>
      </c>
      <c r="I28" s="13">
        <v>-6.9538688459150913E-2</v>
      </c>
      <c r="J28" s="13">
        <v>4.1237208776916095E-3</v>
      </c>
      <c r="K28" s="13">
        <v>-4.9047704917488777E-2</v>
      </c>
    </row>
    <row r="29" spans="1:11" x14ac:dyDescent="0.25">
      <c r="A29" s="14">
        <v>38292</v>
      </c>
      <c r="B29" s="18">
        <v>-1</v>
      </c>
      <c r="C29" s="19">
        <v>-1</v>
      </c>
      <c r="D29" s="13">
        <v>6.731355152909535E-2</v>
      </c>
      <c r="E29" s="13">
        <v>0.12586724901125515</v>
      </c>
      <c r="F29" s="13">
        <v>-5.565940108368745E-2</v>
      </c>
      <c r="G29" s="13">
        <v>4.8252024660956863E-2</v>
      </c>
      <c r="H29" s="13">
        <v>6.7970903191639176E-2</v>
      </c>
      <c r="I29" s="13">
        <v>-0.10494743240840432</v>
      </c>
      <c r="J29" s="13">
        <v>4.1237208776916095E-3</v>
      </c>
      <c r="K29" s="13">
        <v>-6.3339548731960141E-2</v>
      </c>
    </row>
    <row r="30" spans="1:11" x14ac:dyDescent="0.25">
      <c r="A30" s="14">
        <v>38322</v>
      </c>
      <c r="B30" s="18">
        <v>1</v>
      </c>
      <c r="C30" s="19">
        <v>1</v>
      </c>
      <c r="D30" s="13">
        <v>7.129293365923571E-2</v>
      </c>
      <c r="E30" s="13">
        <v>0.12586724901125515</v>
      </c>
      <c r="F30" s="13">
        <v>-5.2368920440814162E-2</v>
      </c>
      <c r="G30" s="13">
        <v>4.8252024660956863E-2</v>
      </c>
      <c r="H30" s="13">
        <v>6.9750870931257258E-2</v>
      </c>
      <c r="I30" s="13">
        <v>-0.10494743240840432</v>
      </c>
      <c r="J30" s="13">
        <v>-1.0380495739052236E-2</v>
      </c>
      <c r="K30" s="13">
        <v>-6.3339548731960141E-2</v>
      </c>
    </row>
    <row r="31" spans="1:11" x14ac:dyDescent="0.25">
      <c r="A31" s="14">
        <v>38353</v>
      </c>
      <c r="B31" s="18">
        <v>1</v>
      </c>
      <c r="C31" s="19">
        <v>-1</v>
      </c>
      <c r="D31" s="13">
        <v>8.5012275519823127E-2</v>
      </c>
      <c r="E31" s="13">
        <v>0.12586724901125515</v>
      </c>
      <c r="F31" s="13">
        <v>-5.5754195990888253E-2</v>
      </c>
      <c r="G31" s="13">
        <v>4.8252024660956863E-2</v>
      </c>
      <c r="H31" s="13">
        <v>6.9750870931257258E-2</v>
      </c>
      <c r="I31" s="13">
        <v>-8.4638754896566859E-2</v>
      </c>
      <c r="J31" s="13">
        <v>-1.0380495739052236E-2</v>
      </c>
      <c r="K31" s="13">
        <v>-6.3452345087008977E-2</v>
      </c>
    </row>
    <row r="32" spans="1:11" x14ac:dyDescent="0.25">
      <c r="A32" s="14">
        <v>38384</v>
      </c>
      <c r="B32" s="18">
        <v>-1</v>
      </c>
      <c r="C32" s="19">
        <v>-1</v>
      </c>
      <c r="D32" s="13">
        <v>8.5012275519823127E-2</v>
      </c>
      <c r="E32" s="13">
        <v>0.10889563819534324</v>
      </c>
      <c r="F32" s="13">
        <v>-5.5754195990888253E-2</v>
      </c>
      <c r="G32" s="13">
        <v>4.3375596879179058E-2</v>
      </c>
      <c r="H32" s="13">
        <v>6.9750870931257258E-2</v>
      </c>
      <c r="I32" s="13">
        <v>-0.10067428106157625</v>
      </c>
      <c r="J32" s="13">
        <v>-1.0380495739052236E-2</v>
      </c>
      <c r="K32" s="13">
        <v>-4.2066258022156917E-2</v>
      </c>
    </row>
    <row r="33" spans="1:11" x14ac:dyDescent="0.25">
      <c r="A33" s="14">
        <v>38412</v>
      </c>
      <c r="B33" s="18">
        <v>1</v>
      </c>
      <c r="C33" s="19">
        <v>1</v>
      </c>
      <c r="D33" s="13">
        <v>8.382598694972386E-2</v>
      </c>
      <c r="E33" s="13">
        <v>0.10889563819534324</v>
      </c>
      <c r="F33" s="13">
        <v>-6.5991776690081883E-2</v>
      </c>
      <c r="G33" s="13">
        <v>4.3375596879179058E-2</v>
      </c>
      <c r="H33" s="13">
        <v>8.7498706178768759E-2</v>
      </c>
      <c r="I33" s="13">
        <v>-0.10067428106157625</v>
      </c>
      <c r="J33" s="13">
        <v>-2.291582997107254E-2</v>
      </c>
      <c r="K33" s="13">
        <v>-4.2066258022156917E-2</v>
      </c>
    </row>
    <row r="34" spans="1:11" x14ac:dyDescent="0.25">
      <c r="A34" s="14">
        <v>38443</v>
      </c>
      <c r="B34" s="18">
        <v>1</v>
      </c>
      <c r="C34" s="19">
        <v>-1</v>
      </c>
      <c r="D34" s="13">
        <v>8.1581647008647007E-2</v>
      </c>
      <c r="E34" s="13">
        <v>0.10889563819534324</v>
      </c>
      <c r="F34" s="13">
        <v>-8.4884754293826553E-2</v>
      </c>
      <c r="G34" s="13">
        <v>4.3375596879179058E-2</v>
      </c>
      <c r="H34" s="13">
        <v>8.7498706178768759E-2</v>
      </c>
      <c r="I34" s="13">
        <v>-0.11146722371572426</v>
      </c>
      <c r="J34" s="13">
        <v>-2.291582997107254E-2</v>
      </c>
      <c r="K34" s="13">
        <v>-4.6118569081974495E-2</v>
      </c>
    </row>
    <row r="35" spans="1:11" x14ac:dyDescent="0.25">
      <c r="A35" s="14">
        <v>38473</v>
      </c>
      <c r="B35" s="18">
        <v>-1</v>
      </c>
      <c r="C35" s="19">
        <v>-1</v>
      </c>
      <c r="D35" s="13">
        <v>8.1581647008647007E-2</v>
      </c>
      <c r="E35" s="13">
        <v>0.10587810729316299</v>
      </c>
      <c r="F35" s="13">
        <v>-8.4884754293826553E-2</v>
      </c>
      <c r="G35" s="13">
        <v>5.9932640415948438E-2</v>
      </c>
      <c r="H35" s="13">
        <v>8.7498706178768759E-2</v>
      </c>
      <c r="I35" s="13">
        <v>-0.12297723684287787</v>
      </c>
      <c r="J35" s="13">
        <v>-2.291582997107254E-2</v>
      </c>
      <c r="K35" s="13">
        <v>-5.7584280443069118E-2</v>
      </c>
    </row>
    <row r="36" spans="1:11" x14ac:dyDescent="0.25">
      <c r="A36" s="14">
        <v>38504</v>
      </c>
      <c r="B36" s="18">
        <v>-1</v>
      </c>
      <c r="C36" s="19">
        <v>1</v>
      </c>
      <c r="D36" s="13">
        <v>8.1581647008647007E-2</v>
      </c>
      <c r="E36" s="13">
        <v>0.12491073006441622</v>
      </c>
      <c r="F36" s="13">
        <v>-8.4884754293826553E-2</v>
      </c>
      <c r="G36" s="13">
        <v>7.9144933941276766E-2</v>
      </c>
      <c r="H36" s="13">
        <v>9.2924260552065319E-2</v>
      </c>
      <c r="I36" s="13">
        <v>-0.12297723684287787</v>
      </c>
      <c r="J36" s="13">
        <v>-4.2366479378419114E-2</v>
      </c>
      <c r="K36" s="13">
        <v>-5.7584280443069118E-2</v>
      </c>
    </row>
    <row r="37" spans="1:11" x14ac:dyDescent="0.25">
      <c r="A37" s="14">
        <v>38534</v>
      </c>
      <c r="B37" s="18">
        <v>-1</v>
      </c>
      <c r="C37" s="19">
        <v>1</v>
      </c>
      <c r="D37" s="13">
        <v>8.1581647008647007E-2</v>
      </c>
      <c r="E37" s="13">
        <v>0.12329343056915612</v>
      </c>
      <c r="F37" s="13">
        <v>-8.4884754293826553E-2</v>
      </c>
      <c r="G37" s="13">
        <v>7.4430907641876917E-2</v>
      </c>
      <c r="H37" s="13">
        <v>0.1107210202953441</v>
      </c>
      <c r="I37" s="13">
        <v>-0.12297723684287787</v>
      </c>
      <c r="J37" s="13">
        <v>-2.4166441608021429E-2</v>
      </c>
      <c r="K37" s="13">
        <v>-5.7584280443069118E-2</v>
      </c>
    </row>
    <row r="38" spans="1:11" x14ac:dyDescent="0.25">
      <c r="A38" s="14">
        <v>38565</v>
      </c>
      <c r="B38" s="18">
        <v>1</v>
      </c>
      <c r="C38" s="19">
        <v>1</v>
      </c>
      <c r="D38" s="13">
        <v>8.2479600424394894E-2</v>
      </c>
      <c r="E38" s="13">
        <v>0.12329343056915612</v>
      </c>
      <c r="F38" s="13">
        <v>-0.10817706670452024</v>
      </c>
      <c r="G38" s="13">
        <v>7.4430907641876917E-2</v>
      </c>
      <c r="H38" s="13">
        <v>0.10374666176747434</v>
      </c>
      <c r="I38" s="13">
        <v>-0.12297723684287787</v>
      </c>
      <c r="J38" s="13">
        <v>-1.2183358703588139E-2</v>
      </c>
      <c r="K38" s="13">
        <v>-5.7584280443069118E-2</v>
      </c>
    </row>
    <row r="39" spans="1:11" x14ac:dyDescent="0.25">
      <c r="A39" s="14">
        <v>38596</v>
      </c>
      <c r="B39" s="18">
        <v>-1</v>
      </c>
      <c r="C39" s="19">
        <v>-1</v>
      </c>
      <c r="D39" s="13">
        <v>8.2479600424394894E-2</v>
      </c>
      <c r="E39" s="13">
        <v>0.10938069759220756</v>
      </c>
      <c r="F39" s="13">
        <v>-0.10817706670452024</v>
      </c>
      <c r="G39" s="13">
        <v>6.2463826997603181E-2</v>
      </c>
      <c r="H39" s="13">
        <v>0.10374666176747434</v>
      </c>
      <c r="I39" s="13">
        <v>-0.13045489179891587</v>
      </c>
      <c r="J39" s="13">
        <v>-1.2183358703588139E-2</v>
      </c>
      <c r="K39" s="13">
        <v>-7.8244142542919365E-2</v>
      </c>
    </row>
    <row r="40" spans="1:11" x14ac:dyDescent="0.25">
      <c r="A40" s="14">
        <v>38626</v>
      </c>
      <c r="B40" s="18">
        <v>1</v>
      </c>
      <c r="C40" s="19">
        <v>1</v>
      </c>
      <c r="D40" s="13">
        <v>9.926866501300774E-2</v>
      </c>
      <c r="E40" s="13">
        <v>0.10938069759220756</v>
      </c>
      <c r="F40" s="13">
        <v>-8.9965073943752583E-2</v>
      </c>
      <c r="G40" s="13">
        <v>6.2463826997603181E-2</v>
      </c>
      <c r="H40" s="13">
        <v>7.5473523957521355E-2</v>
      </c>
      <c r="I40" s="13">
        <v>-0.13045489179891587</v>
      </c>
      <c r="J40" s="13">
        <v>-1.2204974518404434E-2</v>
      </c>
      <c r="K40" s="13">
        <v>-7.8244142542919365E-2</v>
      </c>
    </row>
    <row r="41" spans="1:11" x14ac:dyDescent="0.25">
      <c r="A41" s="14">
        <v>38657</v>
      </c>
      <c r="B41" s="18">
        <v>-1</v>
      </c>
      <c r="C41" s="19">
        <v>-1</v>
      </c>
      <c r="D41" s="13">
        <v>9.926866501300774E-2</v>
      </c>
      <c r="E41" s="13">
        <v>0.11216799486775623</v>
      </c>
      <c r="F41" s="13">
        <v>-8.9965073943752583E-2</v>
      </c>
      <c r="G41" s="13">
        <v>5.7918901453701495E-2</v>
      </c>
      <c r="H41" s="13">
        <v>7.5473523957521355E-2</v>
      </c>
      <c r="I41" s="13">
        <v>-0.14778473994493377</v>
      </c>
      <c r="J41" s="13">
        <v>-1.2204974518404434E-2</v>
      </c>
      <c r="K41" s="13">
        <v>-8.907561424054955E-2</v>
      </c>
    </row>
    <row r="42" spans="1:11" x14ac:dyDescent="0.25">
      <c r="A42" s="14">
        <v>38687</v>
      </c>
      <c r="B42" s="18">
        <v>-1</v>
      </c>
      <c r="C42" s="19">
        <v>1</v>
      </c>
      <c r="D42" s="13">
        <v>9.926866501300774E-2</v>
      </c>
      <c r="E42" s="13">
        <v>0.12430189536842595</v>
      </c>
      <c r="F42" s="13">
        <v>-8.9965073943752583E-2</v>
      </c>
      <c r="G42" s="13">
        <v>7.7195994354978065E-2</v>
      </c>
      <c r="H42" s="13">
        <v>8.0801808087295104E-2</v>
      </c>
      <c r="I42" s="13">
        <v>-0.14778473994493377</v>
      </c>
      <c r="J42" s="13">
        <v>-1.2875002669253451E-2</v>
      </c>
      <c r="K42" s="13">
        <v>-8.907561424054955E-2</v>
      </c>
    </row>
    <row r="43" spans="1:11" x14ac:dyDescent="0.25">
      <c r="A43" s="14">
        <v>38718</v>
      </c>
      <c r="B43" s="18">
        <v>-1</v>
      </c>
      <c r="C43" s="19">
        <v>1</v>
      </c>
      <c r="D43" s="13">
        <v>9.926866501300774E-2</v>
      </c>
      <c r="E43" s="13">
        <v>0.1168233009114648</v>
      </c>
      <c r="F43" s="13">
        <v>-8.9965073943752583E-2</v>
      </c>
      <c r="G43" s="13">
        <v>6.3722038150496541E-2</v>
      </c>
      <c r="H43" s="13">
        <v>0.11444387472936976</v>
      </c>
      <c r="I43" s="13">
        <v>-0.14778473994493377</v>
      </c>
      <c r="J43" s="13">
        <v>-1.1568928055463133E-2</v>
      </c>
      <c r="K43" s="13">
        <v>-8.907561424054955E-2</v>
      </c>
    </row>
    <row r="44" spans="1:11" x14ac:dyDescent="0.25">
      <c r="A44" s="14">
        <v>38749</v>
      </c>
      <c r="B44" s="18">
        <v>-1</v>
      </c>
      <c r="C44" s="19">
        <v>1</v>
      </c>
      <c r="D44" s="13">
        <v>9.926866501300774E-2</v>
      </c>
      <c r="E44" s="13">
        <v>0.12490115924248797</v>
      </c>
      <c r="F44" s="13">
        <v>-8.9965073943752583E-2</v>
      </c>
      <c r="G44" s="13">
        <v>6.2955927077348497E-2</v>
      </c>
      <c r="H44" s="13">
        <v>9.8474117165898226E-2</v>
      </c>
      <c r="I44" s="13">
        <v>-0.14778473994493377</v>
      </c>
      <c r="J44" s="13">
        <v>-1.4342867429250483E-2</v>
      </c>
      <c r="K44" s="13">
        <v>-8.907561424054955E-2</v>
      </c>
    </row>
    <row r="45" spans="1:11" x14ac:dyDescent="0.25">
      <c r="A45" s="14">
        <v>38777</v>
      </c>
      <c r="B45" s="18">
        <v>-1</v>
      </c>
      <c r="C45" s="19">
        <v>1</v>
      </c>
      <c r="D45" s="13">
        <v>9.926866501300774E-2</v>
      </c>
      <c r="E45" s="13">
        <v>0.1230509548513414</v>
      </c>
      <c r="F45" s="13">
        <v>-8.9965073943752583E-2</v>
      </c>
      <c r="G45" s="13">
        <v>4.4027658340016956E-2</v>
      </c>
      <c r="H45" s="13">
        <v>9.6444200972043745E-2</v>
      </c>
      <c r="I45" s="13">
        <v>-0.14778473994493377</v>
      </c>
      <c r="J45" s="13">
        <v>1.2601372358332147E-2</v>
      </c>
      <c r="K45" s="13">
        <v>-8.907561424054955E-2</v>
      </c>
    </row>
    <row r="46" spans="1:11" x14ac:dyDescent="0.25">
      <c r="A46" s="14">
        <v>38808</v>
      </c>
      <c r="B46" s="18">
        <v>-1</v>
      </c>
      <c r="C46" s="19">
        <v>1</v>
      </c>
      <c r="D46" s="13">
        <v>9.926866501300774E-2</v>
      </c>
      <c r="E46" s="13">
        <v>0.11878248121786346</v>
      </c>
      <c r="F46" s="13">
        <v>-8.9965073943752583E-2</v>
      </c>
      <c r="G46" s="13">
        <v>3.2450955146192721E-2</v>
      </c>
      <c r="H46" s="13">
        <v>9.4207930046617205E-2</v>
      </c>
      <c r="I46" s="13">
        <v>-0.14778473994493377</v>
      </c>
      <c r="J46" s="13">
        <v>2.9404155944219142E-2</v>
      </c>
      <c r="K46" s="13">
        <v>-8.907561424054955E-2</v>
      </c>
    </row>
    <row r="47" spans="1:11" x14ac:dyDescent="0.25">
      <c r="A47" s="14">
        <v>38838</v>
      </c>
      <c r="B47" s="18">
        <v>1</v>
      </c>
      <c r="C47" s="19">
        <v>1</v>
      </c>
      <c r="D47" s="13">
        <v>0.1024898393339829</v>
      </c>
      <c r="E47" s="13">
        <v>0.11878248121786346</v>
      </c>
      <c r="F47" s="13">
        <v>-8.0922613363798176E-2</v>
      </c>
      <c r="G47" s="13">
        <v>3.2450955146192721E-2</v>
      </c>
      <c r="H47" s="13">
        <v>0.10216329297781392</v>
      </c>
      <c r="I47" s="13">
        <v>-0.14778473994493377</v>
      </c>
      <c r="J47" s="13">
        <v>3.2152317173601286E-2</v>
      </c>
      <c r="K47" s="13">
        <v>-8.907561424054955E-2</v>
      </c>
    </row>
    <row r="48" spans="1:11" x14ac:dyDescent="0.25">
      <c r="A48" s="14">
        <v>38869</v>
      </c>
      <c r="B48" s="18">
        <v>1</v>
      </c>
      <c r="C48" s="19">
        <v>-1</v>
      </c>
      <c r="D48" s="13">
        <v>0.12048602717126819</v>
      </c>
      <c r="E48" s="13">
        <v>0.11878248121786346</v>
      </c>
      <c r="F48" s="13">
        <v>-8.3891928156490783E-2</v>
      </c>
      <c r="G48" s="13">
        <v>3.2450955146192721E-2</v>
      </c>
      <c r="H48" s="13">
        <v>0.10216329297781392</v>
      </c>
      <c r="I48" s="13">
        <v>-0.13476000586858514</v>
      </c>
      <c r="J48" s="13">
        <v>3.2152317173601286E-2</v>
      </c>
      <c r="K48" s="13">
        <v>-6.8153801831237565E-2</v>
      </c>
    </row>
    <row r="49" spans="1:11" x14ac:dyDescent="0.25">
      <c r="A49" s="14">
        <v>38899</v>
      </c>
      <c r="B49" s="18">
        <v>1</v>
      </c>
      <c r="C49" s="19">
        <v>-1</v>
      </c>
      <c r="D49" s="13">
        <v>0.13339643900668754</v>
      </c>
      <c r="E49" s="13">
        <v>0.11878248121786346</v>
      </c>
      <c r="F49" s="13">
        <v>-9.0087420634465121E-2</v>
      </c>
      <c r="G49" s="13">
        <v>3.2450955146192721E-2</v>
      </c>
      <c r="H49" s="13">
        <v>0.10216329297781392</v>
      </c>
      <c r="I49" s="13">
        <v>-0.13137576886618399</v>
      </c>
      <c r="J49" s="13">
        <v>3.2152317173601286E-2</v>
      </c>
      <c r="K49" s="13">
        <v>-6.3675290810720361E-2</v>
      </c>
    </row>
    <row r="50" spans="1:11" x14ac:dyDescent="0.25">
      <c r="A50" s="14">
        <v>38930</v>
      </c>
      <c r="B50" s="18">
        <v>1</v>
      </c>
      <c r="C50" s="19">
        <v>-1</v>
      </c>
      <c r="D50" s="13">
        <v>0.13730779827470099</v>
      </c>
      <c r="E50" s="13">
        <v>0.11878248121786346</v>
      </c>
      <c r="F50" s="13">
        <v>-0.10150554226552365</v>
      </c>
      <c r="G50" s="13">
        <v>3.2450955146192721E-2</v>
      </c>
      <c r="H50" s="13">
        <v>0.10216329297781392</v>
      </c>
      <c r="I50" s="13">
        <v>-0.13176692065979556</v>
      </c>
      <c r="J50" s="13">
        <v>3.2152317173601286E-2</v>
      </c>
      <c r="K50" s="13">
        <v>-5.3177123830539665E-2</v>
      </c>
    </row>
    <row r="51" spans="1:11" x14ac:dyDescent="0.25">
      <c r="A51" s="14">
        <v>38961</v>
      </c>
      <c r="B51" s="18">
        <v>1</v>
      </c>
      <c r="C51" s="19">
        <v>-1</v>
      </c>
      <c r="D51" s="13">
        <v>0.1532295910483415</v>
      </c>
      <c r="E51" s="13">
        <v>0.11878248121786346</v>
      </c>
      <c r="F51" s="13">
        <v>-9.8490320728350733E-2</v>
      </c>
      <c r="G51" s="13">
        <v>3.2450955146192721E-2</v>
      </c>
      <c r="H51" s="13">
        <v>0.10216329297781392</v>
      </c>
      <c r="I51" s="13">
        <v>-0.12900759933516276</v>
      </c>
      <c r="J51" s="13">
        <v>3.2152317173601286E-2</v>
      </c>
      <c r="K51" s="13">
        <v>-5.7747684837628335E-2</v>
      </c>
    </row>
    <row r="52" spans="1:11" x14ac:dyDescent="0.25">
      <c r="A52" s="14">
        <v>38991</v>
      </c>
      <c r="B52" s="18">
        <v>-1</v>
      </c>
      <c r="C52" s="19">
        <v>-1</v>
      </c>
      <c r="D52" s="13">
        <v>0.1532295910483415</v>
      </c>
      <c r="E52" s="13">
        <v>0.11186422066834115</v>
      </c>
      <c r="F52" s="13">
        <v>-9.8490320728350733E-2</v>
      </c>
      <c r="G52" s="13">
        <v>5.7938740609841631E-2</v>
      </c>
      <c r="H52" s="13">
        <v>0.10216329297781392</v>
      </c>
      <c r="I52" s="13">
        <v>-0.13965593960240696</v>
      </c>
      <c r="J52" s="13">
        <v>3.2152317173601286E-2</v>
      </c>
      <c r="K52" s="13">
        <v>-6.661265312699545E-2</v>
      </c>
    </row>
    <row r="53" spans="1:11" x14ac:dyDescent="0.25">
      <c r="A53" s="14">
        <v>39022</v>
      </c>
      <c r="B53" s="18">
        <v>-1</v>
      </c>
      <c r="C53" s="19">
        <v>1</v>
      </c>
      <c r="D53" s="13">
        <v>0.1532295910483415</v>
      </c>
      <c r="E53" s="13">
        <v>0.11264684661383802</v>
      </c>
      <c r="F53" s="13">
        <v>-9.8490320728350733E-2</v>
      </c>
      <c r="G53" s="13">
        <v>7.135807834549035E-2</v>
      </c>
      <c r="H53" s="13">
        <v>0.10809618812613891</v>
      </c>
      <c r="I53" s="13">
        <v>-0.13965593960240696</v>
      </c>
      <c r="J53" s="13">
        <v>3.5118982358514177E-2</v>
      </c>
      <c r="K53" s="13">
        <v>-6.661265312699545E-2</v>
      </c>
    </row>
    <row r="54" spans="1:11" x14ac:dyDescent="0.25">
      <c r="A54" s="14">
        <v>39052</v>
      </c>
      <c r="B54" s="18">
        <v>-1</v>
      </c>
      <c r="C54" s="19">
        <v>1</v>
      </c>
      <c r="D54" s="13">
        <v>0.1532295910483415</v>
      </c>
      <c r="E54" s="13">
        <v>0.1126468466138382</v>
      </c>
      <c r="F54" s="13">
        <v>-9.8490320728350733E-2</v>
      </c>
      <c r="G54" s="13">
        <v>5.6257298958078898E-2</v>
      </c>
      <c r="H54" s="13">
        <v>0.11256951862777789</v>
      </c>
      <c r="I54" s="13">
        <v>-0.13965593960240696</v>
      </c>
      <c r="J54" s="13">
        <v>3.8283188076016481E-2</v>
      </c>
      <c r="K54" s="13">
        <v>-6.661265312699545E-2</v>
      </c>
    </row>
    <row r="55" spans="1:11" x14ac:dyDescent="0.25">
      <c r="A55" s="14">
        <v>39083</v>
      </c>
      <c r="B55" s="18">
        <v>-1</v>
      </c>
      <c r="C55" s="19">
        <v>1</v>
      </c>
      <c r="D55" s="13">
        <v>0.1532295910483415</v>
      </c>
      <c r="E55" s="13">
        <v>0.11403721202037011</v>
      </c>
      <c r="F55" s="13">
        <v>-9.8490320728350733E-2</v>
      </c>
      <c r="G55" s="13">
        <v>5.5571227356930958E-2</v>
      </c>
      <c r="H55" s="13">
        <v>0.1086784563033301</v>
      </c>
      <c r="I55" s="13">
        <v>-0.13965593960240696</v>
      </c>
      <c r="J55" s="13">
        <v>2.7710165788506522E-2</v>
      </c>
      <c r="K55" s="13">
        <v>-6.661265312699545E-2</v>
      </c>
    </row>
    <row r="56" spans="1:11" x14ac:dyDescent="0.25">
      <c r="A56" s="14">
        <v>39114</v>
      </c>
      <c r="B56" s="18">
        <v>-1</v>
      </c>
      <c r="C56" s="19">
        <v>1</v>
      </c>
      <c r="D56" s="13">
        <v>0.1532295910483415</v>
      </c>
      <c r="E56" s="13">
        <v>0.14848974959640002</v>
      </c>
      <c r="F56" s="13">
        <v>-9.8490320728350733E-2</v>
      </c>
      <c r="G56" s="13">
        <v>7.7326154128734753E-2</v>
      </c>
      <c r="H56" s="13">
        <v>0.11878327382986825</v>
      </c>
      <c r="I56" s="13">
        <v>-0.13965593960240696</v>
      </c>
      <c r="J56" s="13">
        <v>1.7837802461134783E-2</v>
      </c>
      <c r="K56" s="13">
        <v>-6.661265312699545E-2</v>
      </c>
    </row>
    <row r="57" spans="1:11" x14ac:dyDescent="0.25">
      <c r="A57" s="14">
        <v>39142</v>
      </c>
      <c r="B57" s="18">
        <v>-1</v>
      </c>
      <c r="C57" s="19">
        <v>1</v>
      </c>
      <c r="D57" s="13">
        <v>0.1532295910483415</v>
      </c>
      <c r="E57" s="13">
        <v>0.15753275395443991</v>
      </c>
      <c r="F57" s="13">
        <v>-9.8490320728350733E-2</v>
      </c>
      <c r="G57" s="13">
        <v>6.0812136867656838E-2</v>
      </c>
      <c r="H57" s="13">
        <v>0.10901495145627127</v>
      </c>
      <c r="I57" s="13">
        <v>-0.13965593960240696</v>
      </c>
      <c r="J57" s="13">
        <v>1.0924746744741858E-2</v>
      </c>
      <c r="K57" s="13">
        <v>-6.661265312699545E-2</v>
      </c>
    </row>
    <row r="58" spans="1:11" x14ac:dyDescent="0.25">
      <c r="A58" s="14">
        <v>39173</v>
      </c>
      <c r="B58" s="18">
        <v>-1</v>
      </c>
      <c r="C58" s="19">
        <v>1</v>
      </c>
      <c r="D58" s="13">
        <v>0.1532295910483415</v>
      </c>
      <c r="E58" s="13">
        <v>0.15598094618551664</v>
      </c>
      <c r="F58" s="13">
        <v>-9.8490320728350733E-2</v>
      </c>
      <c r="G58" s="13">
        <v>6.3971256545638469E-2</v>
      </c>
      <c r="H58" s="13">
        <v>0.12605157889296945</v>
      </c>
      <c r="I58" s="13">
        <v>-0.13965593960240696</v>
      </c>
      <c r="J58" s="13">
        <v>1.987840225370012E-2</v>
      </c>
      <c r="K58" s="13">
        <v>-6.661265312699545E-2</v>
      </c>
    </row>
    <row r="59" spans="1:11" x14ac:dyDescent="0.25">
      <c r="A59" s="14">
        <v>39203</v>
      </c>
      <c r="B59" s="18">
        <v>-1</v>
      </c>
      <c r="C59" s="19">
        <v>1</v>
      </c>
      <c r="D59" s="13">
        <v>0.1532295910483415</v>
      </c>
      <c r="E59" s="13">
        <v>0.15087996919645694</v>
      </c>
      <c r="F59" s="13">
        <v>-9.8490320728350733E-2</v>
      </c>
      <c r="G59" s="13">
        <v>5.4637524226159959E-2</v>
      </c>
      <c r="H59" s="13">
        <v>0.14383042543941793</v>
      </c>
      <c r="I59" s="13">
        <v>-0.13965593960240696</v>
      </c>
      <c r="J59" s="13">
        <v>1.5206479483908983E-2</v>
      </c>
      <c r="K59" s="13">
        <v>-6.661265312699545E-2</v>
      </c>
    </row>
    <row r="60" spans="1:11" x14ac:dyDescent="0.25">
      <c r="A60" s="14">
        <v>39234</v>
      </c>
      <c r="B60" s="18">
        <v>-1</v>
      </c>
      <c r="C60" s="19">
        <v>1</v>
      </c>
      <c r="D60" s="13">
        <v>0.1532295910483415</v>
      </c>
      <c r="E60" s="13">
        <v>0.16113166344133253</v>
      </c>
      <c r="F60" s="13">
        <v>-9.8490320728350733E-2</v>
      </c>
      <c r="G60" s="13">
        <v>7.779873342211642E-2</v>
      </c>
      <c r="H60" s="13">
        <v>0.11591998415870677</v>
      </c>
      <c r="I60" s="13">
        <v>-0.13965593960240696</v>
      </c>
      <c r="J60" s="13">
        <v>4.0773340769329307E-2</v>
      </c>
      <c r="K60" s="13">
        <v>-6.661265312699545E-2</v>
      </c>
    </row>
    <row r="61" spans="1:11" x14ac:dyDescent="0.25">
      <c r="A61" s="14">
        <v>39264</v>
      </c>
      <c r="B61" s="18">
        <v>-1</v>
      </c>
      <c r="C61" s="19">
        <v>1</v>
      </c>
      <c r="D61" s="13">
        <v>0.1532295910483415</v>
      </c>
      <c r="E61" s="13">
        <v>0.21620253162036807</v>
      </c>
      <c r="F61" s="13">
        <v>-9.8490320728350733E-2</v>
      </c>
      <c r="G61" s="13">
        <v>9.9011680993812259E-2</v>
      </c>
      <c r="H61" s="13">
        <v>0.13351411740641717</v>
      </c>
      <c r="I61" s="13">
        <v>-0.13965593960240696</v>
      </c>
      <c r="J61" s="13">
        <v>5.3393397975467424E-2</v>
      </c>
      <c r="K61" s="13">
        <v>-6.661265312699545E-2</v>
      </c>
    </row>
    <row r="62" spans="1:11" x14ac:dyDescent="0.25">
      <c r="A62" s="14">
        <v>39295</v>
      </c>
      <c r="B62" s="18">
        <v>1</v>
      </c>
      <c r="C62" s="19">
        <v>1</v>
      </c>
      <c r="D62" s="13">
        <v>0.17141718888746779</v>
      </c>
      <c r="E62" s="13">
        <v>0.21620253162036807</v>
      </c>
      <c r="F62" s="13">
        <v>-0.11688545887309887</v>
      </c>
      <c r="G62" s="13">
        <v>9.9011680993812259E-2</v>
      </c>
      <c r="H62" s="13">
        <v>0.14748436404310653</v>
      </c>
      <c r="I62" s="13">
        <v>-0.13965593960240696</v>
      </c>
      <c r="J62" s="13">
        <v>5.4527433168693913E-2</v>
      </c>
      <c r="K62" s="13">
        <v>-6.661265312699545E-2</v>
      </c>
    </row>
    <row r="63" spans="1:11" x14ac:dyDescent="0.25">
      <c r="A63" s="14">
        <v>39326</v>
      </c>
      <c r="B63" s="18">
        <v>-1</v>
      </c>
      <c r="C63" s="19">
        <v>-1</v>
      </c>
      <c r="D63" s="13">
        <v>0.17141718888746779</v>
      </c>
      <c r="E63" s="13">
        <v>0.21035249432722072</v>
      </c>
      <c r="F63" s="13">
        <v>-0.11688545887309887</v>
      </c>
      <c r="G63" s="13">
        <v>0.10557070998930142</v>
      </c>
      <c r="H63" s="13">
        <v>0.14748436404310653</v>
      </c>
      <c r="I63" s="13">
        <v>-0.12738466458634179</v>
      </c>
      <c r="J63" s="13">
        <v>5.4527433168693913E-2</v>
      </c>
      <c r="K63" s="13">
        <v>-3.895883157137691E-2</v>
      </c>
    </row>
    <row r="64" spans="1:11" x14ac:dyDescent="0.25">
      <c r="A64" s="14">
        <v>39356</v>
      </c>
      <c r="B64" s="18">
        <v>1</v>
      </c>
      <c r="C64" s="19">
        <v>1</v>
      </c>
      <c r="D64" s="13">
        <v>0.20414912204098792</v>
      </c>
      <c r="E64" s="13">
        <v>0.21035249432722072</v>
      </c>
      <c r="F64" s="13">
        <v>-0.11156540921562258</v>
      </c>
      <c r="G64" s="13">
        <v>0.10557070998930142</v>
      </c>
      <c r="H64" s="13">
        <v>0.16868911135943054</v>
      </c>
      <c r="I64" s="13">
        <v>-0.12738466458634179</v>
      </c>
      <c r="J64" s="13">
        <v>5.5603192084485581E-2</v>
      </c>
      <c r="K64" s="13">
        <v>-3.895883157137691E-2</v>
      </c>
    </row>
    <row r="65" spans="1:11" x14ac:dyDescent="0.25">
      <c r="A65" s="14">
        <v>39387</v>
      </c>
      <c r="B65" s="18">
        <v>1</v>
      </c>
      <c r="C65" s="19">
        <v>-1</v>
      </c>
      <c r="D65" s="13">
        <v>0.2522393707392166</v>
      </c>
      <c r="E65" s="13">
        <v>0.21035249432722072</v>
      </c>
      <c r="F65" s="13">
        <v>-0.12146780304700136</v>
      </c>
      <c r="G65" s="13">
        <v>0.10557070998930142</v>
      </c>
      <c r="H65" s="13">
        <v>0.16868911135943054</v>
      </c>
      <c r="I65" s="13">
        <v>-8.2823940130790571E-2</v>
      </c>
      <c r="J65" s="13">
        <v>5.5603192084485581E-2</v>
      </c>
      <c r="K65" s="13">
        <v>-2.6380204786489551E-2</v>
      </c>
    </row>
    <row r="66" spans="1:11" x14ac:dyDescent="0.25">
      <c r="A66" s="14">
        <v>39417</v>
      </c>
      <c r="B66" s="18">
        <v>-1</v>
      </c>
      <c r="C66" s="19">
        <v>-1</v>
      </c>
      <c r="D66" s="13">
        <v>0.2522393707392166</v>
      </c>
      <c r="E66" s="13">
        <v>0.22339871401585243</v>
      </c>
      <c r="F66" s="13">
        <v>-0.12146780304700136</v>
      </c>
      <c r="G66" s="13">
        <v>0.12441574885379281</v>
      </c>
      <c r="H66" s="13">
        <v>0.16868911135943054</v>
      </c>
      <c r="I66" s="13">
        <v>-9.7845828542363969E-2</v>
      </c>
      <c r="J66" s="13">
        <v>5.5603192084485581E-2</v>
      </c>
      <c r="K66" s="13">
        <v>-5.0650292116390917E-2</v>
      </c>
    </row>
    <row r="67" spans="1:11" x14ac:dyDescent="0.25">
      <c r="A67" s="14">
        <v>39448</v>
      </c>
      <c r="B67" s="18">
        <v>1</v>
      </c>
      <c r="C67" s="19">
        <v>1</v>
      </c>
      <c r="D67" s="13">
        <v>0.2781226706838722</v>
      </c>
      <c r="E67" s="13">
        <v>0.22339871401585243</v>
      </c>
      <c r="F67" s="13">
        <v>-0.10787553334173657</v>
      </c>
      <c r="G67" s="13">
        <v>0.12441574885379281</v>
      </c>
      <c r="H67" s="13">
        <v>0.11747142502052674</v>
      </c>
      <c r="I67" s="13">
        <v>-9.7845828542363969E-2</v>
      </c>
      <c r="J67" s="13">
        <v>3.9293027128569857E-2</v>
      </c>
      <c r="K67" s="13">
        <v>-5.0650292116390917E-2</v>
      </c>
    </row>
    <row r="68" spans="1:11" x14ac:dyDescent="0.25">
      <c r="A68" s="14">
        <v>39479</v>
      </c>
      <c r="B68" s="18">
        <v>-1</v>
      </c>
      <c r="C68" s="19">
        <v>-1</v>
      </c>
      <c r="D68" s="13">
        <v>0.2781226706838722</v>
      </c>
      <c r="E68" s="13">
        <v>0.23675970662030338</v>
      </c>
      <c r="F68" s="13">
        <v>-0.10787553334173657</v>
      </c>
      <c r="G68" s="13">
        <v>0.14814836878540744</v>
      </c>
      <c r="H68" s="13">
        <v>0.11747142502052674</v>
      </c>
      <c r="I68" s="13">
        <v>-7.2485046074054552E-2</v>
      </c>
      <c r="J68" s="13">
        <v>3.9293027128569857E-2</v>
      </c>
      <c r="K68" s="13">
        <v>-7.2231518754087759E-2</v>
      </c>
    </row>
    <row r="69" spans="1:11" x14ac:dyDescent="0.25">
      <c r="A69" s="14">
        <v>39508</v>
      </c>
      <c r="B69" s="18">
        <v>1</v>
      </c>
      <c r="C69" s="19">
        <v>1</v>
      </c>
      <c r="D69" s="13">
        <v>0.25749875371146036</v>
      </c>
      <c r="E69" s="13">
        <v>0.23675970662030338</v>
      </c>
      <c r="F69" s="13">
        <v>-0.11404809897880283</v>
      </c>
      <c r="G69" s="13">
        <v>0.14814836878540744</v>
      </c>
      <c r="H69" s="13">
        <v>8.6277008818435058E-2</v>
      </c>
      <c r="I69" s="13">
        <v>-7.2485046074054552E-2</v>
      </c>
      <c r="J69" s="13">
        <v>5.7045894580318529E-2</v>
      </c>
      <c r="K69" s="13">
        <v>-7.2231518754087759E-2</v>
      </c>
    </row>
    <row r="70" spans="1:11" x14ac:dyDescent="0.25">
      <c r="A70" s="14">
        <v>39539</v>
      </c>
      <c r="B70" s="18">
        <v>-1</v>
      </c>
      <c r="C70" s="19">
        <v>-1</v>
      </c>
      <c r="D70" s="13">
        <v>0.25749875371146036</v>
      </c>
      <c r="E70" s="13">
        <v>0.2388550367218876</v>
      </c>
      <c r="F70" s="13">
        <v>-0.11404809897880283</v>
      </c>
      <c r="G70" s="13">
        <v>0.14782548631932091</v>
      </c>
      <c r="H70" s="13">
        <v>8.6277008818435058E-2</v>
      </c>
      <c r="I70" s="13">
        <v>-0.10959939222577809</v>
      </c>
      <c r="J70" s="13">
        <v>5.7045894580318529E-2</v>
      </c>
      <c r="K70" s="13">
        <v>-8.0476563310195259E-2</v>
      </c>
    </row>
    <row r="71" spans="1:11" x14ac:dyDescent="0.25">
      <c r="A71" s="14">
        <v>39569</v>
      </c>
      <c r="B71" s="18">
        <v>-1</v>
      </c>
      <c r="C71" s="19">
        <v>1</v>
      </c>
      <c r="D71" s="13">
        <v>0.25749875371146036</v>
      </c>
      <c r="E71" s="13">
        <v>0.23270859269081387</v>
      </c>
      <c r="F71" s="13">
        <v>-0.11404809897880283</v>
      </c>
      <c r="G71" s="13">
        <v>0.12396567366821301</v>
      </c>
      <c r="H71" s="13">
        <v>9.5349335961864609E-2</v>
      </c>
      <c r="I71" s="13">
        <v>-0.10959939222577809</v>
      </c>
      <c r="J71" s="13">
        <v>7.2622973646997172E-2</v>
      </c>
      <c r="K71" s="13">
        <v>-8.0476563310195259E-2</v>
      </c>
    </row>
    <row r="72" spans="1:11" x14ac:dyDescent="0.25">
      <c r="A72" s="14">
        <v>39600</v>
      </c>
      <c r="B72" s="18">
        <v>1</v>
      </c>
      <c r="C72" s="19">
        <v>1</v>
      </c>
      <c r="D72" s="13">
        <v>0.22975788129492222</v>
      </c>
      <c r="E72" s="13">
        <v>0.23270859269081387</v>
      </c>
      <c r="F72" s="13">
        <v>-0.14182945108847334</v>
      </c>
      <c r="G72" s="13">
        <v>0.12396567366821301</v>
      </c>
      <c r="H72" s="13">
        <v>6.5994905149449667E-2</v>
      </c>
      <c r="I72" s="13">
        <v>-0.10959939222577809</v>
      </c>
      <c r="J72" s="13">
        <v>6.3690756569435847E-2</v>
      </c>
      <c r="K72" s="13">
        <v>-8.0476563310195259E-2</v>
      </c>
    </row>
    <row r="73" spans="1:11" x14ac:dyDescent="0.25">
      <c r="A73" s="14">
        <v>39630</v>
      </c>
      <c r="B73" s="18">
        <v>-1</v>
      </c>
      <c r="C73" s="19">
        <v>-1</v>
      </c>
      <c r="D73" s="13">
        <v>0.22975788129492222</v>
      </c>
      <c r="E73" s="13">
        <v>0.23782023541222505</v>
      </c>
      <c r="F73" s="13">
        <v>-0.14182945108847334</v>
      </c>
      <c r="G73" s="13">
        <v>0.13847001917330401</v>
      </c>
      <c r="H73" s="13">
        <v>6.5994905149449667E-2</v>
      </c>
      <c r="I73" s="13">
        <v>-0.10380005350632922</v>
      </c>
      <c r="J73" s="13">
        <v>6.3690756569435847E-2</v>
      </c>
      <c r="K73" s="13">
        <v>-6.8785032177365715E-2</v>
      </c>
    </row>
    <row r="74" spans="1:11" x14ac:dyDescent="0.25">
      <c r="A74" s="14">
        <v>39661</v>
      </c>
      <c r="B74" s="18">
        <v>1</v>
      </c>
      <c r="C74" s="19">
        <v>1</v>
      </c>
      <c r="D74" s="13">
        <v>0.237474274237651</v>
      </c>
      <c r="E74" s="13">
        <v>0.23782023541222505</v>
      </c>
      <c r="F74" s="13">
        <v>-0.14931695773230294</v>
      </c>
      <c r="G74" s="13">
        <v>0.13847001917330401</v>
      </c>
      <c r="H74" s="13">
        <v>6.7412927892776447E-2</v>
      </c>
      <c r="I74" s="13">
        <v>-0.10380005350632922</v>
      </c>
      <c r="J74" s="13">
        <v>5.9189727217076119E-2</v>
      </c>
      <c r="K74" s="13">
        <v>-6.8785032177365715E-2</v>
      </c>
    </row>
    <row r="75" spans="1:11" x14ac:dyDescent="0.25">
      <c r="A75" s="14">
        <v>39692</v>
      </c>
      <c r="B75" s="18">
        <v>1</v>
      </c>
      <c r="C75" s="19">
        <v>-1</v>
      </c>
      <c r="D75" s="13">
        <v>0.19262892931311179</v>
      </c>
      <c r="E75" s="13">
        <v>0.23782023541222505</v>
      </c>
      <c r="F75" s="13">
        <v>-0.15906094656684081</v>
      </c>
      <c r="G75" s="13">
        <v>0.13847001917330401</v>
      </c>
      <c r="H75" s="13">
        <v>6.7412927892776447E-2</v>
      </c>
      <c r="I75" s="13">
        <v>-8.972501188687608E-2</v>
      </c>
      <c r="J75" s="13">
        <v>5.9189727217076119E-2</v>
      </c>
      <c r="K75" s="13">
        <v>-4.3648852616988892E-2</v>
      </c>
    </row>
    <row r="76" spans="1:11" x14ac:dyDescent="0.25">
      <c r="A76" s="14">
        <v>39722</v>
      </c>
      <c r="B76" s="18">
        <v>1</v>
      </c>
      <c r="C76" s="19">
        <v>-1</v>
      </c>
      <c r="D76" s="13">
        <v>0.20269705925884812</v>
      </c>
      <c r="E76" s="13">
        <v>0.23782023541222505</v>
      </c>
      <c r="F76" s="13">
        <v>-0.13469148134639369</v>
      </c>
      <c r="G76" s="13">
        <v>0.13847001917330401</v>
      </c>
      <c r="H76" s="13">
        <v>6.7412927892776447E-2</v>
      </c>
      <c r="I76" s="13">
        <v>5.8308674840595112E-2</v>
      </c>
      <c r="J76" s="13">
        <v>5.9189727217076119E-2</v>
      </c>
      <c r="K76" s="13">
        <v>6.0485719187096387E-4</v>
      </c>
    </row>
    <row r="77" spans="1:11" x14ac:dyDescent="0.25">
      <c r="A77" s="14">
        <v>39753</v>
      </c>
      <c r="B77" s="18">
        <v>1</v>
      </c>
      <c r="C77" s="19">
        <v>-1</v>
      </c>
      <c r="D77" s="13">
        <v>0.32749767659225348</v>
      </c>
      <c r="E77" s="13">
        <v>0.23782023541222505</v>
      </c>
      <c r="F77" s="13">
        <v>-0.1615342907622162</v>
      </c>
      <c r="G77" s="13">
        <v>0.13847001917330401</v>
      </c>
      <c r="H77" s="13">
        <v>6.7412927892776447E-2</v>
      </c>
      <c r="I77" s="13">
        <v>8.9461053920028205E-2</v>
      </c>
      <c r="J77" s="13">
        <v>5.9189727217076119E-2</v>
      </c>
      <c r="K77" s="13">
        <v>1.9886125808178841E-2</v>
      </c>
    </row>
    <row r="78" spans="1:11" x14ac:dyDescent="0.25">
      <c r="A78" s="14">
        <v>39783</v>
      </c>
      <c r="B78" s="18">
        <v>1</v>
      </c>
      <c r="C78" s="19">
        <v>-1</v>
      </c>
      <c r="D78" s="13">
        <v>0.35047651751701303</v>
      </c>
      <c r="E78" s="13">
        <v>0.23782023541222505</v>
      </c>
      <c r="F78" s="13">
        <v>-0.14078816100641364</v>
      </c>
      <c r="G78" s="13">
        <v>0.13847001917330401</v>
      </c>
      <c r="H78" s="13">
        <v>6.7412927892776447E-2</v>
      </c>
      <c r="I78" s="13">
        <v>0.11372940750164862</v>
      </c>
      <c r="J78" s="13">
        <v>5.9189727217076119E-2</v>
      </c>
      <c r="K78" s="13">
        <v>6.728986625620989E-2</v>
      </c>
    </row>
    <row r="79" spans="1:11" x14ac:dyDescent="0.25">
      <c r="A79" s="14">
        <v>39814</v>
      </c>
      <c r="B79" s="18">
        <v>-1</v>
      </c>
      <c r="C79" s="19">
        <v>-1</v>
      </c>
      <c r="D79" s="13">
        <v>0.35047651751701303</v>
      </c>
      <c r="E79" s="13">
        <v>0.24119516061855367</v>
      </c>
      <c r="F79" s="13">
        <v>-0.14078816100641364</v>
      </c>
      <c r="G79" s="13">
        <v>0.10119798509363712</v>
      </c>
      <c r="H79" s="13">
        <v>6.7412927892776447E-2</v>
      </c>
      <c r="I79" s="13">
        <v>0.10490292367088733</v>
      </c>
      <c r="J79" s="13">
        <v>5.9189727217076119E-2</v>
      </c>
      <c r="K79" s="13">
        <v>8.716170301876644E-3</v>
      </c>
    </row>
    <row r="80" spans="1:11" x14ac:dyDescent="0.25">
      <c r="A80" s="14">
        <v>39845</v>
      </c>
      <c r="B80" s="18">
        <v>1</v>
      </c>
      <c r="C80" s="19">
        <v>1</v>
      </c>
      <c r="D80" s="13">
        <v>0.34078484991887187</v>
      </c>
      <c r="E80" s="13">
        <v>0.24119516061855367</v>
      </c>
      <c r="F80" s="13">
        <v>-0.11176702223813897</v>
      </c>
      <c r="G80" s="13">
        <v>0.10119798509363712</v>
      </c>
      <c r="H80" s="13">
        <v>0.11630092376448897</v>
      </c>
      <c r="I80" s="13">
        <v>0.10490292367088733</v>
      </c>
      <c r="J80" s="13">
        <v>7.0611183017294119E-2</v>
      </c>
      <c r="K80" s="13">
        <v>8.716170301876644E-3</v>
      </c>
    </row>
    <row r="81" spans="1:11" x14ac:dyDescent="0.25">
      <c r="A81" s="14">
        <v>39873</v>
      </c>
      <c r="B81" s="18">
        <v>-1</v>
      </c>
      <c r="C81" s="19">
        <v>-1</v>
      </c>
      <c r="D81" s="13">
        <v>0.34078484991887187</v>
      </c>
      <c r="E81" s="13">
        <v>0.20521849134646317</v>
      </c>
      <c r="F81" s="13">
        <v>-0.11176702223813897</v>
      </c>
      <c r="G81" s="13">
        <v>0.11827589086042571</v>
      </c>
      <c r="H81" s="13">
        <v>0.11630092376448897</v>
      </c>
      <c r="I81" s="13">
        <v>0.17507521796549769</v>
      </c>
      <c r="J81" s="13">
        <v>7.0611183017294119E-2</v>
      </c>
      <c r="K81" s="13">
        <v>3.4580237245453248E-2</v>
      </c>
    </row>
    <row r="82" spans="1:11" x14ac:dyDescent="0.25">
      <c r="A82" s="14">
        <v>39904</v>
      </c>
      <c r="B82" s="18">
        <v>-1</v>
      </c>
      <c r="C82" s="19">
        <v>1</v>
      </c>
      <c r="D82" s="13">
        <v>0.34078484991887187</v>
      </c>
      <c r="E82" s="13">
        <v>0.17171842957779659</v>
      </c>
      <c r="F82" s="13">
        <v>-0.11176702223813897</v>
      </c>
      <c r="G82" s="13">
        <v>8.3016661149384066E-2</v>
      </c>
      <c r="H82" s="13">
        <v>0.14273447904220318</v>
      </c>
      <c r="I82" s="13">
        <v>0.17507521796549769</v>
      </c>
      <c r="J82" s="13">
        <v>9.6247930884758318E-2</v>
      </c>
      <c r="K82" s="13">
        <v>3.4580237245453248E-2</v>
      </c>
    </row>
    <row r="83" spans="1:11" x14ac:dyDescent="0.25">
      <c r="A83" s="14">
        <v>39934</v>
      </c>
      <c r="B83" s="18">
        <v>-1</v>
      </c>
      <c r="C83" s="19">
        <v>1</v>
      </c>
      <c r="D83" s="13">
        <v>0.34078484991887187</v>
      </c>
      <c r="E83" s="13">
        <v>0.13517857879887737</v>
      </c>
      <c r="F83" s="13">
        <v>-0.11176702223813897</v>
      </c>
      <c r="G83" s="13">
        <v>7.8673058726143649E-2</v>
      </c>
      <c r="H83" s="13">
        <v>0.18133044186706374</v>
      </c>
      <c r="I83" s="13">
        <v>0.17507521796549769</v>
      </c>
      <c r="J83" s="13">
        <v>0.12817977371863309</v>
      </c>
      <c r="K83" s="13">
        <v>3.4580237245453248E-2</v>
      </c>
    </row>
    <row r="84" spans="1:11" x14ac:dyDescent="0.25">
      <c r="A84" s="14">
        <v>39965</v>
      </c>
      <c r="B84" s="18">
        <v>-1</v>
      </c>
      <c r="C84" s="19">
        <v>1</v>
      </c>
      <c r="D84" s="13">
        <v>0.34078484991887187</v>
      </c>
      <c r="E84" s="13">
        <v>0.13615670927996376</v>
      </c>
      <c r="F84" s="13">
        <v>-0.11176702223813897</v>
      </c>
      <c r="G84" s="13">
        <v>0.10959976828355396</v>
      </c>
      <c r="H84" s="13">
        <v>0.20292612384557526</v>
      </c>
      <c r="I84" s="13">
        <v>0.17507521796549769</v>
      </c>
      <c r="J84" s="13">
        <v>0.17200668098035402</v>
      </c>
      <c r="K84" s="13">
        <v>3.4580237245453248E-2</v>
      </c>
    </row>
    <row r="85" spans="1:11" x14ac:dyDescent="0.25">
      <c r="A85" s="14">
        <v>39995</v>
      </c>
      <c r="B85" s="18">
        <v>-1</v>
      </c>
      <c r="C85" s="19">
        <v>1</v>
      </c>
      <c r="D85" s="13">
        <v>0.34078484991887187</v>
      </c>
      <c r="E85" s="13">
        <v>0.10260807400721231</v>
      </c>
      <c r="F85" s="13">
        <v>-0.11176702223813897</v>
      </c>
      <c r="G85" s="13">
        <v>0.13199806575426609</v>
      </c>
      <c r="H85" s="13">
        <v>0.15901807304437227</v>
      </c>
      <c r="I85" s="13">
        <v>0.17507521796549769</v>
      </c>
      <c r="J85" s="13">
        <v>0.14859499303351698</v>
      </c>
      <c r="K85" s="13">
        <v>3.4580237245453248E-2</v>
      </c>
    </row>
    <row r="86" spans="1:11" x14ac:dyDescent="0.25">
      <c r="A86" s="14">
        <v>40026</v>
      </c>
      <c r="B86" s="18">
        <v>-1</v>
      </c>
      <c r="C86" s="19">
        <v>1</v>
      </c>
      <c r="D86" s="13">
        <v>0.34078484991887187</v>
      </c>
      <c r="E86" s="13">
        <v>0.10757320742866301</v>
      </c>
      <c r="F86" s="13">
        <v>-0.11176702223813897</v>
      </c>
      <c r="G86" s="13">
        <v>0.16173136485343212</v>
      </c>
      <c r="H86" s="13">
        <v>0.18291837748732598</v>
      </c>
      <c r="I86" s="13">
        <v>0.17507521796549769</v>
      </c>
      <c r="J86" s="13">
        <v>0.19187080126305603</v>
      </c>
      <c r="K86" s="13">
        <v>3.4580237245453248E-2</v>
      </c>
    </row>
    <row r="87" spans="1:11" x14ac:dyDescent="0.25">
      <c r="A87" s="14">
        <v>40057</v>
      </c>
      <c r="B87" s="18">
        <v>-1</v>
      </c>
      <c r="C87" s="19">
        <v>1</v>
      </c>
      <c r="D87" s="13">
        <v>0.34078484991887187</v>
      </c>
      <c r="E87" s="13">
        <v>0.12149246212912053</v>
      </c>
      <c r="F87" s="13">
        <v>-0.11176702223813897</v>
      </c>
      <c r="G87" s="13">
        <v>0.1871906389619124</v>
      </c>
      <c r="H87" s="13">
        <v>0.18759204395393692</v>
      </c>
      <c r="I87" s="13">
        <v>0.17507521796549769</v>
      </c>
      <c r="J87" s="13">
        <v>0.21024296402415402</v>
      </c>
      <c r="K87" s="13">
        <v>3.4580237245453248E-2</v>
      </c>
    </row>
    <row r="88" spans="1:11" x14ac:dyDescent="0.25">
      <c r="A88" s="14">
        <v>40087</v>
      </c>
      <c r="B88" s="18">
        <v>-1</v>
      </c>
      <c r="C88" s="19">
        <v>1</v>
      </c>
      <c r="D88" s="13">
        <v>0.34078484991887187</v>
      </c>
      <c r="E88" s="13">
        <v>0.1655990390060649</v>
      </c>
      <c r="F88" s="13">
        <v>-0.11176702223813897</v>
      </c>
      <c r="G88" s="13">
        <v>0.18344026867026411</v>
      </c>
      <c r="H88" s="13">
        <v>0.18957884925472082</v>
      </c>
      <c r="I88" s="13">
        <v>0.17507521796549769</v>
      </c>
      <c r="J88" s="13">
        <v>0.20176979088855743</v>
      </c>
      <c r="K88" s="13">
        <v>3.4580237245453248E-2</v>
      </c>
    </row>
    <row r="89" spans="1:11" x14ac:dyDescent="0.25">
      <c r="A89" s="14">
        <v>40118</v>
      </c>
      <c r="B89" s="18">
        <v>-1</v>
      </c>
      <c r="C89" s="19">
        <v>1</v>
      </c>
      <c r="D89" s="13">
        <v>0.34078484991887187</v>
      </c>
      <c r="E89" s="13">
        <v>0.16094921747997457</v>
      </c>
      <c r="F89" s="13">
        <v>-0.11176702223813897</v>
      </c>
      <c r="G89" s="13">
        <v>0.19918964584184926</v>
      </c>
      <c r="H89" s="13">
        <v>0.22347016619357235</v>
      </c>
      <c r="I89" s="13">
        <v>0.17507521796549769</v>
      </c>
      <c r="J89" s="13">
        <v>0.22446206117780701</v>
      </c>
      <c r="K89" s="13">
        <v>3.4580237245453248E-2</v>
      </c>
    </row>
    <row r="90" spans="1:11" x14ac:dyDescent="0.25">
      <c r="A90" s="14">
        <v>40148</v>
      </c>
      <c r="B90" s="18">
        <v>-1</v>
      </c>
      <c r="C90" s="19">
        <v>1</v>
      </c>
      <c r="D90" s="13">
        <v>0.34078484991887187</v>
      </c>
      <c r="E90" s="13">
        <v>0.15996150265216513</v>
      </c>
      <c r="F90" s="13">
        <v>-0.11176702223813897</v>
      </c>
      <c r="G90" s="13">
        <v>0.18893983369515363</v>
      </c>
      <c r="H90" s="13">
        <v>0.23162319089207267</v>
      </c>
      <c r="I90" s="13">
        <v>0.17507521796549769</v>
      </c>
      <c r="J90" s="13">
        <v>0.25463597949568895</v>
      </c>
      <c r="K90" s="13">
        <v>3.4580237245453248E-2</v>
      </c>
    </row>
    <row r="91" spans="1:11" x14ac:dyDescent="0.25">
      <c r="A91" s="14">
        <v>40179</v>
      </c>
      <c r="B91" s="18">
        <v>1</v>
      </c>
      <c r="C91" s="19">
        <v>1</v>
      </c>
      <c r="D91" s="13">
        <v>0.3188646297276716</v>
      </c>
      <c r="E91" s="13">
        <v>0.15996150265216513</v>
      </c>
      <c r="F91" s="13">
        <v>-0.1197066906097685</v>
      </c>
      <c r="G91" s="13">
        <v>0.18893983369515363</v>
      </c>
      <c r="H91" s="13">
        <v>0.25932283407027523</v>
      </c>
      <c r="I91" s="13">
        <v>0.17507521796549769</v>
      </c>
      <c r="J91" s="13">
        <v>0.2613325065455962</v>
      </c>
      <c r="K91" s="13">
        <v>3.4580237245453248E-2</v>
      </c>
    </row>
    <row r="92" spans="1:11" x14ac:dyDescent="0.25">
      <c r="A92" s="14">
        <v>40210</v>
      </c>
      <c r="B92" s="18">
        <v>-1</v>
      </c>
      <c r="C92" s="19">
        <v>-1</v>
      </c>
      <c r="D92" s="13">
        <v>0.3188646297276716</v>
      </c>
      <c r="E92" s="13">
        <v>0.16374705316724419</v>
      </c>
      <c r="F92" s="13">
        <v>-0.1197066906097685</v>
      </c>
      <c r="G92" s="13">
        <v>0.21760042784669106</v>
      </c>
      <c r="H92" s="13">
        <v>0.25932283407027523</v>
      </c>
      <c r="I92" s="13">
        <v>0.18189632846090767</v>
      </c>
      <c r="J92" s="13">
        <v>0.2613325065455962</v>
      </c>
      <c r="K92" s="13">
        <v>3.4525090973161608E-2</v>
      </c>
    </row>
    <row r="93" spans="1:11" x14ac:dyDescent="0.25">
      <c r="A93" s="14">
        <v>40238</v>
      </c>
      <c r="B93" s="18">
        <v>-1</v>
      </c>
      <c r="C93" s="19">
        <v>1</v>
      </c>
      <c r="D93" s="13">
        <v>0.3188646297276716</v>
      </c>
      <c r="E93" s="13">
        <v>0.15490472954250714</v>
      </c>
      <c r="F93" s="13">
        <v>-0.1197066906097685</v>
      </c>
      <c r="G93" s="13">
        <v>0.19812645659850267</v>
      </c>
      <c r="H93" s="13">
        <v>0.29052644501648739</v>
      </c>
      <c r="I93" s="13">
        <v>0.18189632846090767</v>
      </c>
      <c r="J93" s="13">
        <v>0.27355388114203372</v>
      </c>
      <c r="K93" s="13">
        <v>3.4525090973161608E-2</v>
      </c>
    </row>
    <row r="94" spans="1:11" x14ac:dyDescent="0.25">
      <c r="A94" s="14">
        <v>40269</v>
      </c>
      <c r="B94" s="18">
        <v>-1</v>
      </c>
      <c r="C94" s="19">
        <v>1</v>
      </c>
      <c r="D94" s="13">
        <v>0.3188646297276716</v>
      </c>
      <c r="E94" s="13">
        <v>0.17333536737118679</v>
      </c>
      <c r="F94" s="13">
        <v>-0.1197066906097685</v>
      </c>
      <c r="G94" s="13">
        <v>0.21675222303492628</v>
      </c>
      <c r="H94" s="13">
        <v>0.30554130463644408</v>
      </c>
      <c r="I94" s="13">
        <v>0.18189632846090767</v>
      </c>
      <c r="J94" s="13">
        <v>0.2780278946220997</v>
      </c>
      <c r="K94" s="13">
        <v>3.4525090973161608E-2</v>
      </c>
    </row>
    <row r="95" spans="1:11" x14ac:dyDescent="0.25">
      <c r="A95" s="14">
        <v>40299</v>
      </c>
      <c r="B95" s="18">
        <v>1</v>
      </c>
      <c r="C95" s="19">
        <v>1</v>
      </c>
      <c r="D95" s="13">
        <v>0.32124482781909558</v>
      </c>
      <c r="E95" s="13">
        <v>0.17333536737118679</v>
      </c>
      <c r="F95" s="13">
        <v>-9.9903609692813727E-2</v>
      </c>
      <c r="G95" s="13">
        <v>0.21675222303492628</v>
      </c>
      <c r="H95" s="13">
        <v>0.23988566055471439</v>
      </c>
      <c r="I95" s="13">
        <v>0.18189632846090767</v>
      </c>
      <c r="J95" s="13">
        <v>0.23778654413126066</v>
      </c>
      <c r="K95" s="13">
        <v>3.4525090973161608E-2</v>
      </c>
    </row>
    <row r="96" spans="1:11" x14ac:dyDescent="0.25">
      <c r="A96" s="14">
        <v>40330</v>
      </c>
      <c r="B96" s="18">
        <v>-1</v>
      </c>
      <c r="C96" s="19">
        <v>-1</v>
      </c>
      <c r="D96" s="13">
        <v>0.32124482781909558</v>
      </c>
      <c r="E96" s="13">
        <v>0.24968936181133394</v>
      </c>
      <c r="F96" s="13">
        <v>-9.9903609692813727E-2</v>
      </c>
      <c r="G96" s="13">
        <v>0.26034108520912386</v>
      </c>
      <c r="H96" s="13">
        <v>0.23988566055471439</v>
      </c>
      <c r="I96" s="13">
        <v>0.21801680869080622</v>
      </c>
      <c r="J96" s="13">
        <v>0.23778654413126066</v>
      </c>
      <c r="K96" s="13">
        <v>5.8828823197916824E-2</v>
      </c>
    </row>
    <row r="97" spans="1:11" x14ac:dyDescent="0.25">
      <c r="A97" s="14">
        <v>40360</v>
      </c>
      <c r="B97" s="18">
        <v>-1</v>
      </c>
      <c r="C97" s="19">
        <v>1</v>
      </c>
      <c r="D97" s="13">
        <v>0.32124482781909558</v>
      </c>
      <c r="E97" s="13">
        <v>0.24231621012023177</v>
      </c>
      <c r="F97" s="13">
        <v>-9.9903609692813727E-2</v>
      </c>
      <c r="G97" s="13">
        <v>0.25666535464562723</v>
      </c>
      <c r="H97" s="13">
        <v>0.27734614724060047</v>
      </c>
      <c r="I97" s="13">
        <v>0.21801680869080622</v>
      </c>
      <c r="J97" s="13">
        <v>0.25418532697286045</v>
      </c>
      <c r="K97" s="13">
        <v>5.8828823197916824E-2</v>
      </c>
    </row>
    <row r="98" spans="1:11" x14ac:dyDescent="0.25">
      <c r="A98" s="14">
        <v>40391</v>
      </c>
      <c r="B98" s="18">
        <v>1</v>
      </c>
      <c r="C98" s="19">
        <v>1</v>
      </c>
      <c r="D98" s="13">
        <v>0.30038355179404452</v>
      </c>
      <c r="E98" s="13">
        <v>0.24231621012023177</v>
      </c>
      <c r="F98" s="13">
        <v>-0.1233908685503342</v>
      </c>
      <c r="G98" s="13">
        <v>0.25666535464562723</v>
      </c>
      <c r="H98" s="13">
        <v>0.29638920469819441</v>
      </c>
      <c r="I98" s="13">
        <v>0.21801680869080622</v>
      </c>
      <c r="J98" s="13">
        <v>0.25474431247096163</v>
      </c>
      <c r="K98" s="13">
        <v>5.8828823197916824E-2</v>
      </c>
    </row>
    <row r="99" spans="1:11" x14ac:dyDescent="0.25">
      <c r="A99" s="14">
        <v>40422</v>
      </c>
      <c r="B99" s="18">
        <v>-1</v>
      </c>
      <c r="C99" s="19">
        <v>-1</v>
      </c>
      <c r="D99" s="13">
        <v>0.30038355179404452</v>
      </c>
      <c r="E99" s="13">
        <v>0.23607547347771182</v>
      </c>
      <c r="F99" s="13">
        <v>-0.1233908685503342</v>
      </c>
      <c r="G99" s="13">
        <v>0.26523203088561531</v>
      </c>
      <c r="H99" s="13">
        <v>0.29638920469819441</v>
      </c>
      <c r="I99" s="13">
        <v>0.17072462179696291</v>
      </c>
      <c r="J99" s="13">
        <v>0.25474431247096163</v>
      </c>
      <c r="K99" s="13">
        <v>2.7122013388161018E-2</v>
      </c>
    </row>
    <row r="100" spans="1:11" x14ac:dyDescent="0.25">
      <c r="A100" s="14">
        <v>40452</v>
      </c>
      <c r="B100" s="18">
        <v>-1</v>
      </c>
      <c r="C100" s="19">
        <v>1</v>
      </c>
      <c r="D100" s="13">
        <v>0.30038355179404452</v>
      </c>
      <c r="E100" s="13">
        <v>0.23303280308657984</v>
      </c>
      <c r="F100" s="13">
        <v>-0.1233908685503342</v>
      </c>
      <c r="G100" s="13">
        <v>0.26244708916710152</v>
      </c>
      <c r="H100" s="13">
        <v>0.31169248917172299</v>
      </c>
      <c r="I100" s="13">
        <v>0.17072462179696291</v>
      </c>
      <c r="J100" s="13">
        <v>0.25891999419993017</v>
      </c>
      <c r="K100" s="13">
        <v>2.7122013388161018E-2</v>
      </c>
    </row>
    <row r="101" spans="1:11" x14ac:dyDescent="0.25">
      <c r="A101" s="14">
        <v>40483</v>
      </c>
      <c r="B101" s="18">
        <v>-1</v>
      </c>
      <c r="C101" s="19">
        <v>1</v>
      </c>
      <c r="D101" s="13">
        <v>0.30038355179404452</v>
      </c>
      <c r="E101" s="13">
        <v>0.2481098119657256</v>
      </c>
      <c r="F101" s="13">
        <v>-0.1233908685503342</v>
      </c>
      <c r="G101" s="13">
        <v>0.28111387274596766</v>
      </c>
      <c r="H101" s="13">
        <v>0.34676910960611523</v>
      </c>
      <c r="I101" s="13">
        <v>0.17072462179696291</v>
      </c>
      <c r="J101" s="13">
        <v>0.28033657415785806</v>
      </c>
      <c r="K101" s="13">
        <v>2.7122013388161018E-2</v>
      </c>
    </row>
    <row r="102" spans="1:11" x14ac:dyDescent="0.25">
      <c r="A102" s="14">
        <v>40513</v>
      </c>
      <c r="B102" s="18">
        <v>-1</v>
      </c>
      <c r="C102" s="19">
        <v>1</v>
      </c>
      <c r="D102" s="13">
        <v>0.30038355179404452</v>
      </c>
      <c r="E102" s="13">
        <v>0.24524281477124854</v>
      </c>
      <c r="F102" s="13">
        <v>-0.1233908685503342</v>
      </c>
      <c r="G102" s="13">
        <v>0.28804546729779956</v>
      </c>
      <c r="H102" s="13">
        <v>0.38274176787759351</v>
      </c>
      <c r="I102" s="13">
        <v>0.17072462179696291</v>
      </c>
      <c r="J102" s="13">
        <v>0.32091632070072534</v>
      </c>
      <c r="K102" s="13">
        <v>2.7122013388161018E-2</v>
      </c>
    </row>
    <row r="103" spans="1:11" x14ac:dyDescent="0.25">
      <c r="A103" s="14">
        <v>40544</v>
      </c>
      <c r="B103" s="18">
        <v>-1</v>
      </c>
      <c r="C103" s="19">
        <v>1</v>
      </c>
      <c r="D103" s="13">
        <v>0.30038355179404452</v>
      </c>
      <c r="E103" s="13">
        <v>0.24850173234592837</v>
      </c>
      <c r="F103" s="13">
        <v>-0.1233908685503342</v>
      </c>
      <c r="G103" s="13">
        <v>0.28432536502107325</v>
      </c>
      <c r="H103" s="13">
        <v>0.39373469912784376</v>
      </c>
      <c r="I103" s="13">
        <v>0.17072462179696291</v>
      </c>
      <c r="J103" s="13">
        <v>0.33990093236311547</v>
      </c>
      <c r="K103" s="13">
        <v>2.7122013388161018E-2</v>
      </c>
    </row>
    <row r="104" spans="1:11" x14ac:dyDescent="0.25">
      <c r="A104" s="14">
        <v>40575</v>
      </c>
      <c r="B104" s="18">
        <v>-1</v>
      </c>
      <c r="C104" s="19">
        <v>1</v>
      </c>
      <c r="D104" s="13">
        <v>0.30038355179404452</v>
      </c>
      <c r="E104" s="13">
        <v>0.23853856952217684</v>
      </c>
      <c r="F104" s="13">
        <v>-0.1233908685503342</v>
      </c>
      <c r="G104" s="13">
        <v>0.30146394605779642</v>
      </c>
      <c r="H104" s="13">
        <v>0.41898097253306443</v>
      </c>
      <c r="I104" s="13">
        <v>0.17072462179696291</v>
      </c>
      <c r="J104" s="13">
        <v>0.35799591445555878</v>
      </c>
      <c r="K104" s="13">
        <v>2.7122013388161018E-2</v>
      </c>
    </row>
    <row r="105" spans="1:11" x14ac:dyDescent="0.25">
      <c r="A105" s="14">
        <v>40603</v>
      </c>
      <c r="B105" s="18">
        <v>1</v>
      </c>
      <c r="C105" s="19">
        <v>1</v>
      </c>
      <c r="D105" s="13">
        <v>0.32211282286877124</v>
      </c>
      <c r="E105" s="13">
        <v>0.23853856952217684</v>
      </c>
      <c r="F105" s="13">
        <v>-0.11496033075921119</v>
      </c>
      <c r="G105" s="13">
        <v>0.30146394605779642</v>
      </c>
      <c r="H105" s="13">
        <v>0.40597875405486394</v>
      </c>
      <c r="I105" s="13">
        <v>0.17072462179696291</v>
      </c>
      <c r="J105" s="13">
        <v>0.3785418006556846</v>
      </c>
      <c r="K105" s="13">
        <v>2.7122013388161018E-2</v>
      </c>
    </row>
    <row r="106" spans="1:11" x14ac:dyDescent="0.25">
      <c r="A106" s="14">
        <v>40634</v>
      </c>
      <c r="B106" s="18">
        <v>1</v>
      </c>
      <c r="C106" s="19">
        <v>-1</v>
      </c>
      <c r="D106" s="13">
        <v>0.34172799524054892</v>
      </c>
      <c r="E106" s="13">
        <v>0.23853856952217684</v>
      </c>
      <c r="F106" s="13">
        <v>-0.1287948860857713</v>
      </c>
      <c r="G106" s="13">
        <v>0.30146394605779642</v>
      </c>
      <c r="H106" s="13">
        <v>0.40597875405486394</v>
      </c>
      <c r="I106" s="13">
        <v>0.16523369578702141</v>
      </c>
      <c r="J106" s="13">
        <v>0.3785418006556846</v>
      </c>
      <c r="K106" s="13">
        <v>1.1921466655791992E-2</v>
      </c>
    </row>
    <row r="107" spans="1:11" x14ac:dyDescent="0.25">
      <c r="A107" s="14">
        <v>40664</v>
      </c>
      <c r="B107" s="18">
        <v>1</v>
      </c>
      <c r="C107" s="19">
        <v>-1</v>
      </c>
      <c r="D107" s="13">
        <v>0.35133680003514389</v>
      </c>
      <c r="E107" s="13">
        <v>0.23853856952217684</v>
      </c>
      <c r="F107" s="13">
        <v>-0.14306568135433373</v>
      </c>
      <c r="G107" s="13">
        <v>0.30146394605779642</v>
      </c>
      <c r="H107" s="13">
        <v>0.40597875405486394</v>
      </c>
      <c r="I107" s="13">
        <v>0.18171428960681904</v>
      </c>
      <c r="J107" s="13">
        <v>0.3785418006556846</v>
      </c>
      <c r="K107" s="13">
        <v>2.8680515143534435E-2</v>
      </c>
    </row>
    <row r="108" spans="1:11" x14ac:dyDescent="0.25">
      <c r="A108" s="14">
        <v>40695</v>
      </c>
      <c r="B108" s="18">
        <v>1</v>
      </c>
      <c r="C108" s="19">
        <v>-1</v>
      </c>
      <c r="D108" s="13">
        <v>0.37061677343766875</v>
      </c>
      <c r="E108" s="13">
        <v>0.23853856952217684</v>
      </c>
      <c r="F108" s="13">
        <v>-0.11694942953576783</v>
      </c>
      <c r="G108" s="13">
        <v>0.30146394605779642</v>
      </c>
      <c r="H108" s="13">
        <v>0.40597875405486394</v>
      </c>
      <c r="I108" s="13">
        <v>0.22674603828636405</v>
      </c>
      <c r="J108" s="13">
        <v>0.3785418006556846</v>
      </c>
      <c r="K108" s="13">
        <v>2.5581852070396371E-2</v>
      </c>
    </row>
    <row r="109" spans="1:11" x14ac:dyDescent="0.25">
      <c r="A109" s="14">
        <v>40725</v>
      </c>
      <c r="B109" s="18">
        <v>1</v>
      </c>
      <c r="C109" s="19">
        <v>-1</v>
      </c>
      <c r="D109" s="13">
        <v>0.33082488915974362</v>
      </c>
      <c r="E109" s="13">
        <v>0.23853856952217684</v>
      </c>
      <c r="F109" s="13">
        <v>-0.13623113591847275</v>
      </c>
      <c r="G109" s="13">
        <v>0.30146394605779642</v>
      </c>
      <c r="H109" s="13">
        <v>0.40597875405486394</v>
      </c>
      <c r="I109" s="13">
        <v>0.2085003523092426</v>
      </c>
      <c r="J109" s="13">
        <v>0.3785418006556846</v>
      </c>
      <c r="K109" s="13">
        <v>4.2393624025141463E-2</v>
      </c>
    </row>
    <row r="110" spans="1:11" x14ac:dyDescent="0.25">
      <c r="A110" s="14">
        <v>40756</v>
      </c>
      <c r="B110" s="18">
        <v>1</v>
      </c>
      <c r="C110" s="19">
        <v>-1</v>
      </c>
      <c r="D110" s="13">
        <v>0.41245090915368537</v>
      </c>
      <c r="E110" s="13">
        <v>0.23853856952217684</v>
      </c>
      <c r="F110" s="13">
        <v>-9.8009662618087759E-2</v>
      </c>
      <c r="G110" s="13">
        <v>0.30146394605779642</v>
      </c>
      <c r="H110" s="13">
        <v>0.40597875405486394</v>
      </c>
      <c r="I110" s="13">
        <v>0.28270925276292708</v>
      </c>
      <c r="J110" s="13">
        <v>0.3785418006556846</v>
      </c>
      <c r="K110" s="13">
        <v>8.9671897817463458E-2</v>
      </c>
    </row>
    <row r="111" spans="1:11" x14ac:dyDescent="0.25">
      <c r="A111" s="14">
        <v>40787</v>
      </c>
      <c r="B111" s="18">
        <v>1</v>
      </c>
      <c r="C111" s="19">
        <v>-1</v>
      </c>
      <c r="D111" s="13">
        <v>0.41501756963969455</v>
      </c>
      <c r="E111" s="13">
        <v>0.23853856952217684</v>
      </c>
      <c r="F111" s="13">
        <v>-7.8985416877598316E-2</v>
      </c>
      <c r="G111" s="13">
        <v>0.30146394605779642</v>
      </c>
      <c r="H111" s="13">
        <v>0.40597875405486394</v>
      </c>
      <c r="I111" s="13">
        <v>0.30907234929892846</v>
      </c>
      <c r="J111" s="13">
        <v>0.3785418006556846</v>
      </c>
      <c r="K111" s="13">
        <v>0.14261790881236469</v>
      </c>
    </row>
    <row r="112" spans="1:11" x14ac:dyDescent="0.25">
      <c r="A112" s="14">
        <v>40817</v>
      </c>
      <c r="B112" s="18">
        <v>-1</v>
      </c>
      <c r="C112" s="19">
        <v>-1</v>
      </c>
      <c r="D112" s="13">
        <v>0.41501756963969455</v>
      </c>
      <c r="E112" s="13">
        <v>0.22627231616581361</v>
      </c>
      <c r="F112" s="13">
        <v>-7.8985416877598316E-2</v>
      </c>
      <c r="G112" s="13">
        <v>0.32548106040703018</v>
      </c>
      <c r="H112" s="13">
        <v>0.40597875405486394</v>
      </c>
      <c r="I112" s="13">
        <v>0.28669955504231054</v>
      </c>
      <c r="J112" s="13">
        <v>0.3785418006556846</v>
      </c>
      <c r="K112" s="13">
        <v>0.12373523741069259</v>
      </c>
    </row>
    <row r="113" spans="1:11" x14ac:dyDescent="0.25">
      <c r="A113" s="14">
        <v>40848</v>
      </c>
      <c r="B113" s="18">
        <v>1</v>
      </c>
      <c r="C113" s="19">
        <v>1</v>
      </c>
      <c r="D113" s="13">
        <v>0.45859675909491776</v>
      </c>
      <c r="E113" s="13">
        <v>0.22627231616581361</v>
      </c>
      <c r="F113" s="13">
        <v>-6.0743827972852701E-2</v>
      </c>
      <c r="G113" s="13">
        <v>0.32548106040703018</v>
      </c>
      <c r="H113" s="13">
        <v>0.41201620375404241</v>
      </c>
      <c r="I113" s="13">
        <v>0.28669955504231054</v>
      </c>
      <c r="J113" s="13">
        <v>0.3644605355319856</v>
      </c>
      <c r="K113" s="13">
        <v>0.12373523741069259</v>
      </c>
    </row>
    <row r="114" spans="1:11" x14ac:dyDescent="0.25">
      <c r="A114" s="14">
        <v>40878</v>
      </c>
      <c r="B114" s="18">
        <v>1</v>
      </c>
      <c r="C114" s="19">
        <v>-1</v>
      </c>
      <c r="D114" s="13">
        <v>0.46925127775433395</v>
      </c>
      <c r="E114" s="13">
        <v>0.22627231616581361</v>
      </c>
      <c r="F114" s="13">
        <v>-8.1853201563150096E-2</v>
      </c>
      <c r="G114" s="13">
        <v>0.32548106040703018</v>
      </c>
      <c r="H114" s="13">
        <v>0.41201620375404241</v>
      </c>
      <c r="I114" s="13">
        <v>0.27287423513815046</v>
      </c>
      <c r="J114" s="13">
        <v>0.3644605355319856</v>
      </c>
      <c r="K114" s="13">
        <v>0.12458527983333476</v>
      </c>
    </row>
    <row r="115" spans="1:11" x14ac:dyDescent="0.25">
      <c r="A115" s="14">
        <v>40909</v>
      </c>
      <c r="B115" s="18">
        <v>-1</v>
      </c>
      <c r="C115" s="19">
        <v>-1</v>
      </c>
      <c r="D115" s="13">
        <v>0.46925127775433395</v>
      </c>
      <c r="E115" s="13">
        <v>0.22733773782976663</v>
      </c>
      <c r="F115" s="13">
        <v>-8.1853201563150096E-2</v>
      </c>
      <c r="G115" s="13">
        <v>0.36256982504224744</v>
      </c>
      <c r="H115" s="13">
        <v>0.41201620375404241</v>
      </c>
      <c r="I115" s="13">
        <v>0.25299367900922637</v>
      </c>
      <c r="J115" s="13">
        <v>0.3644605355319856</v>
      </c>
      <c r="K115" s="13">
        <v>0.1018128877610063</v>
      </c>
    </row>
    <row r="116" spans="1:11" x14ac:dyDescent="0.25">
      <c r="A116" s="14">
        <v>40940</v>
      </c>
      <c r="B116" s="18">
        <v>-1</v>
      </c>
      <c r="C116" s="19">
        <v>1</v>
      </c>
      <c r="D116" s="13">
        <v>0.46925127775433395</v>
      </c>
      <c r="E116" s="13">
        <v>0.22008627903713909</v>
      </c>
      <c r="F116" s="13">
        <v>-8.1853201563150096E-2</v>
      </c>
      <c r="G116" s="13">
        <v>0.3684629439213048</v>
      </c>
      <c r="H116" s="13">
        <v>0.43809705713566999</v>
      </c>
      <c r="I116" s="13">
        <v>0.25299367900922637</v>
      </c>
      <c r="J116" s="13">
        <v>0.40070167781537397</v>
      </c>
      <c r="K116" s="13">
        <v>0.1018128877610063</v>
      </c>
    </row>
    <row r="117" spans="1:11" x14ac:dyDescent="0.25">
      <c r="A117" s="14">
        <v>40969</v>
      </c>
      <c r="B117" s="18">
        <v>-1</v>
      </c>
      <c r="C117" s="19">
        <v>1</v>
      </c>
      <c r="D117" s="13">
        <v>0.46925127775433395</v>
      </c>
      <c r="E117" s="13">
        <v>0.21581666653487827</v>
      </c>
      <c r="F117" s="13">
        <v>-8.1853201563150096E-2</v>
      </c>
      <c r="G117" s="13">
        <v>0.37212402476164164</v>
      </c>
      <c r="H117" s="13">
        <v>0.42834270361772603</v>
      </c>
      <c r="I117" s="13">
        <v>0.25299367900922637</v>
      </c>
      <c r="J117" s="13">
        <v>0.40286330592450331</v>
      </c>
      <c r="K117" s="13">
        <v>0.1018128877610063</v>
      </c>
    </row>
    <row r="118" spans="1:11" x14ac:dyDescent="0.25">
      <c r="A118" s="14">
        <v>41000</v>
      </c>
      <c r="B118" s="18">
        <v>1</v>
      </c>
      <c r="C118" s="19">
        <v>1</v>
      </c>
      <c r="D118" s="13">
        <v>0.49151806607641479</v>
      </c>
      <c r="E118" s="13">
        <v>0.21581666653487827</v>
      </c>
      <c r="F118" s="13">
        <v>-7.6751475340414294E-2</v>
      </c>
      <c r="G118" s="13">
        <v>0.37212402476164164</v>
      </c>
      <c r="H118" s="13">
        <v>0.40977780768788202</v>
      </c>
      <c r="I118" s="13">
        <v>0.25299367900922637</v>
      </c>
      <c r="J118" s="13">
        <v>0.3708552687975164</v>
      </c>
      <c r="K118" s="13">
        <v>0.1018128877610063</v>
      </c>
    </row>
    <row r="119" spans="1:11" x14ac:dyDescent="0.25">
      <c r="A119" s="14">
        <v>41030</v>
      </c>
      <c r="B119" s="18">
        <v>1</v>
      </c>
      <c r="C119" s="19">
        <v>-1</v>
      </c>
      <c r="D119" s="13">
        <v>0.48772219354172641</v>
      </c>
      <c r="E119" s="13">
        <v>0.21581666653487827</v>
      </c>
      <c r="F119" s="13">
        <v>-0.1058537805845572</v>
      </c>
      <c r="G119" s="13">
        <v>0.37212402476164164</v>
      </c>
      <c r="H119" s="13">
        <v>0.40977780768788202</v>
      </c>
      <c r="I119" s="13">
        <v>0.2729967578044325</v>
      </c>
      <c r="J119" s="13">
        <v>0.3708552687975164</v>
      </c>
      <c r="K119" s="13">
        <v>0.11136267032256307</v>
      </c>
    </row>
    <row r="120" spans="1:11" x14ac:dyDescent="0.25">
      <c r="A120" s="14">
        <v>41061</v>
      </c>
      <c r="B120" s="18">
        <v>-1</v>
      </c>
      <c r="C120" s="19">
        <v>-1</v>
      </c>
      <c r="D120" s="13">
        <v>0.48772219354172641</v>
      </c>
      <c r="E120" s="13">
        <v>0.18855653374095438</v>
      </c>
      <c r="F120" s="13">
        <v>-0.1058537805845572</v>
      </c>
      <c r="G120" s="13">
        <v>0.36013568955455977</v>
      </c>
      <c r="H120" s="13">
        <v>0.40977780768788202</v>
      </c>
      <c r="I120" s="13">
        <v>0.26859508560226802</v>
      </c>
      <c r="J120" s="13">
        <v>0.3708552687975164</v>
      </c>
      <c r="K120" s="13">
        <v>9.475767076202346E-2</v>
      </c>
    </row>
    <row r="121" spans="1:11" x14ac:dyDescent="0.25">
      <c r="A121" s="14">
        <v>41091</v>
      </c>
      <c r="B121" s="18">
        <v>1</v>
      </c>
      <c r="C121" s="19">
        <v>1</v>
      </c>
      <c r="D121" s="13">
        <v>0.50693124028288172</v>
      </c>
      <c r="E121" s="13">
        <v>0.18855653374095438</v>
      </c>
      <c r="F121" s="13">
        <v>-9.7485064214895639E-2</v>
      </c>
      <c r="G121" s="13">
        <v>0.36013568955455977</v>
      </c>
      <c r="H121" s="13">
        <v>0.40403053037694081</v>
      </c>
      <c r="I121" s="13">
        <v>0.26859508560226802</v>
      </c>
      <c r="J121" s="13">
        <v>0.34518188958176244</v>
      </c>
      <c r="K121" s="13">
        <v>9.475767076202346E-2</v>
      </c>
    </row>
    <row r="122" spans="1:11" x14ac:dyDescent="0.25">
      <c r="A122" s="14">
        <v>41122</v>
      </c>
      <c r="B122" s="18">
        <v>-1</v>
      </c>
      <c r="C122" s="19">
        <v>-1</v>
      </c>
      <c r="D122" s="13">
        <v>0.50693124028288172</v>
      </c>
      <c r="E122" s="13">
        <v>0.19279785158542292</v>
      </c>
      <c r="F122" s="13">
        <v>-9.7485064214895639E-2</v>
      </c>
      <c r="G122" s="13">
        <v>0.40276323028135258</v>
      </c>
      <c r="H122" s="13">
        <v>0.40403053037694081</v>
      </c>
      <c r="I122" s="13">
        <v>0.24981958750745198</v>
      </c>
      <c r="J122" s="13">
        <v>0.34518188958176244</v>
      </c>
      <c r="K122" s="13">
        <v>6.657259002809586E-2</v>
      </c>
    </row>
    <row r="123" spans="1:11" x14ac:dyDescent="0.25">
      <c r="A123" s="14">
        <v>41153</v>
      </c>
      <c r="B123" s="18">
        <v>-1</v>
      </c>
      <c r="C123" s="19">
        <v>1</v>
      </c>
      <c r="D123" s="13">
        <v>0.50693124028288172</v>
      </c>
      <c r="E123" s="13">
        <v>0.20439898919043295</v>
      </c>
      <c r="F123" s="13">
        <v>-9.7485064214895639E-2</v>
      </c>
      <c r="G123" s="13">
        <v>0.41670577019854282</v>
      </c>
      <c r="H123" s="13">
        <v>0.42054140784122857</v>
      </c>
      <c r="I123" s="13">
        <v>0.24981958750745198</v>
      </c>
      <c r="J123" s="13">
        <v>0.36995072030820697</v>
      </c>
      <c r="K123" s="13">
        <v>6.657259002809586E-2</v>
      </c>
    </row>
    <row r="124" spans="1:11" x14ac:dyDescent="0.25">
      <c r="A124" s="14">
        <v>41183</v>
      </c>
      <c r="B124" s="18">
        <v>-1</v>
      </c>
      <c r="C124" s="19">
        <v>1</v>
      </c>
      <c r="D124" s="13">
        <v>0.50693124028288172</v>
      </c>
      <c r="E124" s="13">
        <v>0.21872810102311863</v>
      </c>
      <c r="F124" s="13">
        <v>-9.7485064214895639E-2</v>
      </c>
      <c r="G124" s="13">
        <v>0.42992578014499544</v>
      </c>
      <c r="H124" s="13">
        <v>0.43550111678256609</v>
      </c>
      <c r="I124" s="13">
        <v>0.24981958750745198</v>
      </c>
      <c r="J124" s="13">
        <v>0.39287980590018468</v>
      </c>
      <c r="K124" s="13">
        <v>6.657259002809586E-2</v>
      </c>
    </row>
    <row r="125" spans="1:11" x14ac:dyDescent="0.25">
      <c r="A125" s="14">
        <v>41214</v>
      </c>
      <c r="B125" s="18">
        <v>1</v>
      </c>
      <c r="C125" s="19">
        <v>1</v>
      </c>
      <c r="D125" s="13">
        <v>0.52610779433558819</v>
      </c>
      <c r="E125" s="13">
        <v>0.21872810102311863</v>
      </c>
      <c r="F125" s="13">
        <v>-0.10117841802047207</v>
      </c>
      <c r="G125" s="13">
        <v>0.42992578014499544</v>
      </c>
      <c r="H125" s="13">
        <v>0.42390237945656084</v>
      </c>
      <c r="I125" s="13">
        <v>0.24981958750745198</v>
      </c>
      <c r="J125" s="13">
        <v>0.3877063079219828</v>
      </c>
      <c r="K125" s="13">
        <v>6.657259002809586E-2</v>
      </c>
    </row>
    <row r="126" spans="1:11" x14ac:dyDescent="0.25">
      <c r="A126" s="14">
        <v>41244</v>
      </c>
      <c r="B126" s="18">
        <v>-1</v>
      </c>
      <c r="C126" s="19">
        <v>-1</v>
      </c>
      <c r="D126" s="13">
        <v>0.52610779433558819</v>
      </c>
      <c r="E126" s="13">
        <v>0.22139266199732066</v>
      </c>
      <c r="F126" s="13">
        <v>-0.10117841802047207</v>
      </c>
      <c r="G126" s="13">
        <v>0.42333357169524877</v>
      </c>
      <c r="H126" s="13">
        <v>0.42390237945656084</v>
      </c>
      <c r="I126" s="13">
        <v>0.24799211189393394</v>
      </c>
      <c r="J126" s="13">
        <v>0.3877063079219828</v>
      </c>
      <c r="K126" s="13">
        <v>6.5648529591029126E-2</v>
      </c>
    </row>
    <row r="127" spans="1:11" x14ac:dyDescent="0.25">
      <c r="A127" s="14">
        <v>41275</v>
      </c>
      <c r="B127" s="18">
        <v>-1</v>
      </c>
      <c r="C127" s="19">
        <v>1</v>
      </c>
      <c r="D127" s="13">
        <v>0.52610779433558819</v>
      </c>
      <c r="E127" s="13">
        <v>0.21918609861514912</v>
      </c>
      <c r="F127" s="13">
        <v>-0.10117841802047207</v>
      </c>
      <c r="G127" s="13">
        <v>0.39999741006178208</v>
      </c>
      <c r="H127" s="13">
        <v>0.44571157510547321</v>
      </c>
      <c r="I127" s="13">
        <v>0.24799211189393394</v>
      </c>
      <c r="J127" s="13">
        <v>0.40392949453119165</v>
      </c>
      <c r="K127" s="13">
        <v>6.5648529591029126E-2</v>
      </c>
    </row>
    <row r="128" spans="1:11" x14ac:dyDescent="0.25">
      <c r="A128" s="14">
        <v>41306</v>
      </c>
      <c r="B128" s="18">
        <v>-1</v>
      </c>
      <c r="C128" s="19">
        <v>1</v>
      </c>
      <c r="D128" s="13">
        <v>0.52610779433558819</v>
      </c>
      <c r="E128" s="13">
        <v>0.22103135152724593</v>
      </c>
      <c r="F128" s="13">
        <v>-0.10117841802047207</v>
      </c>
      <c r="G128" s="13">
        <v>0.41256448883167335</v>
      </c>
      <c r="H128" s="13">
        <v>0.45409369385357823</v>
      </c>
      <c r="I128" s="13">
        <v>0.24799211189393394</v>
      </c>
      <c r="J128" s="13">
        <v>0.4072670579676913</v>
      </c>
      <c r="K128" s="13">
        <v>6.5648529591029126E-2</v>
      </c>
    </row>
    <row r="129" spans="1:11" x14ac:dyDescent="0.25">
      <c r="A129" s="14">
        <v>41334</v>
      </c>
      <c r="B129" s="18">
        <v>-1</v>
      </c>
      <c r="C129" s="19">
        <v>1</v>
      </c>
      <c r="D129" s="13">
        <v>0.52610779433558819</v>
      </c>
      <c r="E129" s="13">
        <v>0.20617738403199665</v>
      </c>
      <c r="F129" s="13">
        <v>-0.10117841802047207</v>
      </c>
      <c r="G129" s="13">
        <v>0.41699087459606754</v>
      </c>
      <c r="H129" s="13">
        <v>0.47478688062898017</v>
      </c>
      <c r="I129" s="13">
        <v>0.24799211189393394</v>
      </c>
      <c r="J129" s="13">
        <v>0.42687405054262073</v>
      </c>
      <c r="K129" s="13">
        <v>6.5648529591029126E-2</v>
      </c>
    </row>
    <row r="130" spans="1:11" x14ac:dyDescent="0.25">
      <c r="A130" s="14">
        <v>41365</v>
      </c>
      <c r="B130" s="18">
        <v>1</v>
      </c>
      <c r="C130" s="19">
        <v>1</v>
      </c>
      <c r="D130" s="13">
        <v>0.55276231988273439</v>
      </c>
      <c r="E130" s="13">
        <v>0.20617738403199665</v>
      </c>
      <c r="F130" s="13">
        <v>-0.10264305438168685</v>
      </c>
      <c r="G130" s="13">
        <v>0.41699087459606754</v>
      </c>
      <c r="H130" s="13">
        <v>0.46510213770414216</v>
      </c>
      <c r="I130" s="13">
        <v>0.24799211189393394</v>
      </c>
      <c r="J130" s="13">
        <v>0.38263566363793594</v>
      </c>
      <c r="K130" s="13">
        <v>6.5648529591029126E-2</v>
      </c>
    </row>
    <row r="131" spans="1:11" x14ac:dyDescent="0.25">
      <c r="A131" s="14">
        <v>41395</v>
      </c>
      <c r="B131" s="18">
        <v>-1</v>
      </c>
      <c r="C131" s="19">
        <v>-1</v>
      </c>
      <c r="D131" s="13">
        <v>0.55276231988273439</v>
      </c>
      <c r="E131" s="13">
        <v>0.22868154084558209</v>
      </c>
      <c r="F131" s="13">
        <v>-0.10264305438168685</v>
      </c>
      <c r="G131" s="13">
        <v>0.38780203097690003</v>
      </c>
      <c r="H131" s="13">
        <v>0.46510213770414216</v>
      </c>
      <c r="I131" s="13">
        <v>0.22987061387354932</v>
      </c>
      <c r="J131" s="13">
        <v>0.38263566363793594</v>
      </c>
      <c r="K131" s="13">
        <v>4.4330924150591713E-2</v>
      </c>
    </row>
    <row r="132" spans="1:11" x14ac:dyDescent="0.25">
      <c r="A132" s="14">
        <v>41426</v>
      </c>
      <c r="B132" s="18">
        <v>-1</v>
      </c>
      <c r="C132" s="19">
        <v>1</v>
      </c>
      <c r="D132" s="13">
        <v>0.55276231988273439</v>
      </c>
      <c r="E132" s="13">
        <v>0.22023063333606233</v>
      </c>
      <c r="F132" s="13">
        <v>-0.10264305438168685</v>
      </c>
      <c r="G132" s="13">
        <v>0.40644582928930106</v>
      </c>
      <c r="H132" s="13">
        <v>0.47332792237704524</v>
      </c>
      <c r="I132" s="13">
        <v>0.22987061387354932</v>
      </c>
      <c r="J132" s="13">
        <v>0.39156455325640804</v>
      </c>
      <c r="K132" s="13">
        <v>4.4330924150591713E-2</v>
      </c>
    </row>
    <row r="133" spans="1:11" x14ac:dyDescent="0.25">
      <c r="A133" s="14">
        <v>41456</v>
      </c>
      <c r="B133" s="18">
        <v>-1</v>
      </c>
      <c r="C133" s="19">
        <v>1</v>
      </c>
      <c r="D133" s="13">
        <v>0.55276231988273439</v>
      </c>
      <c r="E133" s="13">
        <v>0.22490251063173905</v>
      </c>
      <c r="F133" s="13">
        <v>-0.10264305438168685</v>
      </c>
      <c r="G133" s="13">
        <v>0.3911499699443402</v>
      </c>
      <c r="H133" s="13">
        <v>0.49509435266060609</v>
      </c>
      <c r="I133" s="13">
        <v>0.22987061387354932</v>
      </c>
      <c r="J133" s="13">
        <v>0.41821692112159498</v>
      </c>
      <c r="K133" s="13">
        <v>4.4330924150591713E-2</v>
      </c>
    </row>
    <row r="134" spans="1:11" x14ac:dyDescent="0.25">
      <c r="A134" s="14">
        <v>41487</v>
      </c>
      <c r="B134" s="18">
        <v>-1</v>
      </c>
      <c r="C134" s="19">
        <v>1</v>
      </c>
      <c r="D134" s="13">
        <v>0.55276231988273439</v>
      </c>
      <c r="E134" s="13">
        <v>0.23044794669876043</v>
      </c>
      <c r="F134" s="13">
        <v>-0.10264305438168685</v>
      </c>
      <c r="G134" s="13">
        <v>0.42824891477735177</v>
      </c>
      <c r="H134" s="13">
        <v>0.49787624754223014</v>
      </c>
      <c r="I134" s="13">
        <v>0.22987061387354932</v>
      </c>
      <c r="J134" s="13">
        <v>0.42409838841469705</v>
      </c>
      <c r="K134" s="13">
        <v>4.4330924150591713E-2</v>
      </c>
    </row>
    <row r="135" spans="1:11" x14ac:dyDescent="0.25">
      <c r="A135" s="14">
        <v>41518</v>
      </c>
      <c r="B135" s="18">
        <v>-1</v>
      </c>
      <c r="C135" s="19">
        <v>1</v>
      </c>
      <c r="D135" s="13">
        <v>0.55276231988273439</v>
      </c>
      <c r="E135" s="13">
        <v>0.2418105358309891</v>
      </c>
      <c r="F135" s="13">
        <v>-0.10264305438168685</v>
      </c>
      <c r="G135" s="13">
        <v>0.43494488472247689</v>
      </c>
      <c r="H135" s="13">
        <v>0.52190548659814462</v>
      </c>
      <c r="I135" s="13">
        <v>0.22987061387354932</v>
      </c>
      <c r="J135" s="13">
        <v>0.44910872626098569</v>
      </c>
      <c r="K135" s="13">
        <v>4.4330924150591713E-2</v>
      </c>
    </row>
    <row r="136" spans="1:11" x14ac:dyDescent="0.25">
      <c r="A136" s="14">
        <v>41548</v>
      </c>
      <c r="B136" s="18">
        <v>-1</v>
      </c>
      <c r="C136" s="19">
        <v>1</v>
      </c>
      <c r="D136" s="13">
        <v>0.55276231988273439</v>
      </c>
      <c r="E136" s="13">
        <v>0.23387209187360439</v>
      </c>
      <c r="F136" s="13">
        <v>-0.10264305438168685</v>
      </c>
      <c r="G136" s="13">
        <v>0.4437154756007225</v>
      </c>
      <c r="H136" s="13">
        <v>0.5184469841340289</v>
      </c>
      <c r="I136" s="13">
        <v>0.22987061387354932</v>
      </c>
      <c r="J136" s="13">
        <v>0.44893954788957946</v>
      </c>
      <c r="K136" s="13">
        <v>4.4330924150591713E-2</v>
      </c>
    </row>
    <row r="137" spans="1:11" x14ac:dyDescent="0.25">
      <c r="A137" s="14">
        <v>41579</v>
      </c>
      <c r="B137" s="18">
        <v>-1</v>
      </c>
      <c r="C137" s="19">
        <v>1</v>
      </c>
      <c r="D137" s="13">
        <v>0.55276231988273439</v>
      </c>
      <c r="E137" s="13">
        <v>0.22783210021521444</v>
      </c>
      <c r="F137" s="13">
        <v>-0.10264305438168685</v>
      </c>
      <c r="G137" s="13">
        <v>0.45818031268211823</v>
      </c>
      <c r="H137" s="13">
        <v>0.51354312723898699</v>
      </c>
      <c r="I137" s="13">
        <v>0.22987061387354932</v>
      </c>
      <c r="J137" s="13">
        <v>0.46199038448517377</v>
      </c>
      <c r="K137" s="13">
        <v>4.4330924150591713E-2</v>
      </c>
    </row>
    <row r="138" spans="1:11" x14ac:dyDescent="0.25">
      <c r="A138" s="14">
        <v>41609</v>
      </c>
      <c r="B138" s="18">
        <v>-1</v>
      </c>
      <c r="C138" s="19">
        <v>1</v>
      </c>
      <c r="D138" s="13">
        <v>0.55276231988273439</v>
      </c>
      <c r="E138" s="13">
        <v>0.21073924753594608</v>
      </c>
      <c r="F138" s="13">
        <v>-0.10264305438168685</v>
      </c>
      <c r="G138" s="13">
        <v>0.43825109634535947</v>
      </c>
      <c r="H138" s="13">
        <v>0.51321144295819199</v>
      </c>
      <c r="I138" s="13">
        <v>0.22987061387354932</v>
      </c>
      <c r="J138" s="13">
        <v>0.4737740581721972</v>
      </c>
      <c r="K138" s="13">
        <v>4.4330924150591713E-2</v>
      </c>
    </row>
    <row r="139" spans="1:11" x14ac:dyDescent="0.25">
      <c r="A139" s="14">
        <v>41640</v>
      </c>
      <c r="B139" s="18">
        <v>1</v>
      </c>
      <c r="C139" s="19">
        <v>1</v>
      </c>
      <c r="D139" s="13">
        <v>0.52721864713669342</v>
      </c>
      <c r="E139" s="13">
        <v>0.21073924753594608</v>
      </c>
      <c r="F139" s="13">
        <v>-0.11649874720071063</v>
      </c>
      <c r="G139" s="13">
        <v>0.43825109634535947</v>
      </c>
      <c r="H139" s="13">
        <v>0.50685632826474969</v>
      </c>
      <c r="I139" s="13">
        <v>0.22987061387354932</v>
      </c>
      <c r="J139" s="13">
        <v>0.46672983048487265</v>
      </c>
      <c r="K139" s="13">
        <v>4.4330924150591713E-2</v>
      </c>
    </row>
    <row r="140" spans="1:11" x14ac:dyDescent="0.25">
      <c r="A140" s="14">
        <v>41671</v>
      </c>
      <c r="B140" s="18">
        <v>-1</v>
      </c>
      <c r="C140" s="19">
        <v>-1</v>
      </c>
      <c r="D140" s="13">
        <v>0.52721864713669342</v>
      </c>
      <c r="E140" s="13">
        <v>0.20330381684881804</v>
      </c>
      <c r="F140" s="13">
        <v>-0.11649874720071063</v>
      </c>
      <c r="G140" s="13">
        <v>0.45844054877040935</v>
      </c>
      <c r="H140" s="13">
        <v>0.50685632826474969</v>
      </c>
      <c r="I140" s="13">
        <v>0.22148735549314499</v>
      </c>
      <c r="J140" s="13">
        <v>0.46672983048487265</v>
      </c>
      <c r="K140" s="13">
        <v>3.302731280643427E-2</v>
      </c>
    </row>
    <row r="141" spans="1:11" x14ac:dyDescent="0.25">
      <c r="A141" s="14">
        <v>41699</v>
      </c>
      <c r="B141" s="18">
        <v>-1</v>
      </c>
      <c r="C141" s="19">
        <v>1</v>
      </c>
      <c r="D141" s="13">
        <v>0.52721864713669342</v>
      </c>
      <c r="E141" s="13">
        <v>0.19896282047732641</v>
      </c>
      <c r="F141" s="13">
        <v>-0.11649874720071063</v>
      </c>
      <c r="G141" s="13">
        <v>0.46644648405702877</v>
      </c>
      <c r="H141" s="13">
        <v>0.51737548845256187</v>
      </c>
      <c r="I141" s="13">
        <v>0.22148735549314499</v>
      </c>
      <c r="J141" s="13">
        <v>0.48929897979899928</v>
      </c>
      <c r="K141" s="13">
        <v>3.302731280643427E-2</v>
      </c>
    </row>
    <row r="142" spans="1:11" x14ac:dyDescent="0.25">
      <c r="A142" s="14">
        <v>41730</v>
      </c>
      <c r="B142" s="18">
        <v>1</v>
      </c>
      <c r="C142" s="19">
        <v>1</v>
      </c>
      <c r="D142" s="13">
        <v>0.52945150693862564</v>
      </c>
      <c r="E142" s="13">
        <v>0.19896282047732641</v>
      </c>
      <c r="F142" s="13">
        <v>-0.12345287711263196</v>
      </c>
      <c r="G142" s="13">
        <v>0.46644648405702877</v>
      </c>
      <c r="H142" s="13">
        <v>0.50299507394706711</v>
      </c>
      <c r="I142" s="13">
        <v>0.22148735549314499</v>
      </c>
      <c r="J142" s="13">
        <v>0.48663760133753836</v>
      </c>
      <c r="K142" s="13">
        <v>3.302731280643427E-2</v>
      </c>
    </row>
    <row r="143" spans="1:11" x14ac:dyDescent="0.25">
      <c r="A143" s="14">
        <v>41760</v>
      </c>
      <c r="B143" s="18">
        <v>1</v>
      </c>
      <c r="C143" s="19">
        <v>-1</v>
      </c>
      <c r="D143" s="13">
        <v>0.54804732146233714</v>
      </c>
      <c r="E143" s="13">
        <v>0.19896282047732641</v>
      </c>
      <c r="F143" s="13">
        <v>-0.13971012051995269</v>
      </c>
      <c r="G143" s="13">
        <v>0.46644648405702877</v>
      </c>
      <c r="H143" s="13">
        <v>0.50299507394706711</v>
      </c>
      <c r="I143" s="13">
        <v>0.22377341828536981</v>
      </c>
      <c r="J143" s="13">
        <v>0.48663760133753836</v>
      </c>
      <c r="K143" s="13">
        <v>4.4233327198308858E-2</v>
      </c>
    </row>
    <row r="144" spans="1:11" x14ac:dyDescent="0.25">
      <c r="A144" s="14">
        <v>41791</v>
      </c>
      <c r="B144" s="18">
        <v>-1</v>
      </c>
      <c r="C144" s="19">
        <v>-1</v>
      </c>
      <c r="D144" s="13">
        <v>0.54804732146233714</v>
      </c>
      <c r="E144" s="13">
        <v>0.20008609903785807</v>
      </c>
      <c r="F144" s="13">
        <v>-0.13971012051995269</v>
      </c>
      <c r="G144" s="13">
        <v>0.48171365102535368</v>
      </c>
      <c r="H144" s="13">
        <v>0.50299507394706711</v>
      </c>
      <c r="I144" s="13">
        <v>0.20985730125833921</v>
      </c>
      <c r="J144" s="13">
        <v>0.48663760133753836</v>
      </c>
      <c r="K144" s="13">
        <v>2.4569228086536225E-2</v>
      </c>
    </row>
    <row r="145" spans="1:11" x14ac:dyDescent="0.25">
      <c r="A145" s="14">
        <v>41821</v>
      </c>
      <c r="B145" s="18">
        <v>1</v>
      </c>
      <c r="C145" s="19">
        <v>1</v>
      </c>
      <c r="D145" s="13">
        <v>0.5219270394818829</v>
      </c>
      <c r="E145" s="13">
        <v>0.20008609903785807</v>
      </c>
      <c r="F145" s="13">
        <v>-0.12793522446264965</v>
      </c>
      <c r="G145" s="13">
        <v>0.48171365102535368</v>
      </c>
      <c r="H145" s="13">
        <v>0.50564808252698745</v>
      </c>
      <c r="I145" s="13">
        <v>0.20985730125833921</v>
      </c>
      <c r="J145" s="13">
        <v>0.49095618912964367</v>
      </c>
      <c r="K145" s="13">
        <v>2.4569228086536225E-2</v>
      </c>
    </row>
    <row r="146" spans="1:11" x14ac:dyDescent="0.25">
      <c r="A146" s="14">
        <v>41852</v>
      </c>
      <c r="B146" s="18">
        <v>-1</v>
      </c>
      <c r="C146" s="19">
        <v>-1</v>
      </c>
      <c r="D146" s="13">
        <v>0.5219270394818829</v>
      </c>
      <c r="E146" s="13">
        <v>0.19403929529881292</v>
      </c>
      <c r="F146" s="13">
        <v>-0.12793522446264965</v>
      </c>
      <c r="G146" s="13">
        <v>0.50216484427999719</v>
      </c>
      <c r="H146" s="13">
        <v>0.50564808252698745</v>
      </c>
      <c r="I146" s="13">
        <v>0.22058348839813177</v>
      </c>
      <c r="J146" s="13">
        <v>0.49095618912964367</v>
      </c>
      <c r="K146" s="13">
        <v>4.2787022256282919E-2</v>
      </c>
    </row>
    <row r="147" spans="1:11" x14ac:dyDescent="0.25">
      <c r="A147" s="14">
        <v>41883</v>
      </c>
      <c r="B147" s="18">
        <v>-1</v>
      </c>
      <c r="C147" s="19">
        <v>1</v>
      </c>
      <c r="D147" s="13">
        <v>0.5219270394818829</v>
      </c>
      <c r="E147" s="13">
        <v>0.20479224414625646</v>
      </c>
      <c r="F147" s="13">
        <v>-0.12793522446264965</v>
      </c>
      <c r="G147" s="13">
        <v>0.5154107117602541</v>
      </c>
      <c r="H147" s="13">
        <v>0.50505026208389792</v>
      </c>
      <c r="I147" s="13">
        <v>0.22058348839813177</v>
      </c>
      <c r="J147" s="13">
        <v>0.51652873465200233</v>
      </c>
      <c r="K147" s="13">
        <v>4.2787022256282919E-2</v>
      </c>
    </row>
    <row r="148" spans="1:11" x14ac:dyDescent="0.25">
      <c r="A148" s="14">
        <v>41913</v>
      </c>
      <c r="B148" s="18">
        <v>1</v>
      </c>
      <c r="C148" s="19">
        <v>1</v>
      </c>
      <c r="D148" s="13">
        <v>0.56029120782487785</v>
      </c>
      <c r="E148" s="13">
        <v>0.20479224414625646</v>
      </c>
      <c r="F148" s="13">
        <v>-0.11717546958099674</v>
      </c>
      <c r="G148" s="13">
        <v>0.5154107117602541</v>
      </c>
      <c r="H148" s="13">
        <v>0.48578125725914845</v>
      </c>
      <c r="I148" s="13">
        <v>0.22058348839813177</v>
      </c>
      <c r="J148" s="13">
        <v>0.4878113793696553</v>
      </c>
      <c r="K148" s="13">
        <v>4.2787022256282919E-2</v>
      </c>
    </row>
    <row r="149" spans="1:11" x14ac:dyDescent="0.25">
      <c r="A149" s="14">
        <v>41944</v>
      </c>
      <c r="B149" s="18">
        <v>-1</v>
      </c>
      <c r="C149" s="19">
        <v>-1</v>
      </c>
      <c r="D149" s="13">
        <v>0.56029120782487785</v>
      </c>
      <c r="E149" s="13">
        <v>0.2022792730473974</v>
      </c>
      <c r="F149" s="13">
        <v>-0.11717546958099674</v>
      </c>
      <c r="G149" s="13">
        <v>0.53511606450301774</v>
      </c>
      <c r="H149" s="13">
        <v>0.48578125725914845</v>
      </c>
      <c r="I149" s="13">
        <v>0.2122872702658633</v>
      </c>
      <c r="J149" s="13">
        <v>0.4878113793696553</v>
      </c>
      <c r="K149" s="13">
        <v>4.9406287604090646E-2</v>
      </c>
    </row>
    <row r="150" spans="1:11" x14ac:dyDescent="0.25">
      <c r="A150" s="14">
        <v>41974</v>
      </c>
      <c r="B150" s="18">
        <v>1</v>
      </c>
      <c r="C150" s="19">
        <v>1</v>
      </c>
      <c r="D150" s="13">
        <v>0.55553440935011222</v>
      </c>
      <c r="E150" s="13">
        <v>0.2022792730473974</v>
      </c>
      <c r="F150" s="13">
        <v>-0.11968744736671091</v>
      </c>
      <c r="G150" s="13">
        <v>0.53511606450301774</v>
      </c>
      <c r="H150" s="13">
        <v>0.48963443883989188</v>
      </c>
      <c r="I150" s="13">
        <v>0.2122872702658633</v>
      </c>
      <c r="J150" s="13">
        <v>0.49704304478479844</v>
      </c>
      <c r="K150" s="13">
        <v>4.9406287604090646E-2</v>
      </c>
    </row>
    <row r="151" spans="1:11" x14ac:dyDescent="0.25">
      <c r="A151" s="14">
        <v>42005</v>
      </c>
      <c r="B151" s="18">
        <v>1</v>
      </c>
      <c r="C151" s="19">
        <v>-1</v>
      </c>
      <c r="D151" s="13">
        <v>0.52823403543630987</v>
      </c>
      <c r="E151" s="13">
        <v>0.2022792730473974</v>
      </c>
      <c r="F151" s="13">
        <v>-0.14539857521872412</v>
      </c>
      <c r="G151" s="13">
        <v>0.53511606450301774</v>
      </c>
      <c r="H151" s="13">
        <v>0.48963443883989188</v>
      </c>
      <c r="I151" s="13">
        <v>0.21053758675582152</v>
      </c>
      <c r="J151" s="13">
        <v>0.49704304478479844</v>
      </c>
      <c r="K151" s="13">
        <v>7.8598276797226446E-2</v>
      </c>
    </row>
    <row r="152" spans="1:11" x14ac:dyDescent="0.25">
      <c r="A152" s="14">
        <v>42036</v>
      </c>
      <c r="B152" s="18">
        <v>-1</v>
      </c>
      <c r="C152" s="19">
        <v>-1</v>
      </c>
      <c r="D152" s="13">
        <v>0.52823403543630987</v>
      </c>
      <c r="E152" s="13">
        <v>0.20488650738029415</v>
      </c>
      <c r="F152" s="13">
        <v>-0.14539857521872412</v>
      </c>
      <c r="G152" s="13">
        <v>0.54707720820055239</v>
      </c>
      <c r="H152" s="13">
        <v>0.48963443883989188</v>
      </c>
      <c r="I152" s="13">
        <v>0.18041156028455829</v>
      </c>
      <c r="J152" s="13">
        <v>0.49704304478479844</v>
      </c>
      <c r="K152" s="13">
        <v>2.6229526645601478E-2</v>
      </c>
    </row>
    <row r="153" spans="1:11" x14ac:dyDescent="0.25">
      <c r="A153" s="14">
        <v>42064</v>
      </c>
      <c r="B153" s="18">
        <v>1</v>
      </c>
      <c r="C153" s="19">
        <v>1</v>
      </c>
      <c r="D153" s="13">
        <v>0.50913751242825245</v>
      </c>
      <c r="E153" s="13">
        <v>0.20488650738029415</v>
      </c>
      <c r="F153" s="13">
        <v>-0.13914383440454525</v>
      </c>
      <c r="G153" s="13">
        <v>0.54707720820055239</v>
      </c>
      <c r="H153" s="13">
        <v>0.47452028153491288</v>
      </c>
      <c r="I153" s="13">
        <v>0.18041156028455829</v>
      </c>
      <c r="J153" s="13">
        <v>0.54276764723021675</v>
      </c>
      <c r="K153" s="13">
        <v>2.6229526645601478E-2</v>
      </c>
    </row>
    <row r="154" spans="1:11" x14ac:dyDescent="0.25">
      <c r="A154" s="14">
        <v>42095</v>
      </c>
      <c r="B154" s="18">
        <v>-1</v>
      </c>
      <c r="C154" s="19">
        <v>-1</v>
      </c>
      <c r="D154" s="13">
        <v>0.50913751242825245</v>
      </c>
      <c r="E154" s="13">
        <v>0.21524240124330918</v>
      </c>
      <c r="F154" s="13">
        <v>-0.13914383440454525</v>
      </c>
      <c r="G154" s="13">
        <v>0.5331219677917014</v>
      </c>
      <c r="H154" s="13">
        <v>0.47452028153491288</v>
      </c>
      <c r="I154" s="13">
        <v>0.17293096374756203</v>
      </c>
      <c r="J154" s="13">
        <v>0.54276764723021675</v>
      </c>
      <c r="K154" s="13">
        <v>3.168155977689352E-2</v>
      </c>
    </row>
    <row r="155" spans="1:11" x14ac:dyDescent="0.25">
      <c r="A155" s="14">
        <v>42125</v>
      </c>
      <c r="B155" s="18">
        <v>-1</v>
      </c>
      <c r="C155" s="19">
        <v>1</v>
      </c>
      <c r="D155" s="13">
        <v>0.50913751242825245</v>
      </c>
      <c r="E155" s="13">
        <v>0.22635769129938776</v>
      </c>
      <c r="F155" s="13">
        <v>-0.13914383440454525</v>
      </c>
      <c r="G155" s="13">
        <v>0.55254199985886754</v>
      </c>
      <c r="H155" s="13">
        <v>0.47648534008493676</v>
      </c>
      <c r="I155" s="13">
        <v>0.17293096374756203</v>
      </c>
      <c r="J155" s="13">
        <v>0.57110667776663926</v>
      </c>
      <c r="K155" s="13">
        <v>3.168155977689352E-2</v>
      </c>
    </row>
    <row r="156" spans="1:11" x14ac:dyDescent="0.25">
      <c r="A156" s="14">
        <v>42156</v>
      </c>
      <c r="B156" s="18">
        <v>-1</v>
      </c>
      <c r="C156" s="19">
        <v>1</v>
      </c>
      <c r="D156" s="13">
        <v>0.50913751242825245</v>
      </c>
      <c r="E156" s="13">
        <v>0.25016677063543874</v>
      </c>
      <c r="F156" s="13">
        <v>-0.13914383440454525</v>
      </c>
      <c r="G156" s="13">
        <v>0.53884496538942517</v>
      </c>
      <c r="H156" s="13">
        <v>0.46997548049722337</v>
      </c>
      <c r="I156" s="13">
        <v>0.17293096374756203</v>
      </c>
      <c r="J156" s="13">
        <v>0.6114884298380604</v>
      </c>
      <c r="K156" s="13">
        <v>3.168155977689352E-2</v>
      </c>
    </row>
    <row r="157" spans="1:11" x14ac:dyDescent="0.25">
      <c r="A157" s="14">
        <v>42186</v>
      </c>
      <c r="B157" s="18">
        <v>-1</v>
      </c>
      <c r="C157" s="19">
        <v>1</v>
      </c>
      <c r="D157" s="13">
        <v>0.50913751242825245</v>
      </c>
      <c r="E157" s="13">
        <v>0.25429124581505097</v>
      </c>
      <c r="F157" s="13">
        <v>-0.13914383440454525</v>
      </c>
      <c r="G157" s="13">
        <v>0.56304806430881638</v>
      </c>
      <c r="H157" s="13">
        <v>0.46354227268794912</v>
      </c>
      <c r="I157" s="13">
        <v>0.17293096374756203</v>
      </c>
      <c r="J157" s="13">
        <v>0.58548244658576032</v>
      </c>
      <c r="K157" s="13">
        <v>3.168155977689352E-2</v>
      </c>
    </row>
    <row r="158" spans="1:11" x14ac:dyDescent="0.25">
      <c r="A158" s="14">
        <v>42217</v>
      </c>
      <c r="B158" s="18">
        <v>1</v>
      </c>
      <c r="C158" s="19">
        <v>1</v>
      </c>
      <c r="D158" s="13">
        <v>0.50832797270401509</v>
      </c>
      <c r="E158" s="13">
        <v>0.25429124581505097</v>
      </c>
      <c r="F158" s="13">
        <v>-9.8948250159064513E-2</v>
      </c>
      <c r="G158" s="13">
        <v>0.56304806430881638</v>
      </c>
      <c r="H158" s="13">
        <v>0.45135421016326904</v>
      </c>
      <c r="I158" s="13">
        <v>0.17293096374756203</v>
      </c>
      <c r="J158" s="13">
        <v>0.56863720226823522</v>
      </c>
      <c r="K158" s="13">
        <v>3.168155977689352E-2</v>
      </c>
    </row>
    <row r="159" spans="1:11" x14ac:dyDescent="0.25">
      <c r="A159" s="14">
        <v>42248</v>
      </c>
      <c r="B159" s="18">
        <v>1</v>
      </c>
      <c r="C159" s="19">
        <v>-1</v>
      </c>
      <c r="D159" s="13">
        <v>0.49650043460720078</v>
      </c>
      <c r="E159" s="13">
        <v>0.25429124581505097</v>
      </c>
      <c r="F159" s="13">
        <v>-0.11329702225369294</v>
      </c>
      <c r="G159" s="13">
        <v>0.56304806430881638</v>
      </c>
      <c r="H159" s="13">
        <v>0.45135421016326904</v>
      </c>
      <c r="I159" s="13">
        <v>0.17414586166447818</v>
      </c>
      <c r="J159" s="13">
        <v>0.56863720226823522</v>
      </c>
      <c r="K159" s="13">
        <v>2.9309341558239818E-2</v>
      </c>
    </row>
    <row r="160" spans="1:11" x14ac:dyDescent="0.25">
      <c r="A160" s="14">
        <v>42278</v>
      </c>
      <c r="B160" s="18">
        <v>-1</v>
      </c>
      <c r="C160" s="19">
        <v>-1</v>
      </c>
      <c r="D160" s="13">
        <v>0.49650043460720078</v>
      </c>
      <c r="E160" s="13">
        <v>0.22461476031820871</v>
      </c>
      <c r="F160" s="13">
        <v>-0.11329702225369294</v>
      </c>
      <c r="G160" s="13">
        <v>0.55275741959976799</v>
      </c>
      <c r="H160" s="13">
        <v>0.45135421016326904</v>
      </c>
      <c r="I160" s="13">
        <v>0.13434944655860037</v>
      </c>
      <c r="J160" s="13">
        <v>0.56863720226823522</v>
      </c>
      <c r="K160" s="13">
        <v>2.6921906574748865E-2</v>
      </c>
    </row>
    <row r="161" spans="1:11" x14ac:dyDescent="0.25">
      <c r="A161" s="14">
        <v>42309</v>
      </c>
      <c r="B161" s="18">
        <v>-1</v>
      </c>
      <c r="C161" s="19">
        <v>1</v>
      </c>
      <c r="D161" s="13">
        <v>0.49650043460720078</v>
      </c>
      <c r="E161" s="13">
        <v>0.22758135083069131</v>
      </c>
      <c r="F161" s="13">
        <v>-0.11329702225369294</v>
      </c>
      <c r="G161" s="13">
        <v>0.56102526848089729</v>
      </c>
      <c r="H161" s="13">
        <v>0.46145069176862985</v>
      </c>
      <c r="I161" s="13">
        <v>0.13434944655860037</v>
      </c>
      <c r="J161" s="13">
        <v>0.59773111246133825</v>
      </c>
      <c r="K161" s="13">
        <v>2.6921906574748865E-2</v>
      </c>
    </row>
    <row r="162" spans="1:11" x14ac:dyDescent="0.25">
      <c r="A162" s="14">
        <v>42339</v>
      </c>
      <c r="B162" s="18">
        <v>1</v>
      </c>
      <c r="C162" s="19">
        <v>1</v>
      </c>
      <c r="D162" s="13">
        <v>0.50734980661514795</v>
      </c>
      <c r="E162" s="13">
        <v>0.22758135083069131</v>
      </c>
      <c r="F162" s="13">
        <v>-9.3895725509147765E-2</v>
      </c>
      <c r="G162" s="13">
        <v>0.56102526848089729</v>
      </c>
      <c r="H162" s="13">
        <v>0.45982015226681561</v>
      </c>
      <c r="I162" s="13">
        <v>0.13434944655860037</v>
      </c>
      <c r="J162" s="13">
        <v>0.59314588718548222</v>
      </c>
      <c r="K162" s="13">
        <v>2.6921906574748865E-2</v>
      </c>
    </row>
    <row r="163" spans="1:11" x14ac:dyDescent="0.25">
      <c r="A163" s="14">
        <v>42370</v>
      </c>
      <c r="B163" s="18">
        <v>1</v>
      </c>
      <c r="C163" s="19">
        <v>-1</v>
      </c>
      <c r="D163" s="13">
        <v>0.5392387549972254</v>
      </c>
      <c r="E163" s="13">
        <v>0.22758135083069131</v>
      </c>
      <c r="F163" s="13">
        <v>-0.10400164841284024</v>
      </c>
      <c r="G163" s="13">
        <v>0.56102526848089729</v>
      </c>
      <c r="H163" s="13">
        <v>0.45982015226681561</v>
      </c>
      <c r="I163" s="13">
        <v>0.19475299756966707</v>
      </c>
      <c r="J163" s="13">
        <v>0.59314588718548222</v>
      </c>
      <c r="K163" s="13">
        <v>4.9715709558178611E-2</v>
      </c>
    </row>
    <row r="164" spans="1:11" x14ac:dyDescent="0.25">
      <c r="A164" s="14">
        <v>42401</v>
      </c>
      <c r="B164" s="18">
        <v>1</v>
      </c>
      <c r="C164" s="19">
        <v>-1</v>
      </c>
      <c r="D164" s="13">
        <v>0.53295527427185585</v>
      </c>
      <c r="E164" s="13">
        <v>0.22758135083069131</v>
      </c>
      <c r="F164" s="13">
        <v>-0.1043073287478601</v>
      </c>
      <c r="G164" s="13">
        <v>0.56102526848089729</v>
      </c>
      <c r="H164" s="13">
        <v>0.45982015226681561</v>
      </c>
      <c r="I164" s="13">
        <v>0.22499096937986962</v>
      </c>
      <c r="J164" s="13">
        <v>0.59314588718548222</v>
      </c>
      <c r="K164" s="13">
        <v>6.2703169179043547E-2</v>
      </c>
    </row>
    <row r="165" spans="1:11" x14ac:dyDescent="0.25">
      <c r="A165" s="14">
        <v>42430</v>
      </c>
      <c r="B165" s="18">
        <v>-1</v>
      </c>
      <c r="C165" s="19">
        <v>-1</v>
      </c>
      <c r="D165" s="13">
        <v>0.53295527427185585</v>
      </c>
      <c r="E165" s="13">
        <v>0.22343695248876014</v>
      </c>
      <c r="F165" s="13">
        <v>-0.1043073287478601</v>
      </c>
      <c r="G165" s="13">
        <v>0.58066370695944058</v>
      </c>
      <c r="H165" s="13">
        <v>0.45982015226681561</v>
      </c>
      <c r="I165" s="13">
        <v>0.18931520102461097</v>
      </c>
      <c r="J165" s="13">
        <v>0.59314588718548222</v>
      </c>
      <c r="K165" s="13">
        <v>4.5949233320740912E-2</v>
      </c>
    </row>
    <row r="166" spans="1:11" x14ac:dyDescent="0.25">
      <c r="A166" s="14">
        <v>42461</v>
      </c>
      <c r="B166" s="18">
        <v>-1</v>
      </c>
      <c r="C166" s="19">
        <v>1</v>
      </c>
      <c r="D166" s="13">
        <v>0.53295527427185585</v>
      </c>
      <c r="E166" s="13">
        <v>0.23615051755646979</v>
      </c>
      <c r="F166" s="13">
        <v>-0.1043073287478601</v>
      </c>
      <c r="G166" s="13">
        <v>0.58601137514817747</v>
      </c>
      <c r="H166" s="13">
        <v>0.45215149301692398</v>
      </c>
      <c r="I166" s="13">
        <v>0.18931520102461097</v>
      </c>
      <c r="J166" s="13">
        <v>0.5740712600081378</v>
      </c>
      <c r="K166" s="13">
        <v>4.5949233320740912E-2</v>
      </c>
    </row>
    <row r="167" spans="1:11" x14ac:dyDescent="0.25">
      <c r="A167" s="14">
        <v>42491</v>
      </c>
      <c r="B167" s="18">
        <v>1</v>
      </c>
      <c r="C167" s="19">
        <v>1</v>
      </c>
      <c r="D167" s="13">
        <v>0.5539033436476879</v>
      </c>
      <c r="E167" s="13">
        <v>0.23615051755646979</v>
      </c>
      <c r="F167" s="13">
        <v>-0.10438415606257824</v>
      </c>
      <c r="G167" s="13">
        <v>0.58601137514817747</v>
      </c>
      <c r="H167" s="13">
        <v>0.44919026107609755</v>
      </c>
      <c r="I167" s="13">
        <v>0.18931520102461097</v>
      </c>
      <c r="J167" s="13">
        <v>0.56382378488293639</v>
      </c>
      <c r="K167" s="13">
        <v>4.5949233320740912E-2</v>
      </c>
    </row>
    <row r="168" spans="1:11" x14ac:dyDescent="0.25">
      <c r="A168" s="14">
        <v>42522</v>
      </c>
      <c r="B168" s="18">
        <v>1</v>
      </c>
      <c r="C168" s="19">
        <v>-1</v>
      </c>
      <c r="D168" s="13">
        <v>0.55888032293341217</v>
      </c>
      <c r="E168" s="13">
        <v>0.23615051755646979</v>
      </c>
      <c r="F168" s="13">
        <v>-0.14373668232279324</v>
      </c>
      <c r="G168" s="13">
        <v>0.58601137514817747</v>
      </c>
      <c r="H168" s="13">
        <v>0.44919026107609755</v>
      </c>
      <c r="I168" s="13">
        <v>0.18058507305722793</v>
      </c>
      <c r="J168" s="13">
        <v>0.56382378488293639</v>
      </c>
      <c r="K168" s="13">
        <v>6.6273736117400145E-2</v>
      </c>
    </row>
    <row r="169" spans="1:11" x14ac:dyDescent="0.25">
      <c r="A169" s="14">
        <v>42552</v>
      </c>
      <c r="B169" s="18">
        <v>-1</v>
      </c>
      <c r="C169" s="19">
        <v>-1</v>
      </c>
      <c r="D169" s="13">
        <v>0.55888032293341217</v>
      </c>
      <c r="E169" s="13">
        <v>0.23670320484005208</v>
      </c>
      <c r="F169" s="13">
        <v>-0.14373668232279324</v>
      </c>
      <c r="G169" s="13">
        <v>0.60570039308075507</v>
      </c>
      <c r="H169" s="13">
        <v>0.44919026107609755</v>
      </c>
      <c r="I169" s="13">
        <v>0.1655660765292841</v>
      </c>
      <c r="J169" s="13">
        <v>0.56382378488293639</v>
      </c>
      <c r="K169" s="13">
        <v>0.10138916803822881</v>
      </c>
    </row>
    <row r="170" spans="1:11" x14ac:dyDescent="0.25">
      <c r="A170" s="14">
        <v>42583</v>
      </c>
      <c r="B170" s="18">
        <v>-1</v>
      </c>
      <c r="C170" s="19">
        <v>1</v>
      </c>
      <c r="D170" s="13">
        <v>0.55888032293341217</v>
      </c>
      <c r="E170" s="13">
        <v>0.2420252258163168</v>
      </c>
      <c r="F170" s="13">
        <v>-0.14373668232279324</v>
      </c>
      <c r="G170" s="13">
        <v>0.61402864493574749</v>
      </c>
      <c r="H170" s="13">
        <v>0.45406067292451047</v>
      </c>
      <c r="I170" s="13">
        <v>0.1655660765292841</v>
      </c>
      <c r="J170" s="13">
        <v>0.58746901787247019</v>
      </c>
      <c r="K170" s="13">
        <v>0.10138916803822881</v>
      </c>
    </row>
    <row r="171" spans="1:11" x14ac:dyDescent="0.25">
      <c r="A171" s="14">
        <v>42614</v>
      </c>
      <c r="B171" s="18">
        <v>-1</v>
      </c>
      <c r="C171" s="19">
        <v>1</v>
      </c>
      <c r="D171" s="13">
        <v>0.55888032293341217</v>
      </c>
      <c r="E171" s="13">
        <v>0.24608541773351225</v>
      </c>
      <c r="F171" s="13">
        <v>-0.14373668232279324</v>
      </c>
      <c r="G171" s="13">
        <v>0.61810953164474769</v>
      </c>
      <c r="H171" s="13">
        <v>0.45924559544307042</v>
      </c>
      <c r="I171" s="13">
        <v>0.1655660765292841</v>
      </c>
      <c r="J171" s="13">
        <v>0.60063448554615284</v>
      </c>
      <c r="K171" s="13">
        <v>0.10138916803822881</v>
      </c>
    </row>
    <row r="172" spans="1:11" x14ac:dyDescent="0.25">
      <c r="A172" s="14">
        <v>42644</v>
      </c>
      <c r="B172" s="18">
        <v>-1</v>
      </c>
      <c r="C172" s="19">
        <v>1</v>
      </c>
      <c r="D172" s="13">
        <v>0.55888032293341217</v>
      </c>
      <c r="E172" s="13">
        <v>0.2527907833077187</v>
      </c>
      <c r="F172" s="13">
        <v>-0.14373668232279324</v>
      </c>
      <c r="G172" s="13">
        <v>0.60253603321637794</v>
      </c>
      <c r="H172" s="13">
        <v>0.45340327111123996</v>
      </c>
      <c r="I172" s="13">
        <v>0.1655660765292841</v>
      </c>
      <c r="J172" s="13">
        <v>0.6252907912667397</v>
      </c>
      <c r="K172" s="13">
        <v>0.10138916803822881</v>
      </c>
    </row>
    <row r="173" spans="1:11" x14ac:dyDescent="0.25">
      <c r="A173" s="14">
        <v>42675</v>
      </c>
      <c r="B173" s="18">
        <v>-1</v>
      </c>
      <c r="C173" s="19">
        <v>1</v>
      </c>
      <c r="D173" s="13">
        <v>0.55888032293341217</v>
      </c>
      <c r="E173" s="13">
        <v>0.25174662338317139</v>
      </c>
      <c r="F173" s="13">
        <v>-0.14373668232279324</v>
      </c>
      <c r="G173" s="13">
        <v>0.59499579320592111</v>
      </c>
      <c r="H173" s="13">
        <v>0.45622225395094285</v>
      </c>
      <c r="I173" s="13">
        <v>0.1655660765292841</v>
      </c>
      <c r="J173" s="13">
        <v>0.62819568461560493</v>
      </c>
      <c r="K173" s="13">
        <v>0.10138916803822881</v>
      </c>
    </row>
    <row r="174" spans="1:11" x14ac:dyDescent="0.25">
      <c r="A174" s="14">
        <v>42705</v>
      </c>
      <c r="B174" s="18">
        <v>-1</v>
      </c>
      <c r="C174" s="19">
        <v>1</v>
      </c>
      <c r="D174" s="13">
        <v>0.55888032293341217</v>
      </c>
      <c r="E174" s="13">
        <v>0.26171777880825842</v>
      </c>
      <c r="F174" s="13">
        <v>-0.14373668232279324</v>
      </c>
      <c r="G174" s="13">
        <v>0.60434838381225264</v>
      </c>
      <c r="H174" s="13">
        <v>0.47519008101064231</v>
      </c>
      <c r="I174" s="13">
        <v>0.1655660765292841</v>
      </c>
      <c r="J174" s="13">
        <v>0.62484296100478443</v>
      </c>
      <c r="K174" s="13">
        <v>0.10138916803822881</v>
      </c>
    </row>
    <row r="175" spans="1:11" x14ac:dyDescent="0.25">
      <c r="A175" s="14">
        <v>42736</v>
      </c>
      <c r="B175" s="18">
        <v>-1</v>
      </c>
      <c r="C175" s="19">
        <v>1</v>
      </c>
      <c r="D175" s="13">
        <v>0.55888032293341217</v>
      </c>
      <c r="E175" s="13">
        <v>0.26202504652379144</v>
      </c>
      <c r="F175" s="13">
        <v>-0.14373668232279324</v>
      </c>
      <c r="G175" s="13">
        <v>0.60260147131727104</v>
      </c>
      <c r="H175" s="13">
        <v>0.48821246619753494</v>
      </c>
      <c r="I175" s="13">
        <v>0.1655660765292841</v>
      </c>
      <c r="J175" s="13">
        <v>0.60243161585883276</v>
      </c>
      <c r="K175" s="13">
        <v>0.10138916803822881</v>
      </c>
    </row>
    <row r="176" spans="1:11" x14ac:dyDescent="0.25">
      <c r="A176" s="14">
        <v>42767</v>
      </c>
      <c r="B176" s="18">
        <v>-1</v>
      </c>
      <c r="C176" s="19">
        <v>1</v>
      </c>
      <c r="D176" s="13">
        <v>0.55888032293341217</v>
      </c>
      <c r="E176" s="13">
        <v>0.26122130319127884</v>
      </c>
      <c r="F176" s="13">
        <v>-0.14373668232279324</v>
      </c>
      <c r="G176" s="13">
        <v>0.61441714470277364</v>
      </c>
      <c r="H176" s="13">
        <v>0.49439009279229573</v>
      </c>
      <c r="I176" s="13">
        <v>0.1655660765292841</v>
      </c>
      <c r="J176" s="13">
        <v>0.59611820305567886</v>
      </c>
      <c r="K176" s="13">
        <v>0.10138916803822881</v>
      </c>
    </row>
    <row r="177" spans="1:11" x14ac:dyDescent="0.25">
      <c r="A177" s="14">
        <v>42795</v>
      </c>
      <c r="B177" s="18">
        <v>-1</v>
      </c>
      <c r="C177" s="19">
        <v>1</v>
      </c>
      <c r="D177" s="13">
        <v>0.55888032293341217</v>
      </c>
      <c r="E177" s="13">
        <v>0.25265836633351674</v>
      </c>
      <c r="F177" s="13">
        <v>-0.14373668232279324</v>
      </c>
      <c r="G177" s="13">
        <v>0.61915092215265366</v>
      </c>
      <c r="H177" s="13">
        <v>0.4966290244654788</v>
      </c>
      <c r="I177" s="13">
        <v>0.1655660765292841</v>
      </c>
      <c r="J177" s="13">
        <v>0.62184410008032676</v>
      </c>
      <c r="K177" s="13">
        <v>0.10138916803822881</v>
      </c>
    </row>
    <row r="178" spans="1:11" x14ac:dyDescent="0.25">
      <c r="A178" s="14">
        <v>42826</v>
      </c>
      <c r="B178" s="18">
        <v>1</v>
      </c>
      <c r="C178" s="19">
        <v>1</v>
      </c>
      <c r="D178" s="13">
        <v>0.56270998348686962</v>
      </c>
      <c r="E178" s="13">
        <v>0.25265836633351674</v>
      </c>
      <c r="F178" s="13">
        <v>-0.13900743848300642</v>
      </c>
      <c r="G178" s="13">
        <v>0.61915092215265366</v>
      </c>
      <c r="H178" s="13">
        <v>0.4943355727772818</v>
      </c>
      <c r="I178" s="13">
        <v>0.1655660765292841</v>
      </c>
      <c r="J178" s="13">
        <v>0.61972979320295529</v>
      </c>
      <c r="K178" s="13">
        <v>0.10138916803822881</v>
      </c>
    </row>
    <row r="179" spans="1:11" x14ac:dyDescent="0.25">
      <c r="A179" s="14">
        <v>42856</v>
      </c>
      <c r="B179" s="18">
        <v>1</v>
      </c>
      <c r="C179" s="19">
        <v>-1</v>
      </c>
      <c r="D179" s="13">
        <v>0.57575844652307862</v>
      </c>
      <c r="E179" s="13">
        <v>0.25265836633351674</v>
      </c>
      <c r="F179" s="13">
        <v>-0.14456967324060294</v>
      </c>
      <c r="G179" s="13">
        <v>0.61915092215265366</v>
      </c>
      <c r="H179" s="13">
        <v>0.4943355727772818</v>
      </c>
      <c r="I179" s="13">
        <v>0.15878478460579315</v>
      </c>
      <c r="J179" s="13">
        <v>0.61972979320295529</v>
      </c>
      <c r="K179" s="13">
        <v>9.4774166579800742E-2</v>
      </c>
    </row>
    <row r="180" spans="1:11" x14ac:dyDescent="0.25">
      <c r="A180" s="14">
        <v>42887</v>
      </c>
      <c r="B180" s="18">
        <v>1</v>
      </c>
      <c r="C180" s="19">
        <v>-1</v>
      </c>
      <c r="D180" s="13">
        <v>0.57101377488413296</v>
      </c>
      <c r="E180" s="13">
        <v>0.25265836633351674</v>
      </c>
      <c r="F180" s="13">
        <v>-0.12525636859573747</v>
      </c>
      <c r="G180" s="13">
        <v>0.61915092215265366</v>
      </c>
      <c r="H180" s="13">
        <v>0.4943355727772818</v>
      </c>
      <c r="I180" s="13">
        <v>0.14963195278946101</v>
      </c>
      <c r="J180" s="13">
        <v>0.61972979320295529</v>
      </c>
      <c r="K180" s="13">
        <v>0.10106163889333093</v>
      </c>
    </row>
    <row r="181" spans="1:11" x14ac:dyDescent="0.25">
      <c r="A181" s="14">
        <v>42917</v>
      </c>
      <c r="B181" s="18">
        <v>-1</v>
      </c>
      <c r="C181" s="19">
        <v>-1</v>
      </c>
      <c r="D181" s="13">
        <v>0.57101377488413296</v>
      </c>
      <c r="E181" s="13">
        <v>0.25286106849258744</v>
      </c>
      <c r="F181" s="13">
        <v>-0.12525636859573747</v>
      </c>
      <c r="G181" s="13">
        <v>0.60984263728764665</v>
      </c>
      <c r="H181" s="13">
        <v>0.4943355727772818</v>
      </c>
      <c r="I181" s="13">
        <v>0.14727743590309755</v>
      </c>
      <c r="J181" s="13">
        <v>0.61972979320295529</v>
      </c>
      <c r="K181" s="13">
        <v>8.5223425053076701E-2</v>
      </c>
    </row>
    <row r="182" spans="1:11" x14ac:dyDescent="0.25">
      <c r="A182" s="14">
        <v>42948</v>
      </c>
      <c r="B182" s="18">
        <v>1</v>
      </c>
      <c r="C182" s="19">
        <v>1</v>
      </c>
      <c r="D182" s="13">
        <v>0.58973418967225366</v>
      </c>
      <c r="E182" s="13">
        <v>0.25286106849258744</v>
      </c>
      <c r="F182" s="13">
        <v>-0.13357240265510498</v>
      </c>
      <c r="G182" s="13">
        <v>0.60984263728764665</v>
      </c>
      <c r="H182" s="13">
        <v>0.49878317459335514</v>
      </c>
      <c r="I182" s="13">
        <v>0.14727743590309755</v>
      </c>
      <c r="J182" s="13">
        <v>0.60928897809095794</v>
      </c>
      <c r="K182" s="13">
        <v>8.5223425053076701E-2</v>
      </c>
    </row>
    <row r="183" spans="1:11" x14ac:dyDescent="0.25">
      <c r="A183" s="14">
        <v>42979</v>
      </c>
      <c r="B183" s="18">
        <v>-1</v>
      </c>
      <c r="C183" s="19">
        <v>-1</v>
      </c>
      <c r="D183" s="13">
        <v>0.58973418967225366</v>
      </c>
      <c r="E183" s="13">
        <v>0.24571069040244495</v>
      </c>
      <c r="F183" s="13">
        <v>-0.13357240265510498</v>
      </c>
      <c r="G183" s="13">
        <v>0.59836657192863552</v>
      </c>
      <c r="H183" s="13">
        <v>0.49878317459335514</v>
      </c>
      <c r="I183" s="13">
        <v>0.15096126435229126</v>
      </c>
      <c r="J183" s="13">
        <v>0.60928897809095794</v>
      </c>
      <c r="K183" s="13">
        <v>9.5141002002689018E-2</v>
      </c>
    </row>
    <row r="184" spans="1:11" x14ac:dyDescent="0.25">
      <c r="A184" s="14">
        <v>43009</v>
      </c>
      <c r="B184" s="18">
        <v>-1</v>
      </c>
      <c r="C184" s="19">
        <v>1</v>
      </c>
      <c r="D184" s="13">
        <v>0.58973418967225366</v>
      </c>
      <c r="E184" s="13">
        <v>0.24555499533773362</v>
      </c>
      <c r="F184" s="13">
        <v>-0.13357240265510498</v>
      </c>
      <c r="G184" s="13">
        <v>0.60223078540809538</v>
      </c>
      <c r="H184" s="13">
        <v>0.51120424692133859</v>
      </c>
      <c r="I184" s="13">
        <v>0.15096126435229126</v>
      </c>
      <c r="J184" s="13">
        <v>0.61668931454235398</v>
      </c>
      <c r="K184" s="13">
        <v>9.5141002002689018E-2</v>
      </c>
    </row>
    <row r="185" spans="1:11" x14ac:dyDescent="0.25">
      <c r="A185" s="14">
        <v>43040</v>
      </c>
      <c r="B185" s="18">
        <v>1</v>
      </c>
      <c r="C185" s="19">
        <v>1</v>
      </c>
      <c r="D185" s="13">
        <v>0.60885868137220756</v>
      </c>
      <c r="E185" s="13">
        <v>0.24555499533773362</v>
      </c>
      <c r="F185" s="13">
        <v>-0.12070760255993213</v>
      </c>
      <c r="G185" s="13">
        <v>0.60223078540809538</v>
      </c>
      <c r="H185" s="13">
        <v>0.51709782534564708</v>
      </c>
      <c r="I185" s="13">
        <v>0.15096126435229126</v>
      </c>
      <c r="J185" s="13">
        <v>0.59721046432234814</v>
      </c>
      <c r="K185" s="13">
        <v>9.5141002002689018E-2</v>
      </c>
    </row>
    <row r="186" spans="1:11" x14ac:dyDescent="0.25">
      <c r="A186" s="14">
        <v>43070</v>
      </c>
      <c r="B186" s="18">
        <v>-1</v>
      </c>
      <c r="C186" s="19">
        <v>-1</v>
      </c>
      <c r="D186" s="13">
        <v>0.60885868137220756</v>
      </c>
      <c r="E186" s="13">
        <v>0.24824936040997417</v>
      </c>
      <c r="F186" s="13">
        <v>-0.12070760255993213</v>
      </c>
      <c r="G186" s="13">
        <v>0.62020640058557519</v>
      </c>
      <c r="H186" s="13">
        <v>0.51709782534564708</v>
      </c>
      <c r="I186" s="13">
        <v>0.15451477363990296</v>
      </c>
      <c r="J186" s="13">
        <v>0.59721046432234814</v>
      </c>
      <c r="K186" s="13">
        <v>0.10957238257436995</v>
      </c>
    </row>
    <row r="187" spans="1:11" x14ac:dyDescent="0.25">
      <c r="A187" s="14">
        <v>43101</v>
      </c>
      <c r="B187" s="18">
        <v>-1</v>
      </c>
      <c r="C187" s="19">
        <v>1</v>
      </c>
      <c r="D187" s="13">
        <v>0.60885868137220756</v>
      </c>
      <c r="E187" s="13">
        <v>0.25316820164205339</v>
      </c>
      <c r="F187" s="13">
        <v>-0.12070760255993213</v>
      </c>
      <c r="G187" s="13">
        <v>0.61225333253946934</v>
      </c>
      <c r="H187" s="13">
        <v>0.54320967594928404</v>
      </c>
      <c r="I187" s="13">
        <v>0.15451477363990296</v>
      </c>
      <c r="J187" s="13">
        <v>0.60695341417507187</v>
      </c>
      <c r="K187" s="13">
        <v>0.10957238257436995</v>
      </c>
    </row>
    <row r="188" spans="1:11" x14ac:dyDescent="0.25">
      <c r="A188" s="14">
        <v>43132</v>
      </c>
      <c r="B188" s="18">
        <v>-1</v>
      </c>
      <c r="C188" s="19">
        <v>1</v>
      </c>
      <c r="D188" s="13">
        <v>0.60885868137220756</v>
      </c>
      <c r="E188" s="13">
        <v>0.24855599554843535</v>
      </c>
      <c r="F188" s="13">
        <v>-0.12070760255993213</v>
      </c>
      <c r="G188" s="13">
        <v>0.62633105175823711</v>
      </c>
      <c r="H188" s="13">
        <v>0.4914122235169564</v>
      </c>
      <c r="I188" s="13">
        <v>0.15451477363990296</v>
      </c>
      <c r="J188" s="13">
        <v>0.6372508949052077</v>
      </c>
      <c r="K188" s="13">
        <v>0.10957238257436995</v>
      </c>
    </row>
    <row r="189" spans="1:11" x14ac:dyDescent="0.25">
      <c r="A189" s="14">
        <v>43160</v>
      </c>
      <c r="B189" s="18">
        <v>1</v>
      </c>
      <c r="C189" s="19">
        <v>1</v>
      </c>
      <c r="D189" s="13">
        <v>0.58156934965031593</v>
      </c>
      <c r="E189" s="13">
        <v>0.24855599554843535</v>
      </c>
      <c r="F189" s="13">
        <v>-0.14411362423935023</v>
      </c>
      <c r="G189" s="13">
        <v>0.62633105175823711</v>
      </c>
      <c r="H189" s="13">
        <v>0.49556316054114452</v>
      </c>
      <c r="I189" s="13">
        <v>0.15451477363990296</v>
      </c>
      <c r="J189" s="13">
        <v>0.64148712959212206</v>
      </c>
      <c r="K189" s="13">
        <v>0.10957238257436995</v>
      </c>
    </row>
    <row r="190" spans="1:11" x14ac:dyDescent="0.25">
      <c r="A190" s="14">
        <v>43191</v>
      </c>
      <c r="B190" s="18">
        <v>-1</v>
      </c>
      <c r="C190" s="19">
        <v>-1</v>
      </c>
      <c r="D190" s="13">
        <v>0.58156934965031593</v>
      </c>
      <c r="E190" s="13">
        <v>0.25646384735317063</v>
      </c>
      <c r="F190" s="13">
        <v>-0.14411362423935023</v>
      </c>
      <c r="G190" s="13">
        <v>0.63171865133516525</v>
      </c>
      <c r="H190" s="13">
        <v>0.49556316054114452</v>
      </c>
      <c r="I190" s="13">
        <v>0.16763489409727694</v>
      </c>
      <c r="J190" s="13">
        <v>0.64148712959212206</v>
      </c>
      <c r="K190" s="13">
        <v>0.10512301656525348</v>
      </c>
    </row>
    <row r="191" spans="1:11" x14ac:dyDescent="0.25">
      <c r="A191" s="14">
        <v>43221</v>
      </c>
      <c r="B191" s="18">
        <v>-1</v>
      </c>
      <c r="C191" s="19">
        <v>1</v>
      </c>
      <c r="D191" s="13">
        <v>0.58156934965031593</v>
      </c>
      <c r="E191" s="13">
        <v>0.26539266122063127</v>
      </c>
      <c r="F191" s="13">
        <v>-0.14411362423935023</v>
      </c>
      <c r="G191" s="13">
        <v>0.66484627369462734</v>
      </c>
      <c r="H191" s="13">
        <v>0.50463285997713136</v>
      </c>
      <c r="I191" s="13">
        <v>0.16763489409727694</v>
      </c>
      <c r="J191" s="13">
        <v>0.64180686584325264</v>
      </c>
      <c r="K191" s="13">
        <v>0.10512301656525348</v>
      </c>
    </row>
    <row r="192" spans="1:11" x14ac:dyDescent="0.25">
      <c r="A192" s="14">
        <v>43252</v>
      </c>
      <c r="B192" s="18">
        <v>-1</v>
      </c>
      <c r="C192" s="19">
        <v>1</v>
      </c>
      <c r="D192" s="13">
        <v>0.58156934965031593</v>
      </c>
      <c r="E192" s="13">
        <v>0.27624495437384994</v>
      </c>
      <c r="F192" s="13">
        <v>-0.14411362423935023</v>
      </c>
      <c r="G192" s="13">
        <v>0.67458790388026546</v>
      </c>
      <c r="H192" s="13">
        <v>0.52808794752103738</v>
      </c>
      <c r="I192" s="13">
        <v>0.16763489409727694</v>
      </c>
      <c r="J192" s="13">
        <v>0.65051845492758176</v>
      </c>
      <c r="K192" s="13">
        <v>0.10512301656525348</v>
      </c>
    </row>
    <row r="193" spans="1:11" x14ac:dyDescent="0.25">
      <c r="A193" s="14">
        <v>43282</v>
      </c>
      <c r="B193" s="18">
        <v>-1</v>
      </c>
      <c r="C193" s="19">
        <v>1</v>
      </c>
      <c r="D193" s="13">
        <v>0.58156934965031593</v>
      </c>
      <c r="E193" s="13">
        <v>0.2722205817536601</v>
      </c>
      <c r="F193" s="13">
        <v>-0.14411362423935023</v>
      </c>
      <c r="G193" s="13">
        <v>0.67818677640922287</v>
      </c>
      <c r="H193" s="13">
        <v>0.55219779035910732</v>
      </c>
      <c r="I193" s="13">
        <v>0.16763489409727694</v>
      </c>
      <c r="J193" s="13">
        <v>0.64628681919008246</v>
      </c>
      <c r="K193" s="13">
        <v>0.10512301656525348</v>
      </c>
    </row>
    <row r="194" spans="1:11" x14ac:dyDescent="0.25">
      <c r="A194" s="14">
        <v>43313</v>
      </c>
      <c r="B194" s="18">
        <v>-1</v>
      </c>
      <c r="C194" s="19">
        <v>1</v>
      </c>
      <c r="D194" s="13">
        <v>0.58156934965031593</v>
      </c>
      <c r="E194" s="13">
        <v>0.25845107612717516</v>
      </c>
      <c r="F194" s="13">
        <v>-0.14411362423935023</v>
      </c>
      <c r="G194" s="13">
        <v>0.67505115528004345</v>
      </c>
      <c r="H194" s="13">
        <v>0.56719169402730274</v>
      </c>
      <c r="I194" s="13">
        <v>0.16763489409727694</v>
      </c>
      <c r="J194" s="13">
        <v>0.65269608937637136</v>
      </c>
      <c r="K194" s="13">
        <v>0.10512301656525348</v>
      </c>
    </row>
    <row r="195" spans="1:11" x14ac:dyDescent="0.25">
      <c r="A195" s="14">
        <v>43344</v>
      </c>
      <c r="B195" s="18">
        <v>-1</v>
      </c>
      <c r="C195" s="19">
        <v>1</v>
      </c>
      <c r="D195" s="13">
        <v>0.58156934965031593</v>
      </c>
      <c r="E195" s="13">
        <v>0.25948271023384295</v>
      </c>
      <c r="F195" s="13">
        <v>-0.14411362423935023</v>
      </c>
      <c r="G195" s="13">
        <v>0.67906741734806519</v>
      </c>
      <c r="H195" s="13">
        <v>0.5595499130301016</v>
      </c>
      <c r="I195" s="13">
        <v>0.16763489409727694</v>
      </c>
      <c r="J195" s="13">
        <v>0.66233412193864161</v>
      </c>
      <c r="K195" s="13">
        <v>0.10512301656525348</v>
      </c>
    </row>
    <row r="196" spans="1:11" x14ac:dyDescent="0.25">
      <c r="A196" s="14">
        <v>43374</v>
      </c>
      <c r="B196" s="18">
        <v>1</v>
      </c>
      <c r="C196" s="19">
        <v>1</v>
      </c>
      <c r="D196" s="13">
        <v>0.56101563227073403</v>
      </c>
      <c r="E196" s="13">
        <v>0.25948271023384295</v>
      </c>
      <c r="F196" s="13">
        <v>-0.14296992312068305</v>
      </c>
      <c r="G196" s="13">
        <v>0.67906741734806519</v>
      </c>
      <c r="H196" s="13">
        <v>0.54952439533021114</v>
      </c>
      <c r="I196" s="13">
        <v>0.16763489409727694</v>
      </c>
      <c r="J196" s="13">
        <v>0.69684337946174679</v>
      </c>
      <c r="K196" s="13">
        <v>0.10512301656525348</v>
      </c>
    </row>
    <row r="197" spans="1:11" x14ac:dyDescent="0.25">
      <c r="A197" s="14">
        <v>43405</v>
      </c>
      <c r="B197" s="18">
        <v>1</v>
      </c>
      <c r="C197" s="19">
        <v>-1</v>
      </c>
      <c r="D197" s="13">
        <v>0.60034247250326411</v>
      </c>
      <c r="E197" s="13">
        <v>0.25948271023384295</v>
      </c>
      <c r="F197" s="13">
        <v>-0.14566113426882329</v>
      </c>
      <c r="G197" s="13">
        <v>0.67906741734806519</v>
      </c>
      <c r="H197" s="13">
        <v>0.54952439533021114</v>
      </c>
      <c r="I197" s="13">
        <v>0.1299973136400864</v>
      </c>
      <c r="J197" s="13">
        <v>0.69684337946174679</v>
      </c>
      <c r="K197" s="13">
        <v>9.8170482426848213E-2</v>
      </c>
    </row>
    <row r="198" spans="1:11" x14ac:dyDescent="0.25">
      <c r="A198" s="14">
        <v>43435</v>
      </c>
      <c r="B198" s="18">
        <v>1</v>
      </c>
      <c r="C198" s="19">
        <v>-1</v>
      </c>
      <c r="D198" s="13">
        <v>0.6647100625523894</v>
      </c>
      <c r="E198" s="13">
        <v>0.25948271023384295</v>
      </c>
      <c r="F198" s="13">
        <v>-0.14722603014595814</v>
      </c>
      <c r="G198" s="13">
        <v>0.67906741734806519</v>
      </c>
      <c r="H198" s="13">
        <v>0.54952439533021114</v>
      </c>
      <c r="I198" s="13">
        <v>0.17291542174166913</v>
      </c>
      <c r="J198" s="13">
        <v>0.69684337946174679</v>
      </c>
      <c r="K198" s="13">
        <v>0.13097399300864124</v>
      </c>
    </row>
    <row r="199" spans="1:11" x14ac:dyDescent="0.25">
      <c r="A199" s="14">
        <v>43466</v>
      </c>
      <c r="B199" s="18">
        <v>-1</v>
      </c>
      <c r="C199" s="19">
        <v>-1</v>
      </c>
      <c r="D199" s="13">
        <v>0.6647100625523894</v>
      </c>
      <c r="E199" s="13">
        <v>0.23503190025034681</v>
      </c>
      <c r="F199" s="13">
        <v>-0.14722603014595814</v>
      </c>
      <c r="G199" s="13">
        <v>0.69268764970176333</v>
      </c>
      <c r="H199" s="13">
        <v>0.54952439533021114</v>
      </c>
      <c r="I199" s="13">
        <v>0.14587540733953749</v>
      </c>
      <c r="J199" s="13">
        <v>0.69684337946174679</v>
      </c>
      <c r="K199" s="13">
        <v>0.1303151631347951</v>
      </c>
    </row>
    <row r="200" spans="1:11" x14ac:dyDescent="0.25">
      <c r="A200" s="14">
        <v>43497</v>
      </c>
      <c r="B200" s="18">
        <v>-1</v>
      </c>
      <c r="C200" s="19">
        <v>1</v>
      </c>
      <c r="D200" s="13">
        <v>0.6647100625523894</v>
      </c>
      <c r="E200" s="13">
        <v>0.236681582056434</v>
      </c>
      <c r="F200" s="13">
        <v>-0.14722603014595814</v>
      </c>
      <c r="G200" s="13">
        <v>0.67985606720241298</v>
      </c>
      <c r="H200" s="13">
        <v>0.55030218951523724</v>
      </c>
      <c r="I200" s="13">
        <v>0.14587540733953749</v>
      </c>
      <c r="J200" s="13">
        <v>0.69573458050253512</v>
      </c>
      <c r="K200" s="13">
        <v>0.1303151631347951</v>
      </c>
    </row>
    <row r="201" spans="1:11" x14ac:dyDescent="0.25">
      <c r="A201" s="14">
        <v>43525</v>
      </c>
      <c r="B201" s="18">
        <v>1</v>
      </c>
      <c r="C201" s="19">
        <v>1</v>
      </c>
      <c r="D201" s="13">
        <v>0.65677646664810785</v>
      </c>
      <c r="E201" s="13">
        <v>0.236681582056434</v>
      </c>
      <c r="F201" s="13">
        <v>-0.17521635759078749</v>
      </c>
      <c r="G201" s="13">
        <v>0.67985606720241298</v>
      </c>
      <c r="H201" s="13">
        <v>0.53704571118358579</v>
      </c>
      <c r="I201" s="13">
        <v>0.14587540733953749</v>
      </c>
      <c r="J201" s="13">
        <v>0.68499650455644723</v>
      </c>
      <c r="K201" s="13">
        <v>0.1303151631347951</v>
      </c>
    </row>
    <row r="202" spans="1:11" x14ac:dyDescent="0.25">
      <c r="A202" s="14">
        <v>43556</v>
      </c>
      <c r="B202" s="18">
        <v>-1</v>
      </c>
      <c r="C202" s="19">
        <v>-1</v>
      </c>
      <c r="D202" s="13">
        <v>0.65677646664810785</v>
      </c>
      <c r="E202" s="13">
        <v>0.22384537380628822</v>
      </c>
      <c r="F202" s="13">
        <v>-0.17521635759078749</v>
      </c>
      <c r="G202" s="13">
        <v>0.69075261524683462</v>
      </c>
      <c r="H202" s="13">
        <v>0.53704571118358579</v>
      </c>
      <c r="I202" s="13">
        <v>0.12454545462679127</v>
      </c>
      <c r="J202" s="13">
        <v>0.68499650455644723</v>
      </c>
      <c r="K202" s="13">
        <v>0.11327174432740959</v>
      </c>
    </row>
    <row r="203" spans="1:11" x14ac:dyDescent="0.25">
      <c r="A203" s="14">
        <v>43586</v>
      </c>
      <c r="B203" s="18">
        <v>1</v>
      </c>
      <c r="C203" s="19">
        <v>1</v>
      </c>
      <c r="D203" s="13">
        <v>0.61675563036061132</v>
      </c>
      <c r="E203" s="13">
        <v>0.22384537380628822</v>
      </c>
      <c r="F203" s="13">
        <v>-0.22418471867545722</v>
      </c>
      <c r="G203" s="13">
        <v>0.69075261524683462</v>
      </c>
      <c r="H203" s="13">
        <v>0.51611529406992174</v>
      </c>
      <c r="I203" s="13">
        <v>0.12454545462679127</v>
      </c>
      <c r="J203" s="13">
        <v>0.67244121193497985</v>
      </c>
      <c r="K203" s="13">
        <v>0.11327174432740959</v>
      </c>
    </row>
    <row r="204" spans="1:11" x14ac:dyDescent="0.25">
      <c r="A204" s="14">
        <v>43617</v>
      </c>
      <c r="B204" s="18">
        <v>-1</v>
      </c>
      <c r="C204" s="19">
        <v>-1</v>
      </c>
      <c r="D204" s="13">
        <v>0.61675563036061132</v>
      </c>
      <c r="E204" s="13">
        <v>0.22725267649139475</v>
      </c>
      <c r="F204" s="13">
        <v>-0.22418471867545722</v>
      </c>
      <c r="G204" s="13">
        <v>0.70119752710913419</v>
      </c>
      <c r="H204" s="13">
        <v>0.51611529406992174</v>
      </c>
      <c r="I204" s="13">
        <v>8.0553546896530659E-2</v>
      </c>
      <c r="J204" s="13">
        <v>0.67244121193497985</v>
      </c>
      <c r="K204" s="13">
        <v>0.11463887463149293</v>
      </c>
    </row>
    <row r="205" spans="1:11" x14ac:dyDescent="0.25">
      <c r="A205" s="14">
        <v>43647</v>
      </c>
      <c r="B205" s="18">
        <v>-1</v>
      </c>
      <c r="C205" s="19">
        <v>1</v>
      </c>
      <c r="D205" s="13">
        <v>0.61675563036061132</v>
      </c>
      <c r="E205" s="13">
        <v>0.22883169452670771</v>
      </c>
      <c r="F205" s="13">
        <v>-0.22418471867545722</v>
      </c>
      <c r="G205" s="13">
        <v>0.70837191956951617</v>
      </c>
      <c r="H205" s="13">
        <v>0.52906852883526212</v>
      </c>
      <c r="I205" s="13">
        <v>8.0553546896530659E-2</v>
      </c>
      <c r="J205" s="13">
        <v>0.671988387190676</v>
      </c>
      <c r="K205" s="13">
        <v>0.11463887463149293</v>
      </c>
    </row>
    <row r="206" spans="1:11" x14ac:dyDescent="0.25">
      <c r="A206" s="14">
        <v>43678</v>
      </c>
      <c r="B206" s="18">
        <v>1</v>
      </c>
      <c r="C206" s="19">
        <v>1</v>
      </c>
      <c r="D206" s="13">
        <v>0.61675563036061121</v>
      </c>
      <c r="E206" s="13">
        <v>0.22883169452670771</v>
      </c>
      <c r="F206" s="13">
        <v>-0.24282568505756713</v>
      </c>
      <c r="G206" s="13">
        <v>0.70837191956951617</v>
      </c>
      <c r="H206" s="13">
        <v>0.49674580171716221</v>
      </c>
      <c r="I206" s="13">
        <v>8.0553546896530659E-2</v>
      </c>
      <c r="J206" s="13">
        <v>0.61766512851506716</v>
      </c>
      <c r="K206" s="13">
        <v>0.11463887463149293</v>
      </c>
    </row>
    <row r="207" spans="1:11" x14ac:dyDescent="0.25">
      <c r="A207" s="14">
        <v>43709</v>
      </c>
      <c r="B207" s="18">
        <v>-1</v>
      </c>
      <c r="C207" s="19">
        <v>-1</v>
      </c>
      <c r="D207" s="13">
        <v>0.61675563036061121</v>
      </c>
      <c r="E207" s="13">
        <v>0.23367201417596867</v>
      </c>
      <c r="F207" s="13">
        <v>-0.24282568505756713</v>
      </c>
      <c r="G207" s="13">
        <v>0.71693505881839048</v>
      </c>
      <c r="H207" s="13">
        <v>0.49674580171716221</v>
      </c>
      <c r="I207" s="13">
        <v>6.1082845415085782E-2</v>
      </c>
      <c r="J207" s="13">
        <v>0.61766512851506716</v>
      </c>
      <c r="K207" s="13">
        <v>8.831285679445347E-2</v>
      </c>
    </row>
    <row r="208" spans="1:11" x14ac:dyDescent="0.25">
      <c r="A208" s="14">
        <v>43739</v>
      </c>
      <c r="B208" s="18">
        <v>-1</v>
      </c>
      <c r="C208" s="19">
        <v>1</v>
      </c>
      <c r="D208" s="13">
        <v>0.61675563036061121</v>
      </c>
      <c r="E208" s="13">
        <v>0.22260008017334854</v>
      </c>
      <c r="F208" s="13">
        <v>-0.24282568505756713</v>
      </c>
      <c r="G208" s="13">
        <v>0.73630872101241041</v>
      </c>
      <c r="H208" s="13">
        <v>0.48423380071509536</v>
      </c>
      <c r="I208" s="13">
        <v>6.1082845415085782E-2</v>
      </c>
      <c r="J208" s="13">
        <v>0.60410479915050352</v>
      </c>
      <c r="K208" s="13">
        <v>8.831285679445347E-2</v>
      </c>
    </row>
    <row r="209" spans="1:11" x14ac:dyDescent="0.25">
      <c r="A209" s="14">
        <v>43770</v>
      </c>
      <c r="B209" s="18">
        <v>-1</v>
      </c>
      <c r="C209" s="19">
        <v>1</v>
      </c>
      <c r="D209" s="13">
        <v>0.61675563036061121</v>
      </c>
      <c r="E209" s="13">
        <v>0.2096631595629426</v>
      </c>
      <c r="F209" s="13">
        <v>-0.24282568505756713</v>
      </c>
      <c r="G209" s="13">
        <v>0.74130691460288756</v>
      </c>
      <c r="H209" s="13">
        <v>0.50009666423766397</v>
      </c>
      <c r="I209" s="13">
        <v>6.1082845415085782E-2</v>
      </c>
      <c r="J209" s="13">
        <v>0.64399812613064977</v>
      </c>
      <c r="K209" s="13">
        <v>8.831285679445347E-2</v>
      </c>
    </row>
    <row r="210" spans="1:11" x14ac:dyDescent="0.25">
      <c r="A210" s="14">
        <v>43800</v>
      </c>
      <c r="B210" s="18">
        <v>-1</v>
      </c>
      <c r="C210" s="19">
        <v>1</v>
      </c>
      <c r="D210" s="13">
        <v>0.61675563036061121</v>
      </c>
      <c r="E210" s="13">
        <v>0.20614619788754088</v>
      </c>
      <c r="F210" s="13">
        <v>-0.24282568505756713</v>
      </c>
      <c r="G210" s="13">
        <v>0.73270821855422563</v>
      </c>
      <c r="H210" s="13">
        <v>0.50187685998771125</v>
      </c>
      <c r="I210" s="13">
        <v>6.1082845415085782E-2</v>
      </c>
      <c r="J210" s="13">
        <v>0.65713278478543102</v>
      </c>
      <c r="K210" s="13">
        <v>8.831285679445347E-2</v>
      </c>
    </row>
    <row r="211" spans="1:11" x14ac:dyDescent="0.25">
      <c r="A211" s="14">
        <v>43831</v>
      </c>
      <c r="B211" s="18">
        <v>1</v>
      </c>
      <c r="C211" s="19">
        <v>1</v>
      </c>
      <c r="D211" s="13">
        <v>0.58617709640124571</v>
      </c>
      <c r="E211" s="13">
        <v>0.20614619788754088</v>
      </c>
      <c r="F211" s="13">
        <v>-0.27741295227237428</v>
      </c>
      <c r="G211" s="13">
        <v>0.73270821855422563</v>
      </c>
      <c r="H211" s="13">
        <v>0.50989163080004496</v>
      </c>
      <c r="I211" s="13">
        <v>6.1082845415085782E-2</v>
      </c>
      <c r="J211" s="13">
        <v>0.64787552293862416</v>
      </c>
      <c r="K211" s="13">
        <v>8.831285679445347E-2</v>
      </c>
    </row>
    <row r="212" spans="1:11" x14ac:dyDescent="0.25">
      <c r="A212" s="14">
        <v>43862</v>
      </c>
      <c r="B212" s="18">
        <v>1</v>
      </c>
      <c r="C212" s="19">
        <v>-1</v>
      </c>
      <c r="D212" s="13">
        <v>0.50155927882735618</v>
      </c>
      <c r="E212" s="13">
        <v>0.20614619788754088</v>
      </c>
      <c r="F212" s="13">
        <v>-0.31053547567905621</v>
      </c>
      <c r="G212" s="13">
        <v>0.73270821855422563</v>
      </c>
      <c r="H212" s="13">
        <v>0.50989163080004496</v>
      </c>
      <c r="I212" s="13">
        <v>2.9058236008115419E-2</v>
      </c>
      <c r="J212" s="13">
        <v>0.64787552293862416</v>
      </c>
      <c r="K212" s="13">
        <v>7.9846556183628153E-2</v>
      </c>
    </row>
    <row r="213" spans="1:11" x14ac:dyDescent="0.25">
      <c r="A213" s="14">
        <v>43891</v>
      </c>
      <c r="B213" s="18">
        <v>1</v>
      </c>
      <c r="C213" s="19">
        <v>-1</v>
      </c>
      <c r="D213" s="13">
        <v>0.62070112337919925</v>
      </c>
      <c r="E213" s="13">
        <v>0.20614619788754088</v>
      </c>
      <c r="F213" s="13">
        <v>-0.34469394854087509</v>
      </c>
      <c r="G213" s="13">
        <v>0.73270821855422563</v>
      </c>
      <c r="H213" s="13">
        <v>0.50989163080004496</v>
      </c>
      <c r="I213" s="13">
        <v>2.5015757825118095E-2</v>
      </c>
      <c r="J213" s="13">
        <v>0.64787552293862416</v>
      </c>
      <c r="K213" s="13">
        <v>0.15251545365403862</v>
      </c>
    </row>
    <row r="214" spans="1:11" x14ac:dyDescent="0.25">
      <c r="A214" s="14">
        <v>43922</v>
      </c>
      <c r="B214" s="18">
        <v>-1</v>
      </c>
      <c r="C214" s="19">
        <v>-1</v>
      </c>
      <c r="D214" s="13">
        <v>0.62070112337919925</v>
      </c>
      <c r="E214" s="13">
        <v>0.16618122097471938</v>
      </c>
      <c r="F214" s="13">
        <v>-0.34469394854087509</v>
      </c>
      <c r="G214" s="13">
        <v>0.71605522956902978</v>
      </c>
      <c r="H214" s="13">
        <v>0.50989163080004496</v>
      </c>
      <c r="I214" s="13">
        <v>-3.2143556673891911E-3</v>
      </c>
      <c r="J214" s="13">
        <v>0.64787552293862416</v>
      </c>
      <c r="K214" s="13">
        <v>0.16198857914830997</v>
      </c>
    </row>
    <row r="215" spans="1:11" x14ac:dyDescent="0.25">
      <c r="A215" s="14">
        <v>43952</v>
      </c>
      <c r="B215" s="18">
        <v>-1</v>
      </c>
      <c r="C215" s="19">
        <v>1</v>
      </c>
      <c r="D215" s="13">
        <v>0.62070112337919925</v>
      </c>
      <c r="E215" s="13">
        <v>0.13466958337303145</v>
      </c>
      <c r="F215" s="13">
        <v>-0.34469394854087509</v>
      </c>
      <c r="G215" s="13">
        <v>0.71014313485359037</v>
      </c>
      <c r="H215" s="13">
        <v>0.50020510548300579</v>
      </c>
      <c r="I215" s="13">
        <v>-3.2143556673891911E-3</v>
      </c>
      <c r="J215" s="13">
        <v>0.65018458807203028</v>
      </c>
      <c r="K215" s="13">
        <v>0.16198857914830997</v>
      </c>
    </row>
    <row r="216" spans="1:11" x14ac:dyDescent="0.25">
      <c r="A216" s="14">
        <v>43983</v>
      </c>
      <c r="B216" s="18">
        <v>-1</v>
      </c>
      <c r="C216" s="19">
        <v>1</v>
      </c>
      <c r="D216" s="13">
        <v>0.62070112337919925</v>
      </c>
      <c r="E216" s="13">
        <v>0.1355773022966382</v>
      </c>
      <c r="F216" s="13">
        <v>-0.34469394854087509</v>
      </c>
      <c r="G216" s="13">
        <v>0.71958134506443794</v>
      </c>
      <c r="H216" s="13">
        <v>0.54838141708784505</v>
      </c>
      <c r="I216" s="13">
        <v>-3.2143556673891911E-3</v>
      </c>
      <c r="J216" s="13">
        <v>0.69570236202911173</v>
      </c>
      <c r="K216" s="13">
        <v>0.16198857914830997</v>
      </c>
    </row>
    <row r="217" spans="1:11" x14ac:dyDescent="0.25">
      <c r="A217" s="14">
        <v>44013</v>
      </c>
      <c r="B217" s="18">
        <v>-1</v>
      </c>
      <c r="C217" s="19">
        <v>1</v>
      </c>
      <c r="D217" s="13">
        <v>0.62070112337919925</v>
      </c>
      <c r="E217" s="13">
        <v>0.13661827535122714</v>
      </c>
      <c r="F217" s="13">
        <v>-0.34469394854087509</v>
      </c>
      <c r="G217" s="13">
        <v>0.7385322858740111</v>
      </c>
      <c r="H217" s="13">
        <v>0.57342515122142501</v>
      </c>
      <c r="I217" s="13">
        <v>-3.2143556673891911E-3</v>
      </c>
      <c r="J217" s="13">
        <v>0.69075495170226553</v>
      </c>
      <c r="K217" s="13">
        <v>0.16198857914830997</v>
      </c>
    </row>
    <row r="218" spans="1:11" x14ac:dyDescent="0.25">
      <c r="A218" s="14">
        <v>44044</v>
      </c>
      <c r="B218" s="18">
        <v>-1</v>
      </c>
      <c r="C218" s="19">
        <v>1</v>
      </c>
      <c r="D218" s="13">
        <v>0.62070112337919925</v>
      </c>
      <c r="E218" s="13">
        <v>0.10807352967003224</v>
      </c>
      <c r="F218" s="13">
        <v>-0.34469394854087509</v>
      </c>
      <c r="G218" s="13">
        <v>0.71410878664806821</v>
      </c>
      <c r="H218" s="13">
        <v>0.59778051260619791</v>
      </c>
      <c r="I218" s="13">
        <v>-3.2143556673891911E-3</v>
      </c>
      <c r="J218" s="13">
        <v>0.69621449347675946</v>
      </c>
      <c r="K218" s="13">
        <v>0.16198857914830997</v>
      </c>
    </row>
    <row r="219" spans="1:11" x14ac:dyDescent="0.25">
      <c r="A219" s="14">
        <v>44075</v>
      </c>
      <c r="B219" s="18">
        <v>1</v>
      </c>
      <c r="C219" s="19">
        <v>1</v>
      </c>
      <c r="D219" s="13">
        <v>0.63450225057644138</v>
      </c>
      <c r="E219" s="13">
        <v>0.10807352967003224</v>
      </c>
      <c r="F219" s="13">
        <v>-0.33852683142968987</v>
      </c>
      <c r="G219" s="13">
        <v>0.71410878664806821</v>
      </c>
      <c r="H219" s="13">
        <v>0.55059348099829708</v>
      </c>
      <c r="I219" s="13">
        <v>-3.2143556673891911E-3</v>
      </c>
      <c r="J219" s="13">
        <v>0.68557448412853972</v>
      </c>
      <c r="K219" s="13">
        <v>0.16198857914830997</v>
      </c>
    </row>
    <row r="220" spans="1:11" x14ac:dyDescent="0.25">
      <c r="A220" s="14">
        <v>44105</v>
      </c>
      <c r="B220" s="18">
        <v>-1</v>
      </c>
      <c r="C220" s="19">
        <v>-1</v>
      </c>
      <c r="D220" s="13">
        <v>0.63450225057644138</v>
      </c>
      <c r="E220" s="13">
        <v>0.15646409193522734</v>
      </c>
      <c r="F220" s="13">
        <v>-0.33852683142968987</v>
      </c>
      <c r="G220" s="13">
        <v>0.70696272244680936</v>
      </c>
      <c r="H220" s="13">
        <v>0.55059348099829708</v>
      </c>
      <c r="I220" s="13">
        <v>-2.0590478197776627E-2</v>
      </c>
      <c r="J220" s="13">
        <v>0.68557448412853972</v>
      </c>
      <c r="K220" s="13">
        <v>0.13821818131925115</v>
      </c>
    </row>
    <row r="221" spans="1:11" x14ac:dyDescent="0.25">
      <c r="A221" s="14">
        <v>44136</v>
      </c>
      <c r="B221" s="18">
        <v>-1</v>
      </c>
      <c r="C221" s="19">
        <v>1</v>
      </c>
      <c r="D221" s="13">
        <v>0.63450225057644138</v>
      </c>
      <c r="E221" s="13">
        <v>0.13770137046902889</v>
      </c>
      <c r="F221" s="13">
        <v>-0.33852683142968987</v>
      </c>
      <c r="G221" s="13">
        <v>0.69769448799346878</v>
      </c>
      <c r="H221" s="13">
        <v>0.62043115011033856</v>
      </c>
      <c r="I221" s="13">
        <v>-2.0590478197776627E-2</v>
      </c>
      <c r="J221" s="13">
        <v>0.67289133981355675</v>
      </c>
      <c r="K221" s="13">
        <v>0.13821818131925115</v>
      </c>
    </row>
    <row r="222" spans="1:11" x14ac:dyDescent="0.25">
      <c r="A222" s="14">
        <v>44166</v>
      </c>
      <c r="B222" s="18">
        <v>-1</v>
      </c>
      <c r="C222" s="19">
        <v>1</v>
      </c>
      <c r="D222" s="13">
        <v>0.63450225057644138</v>
      </c>
      <c r="E222" s="13">
        <v>0.12146871917819815</v>
      </c>
      <c r="F222" s="13">
        <v>-0.33852683142968987</v>
      </c>
      <c r="G222" s="13">
        <v>0.70265170744484995</v>
      </c>
      <c r="H222" s="13">
        <v>0.63966225099394303</v>
      </c>
      <c r="I222" s="13">
        <v>-2.0590478197776627E-2</v>
      </c>
      <c r="J222" s="13">
        <v>0.69347575228640579</v>
      </c>
      <c r="K222" s="13">
        <v>0.13821818131925115</v>
      </c>
    </row>
    <row r="223" spans="1:11" x14ac:dyDescent="0.25">
      <c r="A223" s="14">
        <v>44197</v>
      </c>
      <c r="B223" s="18">
        <v>-1</v>
      </c>
      <c r="C223" s="19">
        <v>1</v>
      </c>
      <c r="D223" s="13">
        <v>0.63450225057644138</v>
      </c>
      <c r="E223" s="13">
        <v>0.15943466279982815</v>
      </c>
      <c r="F223" s="13">
        <v>-0.33852683142968987</v>
      </c>
      <c r="G223" s="13">
        <v>0.69172479938574238</v>
      </c>
      <c r="H223" s="13">
        <v>0.65920889104831926</v>
      </c>
      <c r="I223" s="13">
        <v>-2.0590478197776627E-2</v>
      </c>
      <c r="J223" s="13">
        <v>0.73496378622519942</v>
      </c>
      <c r="K223" s="13">
        <v>0.13821818131925115</v>
      </c>
    </row>
    <row r="224" spans="1:11" x14ac:dyDescent="0.25">
      <c r="A224" s="14">
        <v>44228</v>
      </c>
      <c r="B224" s="18">
        <v>-1</v>
      </c>
      <c r="C224" s="19">
        <v>1</v>
      </c>
      <c r="D224" s="13">
        <v>0.63450225057644138</v>
      </c>
      <c r="E224" s="13">
        <v>0.17681868746634252</v>
      </c>
      <c r="F224" s="13">
        <v>-0.33852683142968987</v>
      </c>
      <c r="G224" s="13">
        <v>0.69831409086186358</v>
      </c>
      <c r="H224" s="13">
        <v>0.70577454512073379</v>
      </c>
      <c r="I224" s="13">
        <v>-2.0590478197776627E-2</v>
      </c>
      <c r="J224" s="13">
        <v>0.76027111993121976</v>
      </c>
      <c r="K224" s="13">
        <v>0.13821818131925115</v>
      </c>
    </row>
    <row r="225" spans="1:11" x14ac:dyDescent="0.25">
      <c r="A225" s="14">
        <v>44256</v>
      </c>
      <c r="B225" s="18">
        <v>-1</v>
      </c>
      <c r="C225" s="19">
        <v>1</v>
      </c>
      <c r="D225" s="13">
        <v>0.63450225057644138</v>
      </c>
      <c r="E225" s="13">
        <v>0.15938398797180678</v>
      </c>
      <c r="F225" s="13">
        <v>-0.33852683142968987</v>
      </c>
      <c r="G225" s="13">
        <v>0.70349562339376304</v>
      </c>
      <c r="H225" s="13">
        <v>0.71433492407645294</v>
      </c>
      <c r="I225" s="13">
        <v>-2.0590478197776627E-2</v>
      </c>
      <c r="J225" s="13">
        <v>0.78892615851148717</v>
      </c>
      <c r="K225" s="13">
        <v>0.13821818131925115</v>
      </c>
    </row>
    <row r="226" spans="1:11" x14ac:dyDescent="0.25">
      <c r="A226" s="14">
        <v>44287</v>
      </c>
      <c r="B226" s="18">
        <v>-1</v>
      </c>
      <c r="C226" s="19">
        <v>1</v>
      </c>
      <c r="D226" s="13">
        <v>0.63450225057644138</v>
      </c>
      <c r="E226" s="13">
        <v>0.14725720671534911</v>
      </c>
      <c r="F226" s="13">
        <v>-0.33852683142968987</v>
      </c>
      <c r="G226" s="13">
        <v>0.6909521715419481</v>
      </c>
      <c r="H226" s="13">
        <v>0.7446285674402231</v>
      </c>
      <c r="I226" s="13">
        <v>-2.0590478197776627E-2</v>
      </c>
      <c r="J226" s="13">
        <v>0.76883580286094433</v>
      </c>
      <c r="K226" s="13">
        <v>0.13821818131925115</v>
      </c>
    </row>
    <row r="227" spans="1:11" x14ac:dyDescent="0.25">
      <c r="A227" s="14">
        <v>44317</v>
      </c>
      <c r="B227" s="18">
        <v>1</v>
      </c>
      <c r="C227" s="19">
        <v>1</v>
      </c>
      <c r="D227" s="13">
        <v>0.64671809293360827</v>
      </c>
      <c r="E227" s="13">
        <v>0.14725720671534911</v>
      </c>
      <c r="F227" s="13">
        <v>-0.34410453405179603</v>
      </c>
      <c r="G227" s="13">
        <v>0.6909521715419481</v>
      </c>
      <c r="H227" s="13">
        <v>0.75611280105358458</v>
      </c>
      <c r="I227" s="13">
        <v>-2.0590478197776627E-2</v>
      </c>
      <c r="J227" s="13">
        <v>0.76312384890508922</v>
      </c>
      <c r="K227" s="13">
        <v>0.13821818131925115</v>
      </c>
    </row>
    <row r="228" spans="1:11" x14ac:dyDescent="0.25">
      <c r="A228" s="14">
        <v>44348</v>
      </c>
      <c r="B228" s="18">
        <v>1</v>
      </c>
      <c r="C228" s="19">
        <v>-1</v>
      </c>
      <c r="D228" s="13">
        <v>0.66368143035127825</v>
      </c>
      <c r="E228" s="13">
        <v>0.14725720671534911</v>
      </c>
      <c r="F228" s="13">
        <v>-0.35147569142791873</v>
      </c>
      <c r="G228" s="13">
        <v>0.6909521715419481</v>
      </c>
      <c r="H228" s="13">
        <v>0.75611280105358458</v>
      </c>
      <c r="I228" s="13">
        <v>-2.5695955817566406E-2</v>
      </c>
      <c r="J228" s="13">
        <v>0.76312384890508922</v>
      </c>
      <c r="K228" s="13">
        <v>0.14706897433804364</v>
      </c>
    </row>
    <row r="229" spans="1:11" x14ac:dyDescent="0.25">
      <c r="A229" s="14">
        <v>44378</v>
      </c>
      <c r="B229" s="18">
        <v>1</v>
      </c>
      <c r="C229" s="19">
        <v>-1</v>
      </c>
      <c r="D229" s="13">
        <v>0.67066123252316523</v>
      </c>
      <c r="E229" s="13">
        <v>0.14725720671534911</v>
      </c>
      <c r="F229" s="13">
        <v>-0.35160962118289252</v>
      </c>
      <c r="G229" s="13">
        <v>0.6909521715419481</v>
      </c>
      <c r="H229" s="13">
        <v>0.75611280105358458</v>
      </c>
      <c r="I229" s="13">
        <v>-3.235505295715857E-2</v>
      </c>
      <c r="J229" s="13">
        <v>0.76312384890508922</v>
      </c>
      <c r="K229" s="13">
        <v>0.17752352776047214</v>
      </c>
    </row>
    <row r="230" spans="1:11" x14ac:dyDescent="0.25">
      <c r="A230" s="14">
        <v>44409</v>
      </c>
      <c r="B230" s="18">
        <v>-1</v>
      </c>
      <c r="C230" s="19">
        <v>-1</v>
      </c>
      <c r="D230" s="13">
        <v>0.67066123252316523</v>
      </c>
      <c r="E230" s="13">
        <v>0.12893093598806785</v>
      </c>
      <c r="F230" s="13">
        <v>-0.35160962118289252</v>
      </c>
      <c r="G230" s="13">
        <v>0.67946170748006385</v>
      </c>
      <c r="H230" s="13">
        <v>0.75611280105358458</v>
      </c>
      <c r="I230" s="13">
        <v>-4.1390081690007949E-2</v>
      </c>
      <c r="J230" s="13">
        <v>0.76312384890508922</v>
      </c>
      <c r="K230" s="13">
        <v>0.16703604077233028</v>
      </c>
    </row>
    <row r="231" spans="1:11" x14ac:dyDescent="0.25">
      <c r="A231" s="14">
        <v>44440</v>
      </c>
      <c r="B231" s="18">
        <v>1</v>
      </c>
      <c r="C231" s="19">
        <v>1</v>
      </c>
      <c r="D231" s="13">
        <v>0.65054541197619686</v>
      </c>
      <c r="E231" s="13">
        <v>0.12893093598806785</v>
      </c>
      <c r="F231" s="13">
        <v>-0.30114476458554668</v>
      </c>
      <c r="G231" s="13">
        <v>0.67946170748006385</v>
      </c>
      <c r="H231" s="13">
        <v>0.75467227110636348</v>
      </c>
      <c r="I231" s="13">
        <v>-4.1390081690007949E-2</v>
      </c>
      <c r="J231" s="13">
        <v>0.7679186892570703</v>
      </c>
      <c r="K231" s="13">
        <v>0.16703604077233028</v>
      </c>
    </row>
    <row r="232" spans="1:11" x14ac:dyDescent="0.25">
      <c r="A232" s="14">
        <v>44470</v>
      </c>
      <c r="B232" s="18">
        <v>-1</v>
      </c>
      <c r="C232" s="19">
        <v>-1</v>
      </c>
      <c r="D232" s="13">
        <v>0.65054541197619686</v>
      </c>
      <c r="E232" s="13">
        <v>0.11652993487441839</v>
      </c>
      <c r="F232" s="13">
        <v>-0.30114476458554668</v>
      </c>
      <c r="G232" s="13">
        <v>0.71481389809632645</v>
      </c>
      <c r="H232" s="13">
        <v>0.75467227110636348</v>
      </c>
      <c r="I232" s="13">
        <v>-6.3331404585237894E-2</v>
      </c>
      <c r="J232" s="13">
        <v>0.7679186892570703</v>
      </c>
      <c r="K232" s="13">
        <v>0.15827713372778376</v>
      </c>
    </row>
    <row r="233" spans="1:11" x14ac:dyDescent="0.25">
      <c r="A233" s="14">
        <v>44501</v>
      </c>
      <c r="B233" s="18">
        <v>-1</v>
      </c>
      <c r="C233" s="19">
        <v>1</v>
      </c>
      <c r="D233" s="13">
        <v>0.65054541197619686</v>
      </c>
      <c r="E233" s="13">
        <v>0.14537076137221261</v>
      </c>
      <c r="F233" s="13">
        <v>-0.30114476458554668</v>
      </c>
      <c r="G233" s="13">
        <v>0.73635178549831337</v>
      </c>
      <c r="H233" s="13">
        <v>0.77467776115932807</v>
      </c>
      <c r="I233" s="13">
        <v>-6.3331404585237894E-2</v>
      </c>
      <c r="J233" s="13">
        <v>0.75580216705546721</v>
      </c>
      <c r="K233" s="13">
        <v>0.15827713372778376</v>
      </c>
    </row>
    <row r="234" spans="1:11" x14ac:dyDescent="0.25">
      <c r="A234" s="14">
        <v>44531</v>
      </c>
      <c r="B234" s="18">
        <v>-1</v>
      </c>
      <c r="C234" s="19">
        <v>1</v>
      </c>
      <c r="D234" s="13">
        <v>0.65054541197619686</v>
      </c>
      <c r="E234" s="13">
        <v>0.11999664153295203</v>
      </c>
      <c r="F234" s="13">
        <v>-0.30114476458554668</v>
      </c>
      <c r="G234" s="13">
        <v>0.73002811140500345</v>
      </c>
      <c r="H234" s="13">
        <v>0.80221675209835064</v>
      </c>
      <c r="I234" s="13">
        <v>-6.3331404585237894E-2</v>
      </c>
      <c r="J234" s="13">
        <v>0.75848740223200817</v>
      </c>
      <c r="K234" s="13">
        <v>0.15827713372778376</v>
      </c>
    </row>
    <row r="235" spans="1:11" x14ac:dyDescent="0.25">
      <c r="A235" s="14">
        <v>44562</v>
      </c>
      <c r="B235" s="18">
        <v>1</v>
      </c>
      <c r="C235" s="19">
        <v>1</v>
      </c>
      <c r="D235" s="13">
        <v>0.67318182121056247</v>
      </c>
      <c r="E235" s="13">
        <v>0.11999664153295203</v>
      </c>
      <c r="F235" s="13">
        <v>-0.30072346660053167</v>
      </c>
      <c r="G235" s="13">
        <v>0.73002811140500345</v>
      </c>
      <c r="H235" s="13">
        <v>0.78336500769561324</v>
      </c>
      <c r="I235" s="13">
        <v>-6.3331404585237894E-2</v>
      </c>
      <c r="J235" s="13">
        <v>0.79932636936527968</v>
      </c>
      <c r="K235" s="13">
        <v>0.15827713372778376</v>
      </c>
    </row>
    <row r="236" spans="1:11" x14ac:dyDescent="0.25">
      <c r="A236" s="14">
        <v>44593</v>
      </c>
      <c r="B236" s="18">
        <v>1</v>
      </c>
      <c r="C236" s="19">
        <v>-1</v>
      </c>
      <c r="D236" s="13">
        <v>0.68948304060884713</v>
      </c>
      <c r="E236" s="13">
        <v>0.11999664153295203</v>
      </c>
      <c r="F236" s="13">
        <v>-0.30991696398618074</v>
      </c>
      <c r="G236" s="13">
        <v>0.73002811140500345</v>
      </c>
      <c r="H236" s="13">
        <v>0.78336500769561324</v>
      </c>
      <c r="I236" s="13">
        <v>-5.7424152526510189E-2</v>
      </c>
      <c r="J236" s="13">
        <v>0.79932636936527968</v>
      </c>
      <c r="K236" s="13">
        <v>0.13629203089812719</v>
      </c>
    </row>
    <row r="237" spans="1:11" x14ac:dyDescent="0.25">
      <c r="A237" s="14">
        <v>44621</v>
      </c>
      <c r="B237" s="18">
        <v>-1</v>
      </c>
      <c r="C237" s="19">
        <v>-1</v>
      </c>
      <c r="D237" s="13">
        <v>0.68948304060884713</v>
      </c>
      <c r="E237" s="13">
        <v>0.10381387934397276</v>
      </c>
      <c r="F237" s="13">
        <v>-0.30991696398618074</v>
      </c>
      <c r="G237" s="13">
        <v>0.7432127824709861</v>
      </c>
      <c r="H237" s="13">
        <v>0.78336500769561324</v>
      </c>
      <c r="I237" s="13">
        <v>-1.7234793449641822E-2</v>
      </c>
      <c r="J237" s="13">
        <v>0.79932636936527968</v>
      </c>
      <c r="K237" s="13">
        <v>0.13259835841054729</v>
      </c>
    </row>
    <row r="238" spans="1:11" x14ac:dyDescent="0.25">
      <c r="A238" s="14">
        <v>44652</v>
      </c>
      <c r="B238" s="18">
        <v>-1</v>
      </c>
      <c r="C238" s="19">
        <v>1</v>
      </c>
      <c r="D238" s="13">
        <v>0.68948304060884713</v>
      </c>
      <c r="E238" s="13">
        <v>0.13732384946774187</v>
      </c>
      <c r="F238" s="13">
        <v>-0.30991696398618074</v>
      </c>
      <c r="G238" s="13">
        <v>0.73870217905649382</v>
      </c>
      <c r="H238" s="13">
        <v>0.77699013784017035</v>
      </c>
      <c r="I238" s="13">
        <v>-1.7234793449641822E-2</v>
      </c>
      <c r="J238" s="13">
        <v>0.8410402932374379</v>
      </c>
      <c r="K238" s="13">
        <v>0.13259835841054729</v>
      </c>
    </row>
    <row r="239" spans="1:11" x14ac:dyDescent="0.25">
      <c r="A239" s="14">
        <v>44682</v>
      </c>
      <c r="B239" s="18">
        <v>1</v>
      </c>
      <c r="C239" s="19">
        <v>1</v>
      </c>
      <c r="D239" s="13">
        <v>0.7475635696401276</v>
      </c>
      <c r="E239" s="13">
        <v>0.13732384946774187</v>
      </c>
      <c r="F239" s="13">
        <v>-0.29332613702580296</v>
      </c>
      <c r="G239" s="13">
        <v>0.73870217905649382</v>
      </c>
      <c r="H239" s="13">
        <v>0.77538703093313754</v>
      </c>
      <c r="I239" s="13">
        <v>-1.7234793449641822E-2</v>
      </c>
      <c r="J239" s="13">
        <v>0.88893795256087949</v>
      </c>
      <c r="K239" s="13">
        <v>0.13259835841054729</v>
      </c>
    </row>
    <row r="240" spans="1:11" x14ac:dyDescent="0.25">
      <c r="A240" s="14">
        <v>44713</v>
      </c>
      <c r="B240" s="18">
        <v>1</v>
      </c>
      <c r="C240" s="19">
        <v>-1</v>
      </c>
      <c r="D240" s="13">
        <v>0.75517346395038687</v>
      </c>
      <c r="E240" s="13">
        <v>0.13732384946774187</v>
      </c>
      <c r="F240" s="13">
        <v>-0.30788294358085805</v>
      </c>
      <c r="G240" s="13">
        <v>0.73870217905649382</v>
      </c>
      <c r="H240" s="13">
        <v>0.77538703093313754</v>
      </c>
      <c r="I240" s="13">
        <v>-2.4016838292674914E-2</v>
      </c>
      <c r="J240" s="13">
        <v>0.88893795256087949</v>
      </c>
      <c r="K240" s="13">
        <v>0.12194478394082325</v>
      </c>
    </row>
    <row r="241" spans="1:11" x14ac:dyDescent="0.25">
      <c r="A241" s="14">
        <v>44743</v>
      </c>
      <c r="B241" s="18">
        <v>-1</v>
      </c>
      <c r="C241" s="19">
        <v>-1</v>
      </c>
      <c r="D241" s="13">
        <v>0.75517346395038687</v>
      </c>
      <c r="E241" s="13">
        <v>9.5438239306071163E-2</v>
      </c>
      <c r="F241" s="13">
        <v>-0.30788294358085805</v>
      </c>
      <c r="G241" s="13">
        <v>0.7292099691014382</v>
      </c>
      <c r="H241" s="13">
        <v>0.77538703093313754</v>
      </c>
      <c r="I241" s="13">
        <v>-5.3839410519887915E-2</v>
      </c>
      <c r="J241" s="13">
        <v>0.88893795256087949</v>
      </c>
      <c r="K241" s="13">
        <v>0.10307482687918271</v>
      </c>
    </row>
    <row r="242" spans="1:11" x14ac:dyDescent="0.25">
      <c r="A242" s="14">
        <v>44774</v>
      </c>
      <c r="B242" s="18">
        <v>-1</v>
      </c>
      <c r="C242" s="19">
        <v>1</v>
      </c>
      <c r="D242" s="13">
        <v>0.75517346395038687</v>
      </c>
      <c r="E242" s="13">
        <v>0.16143391700793319</v>
      </c>
      <c r="F242" s="13">
        <v>-0.30788294358085805</v>
      </c>
      <c r="G242" s="13">
        <v>0.71889495553315486</v>
      </c>
      <c r="H242" s="13">
        <v>0.77897289285483351</v>
      </c>
      <c r="I242" s="13">
        <v>-5.3839410519887915E-2</v>
      </c>
      <c r="J242" s="13">
        <v>0.8953312149844177</v>
      </c>
      <c r="K242" s="13">
        <v>0.10307482687918271</v>
      </c>
    </row>
    <row r="243" spans="1:11" x14ac:dyDescent="0.25">
      <c r="A243" s="14">
        <v>44805</v>
      </c>
      <c r="B243" s="18">
        <v>-1</v>
      </c>
      <c r="C243" s="19">
        <v>1</v>
      </c>
      <c r="D243" s="13">
        <v>0.75517346395038687</v>
      </c>
      <c r="E243" s="13">
        <v>0.2080378766657478</v>
      </c>
      <c r="F243" s="13">
        <v>-0.30788294358085805</v>
      </c>
      <c r="G243" s="13">
        <v>0.69174173699223029</v>
      </c>
      <c r="H243" s="13">
        <v>0.79204562634363351</v>
      </c>
      <c r="I243" s="13">
        <v>-5.3839410519887915E-2</v>
      </c>
      <c r="J243" s="13">
        <v>0.92786702580316949</v>
      </c>
      <c r="K243" s="13">
        <v>0.10307482687918271</v>
      </c>
    </row>
    <row r="244" spans="1:11" x14ac:dyDescent="0.25">
      <c r="A244" s="14">
        <v>44835</v>
      </c>
      <c r="B244" s="18">
        <v>-1</v>
      </c>
      <c r="C244" s="19">
        <v>1</v>
      </c>
      <c r="D244" s="13">
        <v>0.75517346395038687</v>
      </c>
      <c r="E244" s="13">
        <v>0.17668762814778083</v>
      </c>
      <c r="F244" s="13">
        <v>-0.30788294358085805</v>
      </c>
      <c r="G244" s="13">
        <v>0.72280887239565439</v>
      </c>
      <c r="H244" s="13">
        <v>0.80763009192916502</v>
      </c>
      <c r="I244" s="13">
        <v>-5.3839410519887915E-2</v>
      </c>
      <c r="J244" s="13">
        <v>0.93983590391747796</v>
      </c>
      <c r="K244" s="13">
        <v>0.10307482687918271</v>
      </c>
    </row>
    <row r="245" spans="1:11" x14ac:dyDescent="0.25">
      <c r="A245" s="14">
        <v>44866</v>
      </c>
      <c r="B245" s="18">
        <v>1</v>
      </c>
      <c r="C245" s="19">
        <v>1</v>
      </c>
      <c r="D245" s="13">
        <v>0.78780885490019381</v>
      </c>
      <c r="E245" s="13">
        <v>0.17668762814778083</v>
      </c>
      <c r="F245" s="13">
        <v>-0.33421711508443397</v>
      </c>
      <c r="G245" s="13">
        <v>0.72280887239565439</v>
      </c>
      <c r="H245" s="13">
        <v>0.79128870820798447</v>
      </c>
      <c r="I245" s="13">
        <v>-5.3839410519887915E-2</v>
      </c>
      <c r="J245" s="13">
        <v>0.96726480008326488</v>
      </c>
      <c r="K245" s="13">
        <v>0.10307482687918271</v>
      </c>
    </row>
    <row r="246" spans="1:11" x14ac:dyDescent="0.25">
      <c r="A246" s="14">
        <v>44896</v>
      </c>
      <c r="B246" s="18">
        <v>1</v>
      </c>
      <c r="C246" s="19">
        <v>-1</v>
      </c>
      <c r="D246" s="13">
        <v>0.77792149846333036</v>
      </c>
      <c r="E246" s="13">
        <v>0.17668762814778083</v>
      </c>
      <c r="F246" s="13">
        <v>-0.29347538744798629</v>
      </c>
      <c r="G246" s="13">
        <v>0.72280887239565439</v>
      </c>
      <c r="H246" s="13">
        <v>0.79128870820798447</v>
      </c>
      <c r="I246" s="13">
        <v>-1.7573460143639121E-2</v>
      </c>
      <c r="J246" s="13">
        <v>0.96726480008326488</v>
      </c>
      <c r="K246" s="13">
        <v>0.16899921077652119</v>
      </c>
    </row>
    <row r="247" spans="1:11" x14ac:dyDescent="0.25">
      <c r="A247" s="14">
        <v>44927</v>
      </c>
      <c r="B247" s="18">
        <v>1</v>
      </c>
      <c r="C247" s="19">
        <v>-1</v>
      </c>
      <c r="D247" s="13">
        <v>0.79349183081231189</v>
      </c>
      <c r="E247" s="13">
        <v>0.17668762814778083</v>
      </c>
      <c r="F247" s="13">
        <v>-0.29300880134164758</v>
      </c>
      <c r="G247" s="13">
        <v>0.72280887239565439</v>
      </c>
      <c r="H247" s="13">
        <v>0.79128870820798447</v>
      </c>
      <c r="I247" s="13">
        <v>-3.1672265993902111E-2</v>
      </c>
      <c r="J247" s="13">
        <v>0.96726480008326488</v>
      </c>
      <c r="K247" s="13">
        <v>0.22922229822161344</v>
      </c>
    </row>
    <row r="248" spans="1:11" x14ac:dyDescent="0.25">
      <c r="A248" s="14">
        <v>44958</v>
      </c>
      <c r="B248" s="18">
        <v>-1</v>
      </c>
      <c r="C248" s="19">
        <v>-1</v>
      </c>
      <c r="D248" s="13">
        <v>0.79349183081231189</v>
      </c>
      <c r="E248" s="13">
        <v>0.1824250120648673</v>
      </c>
      <c r="F248" s="13">
        <v>-0.29300880134164758</v>
      </c>
      <c r="G248" s="13">
        <v>0.72674936037608062</v>
      </c>
      <c r="H248" s="13">
        <v>0.79128870820798447</v>
      </c>
      <c r="I248" s="13">
        <v>-5.2873815455617791E-2</v>
      </c>
      <c r="J248" s="13">
        <v>0.96726480008326488</v>
      </c>
      <c r="K248" s="13">
        <v>0.2119070711970614</v>
      </c>
    </row>
    <row r="249" spans="1:11" x14ac:dyDescent="0.25">
      <c r="A249" s="14">
        <v>44986</v>
      </c>
      <c r="B249" s="18">
        <v>1</v>
      </c>
      <c r="C249" s="19">
        <v>1</v>
      </c>
      <c r="D249" s="13">
        <v>0.81942430925280074</v>
      </c>
      <c r="E249" s="13">
        <v>0.1824250120648673</v>
      </c>
      <c r="F249" s="13">
        <v>-0.30597185413204525</v>
      </c>
      <c r="G249" s="13">
        <v>0.72674936037608062</v>
      </c>
      <c r="H249" s="13">
        <v>0.79634826611642162</v>
      </c>
      <c r="I249" s="13">
        <v>-5.2873815455617791E-2</v>
      </c>
      <c r="J249" s="13">
        <v>0.96470571227060231</v>
      </c>
      <c r="K249" s="13">
        <v>0.2119070711970614</v>
      </c>
    </row>
    <row r="250" spans="1:11" x14ac:dyDescent="0.25">
      <c r="A250" s="14">
        <v>45017</v>
      </c>
      <c r="B250" s="18">
        <v>-1</v>
      </c>
      <c r="C250" s="19">
        <v>-1</v>
      </c>
      <c r="D250" s="13">
        <v>0.81942430925280074</v>
      </c>
      <c r="E250" s="13">
        <v>0.17445934401878338</v>
      </c>
      <c r="F250" s="13">
        <v>-0.30597185413204525</v>
      </c>
      <c r="G250" s="13">
        <v>0.73666113725233218</v>
      </c>
      <c r="H250" s="13">
        <v>0.79634826611642162</v>
      </c>
      <c r="I250" s="13">
        <v>-5.3411050766310149E-2</v>
      </c>
      <c r="J250" s="13">
        <v>0.96470571227060231</v>
      </c>
      <c r="K250" s="13">
        <v>0.21828640440923947</v>
      </c>
    </row>
    <row r="251" spans="1:11" x14ac:dyDescent="0.25">
      <c r="A251" s="14">
        <v>45047</v>
      </c>
      <c r="B251" s="18">
        <v>-1</v>
      </c>
      <c r="C251" s="19">
        <v>1</v>
      </c>
      <c r="D251" s="13">
        <v>0.81942430925280074</v>
      </c>
      <c r="E251" s="13">
        <v>0.17630032163629589</v>
      </c>
      <c r="F251" s="13">
        <v>-0.30597185413204525</v>
      </c>
      <c r="G251" s="13">
        <v>0.75518281093464479</v>
      </c>
      <c r="H251" s="13">
        <v>0.78838259807033761</v>
      </c>
      <c r="I251" s="13">
        <v>-5.3411050766310149E-2</v>
      </c>
      <c r="J251" s="13">
        <v>0.97704236454355464</v>
      </c>
      <c r="K251" s="13">
        <v>0.21828640440923947</v>
      </c>
    </row>
    <row r="252" spans="1:11" x14ac:dyDescent="0.25">
      <c r="A252" s="14">
        <v>45078</v>
      </c>
      <c r="B252" s="18">
        <v>-1</v>
      </c>
      <c r="C252" s="19">
        <v>1</v>
      </c>
      <c r="D252" s="13">
        <v>0.81942430925280074</v>
      </c>
      <c r="E252" s="13">
        <v>0.16091003952198238</v>
      </c>
      <c r="F252" s="13">
        <v>-0.30597185413204525</v>
      </c>
      <c r="G252" s="13">
        <v>0.76132176206580027</v>
      </c>
      <c r="H252" s="13">
        <v>0.80898962287711285</v>
      </c>
      <c r="I252" s="13">
        <v>-5.3411050766310149E-2</v>
      </c>
      <c r="J252" s="13">
        <v>0.99508843001145619</v>
      </c>
      <c r="K252" s="13">
        <v>0.21828640440923947</v>
      </c>
    </row>
    <row r="253" spans="1:11" x14ac:dyDescent="0.25">
      <c r="A253" s="14">
        <v>45108</v>
      </c>
      <c r="B253" s="18">
        <v>-1</v>
      </c>
      <c r="C253" s="19">
        <v>1</v>
      </c>
      <c r="D253" s="13">
        <v>0.81942430925280074</v>
      </c>
      <c r="E253" s="13">
        <v>0.15303698097489046</v>
      </c>
      <c r="F253" s="13">
        <v>-0.30597185413204525</v>
      </c>
      <c r="G253" s="13">
        <v>0.74831350081761505</v>
      </c>
      <c r="H253" s="13">
        <v>0.80078975168169697</v>
      </c>
      <c r="I253" s="13">
        <v>-5.3411050766310149E-2</v>
      </c>
      <c r="J253" s="13">
        <v>1.0292916583797309</v>
      </c>
      <c r="K253" s="13">
        <v>0.21828640440923947</v>
      </c>
    </row>
    <row r="254" spans="1:11" x14ac:dyDescent="0.25">
      <c r="A254" s="14">
        <v>45139</v>
      </c>
      <c r="B254" s="18">
        <v>-1</v>
      </c>
      <c r="C254" s="19">
        <v>1</v>
      </c>
      <c r="D254" s="13">
        <v>0.81942430925280074</v>
      </c>
      <c r="E254" s="13">
        <v>0.1282855905606882</v>
      </c>
      <c r="F254" s="13">
        <v>-0.30597185413204525</v>
      </c>
      <c r="G254" s="13">
        <v>0.79188140793453377</v>
      </c>
      <c r="H254" s="13">
        <v>0.78520320403263533</v>
      </c>
      <c r="I254" s="13">
        <v>-5.3411050766310149E-2</v>
      </c>
      <c r="J254" s="13">
        <v>1.0722459286735755</v>
      </c>
      <c r="K254" s="13">
        <v>0.21828640440923947</v>
      </c>
    </row>
    <row r="255" spans="1:11" x14ac:dyDescent="0.25">
      <c r="A255" s="14">
        <v>45170</v>
      </c>
      <c r="B255" s="18">
        <v>-1</v>
      </c>
      <c r="C255" s="19">
        <v>1</v>
      </c>
      <c r="D255" s="13">
        <v>0.81942430925280074</v>
      </c>
      <c r="E255" s="13">
        <v>0.13513954787044477</v>
      </c>
      <c r="F255" s="13">
        <v>-0.30597185413204525</v>
      </c>
      <c r="G255" s="13">
        <v>0.7614550589869149</v>
      </c>
      <c r="H255" s="13">
        <v>0.77442028706427379</v>
      </c>
      <c r="I255" s="13">
        <v>-5.3411050766310149E-2</v>
      </c>
      <c r="J255" s="13">
        <v>1.0930204339045717</v>
      </c>
      <c r="K255" s="13">
        <v>0.21828640440923947</v>
      </c>
    </row>
    <row r="256" spans="1:11" x14ac:dyDescent="0.25">
      <c r="A256" s="14">
        <v>45200</v>
      </c>
      <c r="B256" s="18">
        <v>-1</v>
      </c>
      <c r="C256" s="19">
        <v>1</v>
      </c>
      <c r="D256" s="13">
        <v>0.81942430925280074</v>
      </c>
      <c r="E256" s="13">
        <v>0.14226366870259297</v>
      </c>
      <c r="F256" s="13">
        <v>-0.30597185413204525</v>
      </c>
      <c r="G256" s="13">
        <v>0.76553122930418205</v>
      </c>
      <c r="H256" s="13">
        <v>0.77922765867465527</v>
      </c>
      <c r="I256" s="13">
        <v>-5.3411050766310149E-2</v>
      </c>
      <c r="J256" s="13">
        <v>1.134827948234491</v>
      </c>
      <c r="K256" s="13">
        <v>0.21828640440923947</v>
      </c>
    </row>
    <row r="257" spans="1:11" x14ac:dyDescent="0.25">
      <c r="A257" s="14">
        <v>45231</v>
      </c>
      <c r="B257" s="18">
        <v>1</v>
      </c>
      <c r="C257" s="19">
        <v>1</v>
      </c>
      <c r="D257" s="13">
        <v>0.82630608350094126</v>
      </c>
      <c r="E257" s="13">
        <v>0.14226366870259297</v>
      </c>
      <c r="F257" s="13">
        <v>-0.31706456616425882</v>
      </c>
      <c r="G257" s="13">
        <v>0.76553122930418205</v>
      </c>
      <c r="H257" s="13">
        <v>0.8230408659545696</v>
      </c>
      <c r="I257" s="13">
        <v>-5.3411050766310149E-2</v>
      </c>
      <c r="J257" s="13">
        <v>1.0791857746760019</v>
      </c>
      <c r="K257" s="13">
        <v>0.21828640440923947</v>
      </c>
    </row>
    <row r="258" spans="1:11" x14ac:dyDescent="0.25">
      <c r="A258" s="14">
        <v>45261</v>
      </c>
      <c r="B258" s="18">
        <v>1</v>
      </c>
      <c r="C258" s="19">
        <v>-1</v>
      </c>
      <c r="D258" s="13">
        <v>0.83181237374159034</v>
      </c>
      <c r="E258" s="13">
        <v>0.14226366870259297</v>
      </c>
      <c r="F258" s="13">
        <v>-0.3165590519472104</v>
      </c>
      <c r="G258" s="13">
        <v>0.76553122930418205</v>
      </c>
      <c r="H258" s="13">
        <v>0.8230408659545696</v>
      </c>
      <c r="I258" s="13">
        <v>-5.7412689746487784E-2</v>
      </c>
      <c r="J258" s="13">
        <v>1.0791857746760019</v>
      </c>
      <c r="K258" s="13">
        <v>0.26169269079366486</v>
      </c>
    </row>
    <row r="259" spans="1:11" x14ac:dyDescent="0.25">
      <c r="A259" s="14">
        <v>45292</v>
      </c>
      <c r="B259" s="18">
        <v>-1</v>
      </c>
      <c r="C259" s="19">
        <v>-1</v>
      </c>
      <c r="D259" s="13">
        <v>0.83181237374159034</v>
      </c>
      <c r="E259" s="13">
        <v>0.14635558256202513</v>
      </c>
      <c r="F259" s="13">
        <v>-0.3165590519472104</v>
      </c>
      <c r="G259" s="13">
        <v>0.79450059851641797</v>
      </c>
      <c r="H259" s="13">
        <v>0.8230408659545696</v>
      </c>
      <c r="I259" s="13">
        <v>-5.5917826137733655E-2</v>
      </c>
      <c r="J259" s="13">
        <v>1.0791857746760019</v>
      </c>
      <c r="K259" s="13">
        <v>0.24496775676591592</v>
      </c>
    </row>
    <row r="260" spans="1:11" x14ac:dyDescent="0.25">
      <c r="A260" s="14">
        <v>45323</v>
      </c>
      <c r="B260" s="18">
        <v>-1</v>
      </c>
      <c r="C260" s="19">
        <v>1</v>
      </c>
      <c r="D260" s="13">
        <v>0.83181237374159034</v>
      </c>
      <c r="E260" s="13">
        <v>0.14521345855527157</v>
      </c>
      <c r="F260" s="13">
        <v>-0.3165590519472104</v>
      </c>
      <c r="G260" s="13">
        <v>0.81109500751705377</v>
      </c>
      <c r="H260" s="13">
        <v>0.85407356743078022</v>
      </c>
      <c r="I260" s="13">
        <v>-5.5917826137733655E-2</v>
      </c>
      <c r="J260" s="13">
        <v>1.097621411854927</v>
      </c>
      <c r="K260" s="13">
        <v>0.24496775676591592</v>
      </c>
    </row>
    <row r="261" spans="1:11" x14ac:dyDescent="0.25">
      <c r="A261" s="14">
        <v>45352</v>
      </c>
      <c r="B261" s="18">
        <v>-1</v>
      </c>
      <c r="C261" s="19">
        <v>1</v>
      </c>
      <c r="D261" s="13">
        <v>0.83181237374159034</v>
      </c>
      <c r="E261" s="13">
        <v>0.14354863317101735</v>
      </c>
      <c r="F261" s="13">
        <v>-0.3165590519472104</v>
      </c>
      <c r="G261" s="13">
        <v>0.82739701057558879</v>
      </c>
      <c r="H261" s="13">
        <v>0.86723262638189269</v>
      </c>
      <c r="I261" s="13">
        <v>-5.5917826137733655E-2</v>
      </c>
      <c r="J261" s="13">
        <v>1.0763857638960439</v>
      </c>
      <c r="K261" s="13">
        <v>0.24496775676591592</v>
      </c>
    </row>
    <row r="262" spans="1:11" x14ac:dyDescent="0.25">
      <c r="A262" s="14">
        <v>45383</v>
      </c>
      <c r="B262" s="18">
        <v>-1</v>
      </c>
      <c r="C262" s="19">
        <v>1</v>
      </c>
      <c r="D262" s="13">
        <v>0.83181237374159034</v>
      </c>
      <c r="E262" s="13">
        <v>0.12986922076663918</v>
      </c>
      <c r="F262" s="13">
        <v>-0.3165590519472104</v>
      </c>
      <c r="G262" s="13">
        <v>0.81691036119967197</v>
      </c>
      <c r="H262" s="13">
        <v>0.85832217407498035</v>
      </c>
      <c r="I262" s="13">
        <v>-5.5917826137733655E-2</v>
      </c>
      <c r="J262" s="13">
        <v>1.1078156971499356</v>
      </c>
      <c r="K262" s="13">
        <v>0.24496775676591592</v>
      </c>
    </row>
    <row r="263" spans="1:11" x14ac:dyDescent="0.25">
      <c r="A263" s="14">
        <v>45413</v>
      </c>
      <c r="B263" s="18">
        <v>-1</v>
      </c>
      <c r="C263" s="19">
        <v>1</v>
      </c>
      <c r="D263" s="13">
        <v>0.83181237374159034</v>
      </c>
      <c r="E263" s="13">
        <v>0.13740678511808144</v>
      </c>
      <c r="F263" s="13">
        <v>-0.3165590519472104</v>
      </c>
      <c r="G263" s="13">
        <v>0.80438546076998063</v>
      </c>
      <c r="H263" s="13">
        <v>0.88807534758869455</v>
      </c>
      <c r="I263" s="13">
        <v>-5.5917826137733655E-2</v>
      </c>
      <c r="J263" s="13">
        <v>1.076153779333211</v>
      </c>
      <c r="K263" s="13">
        <v>0.24496775676591592</v>
      </c>
    </row>
    <row r="264" spans="1:11" x14ac:dyDescent="0.25">
      <c r="A264" s="14">
        <v>45444</v>
      </c>
      <c r="B264" s="18">
        <v>1</v>
      </c>
      <c r="C264" s="19">
        <v>1</v>
      </c>
      <c r="D264" s="13">
        <v>0.8345355646599677</v>
      </c>
      <c r="E264" s="13">
        <v>0.13740678511808144</v>
      </c>
      <c r="F264" s="13">
        <v>-0.28904817545171074</v>
      </c>
      <c r="G264" s="13">
        <v>0.80438546076998063</v>
      </c>
      <c r="H264" s="13">
        <v>0.90058765198062862</v>
      </c>
      <c r="I264" s="13">
        <v>-5.5917826137733655E-2</v>
      </c>
      <c r="J264" s="13">
        <v>1.061201015737347</v>
      </c>
      <c r="K264" s="13">
        <v>0.24496775676591592</v>
      </c>
    </row>
    <row r="265" spans="1:11" x14ac:dyDescent="0.25">
      <c r="A265" s="14">
        <v>45474</v>
      </c>
      <c r="B265" s="18">
        <v>-1</v>
      </c>
      <c r="C265" s="19">
        <v>-1</v>
      </c>
      <c r="D265" s="13">
        <v>0.8345355646599677</v>
      </c>
      <c r="E265" s="13">
        <v>0.14435419265115959</v>
      </c>
      <c r="F265" s="13">
        <v>-0.28904817545171074</v>
      </c>
      <c r="G265" s="13">
        <v>0.82743119360129158</v>
      </c>
      <c r="H265" s="13">
        <v>0.90058765198062862</v>
      </c>
      <c r="I265" s="13">
        <v>-7.6036869697170661E-2</v>
      </c>
      <c r="J265" s="13">
        <v>1.061201015737347</v>
      </c>
      <c r="K265" s="13">
        <v>0.25876480622618903</v>
      </c>
    </row>
    <row r="266" spans="1:11" x14ac:dyDescent="0.25">
      <c r="A266" s="14">
        <v>45505</v>
      </c>
      <c r="B266" s="18">
        <v>1</v>
      </c>
      <c r="C266" s="19">
        <v>1</v>
      </c>
      <c r="D266" s="13">
        <v>0.83997882417709968</v>
      </c>
      <c r="E266" s="13">
        <v>0.14435419265115959</v>
      </c>
      <c r="F266" s="13">
        <v>-0.2660986435523951</v>
      </c>
      <c r="G266" s="13">
        <v>0.82743119360129158</v>
      </c>
      <c r="H266" s="13">
        <v>0.84044624880971264</v>
      </c>
      <c r="I266" s="13">
        <v>-7.6036869697170661E-2</v>
      </c>
      <c r="J266" s="13">
        <v>1.0463375943591098</v>
      </c>
      <c r="K266" s="13">
        <v>0.25876480622618903</v>
      </c>
    </row>
    <row r="267" spans="1:11" x14ac:dyDescent="0.25">
      <c r="A267" s="14">
        <v>45536</v>
      </c>
      <c r="B267" s="18">
        <v>1</v>
      </c>
      <c r="C267" s="19">
        <v>-1</v>
      </c>
      <c r="D267" s="13">
        <v>0.84713296129742166</v>
      </c>
      <c r="E267" s="13">
        <v>0.14435419265115959</v>
      </c>
      <c r="F267" s="13">
        <v>-0.26030505503328794</v>
      </c>
      <c r="G267" s="13">
        <v>0.82743119360129158</v>
      </c>
      <c r="H267" s="13">
        <v>0.84044624880971264</v>
      </c>
      <c r="I267" s="13">
        <v>-4.4919856052250323E-2</v>
      </c>
      <c r="J267" s="13">
        <v>1.0463375943591098</v>
      </c>
      <c r="K267" s="13">
        <v>0.29764477434251158</v>
      </c>
    </row>
    <row r="268" spans="1:11" x14ac:dyDescent="0.25">
      <c r="A268" s="14">
        <v>45566</v>
      </c>
      <c r="B268" s="18">
        <v>-1</v>
      </c>
      <c r="C268" s="19">
        <v>-1</v>
      </c>
      <c r="D268" s="13">
        <v>0.84713296129742166</v>
      </c>
      <c r="E268" s="13">
        <v>0.17037377241556623</v>
      </c>
      <c r="F268" s="13">
        <v>-0.26030505503328794</v>
      </c>
      <c r="G268" s="13">
        <v>0.82981368832496216</v>
      </c>
      <c r="H268" s="13">
        <v>0.84044624880971264</v>
      </c>
      <c r="I268" s="13">
        <v>-3.447771603211755E-2</v>
      </c>
      <c r="J268" s="13">
        <v>1.0463375943591098</v>
      </c>
      <c r="K268" s="13">
        <v>0.26696969142510324</v>
      </c>
    </row>
    <row r="269" spans="1:11" x14ac:dyDescent="0.25">
      <c r="A269" s="14">
        <v>45597</v>
      </c>
      <c r="B269" s="18">
        <v>-1</v>
      </c>
      <c r="C269" s="19">
        <v>1</v>
      </c>
      <c r="D269" s="13">
        <v>0.84713296129742166</v>
      </c>
      <c r="E269" s="13">
        <v>0.1555268229940899</v>
      </c>
      <c r="F269" s="13">
        <v>-0.26030505503328794</v>
      </c>
      <c r="G269" s="13">
        <v>0.8692089077838463</v>
      </c>
      <c r="H269" s="13">
        <v>0.88678476881850121</v>
      </c>
      <c r="I269" s="13">
        <v>-3.447771603211755E-2</v>
      </c>
      <c r="J269" s="13">
        <v>1.0551565884479734</v>
      </c>
      <c r="K269" s="13">
        <v>0.26696969142510324</v>
      </c>
    </row>
    <row r="270" spans="1:11" x14ac:dyDescent="0.25">
      <c r="A270" s="14">
        <v>45627</v>
      </c>
      <c r="B270" s="18">
        <v>-1</v>
      </c>
      <c r="C270" s="19">
        <v>1</v>
      </c>
      <c r="D270" s="13">
        <v>0.84713296129742166</v>
      </c>
      <c r="E270" s="13">
        <v>0.16414035397264909</v>
      </c>
      <c r="F270" s="13">
        <v>-0.26030505503328794</v>
      </c>
      <c r="G270" s="13">
        <v>0.85804966060829757</v>
      </c>
      <c r="H270" s="13">
        <v>0.89547647857153401</v>
      </c>
      <c r="I270" s="13">
        <v>-3.447771603211755E-2</v>
      </c>
      <c r="J270" s="13">
        <v>1.0472323313895491</v>
      </c>
      <c r="K270" s="13">
        <v>0.26696969142510324</v>
      </c>
    </row>
    <row r="271" spans="1:11" x14ac:dyDescent="0.25">
      <c r="A271" s="14">
        <v>45658</v>
      </c>
      <c r="B271" s="18">
        <v>-1</v>
      </c>
      <c r="C271" s="19">
        <v>1</v>
      </c>
      <c r="D271" s="13">
        <v>0.84713296129742166</v>
      </c>
      <c r="E271" s="13">
        <v>0.17430746719997761</v>
      </c>
      <c r="F271" s="13">
        <v>-0.26030505503328794</v>
      </c>
      <c r="G271" s="13">
        <v>0.86422188403728295</v>
      </c>
      <c r="H271" s="13">
        <v>0.9012778636905745</v>
      </c>
      <c r="I271" s="13">
        <v>-3.447771603211755E-2</v>
      </c>
      <c r="J271" s="13">
        <v>1.0622303822788484</v>
      </c>
      <c r="K271" s="13">
        <v>0.26696969142510324</v>
      </c>
    </row>
    <row r="272" spans="1:11" x14ac:dyDescent="0.25">
      <c r="A272" s="14">
        <v>45689</v>
      </c>
      <c r="B272" s="18">
        <v>1</v>
      </c>
      <c r="C272" s="19">
        <v>1</v>
      </c>
      <c r="D272" s="13">
        <v>0.84204642796564255</v>
      </c>
      <c r="E272" s="13">
        <v>0.17430746719997761</v>
      </c>
      <c r="F272" s="13">
        <v>-0.28839252821344918</v>
      </c>
      <c r="G272" s="13">
        <v>0.86422188403728295</v>
      </c>
      <c r="H272" s="13">
        <v>0.89953173925925134</v>
      </c>
      <c r="I272" s="13">
        <v>-3.447771603211755E-2</v>
      </c>
      <c r="J272" s="13">
        <v>1.0416092865037883</v>
      </c>
      <c r="K272" s="13">
        <v>0.26696969142510324</v>
      </c>
    </row>
    <row r="273" spans="1:11" x14ac:dyDescent="0.25">
      <c r="A273" s="14">
        <v>45717</v>
      </c>
      <c r="B273" s="18">
        <v>1</v>
      </c>
      <c r="C273" s="19">
        <v>-1</v>
      </c>
      <c r="D273" s="13">
        <v>0.83387453089492025</v>
      </c>
      <c r="E273" s="13">
        <v>0.17430746719997761</v>
      </c>
      <c r="F273" s="13">
        <v>-0.29202444096446628</v>
      </c>
      <c r="G273" s="13">
        <v>0.86422188403728295</v>
      </c>
      <c r="H273" s="13">
        <v>0.89953173925925134</v>
      </c>
      <c r="I273" s="13">
        <v>-3.2642144511661544E-3</v>
      </c>
      <c r="J273" s="13">
        <v>1.0416092865037883</v>
      </c>
      <c r="K273" s="13">
        <v>0.24469168326587726</v>
      </c>
    </row>
    <row r="274" spans="1:11" x14ac:dyDescent="0.25">
      <c r="A274" s="14">
        <v>45748</v>
      </c>
      <c r="B274" s="18">
        <v>1</v>
      </c>
      <c r="C274" s="19">
        <v>-1</v>
      </c>
      <c r="D274" s="13">
        <v>0.88433860100186001</v>
      </c>
      <c r="E274" s="13">
        <v>0.17430746719997761</v>
      </c>
      <c r="F274" s="13">
        <v>-0.32601459077893985</v>
      </c>
      <c r="G274" s="13">
        <v>0.86422188403728295</v>
      </c>
      <c r="H274" s="13">
        <v>0.89953173925925134</v>
      </c>
      <c r="I274" s="13">
        <v>0.10025270990303967</v>
      </c>
      <c r="J274" s="13">
        <v>1.0416092865037883</v>
      </c>
      <c r="K274" s="13">
        <v>0.23745521084502844</v>
      </c>
    </row>
    <row r="275" spans="1:11" x14ac:dyDescent="0.25">
      <c r="A275" s="14">
        <v>45778</v>
      </c>
      <c r="B275" s="18">
        <v>-1</v>
      </c>
      <c r="C275" s="19">
        <v>-1</v>
      </c>
      <c r="D275" s="13">
        <v>0.88433860100186001</v>
      </c>
      <c r="E275" s="13">
        <v>0.16316629697900722</v>
      </c>
      <c r="F275" s="13">
        <v>-0.32601459077893985</v>
      </c>
      <c r="G275" s="13">
        <v>0.89136013601500674</v>
      </c>
      <c r="H275" s="13">
        <v>0.89953173925925134</v>
      </c>
      <c r="I275" s="13">
        <v>8.8403404280670589E-2</v>
      </c>
      <c r="J275" s="13">
        <v>1.0416092865037883</v>
      </c>
      <c r="K275" s="13">
        <v>0.22342445753626078</v>
      </c>
    </row>
    <row r="276" spans="1:11" x14ac:dyDescent="0.25">
      <c r="A276" s="14">
        <v>45809</v>
      </c>
      <c r="B276" s="18">
        <v>-1</v>
      </c>
      <c r="C276" s="19">
        <v>1</v>
      </c>
      <c r="D276" s="13">
        <v>0.88433860100186001</v>
      </c>
      <c r="E276" s="13">
        <v>0.13410029159464176</v>
      </c>
      <c r="F276" s="13">
        <v>-0.32601459077893985</v>
      </c>
      <c r="G276" s="13">
        <v>0.90827292870463228</v>
      </c>
      <c r="H276" s="13">
        <v>0.91593891344710043</v>
      </c>
      <c r="I276" s="13">
        <v>8.8403404280670589E-2</v>
      </c>
      <c r="J276" s="13">
        <v>1.0487309618136214</v>
      </c>
      <c r="K276" s="13">
        <v>0.22342445753626078</v>
      </c>
    </row>
    <row r="277" spans="1:11" x14ac:dyDescent="0.25">
      <c r="A277" s="14">
        <v>45839</v>
      </c>
      <c r="B277" s="18">
        <v>-1</v>
      </c>
      <c r="C277" s="19">
        <v>1</v>
      </c>
      <c r="D277" s="13">
        <v>0.88433860100186001</v>
      </c>
      <c r="E277" s="13">
        <v>0.12899292925919745</v>
      </c>
      <c r="F277" s="13">
        <v>-0.32601459077893985</v>
      </c>
      <c r="G277" s="13">
        <v>0.91288547025785693</v>
      </c>
      <c r="H277" s="13">
        <v>0.91996100152963511</v>
      </c>
      <c r="I277" s="13">
        <v>8.8403404280670589E-2</v>
      </c>
      <c r="J277" s="13">
        <v>1.0704848711954147</v>
      </c>
      <c r="K277" s="13">
        <v>0.22342445753626078</v>
      </c>
    </row>
    <row r="278" spans="1:11" ht="15.75" thickBot="1" x14ac:dyDescent="0.3">
      <c r="A278" s="20">
        <v>45870</v>
      </c>
      <c r="B278" s="18">
        <v>-1</v>
      </c>
      <c r="C278" s="19">
        <v>1</v>
      </c>
      <c r="D278" s="13">
        <v>0.88433860100186001</v>
      </c>
      <c r="E278" s="13">
        <v>0.12899292925919745</v>
      </c>
      <c r="F278" s="13">
        <v>-0.32601459077893985</v>
      </c>
      <c r="G278" s="13">
        <v>0.91288547025785693</v>
      </c>
      <c r="H278" s="13">
        <v>0.92022989162776381</v>
      </c>
      <c r="I278" s="13">
        <v>8.8403404280670589E-2</v>
      </c>
      <c r="J278" s="13">
        <v>1.0580778772469701</v>
      </c>
      <c r="K278" s="13">
        <v>0.22342445753626078</v>
      </c>
    </row>
    <row r="279" spans="1:11" x14ac:dyDescent="0.25">
      <c r="A279" s="24">
        <v>45901</v>
      </c>
      <c r="B279" s="18">
        <v>-1</v>
      </c>
      <c r="C279" s="19">
        <v>1</v>
      </c>
      <c r="D279" s="13">
        <v>0.88433860100186001</v>
      </c>
      <c r="E279" s="13">
        <v>0.12992492925919744</v>
      </c>
      <c r="F279" s="13">
        <v>-0.32601459077893985</v>
      </c>
      <c r="G279" s="13">
        <v>0.92048047025785695</v>
      </c>
      <c r="H279" s="13">
        <v>0.92615689162776382</v>
      </c>
      <c r="I279" s="13">
        <v>8.8403404280670589E-2</v>
      </c>
      <c r="J279" s="13">
        <v>1.0183468772469702</v>
      </c>
      <c r="K279" s="13">
        <v>0.22342445753626078</v>
      </c>
    </row>
    <row r="280" spans="1:11" x14ac:dyDescent="0.25">
      <c r="A280" s="24">
        <v>45931</v>
      </c>
      <c r="B280" s="18">
        <v>1</v>
      </c>
      <c r="C280" s="19">
        <v>1</v>
      </c>
      <c r="D280" s="13">
        <v>0.90817660100186004</v>
      </c>
      <c r="E280" s="13">
        <v>0.12992492925919744</v>
      </c>
      <c r="F280" s="13">
        <v>-0.31615859077893987</v>
      </c>
      <c r="G280" s="13">
        <v>0.92048047025785695</v>
      </c>
      <c r="H280" s="13">
        <v>0.93057989162776378</v>
      </c>
      <c r="I280" s="13">
        <v>8.8403404280670589E-2</v>
      </c>
      <c r="J280" s="13">
        <v>1.0169428772469702</v>
      </c>
      <c r="K280" s="13">
        <v>0.22342445753626078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B7CC-96A1-468E-B489-445CAF08D23C}">
  <dimension ref="A1:K288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8" sqref="K8"/>
    </sheetView>
  </sheetViews>
  <sheetFormatPr defaultRowHeight="15" x14ac:dyDescent="0.25"/>
  <cols>
    <col min="1" max="1" width="11.85546875" bestFit="1" customWidth="1"/>
    <col min="2" max="2" width="19.28515625" style="34" bestFit="1" customWidth="1"/>
    <col min="3" max="3" width="19" style="34" bestFit="1" customWidth="1"/>
    <col min="4" max="4" width="19.85546875" bestFit="1" customWidth="1"/>
    <col min="5" max="5" width="19.5703125" bestFit="1" customWidth="1"/>
    <col min="7" max="7" width="7.7109375" bestFit="1" customWidth="1"/>
    <col min="8" max="8" width="8.7109375" bestFit="1" customWidth="1"/>
    <col min="11" max="11" width="64.7109375" bestFit="1" customWidth="1"/>
  </cols>
  <sheetData>
    <row r="1" spans="1:8" ht="15.75" thickBot="1" x14ac:dyDescent="0.3">
      <c r="A1" s="1" t="s">
        <v>0</v>
      </c>
      <c r="B1" s="29" t="s">
        <v>31</v>
      </c>
      <c r="C1" s="29" t="s">
        <v>32</v>
      </c>
      <c r="D1" s="1" t="s">
        <v>33</v>
      </c>
      <c r="E1" s="1" t="s">
        <v>34</v>
      </c>
      <c r="G1" t="s">
        <v>26</v>
      </c>
      <c r="H1" t="s">
        <v>27</v>
      </c>
    </row>
    <row r="2" spans="1:8" x14ac:dyDescent="0.25">
      <c r="A2" s="7">
        <v>37469</v>
      </c>
      <c r="B2" s="30">
        <v>-1</v>
      </c>
      <c r="C2" s="31">
        <v>0</v>
      </c>
      <c r="D2" s="35">
        <v>-1</v>
      </c>
      <c r="E2" s="35">
        <v>0</v>
      </c>
      <c r="G2">
        <f>Table256[[#This Row],[signal_eom (xl)]]-Table256[[#This Row],[signal_eom (py)]]</f>
        <v>0</v>
      </c>
      <c r="H2">
        <f>Table256[[#This Row],[signal_som (xl)]]-Table256[[#This Row],[signal_som (py)]]</f>
        <v>0</v>
      </c>
    </row>
    <row r="3" spans="1:8" x14ac:dyDescent="0.25">
      <c r="A3" s="14">
        <v>37500</v>
      </c>
      <c r="B3" s="32">
        <v>1</v>
      </c>
      <c r="C3" s="33">
        <v>1</v>
      </c>
      <c r="D3" s="35">
        <v>1</v>
      </c>
      <c r="E3" s="35">
        <v>-1</v>
      </c>
      <c r="G3">
        <f>Table256[[#This Row],[signal_eom (xl)]]-Table256[[#This Row],[signal_eom (py)]]</f>
        <v>0</v>
      </c>
      <c r="H3">
        <f>Table256[[#This Row],[signal_som (xl)]]-Table256[[#This Row],[signal_som (py)]]</f>
        <v>2</v>
      </c>
    </row>
    <row r="4" spans="1:8" x14ac:dyDescent="0.25">
      <c r="A4" s="14">
        <v>37530</v>
      </c>
      <c r="B4" s="32">
        <v>-1</v>
      </c>
      <c r="C4" s="33">
        <v>-1</v>
      </c>
      <c r="D4" s="35">
        <v>-1</v>
      </c>
      <c r="E4" s="35">
        <v>1</v>
      </c>
      <c r="G4">
        <f>Table256[[#This Row],[signal_eom (xl)]]-Table256[[#This Row],[signal_eom (py)]]</f>
        <v>0</v>
      </c>
      <c r="H4">
        <f>Table256[[#This Row],[signal_som (xl)]]-Table256[[#This Row],[signal_som (py)]]</f>
        <v>-2</v>
      </c>
    </row>
    <row r="5" spans="1:8" x14ac:dyDescent="0.25">
      <c r="A5" s="14">
        <v>37561</v>
      </c>
      <c r="B5" s="32">
        <v>-1</v>
      </c>
      <c r="C5" s="33">
        <v>1</v>
      </c>
      <c r="D5" s="35">
        <v>-1</v>
      </c>
      <c r="E5" s="35">
        <v>1</v>
      </c>
      <c r="G5">
        <f>Table256[[#This Row],[signal_eom (xl)]]-Table256[[#This Row],[signal_eom (py)]]</f>
        <v>0</v>
      </c>
      <c r="H5">
        <f>Table256[[#This Row],[signal_som (xl)]]-Table256[[#This Row],[signal_som (py)]]</f>
        <v>0</v>
      </c>
    </row>
    <row r="6" spans="1:8" x14ac:dyDescent="0.25">
      <c r="A6" s="14">
        <v>37591</v>
      </c>
      <c r="B6" s="32">
        <v>1</v>
      </c>
      <c r="C6" s="33">
        <v>1</v>
      </c>
      <c r="D6" s="35">
        <v>1</v>
      </c>
      <c r="E6" s="35">
        <v>-1</v>
      </c>
      <c r="G6">
        <f>Table256[[#This Row],[signal_eom (xl)]]-Table256[[#This Row],[signal_eom (py)]]</f>
        <v>0</v>
      </c>
      <c r="H6">
        <f>Table256[[#This Row],[signal_som (xl)]]-Table256[[#This Row],[signal_som (py)]]</f>
        <v>2</v>
      </c>
    </row>
    <row r="7" spans="1:8" x14ac:dyDescent="0.25">
      <c r="A7" s="14">
        <v>37622</v>
      </c>
      <c r="B7" s="32">
        <v>-1</v>
      </c>
      <c r="C7" s="33">
        <v>-1</v>
      </c>
      <c r="D7" s="35">
        <v>-1</v>
      </c>
      <c r="E7" s="35">
        <v>1</v>
      </c>
      <c r="G7">
        <f>Table256[[#This Row],[signal_eom (xl)]]-Table256[[#This Row],[signal_eom (py)]]</f>
        <v>0</v>
      </c>
      <c r="H7">
        <f>Table256[[#This Row],[signal_som (xl)]]-Table256[[#This Row],[signal_som (py)]]</f>
        <v>-2</v>
      </c>
    </row>
    <row r="8" spans="1:8" x14ac:dyDescent="0.25">
      <c r="A8" s="14">
        <v>37653</v>
      </c>
      <c r="B8" s="32">
        <v>1</v>
      </c>
      <c r="C8" s="33">
        <v>1</v>
      </c>
      <c r="D8" s="35">
        <v>1</v>
      </c>
      <c r="E8" s="35">
        <v>-1</v>
      </c>
      <c r="G8">
        <f>Table256[[#This Row],[signal_eom (xl)]]-Table256[[#This Row],[signal_eom (py)]]</f>
        <v>0</v>
      </c>
      <c r="H8">
        <f>Table256[[#This Row],[signal_som (xl)]]-Table256[[#This Row],[signal_som (py)]]</f>
        <v>2</v>
      </c>
    </row>
    <row r="9" spans="1:8" x14ac:dyDescent="0.25">
      <c r="A9" s="14">
        <v>37681</v>
      </c>
      <c r="B9" s="32">
        <v>-1</v>
      </c>
      <c r="C9" s="33">
        <v>-1</v>
      </c>
      <c r="D9" s="35">
        <v>-1</v>
      </c>
      <c r="E9" s="35">
        <v>1</v>
      </c>
      <c r="G9">
        <f>Table256[[#This Row],[signal_eom (xl)]]-Table256[[#This Row],[signal_eom (py)]]</f>
        <v>0</v>
      </c>
      <c r="H9">
        <f>Table256[[#This Row],[signal_som (xl)]]-Table256[[#This Row],[signal_som (py)]]</f>
        <v>-2</v>
      </c>
    </row>
    <row r="10" spans="1:8" x14ac:dyDescent="0.25">
      <c r="A10" s="14">
        <v>37712</v>
      </c>
      <c r="B10" s="32">
        <v>-1</v>
      </c>
      <c r="C10" s="33">
        <v>1</v>
      </c>
      <c r="D10" s="35">
        <v>-1</v>
      </c>
      <c r="E10" s="35">
        <v>1</v>
      </c>
      <c r="G10">
        <f>Table256[[#This Row],[signal_eom (xl)]]-Table256[[#This Row],[signal_eom (py)]]</f>
        <v>0</v>
      </c>
      <c r="H10">
        <f>Table256[[#This Row],[signal_som (xl)]]-Table256[[#This Row],[signal_som (py)]]</f>
        <v>0</v>
      </c>
    </row>
    <row r="11" spans="1:8" x14ac:dyDescent="0.25">
      <c r="A11" s="14">
        <v>37742</v>
      </c>
      <c r="B11" s="32">
        <v>1</v>
      </c>
      <c r="C11" s="33">
        <v>1</v>
      </c>
      <c r="D11" s="35">
        <v>1</v>
      </c>
      <c r="E11" s="35">
        <v>-1</v>
      </c>
      <c r="G11">
        <f>Table256[[#This Row],[signal_eom (xl)]]-Table256[[#This Row],[signal_eom (py)]]</f>
        <v>0</v>
      </c>
      <c r="H11">
        <f>Table256[[#This Row],[signal_som (xl)]]-Table256[[#This Row],[signal_som (py)]]</f>
        <v>2</v>
      </c>
    </row>
    <row r="12" spans="1:8" x14ac:dyDescent="0.25">
      <c r="A12" s="14">
        <v>37773</v>
      </c>
      <c r="B12" s="32">
        <v>-1</v>
      </c>
      <c r="C12" s="33">
        <v>-1</v>
      </c>
      <c r="D12" s="35">
        <v>-1</v>
      </c>
      <c r="E12" s="35">
        <v>1</v>
      </c>
      <c r="G12">
        <f>Table256[[#This Row],[signal_eom (xl)]]-Table256[[#This Row],[signal_eom (py)]]</f>
        <v>0</v>
      </c>
      <c r="H12">
        <f>Table256[[#This Row],[signal_som (xl)]]-Table256[[#This Row],[signal_som (py)]]</f>
        <v>-2</v>
      </c>
    </row>
    <row r="13" spans="1:8" x14ac:dyDescent="0.25">
      <c r="A13" s="14">
        <v>37803</v>
      </c>
      <c r="B13" s="32">
        <v>-1</v>
      </c>
      <c r="C13" s="33">
        <v>1</v>
      </c>
      <c r="D13" s="35">
        <v>-1</v>
      </c>
      <c r="E13" s="35">
        <v>1</v>
      </c>
      <c r="G13">
        <f>Table256[[#This Row],[signal_eom (xl)]]-Table256[[#This Row],[signal_eom (py)]]</f>
        <v>0</v>
      </c>
      <c r="H13">
        <f>Table256[[#This Row],[signal_som (xl)]]-Table256[[#This Row],[signal_som (py)]]</f>
        <v>0</v>
      </c>
    </row>
    <row r="14" spans="1:8" x14ac:dyDescent="0.25">
      <c r="A14" s="14">
        <v>37834</v>
      </c>
      <c r="B14" s="32">
        <v>-1</v>
      </c>
      <c r="C14" s="33">
        <v>1</v>
      </c>
      <c r="D14" s="35">
        <v>-1</v>
      </c>
      <c r="E14" s="35">
        <v>1</v>
      </c>
      <c r="G14">
        <f>Table256[[#This Row],[signal_eom (xl)]]-Table256[[#This Row],[signal_eom (py)]]</f>
        <v>0</v>
      </c>
      <c r="H14">
        <f>Table256[[#This Row],[signal_som (xl)]]-Table256[[#This Row],[signal_som (py)]]</f>
        <v>0</v>
      </c>
    </row>
    <row r="15" spans="1:8" x14ac:dyDescent="0.25">
      <c r="A15" s="14">
        <v>37865</v>
      </c>
      <c r="B15" s="32">
        <v>1</v>
      </c>
      <c r="C15" s="33">
        <v>1</v>
      </c>
      <c r="D15" s="35">
        <v>1</v>
      </c>
      <c r="E15" s="35">
        <v>-1</v>
      </c>
      <c r="G15">
        <f>Table256[[#This Row],[signal_eom (xl)]]-Table256[[#This Row],[signal_eom (py)]]</f>
        <v>0</v>
      </c>
      <c r="H15">
        <f>Table256[[#This Row],[signal_som (xl)]]-Table256[[#This Row],[signal_som (py)]]</f>
        <v>2</v>
      </c>
    </row>
    <row r="16" spans="1:8" x14ac:dyDescent="0.25">
      <c r="A16" s="14">
        <v>37895</v>
      </c>
      <c r="B16" s="32">
        <v>-1</v>
      </c>
      <c r="C16" s="33">
        <v>-1</v>
      </c>
      <c r="D16" s="35">
        <v>-1</v>
      </c>
      <c r="E16" s="35">
        <v>1</v>
      </c>
      <c r="G16">
        <f>Table256[[#This Row],[signal_eom (xl)]]-Table256[[#This Row],[signal_eom (py)]]</f>
        <v>0</v>
      </c>
      <c r="H16">
        <f>Table256[[#This Row],[signal_som (xl)]]-Table256[[#This Row],[signal_som (py)]]</f>
        <v>-2</v>
      </c>
    </row>
    <row r="17" spans="1:8" x14ac:dyDescent="0.25">
      <c r="A17" s="14">
        <v>37926</v>
      </c>
      <c r="B17" s="32">
        <v>1</v>
      </c>
      <c r="C17" s="33">
        <v>1</v>
      </c>
      <c r="D17" s="35">
        <v>1</v>
      </c>
      <c r="E17" s="35">
        <v>-1</v>
      </c>
      <c r="G17">
        <f>Table256[[#This Row],[signal_eom (xl)]]-Table256[[#This Row],[signal_eom (py)]]</f>
        <v>0</v>
      </c>
      <c r="H17">
        <f>Table256[[#This Row],[signal_som (xl)]]-Table256[[#This Row],[signal_som (py)]]</f>
        <v>2</v>
      </c>
    </row>
    <row r="18" spans="1:8" x14ac:dyDescent="0.25">
      <c r="A18" s="14">
        <v>37956</v>
      </c>
      <c r="B18" s="32">
        <v>-1</v>
      </c>
      <c r="C18" s="33">
        <v>-1</v>
      </c>
      <c r="D18" s="35">
        <v>-1</v>
      </c>
      <c r="E18" s="35">
        <v>1</v>
      </c>
      <c r="G18">
        <f>Table256[[#This Row],[signal_eom (xl)]]-Table256[[#This Row],[signal_eom (py)]]</f>
        <v>0</v>
      </c>
      <c r="H18">
        <f>Table256[[#This Row],[signal_som (xl)]]-Table256[[#This Row],[signal_som (py)]]</f>
        <v>-2</v>
      </c>
    </row>
    <row r="19" spans="1:8" x14ac:dyDescent="0.25">
      <c r="A19" s="14">
        <v>37987</v>
      </c>
      <c r="B19" s="32">
        <v>-1</v>
      </c>
      <c r="C19" s="33">
        <v>1</v>
      </c>
      <c r="D19" s="35">
        <v>-1</v>
      </c>
      <c r="E19" s="35">
        <v>1</v>
      </c>
      <c r="G19">
        <f>Table256[[#This Row],[signal_eom (xl)]]-Table256[[#This Row],[signal_eom (py)]]</f>
        <v>0</v>
      </c>
      <c r="H19">
        <f>Table256[[#This Row],[signal_som (xl)]]-Table256[[#This Row],[signal_som (py)]]</f>
        <v>0</v>
      </c>
    </row>
    <row r="20" spans="1:8" x14ac:dyDescent="0.25">
      <c r="A20" s="14">
        <v>38018</v>
      </c>
      <c r="B20" s="32">
        <v>1</v>
      </c>
      <c r="C20" s="33">
        <v>1</v>
      </c>
      <c r="D20" s="35">
        <v>1</v>
      </c>
      <c r="E20" s="35">
        <v>-1</v>
      </c>
      <c r="G20">
        <f>Table256[[#This Row],[signal_eom (xl)]]-Table256[[#This Row],[signal_eom (py)]]</f>
        <v>0</v>
      </c>
      <c r="H20">
        <f>Table256[[#This Row],[signal_som (xl)]]-Table256[[#This Row],[signal_som (py)]]</f>
        <v>2</v>
      </c>
    </row>
    <row r="21" spans="1:8" x14ac:dyDescent="0.25">
      <c r="A21" s="14">
        <v>38047</v>
      </c>
      <c r="B21" s="32">
        <v>1</v>
      </c>
      <c r="C21" s="33">
        <v>-1</v>
      </c>
      <c r="D21" s="35">
        <v>1</v>
      </c>
      <c r="E21" s="35">
        <v>-1</v>
      </c>
      <c r="G21">
        <f>Table256[[#This Row],[signal_eom (xl)]]-Table256[[#This Row],[signal_eom (py)]]</f>
        <v>0</v>
      </c>
      <c r="H21">
        <f>Table256[[#This Row],[signal_som (xl)]]-Table256[[#This Row],[signal_som (py)]]</f>
        <v>0</v>
      </c>
    </row>
    <row r="22" spans="1:8" x14ac:dyDescent="0.25">
      <c r="A22" s="14">
        <v>38078</v>
      </c>
      <c r="B22" s="32">
        <v>-1</v>
      </c>
      <c r="C22" s="33">
        <v>-1</v>
      </c>
      <c r="D22" s="35">
        <v>-1</v>
      </c>
      <c r="E22" s="35">
        <v>1</v>
      </c>
      <c r="G22">
        <f>Table256[[#This Row],[signal_eom (xl)]]-Table256[[#This Row],[signal_eom (py)]]</f>
        <v>0</v>
      </c>
      <c r="H22">
        <f>Table256[[#This Row],[signal_som (xl)]]-Table256[[#This Row],[signal_som (py)]]</f>
        <v>-2</v>
      </c>
    </row>
    <row r="23" spans="1:8" x14ac:dyDescent="0.25">
      <c r="A23" s="14">
        <v>38108</v>
      </c>
      <c r="B23" s="32">
        <v>-1</v>
      </c>
      <c r="C23" s="33">
        <v>1</v>
      </c>
      <c r="D23" s="35">
        <v>-1</v>
      </c>
      <c r="E23" s="35">
        <v>1</v>
      </c>
      <c r="G23">
        <f>Table256[[#This Row],[signal_eom (xl)]]-Table256[[#This Row],[signal_eom (py)]]</f>
        <v>0</v>
      </c>
      <c r="H23">
        <f>Table256[[#This Row],[signal_som (xl)]]-Table256[[#This Row],[signal_som (py)]]</f>
        <v>0</v>
      </c>
    </row>
    <row r="24" spans="1:8" x14ac:dyDescent="0.25">
      <c r="A24" s="14">
        <v>38139</v>
      </c>
      <c r="B24" s="32">
        <v>-1</v>
      </c>
      <c r="C24" s="33">
        <v>1</v>
      </c>
      <c r="D24" s="35">
        <v>-1</v>
      </c>
      <c r="E24" s="35">
        <v>1</v>
      </c>
      <c r="G24">
        <f>Table256[[#This Row],[signal_eom (xl)]]-Table256[[#This Row],[signal_eom (py)]]</f>
        <v>0</v>
      </c>
      <c r="H24">
        <f>Table256[[#This Row],[signal_som (xl)]]-Table256[[#This Row],[signal_som (py)]]</f>
        <v>0</v>
      </c>
    </row>
    <row r="25" spans="1:8" x14ac:dyDescent="0.25">
      <c r="A25" s="14">
        <v>38169</v>
      </c>
      <c r="B25" s="32">
        <v>1</v>
      </c>
      <c r="C25" s="33">
        <v>1</v>
      </c>
      <c r="D25" s="35">
        <v>1</v>
      </c>
      <c r="E25" s="35">
        <v>-1</v>
      </c>
      <c r="G25">
        <f>Table256[[#This Row],[signal_eom (xl)]]-Table256[[#This Row],[signal_eom (py)]]</f>
        <v>0</v>
      </c>
      <c r="H25">
        <f>Table256[[#This Row],[signal_som (xl)]]-Table256[[#This Row],[signal_som (py)]]</f>
        <v>2</v>
      </c>
    </row>
    <row r="26" spans="1:8" x14ac:dyDescent="0.25">
      <c r="A26" s="14">
        <v>38200</v>
      </c>
      <c r="B26" s="32">
        <v>1</v>
      </c>
      <c r="C26" s="33">
        <v>-1</v>
      </c>
      <c r="D26" s="35">
        <v>1</v>
      </c>
      <c r="E26" s="35">
        <v>-1</v>
      </c>
      <c r="G26">
        <f>Table256[[#This Row],[signal_eom (xl)]]-Table256[[#This Row],[signal_eom (py)]]</f>
        <v>0</v>
      </c>
      <c r="H26">
        <f>Table256[[#This Row],[signal_som (xl)]]-Table256[[#This Row],[signal_som (py)]]</f>
        <v>0</v>
      </c>
    </row>
    <row r="27" spans="1:8" x14ac:dyDescent="0.25">
      <c r="A27" s="14">
        <v>38231</v>
      </c>
      <c r="B27" s="32">
        <v>1</v>
      </c>
      <c r="C27" s="33">
        <v>-1</v>
      </c>
      <c r="D27" s="35">
        <v>1</v>
      </c>
      <c r="E27" s="35">
        <v>-1</v>
      </c>
      <c r="G27">
        <f>Table256[[#This Row],[signal_eom (xl)]]-Table256[[#This Row],[signal_eom (py)]]</f>
        <v>0</v>
      </c>
      <c r="H27">
        <f>Table256[[#This Row],[signal_som (xl)]]-Table256[[#This Row],[signal_som (py)]]</f>
        <v>0</v>
      </c>
    </row>
    <row r="28" spans="1:8" x14ac:dyDescent="0.25">
      <c r="A28" s="14">
        <v>38261</v>
      </c>
      <c r="B28" s="32">
        <v>1</v>
      </c>
      <c r="C28" s="33">
        <v>-1</v>
      </c>
      <c r="D28" s="35">
        <v>1</v>
      </c>
      <c r="E28" s="35">
        <v>-1</v>
      </c>
      <c r="G28">
        <f>Table256[[#This Row],[signal_eom (xl)]]-Table256[[#This Row],[signal_eom (py)]]</f>
        <v>0</v>
      </c>
      <c r="H28">
        <f>Table256[[#This Row],[signal_som (xl)]]-Table256[[#This Row],[signal_som (py)]]</f>
        <v>0</v>
      </c>
    </row>
    <row r="29" spans="1:8" x14ac:dyDescent="0.25">
      <c r="A29" s="14">
        <v>38292</v>
      </c>
      <c r="B29" s="32">
        <v>-1</v>
      </c>
      <c r="C29" s="33">
        <v>-1</v>
      </c>
      <c r="D29" s="35">
        <v>-1</v>
      </c>
      <c r="E29" s="35">
        <v>1</v>
      </c>
      <c r="G29">
        <f>Table256[[#This Row],[signal_eom (xl)]]-Table256[[#This Row],[signal_eom (py)]]</f>
        <v>0</v>
      </c>
      <c r="H29">
        <f>Table256[[#This Row],[signal_som (xl)]]-Table256[[#This Row],[signal_som (py)]]</f>
        <v>-2</v>
      </c>
    </row>
    <row r="30" spans="1:8" x14ac:dyDescent="0.25">
      <c r="A30" s="14">
        <v>38322</v>
      </c>
      <c r="B30" s="32">
        <v>1</v>
      </c>
      <c r="C30" s="33">
        <v>1</v>
      </c>
      <c r="D30" s="35">
        <v>1</v>
      </c>
      <c r="E30" s="35">
        <v>-1</v>
      </c>
      <c r="G30">
        <f>Table256[[#This Row],[signal_eom (xl)]]-Table256[[#This Row],[signal_eom (py)]]</f>
        <v>0</v>
      </c>
      <c r="H30">
        <f>Table256[[#This Row],[signal_som (xl)]]-Table256[[#This Row],[signal_som (py)]]</f>
        <v>2</v>
      </c>
    </row>
    <row r="31" spans="1:8" x14ac:dyDescent="0.25">
      <c r="A31" s="14">
        <v>38353</v>
      </c>
      <c r="B31" s="32">
        <v>1</v>
      </c>
      <c r="C31" s="33">
        <v>-1</v>
      </c>
      <c r="D31" s="35">
        <v>1</v>
      </c>
      <c r="E31" s="35">
        <v>-1</v>
      </c>
      <c r="G31">
        <f>Table256[[#This Row],[signal_eom (xl)]]-Table256[[#This Row],[signal_eom (py)]]</f>
        <v>0</v>
      </c>
      <c r="H31">
        <f>Table256[[#This Row],[signal_som (xl)]]-Table256[[#This Row],[signal_som (py)]]</f>
        <v>0</v>
      </c>
    </row>
    <row r="32" spans="1:8" x14ac:dyDescent="0.25">
      <c r="A32" s="14">
        <v>38384</v>
      </c>
      <c r="B32" s="32">
        <v>-1</v>
      </c>
      <c r="C32" s="33">
        <v>-1</v>
      </c>
      <c r="D32" s="35">
        <v>-1</v>
      </c>
      <c r="E32" s="35">
        <v>1</v>
      </c>
      <c r="G32">
        <f>Table256[[#This Row],[signal_eom (xl)]]-Table256[[#This Row],[signal_eom (py)]]</f>
        <v>0</v>
      </c>
      <c r="H32">
        <f>Table256[[#This Row],[signal_som (xl)]]-Table256[[#This Row],[signal_som (py)]]</f>
        <v>-2</v>
      </c>
    </row>
    <row r="33" spans="1:8" x14ac:dyDescent="0.25">
      <c r="A33" s="14">
        <v>38412</v>
      </c>
      <c r="B33" s="32">
        <v>1</v>
      </c>
      <c r="C33" s="33">
        <v>1</v>
      </c>
      <c r="D33" s="35">
        <v>1</v>
      </c>
      <c r="E33" s="35">
        <v>-1</v>
      </c>
      <c r="G33">
        <f>Table256[[#This Row],[signal_eom (xl)]]-Table256[[#This Row],[signal_eom (py)]]</f>
        <v>0</v>
      </c>
      <c r="H33">
        <f>Table256[[#This Row],[signal_som (xl)]]-Table256[[#This Row],[signal_som (py)]]</f>
        <v>2</v>
      </c>
    </row>
    <row r="34" spans="1:8" x14ac:dyDescent="0.25">
      <c r="A34" s="14">
        <v>38443</v>
      </c>
      <c r="B34" s="32">
        <v>1</v>
      </c>
      <c r="C34" s="33">
        <v>-1</v>
      </c>
      <c r="D34" s="35">
        <v>1</v>
      </c>
      <c r="E34" s="35">
        <v>-1</v>
      </c>
      <c r="G34">
        <f>Table256[[#This Row],[signal_eom (xl)]]-Table256[[#This Row],[signal_eom (py)]]</f>
        <v>0</v>
      </c>
      <c r="H34">
        <f>Table256[[#This Row],[signal_som (xl)]]-Table256[[#This Row],[signal_som (py)]]</f>
        <v>0</v>
      </c>
    </row>
    <row r="35" spans="1:8" x14ac:dyDescent="0.25">
      <c r="A35" s="14">
        <v>38473</v>
      </c>
      <c r="B35" s="32">
        <v>-1</v>
      </c>
      <c r="C35" s="33">
        <v>-1</v>
      </c>
      <c r="D35" s="35">
        <v>-1</v>
      </c>
      <c r="E35" s="35">
        <v>1</v>
      </c>
      <c r="G35">
        <f>Table256[[#This Row],[signal_eom (xl)]]-Table256[[#This Row],[signal_eom (py)]]</f>
        <v>0</v>
      </c>
      <c r="H35">
        <f>Table256[[#This Row],[signal_som (xl)]]-Table256[[#This Row],[signal_som (py)]]</f>
        <v>-2</v>
      </c>
    </row>
    <row r="36" spans="1:8" x14ac:dyDescent="0.25">
      <c r="A36" s="14">
        <v>38504</v>
      </c>
      <c r="B36" s="32">
        <v>-1</v>
      </c>
      <c r="C36" s="33">
        <v>1</v>
      </c>
      <c r="D36" s="35">
        <v>-1</v>
      </c>
      <c r="E36" s="35">
        <v>1</v>
      </c>
      <c r="G36">
        <f>Table256[[#This Row],[signal_eom (xl)]]-Table256[[#This Row],[signal_eom (py)]]</f>
        <v>0</v>
      </c>
      <c r="H36">
        <f>Table256[[#This Row],[signal_som (xl)]]-Table256[[#This Row],[signal_som (py)]]</f>
        <v>0</v>
      </c>
    </row>
    <row r="37" spans="1:8" x14ac:dyDescent="0.25">
      <c r="A37" s="14">
        <v>38534</v>
      </c>
      <c r="B37" s="32">
        <v>-1</v>
      </c>
      <c r="C37" s="33">
        <v>1</v>
      </c>
      <c r="D37" s="35">
        <v>-1</v>
      </c>
      <c r="E37" s="35">
        <v>1</v>
      </c>
      <c r="G37">
        <f>Table256[[#This Row],[signal_eom (xl)]]-Table256[[#This Row],[signal_eom (py)]]</f>
        <v>0</v>
      </c>
      <c r="H37">
        <f>Table256[[#This Row],[signal_som (xl)]]-Table256[[#This Row],[signal_som (py)]]</f>
        <v>0</v>
      </c>
    </row>
    <row r="38" spans="1:8" x14ac:dyDescent="0.25">
      <c r="A38" s="14">
        <v>38565</v>
      </c>
      <c r="B38" s="32">
        <v>1</v>
      </c>
      <c r="C38" s="33">
        <v>1</v>
      </c>
      <c r="D38" s="35">
        <v>1</v>
      </c>
      <c r="E38" s="35">
        <v>-1</v>
      </c>
      <c r="G38">
        <f>Table256[[#This Row],[signal_eom (xl)]]-Table256[[#This Row],[signal_eom (py)]]</f>
        <v>0</v>
      </c>
      <c r="H38">
        <f>Table256[[#This Row],[signal_som (xl)]]-Table256[[#This Row],[signal_som (py)]]</f>
        <v>2</v>
      </c>
    </row>
    <row r="39" spans="1:8" x14ac:dyDescent="0.25">
      <c r="A39" s="14">
        <v>38596</v>
      </c>
      <c r="B39" s="32">
        <v>-1</v>
      </c>
      <c r="C39" s="33">
        <v>-1</v>
      </c>
      <c r="D39" s="35">
        <v>-1</v>
      </c>
      <c r="E39" s="35">
        <v>1</v>
      </c>
      <c r="G39">
        <f>Table256[[#This Row],[signal_eom (xl)]]-Table256[[#This Row],[signal_eom (py)]]</f>
        <v>0</v>
      </c>
      <c r="H39">
        <f>Table256[[#This Row],[signal_som (xl)]]-Table256[[#This Row],[signal_som (py)]]</f>
        <v>-2</v>
      </c>
    </row>
    <row r="40" spans="1:8" x14ac:dyDescent="0.25">
      <c r="A40" s="14">
        <v>38626</v>
      </c>
      <c r="B40" s="32">
        <v>1</v>
      </c>
      <c r="C40" s="33">
        <v>1</v>
      </c>
      <c r="D40" s="35">
        <v>1</v>
      </c>
      <c r="E40" s="35">
        <v>-1</v>
      </c>
      <c r="G40">
        <f>Table256[[#This Row],[signal_eom (xl)]]-Table256[[#This Row],[signal_eom (py)]]</f>
        <v>0</v>
      </c>
      <c r="H40">
        <f>Table256[[#This Row],[signal_som (xl)]]-Table256[[#This Row],[signal_som (py)]]</f>
        <v>2</v>
      </c>
    </row>
    <row r="41" spans="1:8" x14ac:dyDescent="0.25">
      <c r="A41" s="14">
        <v>38657</v>
      </c>
      <c r="B41" s="32">
        <v>-1</v>
      </c>
      <c r="C41" s="33">
        <v>-1</v>
      </c>
      <c r="D41" s="35">
        <v>-1</v>
      </c>
      <c r="E41" s="35">
        <v>1</v>
      </c>
      <c r="G41">
        <f>Table256[[#This Row],[signal_eom (xl)]]-Table256[[#This Row],[signal_eom (py)]]</f>
        <v>0</v>
      </c>
      <c r="H41">
        <f>Table256[[#This Row],[signal_som (xl)]]-Table256[[#This Row],[signal_som (py)]]</f>
        <v>-2</v>
      </c>
    </row>
    <row r="42" spans="1:8" x14ac:dyDescent="0.25">
      <c r="A42" s="14">
        <v>38687</v>
      </c>
      <c r="B42" s="32">
        <v>-1</v>
      </c>
      <c r="C42" s="33">
        <v>1</v>
      </c>
      <c r="D42" s="35">
        <v>-1</v>
      </c>
      <c r="E42" s="35">
        <v>1</v>
      </c>
      <c r="G42">
        <f>Table256[[#This Row],[signal_eom (xl)]]-Table256[[#This Row],[signal_eom (py)]]</f>
        <v>0</v>
      </c>
      <c r="H42">
        <f>Table256[[#This Row],[signal_som (xl)]]-Table256[[#This Row],[signal_som (py)]]</f>
        <v>0</v>
      </c>
    </row>
    <row r="43" spans="1:8" x14ac:dyDescent="0.25">
      <c r="A43" s="14">
        <v>38718</v>
      </c>
      <c r="B43" s="32">
        <v>-1</v>
      </c>
      <c r="C43" s="33">
        <v>1</v>
      </c>
      <c r="D43" s="35">
        <v>-1</v>
      </c>
      <c r="E43" s="35">
        <v>1</v>
      </c>
      <c r="G43">
        <f>Table256[[#This Row],[signal_eom (xl)]]-Table256[[#This Row],[signal_eom (py)]]</f>
        <v>0</v>
      </c>
      <c r="H43">
        <f>Table256[[#This Row],[signal_som (xl)]]-Table256[[#This Row],[signal_som (py)]]</f>
        <v>0</v>
      </c>
    </row>
    <row r="44" spans="1:8" x14ac:dyDescent="0.25">
      <c r="A44" s="14">
        <v>38749</v>
      </c>
      <c r="B44" s="32">
        <v>-1</v>
      </c>
      <c r="C44" s="33">
        <v>1</v>
      </c>
      <c r="D44" s="35">
        <v>-1</v>
      </c>
      <c r="E44" s="35">
        <v>1</v>
      </c>
      <c r="G44">
        <f>Table256[[#This Row],[signal_eom (xl)]]-Table256[[#This Row],[signal_eom (py)]]</f>
        <v>0</v>
      </c>
      <c r="H44">
        <f>Table256[[#This Row],[signal_som (xl)]]-Table256[[#This Row],[signal_som (py)]]</f>
        <v>0</v>
      </c>
    </row>
    <row r="45" spans="1:8" x14ac:dyDescent="0.25">
      <c r="A45" s="14">
        <v>38777</v>
      </c>
      <c r="B45" s="32">
        <v>-1</v>
      </c>
      <c r="C45" s="33">
        <v>1</v>
      </c>
      <c r="D45" s="35">
        <v>-1</v>
      </c>
      <c r="E45" s="35">
        <v>1</v>
      </c>
      <c r="G45">
        <f>Table256[[#This Row],[signal_eom (xl)]]-Table256[[#This Row],[signal_eom (py)]]</f>
        <v>0</v>
      </c>
      <c r="H45">
        <f>Table256[[#This Row],[signal_som (xl)]]-Table256[[#This Row],[signal_som (py)]]</f>
        <v>0</v>
      </c>
    </row>
    <row r="46" spans="1:8" x14ac:dyDescent="0.25">
      <c r="A46" s="14">
        <v>38808</v>
      </c>
      <c r="B46" s="32">
        <v>-1</v>
      </c>
      <c r="C46" s="33">
        <v>1</v>
      </c>
      <c r="D46" s="35">
        <v>-1</v>
      </c>
      <c r="E46" s="35">
        <v>1</v>
      </c>
      <c r="G46">
        <f>Table256[[#This Row],[signal_eom (xl)]]-Table256[[#This Row],[signal_eom (py)]]</f>
        <v>0</v>
      </c>
      <c r="H46">
        <f>Table256[[#This Row],[signal_som (xl)]]-Table256[[#This Row],[signal_som (py)]]</f>
        <v>0</v>
      </c>
    </row>
    <row r="47" spans="1:8" x14ac:dyDescent="0.25">
      <c r="A47" s="14">
        <v>38838</v>
      </c>
      <c r="B47" s="32">
        <v>1</v>
      </c>
      <c r="C47" s="33">
        <v>1</v>
      </c>
      <c r="D47" s="35">
        <v>1</v>
      </c>
      <c r="E47" s="35">
        <v>-1</v>
      </c>
      <c r="G47">
        <f>Table256[[#This Row],[signal_eom (xl)]]-Table256[[#This Row],[signal_eom (py)]]</f>
        <v>0</v>
      </c>
      <c r="H47">
        <f>Table256[[#This Row],[signal_som (xl)]]-Table256[[#This Row],[signal_som (py)]]</f>
        <v>2</v>
      </c>
    </row>
    <row r="48" spans="1:8" x14ac:dyDescent="0.25">
      <c r="A48" s="14">
        <v>38869</v>
      </c>
      <c r="B48" s="32">
        <v>1</v>
      </c>
      <c r="C48" s="33">
        <v>-1</v>
      </c>
      <c r="D48" s="35">
        <v>1</v>
      </c>
      <c r="E48" s="35">
        <v>-1</v>
      </c>
      <c r="G48">
        <f>Table256[[#This Row],[signal_eom (xl)]]-Table256[[#This Row],[signal_eom (py)]]</f>
        <v>0</v>
      </c>
      <c r="H48">
        <f>Table256[[#This Row],[signal_som (xl)]]-Table256[[#This Row],[signal_som (py)]]</f>
        <v>0</v>
      </c>
    </row>
    <row r="49" spans="1:8" x14ac:dyDescent="0.25">
      <c r="A49" s="14">
        <v>38899</v>
      </c>
      <c r="B49" s="32">
        <v>1</v>
      </c>
      <c r="C49" s="33">
        <v>-1</v>
      </c>
      <c r="D49" s="35">
        <v>1</v>
      </c>
      <c r="E49" s="35">
        <v>-1</v>
      </c>
      <c r="G49">
        <f>Table256[[#This Row],[signal_eom (xl)]]-Table256[[#This Row],[signal_eom (py)]]</f>
        <v>0</v>
      </c>
      <c r="H49">
        <f>Table256[[#This Row],[signal_som (xl)]]-Table256[[#This Row],[signal_som (py)]]</f>
        <v>0</v>
      </c>
    </row>
    <row r="50" spans="1:8" x14ac:dyDescent="0.25">
      <c r="A50" s="14">
        <v>38930</v>
      </c>
      <c r="B50" s="32">
        <v>1</v>
      </c>
      <c r="C50" s="33">
        <v>-1</v>
      </c>
      <c r="D50" s="35">
        <v>1</v>
      </c>
      <c r="E50" s="35">
        <v>-1</v>
      </c>
      <c r="G50">
        <f>Table256[[#This Row],[signal_eom (xl)]]-Table256[[#This Row],[signal_eom (py)]]</f>
        <v>0</v>
      </c>
      <c r="H50">
        <f>Table256[[#This Row],[signal_som (xl)]]-Table256[[#This Row],[signal_som (py)]]</f>
        <v>0</v>
      </c>
    </row>
    <row r="51" spans="1:8" x14ac:dyDescent="0.25">
      <c r="A51" s="14">
        <v>38961</v>
      </c>
      <c r="B51" s="32">
        <v>1</v>
      </c>
      <c r="C51" s="33">
        <v>-1</v>
      </c>
      <c r="D51" s="35">
        <v>1</v>
      </c>
      <c r="E51" s="35">
        <v>-1</v>
      </c>
      <c r="G51">
        <f>Table256[[#This Row],[signal_eom (xl)]]-Table256[[#This Row],[signal_eom (py)]]</f>
        <v>0</v>
      </c>
      <c r="H51">
        <f>Table256[[#This Row],[signal_som (xl)]]-Table256[[#This Row],[signal_som (py)]]</f>
        <v>0</v>
      </c>
    </row>
    <row r="52" spans="1:8" x14ac:dyDescent="0.25">
      <c r="A52" s="14">
        <v>38991</v>
      </c>
      <c r="B52" s="32">
        <v>-1</v>
      </c>
      <c r="C52" s="33">
        <v>-1</v>
      </c>
      <c r="D52" s="35">
        <v>-1</v>
      </c>
      <c r="E52" s="35">
        <v>1</v>
      </c>
      <c r="G52">
        <f>Table256[[#This Row],[signal_eom (xl)]]-Table256[[#This Row],[signal_eom (py)]]</f>
        <v>0</v>
      </c>
      <c r="H52">
        <f>Table256[[#This Row],[signal_som (xl)]]-Table256[[#This Row],[signal_som (py)]]</f>
        <v>-2</v>
      </c>
    </row>
    <row r="53" spans="1:8" x14ac:dyDescent="0.25">
      <c r="A53" s="14">
        <v>39022</v>
      </c>
      <c r="B53" s="32">
        <v>-1</v>
      </c>
      <c r="C53" s="33">
        <v>1</v>
      </c>
      <c r="D53" s="35">
        <v>-1</v>
      </c>
      <c r="E53" s="35">
        <v>1</v>
      </c>
      <c r="G53">
        <f>Table256[[#This Row],[signal_eom (xl)]]-Table256[[#This Row],[signal_eom (py)]]</f>
        <v>0</v>
      </c>
      <c r="H53">
        <f>Table256[[#This Row],[signal_som (xl)]]-Table256[[#This Row],[signal_som (py)]]</f>
        <v>0</v>
      </c>
    </row>
    <row r="54" spans="1:8" x14ac:dyDescent="0.25">
      <c r="A54" s="14">
        <v>39052</v>
      </c>
      <c r="B54" s="32">
        <v>-1</v>
      </c>
      <c r="C54" s="33">
        <v>1</v>
      </c>
      <c r="D54" s="35">
        <v>-1</v>
      </c>
      <c r="E54" s="35">
        <v>1</v>
      </c>
      <c r="G54">
        <f>Table256[[#This Row],[signal_eom (xl)]]-Table256[[#This Row],[signal_eom (py)]]</f>
        <v>0</v>
      </c>
      <c r="H54">
        <f>Table256[[#This Row],[signal_som (xl)]]-Table256[[#This Row],[signal_som (py)]]</f>
        <v>0</v>
      </c>
    </row>
    <row r="55" spans="1:8" x14ac:dyDescent="0.25">
      <c r="A55" s="14">
        <v>39083</v>
      </c>
      <c r="B55" s="32">
        <v>-1</v>
      </c>
      <c r="C55" s="33">
        <v>1</v>
      </c>
      <c r="D55" s="35">
        <v>-1</v>
      </c>
      <c r="E55" s="35">
        <v>1</v>
      </c>
      <c r="G55">
        <f>Table256[[#This Row],[signal_eom (xl)]]-Table256[[#This Row],[signal_eom (py)]]</f>
        <v>0</v>
      </c>
      <c r="H55">
        <f>Table256[[#This Row],[signal_som (xl)]]-Table256[[#This Row],[signal_som (py)]]</f>
        <v>0</v>
      </c>
    </row>
    <row r="56" spans="1:8" x14ac:dyDescent="0.25">
      <c r="A56" s="14">
        <v>39114</v>
      </c>
      <c r="B56" s="32">
        <v>-1</v>
      </c>
      <c r="C56" s="33">
        <v>1</v>
      </c>
      <c r="D56" s="35">
        <v>-1</v>
      </c>
      <c r="E56" s="35">
        <v>1</v>
      </c>
      <c r="G56">
        <f>Table256[[#This Row],[signal_eom (xl)]]-Table256[[#This Row],[signal_eom (py)]]</f>
        <v>0</v>
      </c>
      <c r="H56">
        <f>Table256[[#This Row],[signal_som (xl)]]-Table256[[#This Row],[signal_som (py)]]</f>
        <v>0</v>
      </c>
    </row>
    <row r="57" spans="1:8" x14ac:dyDescent="0.25">
      <c r="A57" s="14">
        <v>39142</v>
      </c>
      <c r="B57" s="32">
        <v>-1</v>
      </c>
      <c r="C57" s="33">
        <v>1</v>
      </c>
      <c r="D57" s="35">
        <v>-1</v>
      </c>
      <c r="E57" s="35">
        <v>1</v>
      </c>
      <c r="G57">
        <f>Table256[[#This Row],[signal_eom (xl)]]-Table256[[#This Row],[signal_eom (py)]]</f>
        <v>0</v>
      </c>
      <c r="H57">
        <f>Table256[[#This Row],[signal_som (xl)]]-Table256[[#This Row],[signal_som (py)]]</f>
        <v>0</v>
      </c>
    </row>
    <row r="58" spans="1:8" x14ac:dyDescent="0.25">
      <c r="A58" s="14">
        <v>39173</v>
      </c>
      <c r="B58" s="32">
        <v>-1</v>
      </c>
      <c r="C58" s="33">
        <v>1</v>
      </c>
      <c r="D58" s="35">
        <v>-1</v>
      </c>
      <c r="E58" s="35">
        <v>1</v>
      </c>
      <c r="G58">
        <f>Table256[[#This Row],[signal_eom (xl)]]-Table256[[#This Row],[signal_eom (py)]]</f>
        <v>0</v>
      </c>
      <c r="H58">
        <f>Table256[[#This Row],[signal_som (xl)]]-Table256[[#This Row],[signal_som (py)]]</f>
        <v>0</v>
      </c>
    </row>
    <row r="59" spans="1:8" x14ac:dyDescent="0.25">
      <c r="A59" s="14">
        <v>39203</v>
      </c>
      <c r="B59" s="32">
        <v>-1</v>
      </c>
      <c r="C59" s="33">
        <v>1</v>
      </c>
      <c r="D59" s="35">
        <v>-1</v>
      </c>
      <c r="E59" s="35">
        <v>1</v>
      </c>
      <c r="G59">
        <f>Table256[[#This Row],[signal_eom (xl)]]-Table256[[#This Row],[signal_eom (py)]]</f>
        <v>0</v>
      </c>
      <c r="H59">
        <f>Table256[[#This Row],[signal_som (xl)]]-Table256[[#This Row],[signal_som (py)]]</f>
        <v>0</v>
      </c>
    </row>
    <row r="60" spans="1:8" x14ac:dyDescent="0.25">
      <c r="A60" s="14">
        <v>39234</v>
      </c>
      <c r="B60" s="32">
        <v>-1</v>
      </c>
      <c r="C60" s="33">
        <v>1</v>
      </c>
      <c r="D60" s="35">
        <v>-1</v>
      </c>
      <c r="E60" s="35">
        <v>1</v>
      </c>
      <c r="G60">
        <f>Table256[[#This Row],[signal_eom (xl)]]-Table256[[#This Row],[signal_eom (py)]]</f>
        <v>0</v>
      </c>
      <c r="H60">
        <f>Table256[[#This Row],[signal_som (xl)]]-Table256[[#This Row],[signal_som (py)]]</f>
        <v>0</v>
      </c>
    </row>
    <row r="61" spans="1:8" x14ac:dyDescent="0.25">
      <c r="A61" s="14">
        <v>39264</v>
      </c>
      <c r="B61" s="32">
        <v>-1</v>
      </c>
      <c r="C61" s="33">
        <v>1</v>
      </c>
      <c r="D61" s="35">
        <v>-1</v>
      </c>
      <c r="E61" s="35">
        <v>1</v>
      </c>
      <c r="G61">
        <f>Table256[[#This Row],[signal_eom (xl)]]-Table256[[#This Row],[signal_eom (py)]]</f>
        <v>0</v>
      </c>
      <c r="H61">
        <f>Table256[[#This Row],[signal_som (xl)]]-Table256[[#This Row],[signal_som (py)]]</f>
        <v>0</v>
      </c>
    </row>
    <row r="62" spans="1:8" x14ac:dyDescent="0.25">
      <c r="A62" s="14">
        <v>39295</v>
      </c>
      <c r="B62" s="32">
        <v>1</v>
      </c>
      <c r="C62" s="33">
        <v>1</v>
      </c>
      <c r="D62" s="35">
        <v>1</v>
      </c>
      <c r="E62" s="35">
        <v>-1</v>
      </c>
      <c r="G62">
        <f>Table256[[#This Row],[signal_eom (xl)]]-Table256[[#This Row],[signal_eom (py)]]</f>
        <v>0</v>
      </c>
      <c r="H62">
        <f>Table256[[#This Row],[signal_som (xl)]]-Table256[[#This Row],[signal_som (py)]]</f>
        <v>2</v>
      </c>
    </row>
    <row r="63" spans="1:8" x14ac:dyDescent="0.25">
      <c r="A63" s="14">
        <v>39326</v>
      </c>
      <c r="B63" s="32">
        <v>-1</v>
      </c>
      <c r="C63" s="33">
        <v>-1</v>
      </c>
      <c r="D63" s="35">
        <v>-1</v>
      </c>
      <c r="E63" s="35">
        <v>1</v>
      </c>
      <c r="G63">
        <f>Table256[[#This Row],[signal_eom (xl)]]-Table256[[#This Row],[signal_eom (py)]]</f>
        <v>0</v>
      </c>
      <c r="H63">
        <f>Table256[[#This Row],[signal_som (xl)]]-Table256[[#This Row],[signal_som (py)]]</f>
        <v>-2</v>
      </c>
    </row>
    <row r="64" spans="1:8" x14ac:dyDescent="0.25">
      <c r="A64" s="14">
        <v>39356</v>
      </c>
      <c r="B64" s="32">
        <v>1</v>
      </c>
      <c r="C64" s="33">
        <v>1</v>
      </c>
      <c r="D64" s="35">
        <v>1</v>
      </c>
      <c r="E64" s="35">
        <v>-1</v>
      </c>
      <c r="G64">
        <f>Table256[[#This Row],[signal_eom (xl)]]-Table256[[#This Row],[signal_eom (py)]]</f>
        <v>0</v>
      </c>
      <c r="H64">
        <f>Table256[[#This Row],[signal_som (xl)]]-Table256[[#This Row],[signal_som (py)]]</f>
        <v>2</v>
      </c>
    </row>
    <row r="65" spans="1:8" x14ac:dyDescent="0.25">
      <c r="A65" s="14">
        <v>39387</v>
      </c>
      <c r="B65" s="32">
        <v>1</v>
      </c>
      <c r="C65" s="33">
        <v>-1</v>
      </c>
      <c r="D65" s="35">
        <v>1</v>
      </c>
      <c r="E65" s="35">
        <v>-1</v>
      </c>
      <c r="G65">
        <f>Table256[[#This Row],[signal_eom (xl)]]-Table256[[#This Row],[signal_eom (py)]]</f>
        <v>0</v>
      </c>
      <c r="H65">
        <f>Table256[[#This Row],[signal_som (xl)]]-Table256[[#This Row],[signal_som (py)]]</f>
        <v>0</v>
      </c>
    </row>
    <row r="66" spans="1:8" x14ac:dyDescent="0.25">
      <c r="A66" s="14">
        <v>39417</v>
      </c>
      <c r="B66" s="32">
        <v>-1</v>
      </c>
      <c r="C66" s="33">
        <v>-1</v>
      </c>
      <c r="D66" s="35">
        <v>-1</v>
      </c>
      <c r="E66" s="35">
        <v>1</v>
      </c>
      <c r="G66">
        <f>Table256[[#This Row],[signal_eom (xl)]]-Table256[[#This Row],[signal_eom (py)]]</f>
        <v>0</v>
      </c>
      <c r="H66">
        <f>Table256[[#This Row],[signal_som (xl)]]-Table256[[#This Row],[signal_som (py)]]</f>
        <v>-2</v>
      </c>
    </row>
    <row r="67" spans="1:8" x14ac:dyDescent="0.25">
      <c r="A67" s="14">
        <v>39448</v>
      </c>
      <c r="B67" s="32">
        <v>1</v>
      </c>
      <c r="C67" s="33">
        <v>1</v>
      </c>
      <c r="D67" s="35">
        <v>1</v>
      </c>
      <c r="E67" s="35">
        <v>-1</v>
      </c>
      <c r="G67">
        <f>Table256[[#This Row],[signal_eom (xl)]]-Table256[[#This Row],[signal_eom (py)]]</f>
        <v>0</v>
      </c>
      <c r="H67">
        <f>Table256[[#This Row],[signal_som (xl)]]-Table256[[#This Row],[signal_som (py)]]</f>
        <v>2</v>
      </c>
    </row>
    <row r="68" spans="1:8" x14ac:dyDescent="0.25">
      <c r="A68" s="14">
        <v>39479</v>
      </c>
      <c r="B68" s="32">
        <v>-1</v>
      </c>
      <c r="C68" s="33">
        <v>-1</v>
      </c>
      <c r="D68" s="35">
        <v>-1</v>
      </c>
      <c r="E68" s="35">
        <v>1</v>
      </c>
      <c r="G68">
        <f>Table256[[#This Row],[signal_eom (xl)]]-Table256[[#This Row],[signal_eom (py)]]</f>
        <v>0</v>
      </c>
      <c r="H68">
        <f>Table256[[#This Row],[signal_som (xl)]]-Table256[[#This Row],[signal_som (py)]]</f>
        <v>-2</v>
      </c>
    </row>
    <row r="69" spans="1:8" x14ac:dyDescent="0.25">
      <c r="A69" s="14">
        <v>39508</v>
      </c>
      <c r="B69" s="32">
        <v>1</v>
      </c>
      <c r="C69" s="33">
        <v>1</v>
      </c>
      <c r="D69" s="35">
        <v>1</v>
      </c>
      <c r="E69" s="35">
        <v>-1</v>
      </c>
      <c r="G69">
        <f>Table256[[#This Row],[signal_eom (xl)]]-Table256[[#This Row],[signal_eom (py)]]</f>
        <v>0</v>
      </c>
      <c r="H69">
        <f>Table256[[#This Row],[signal_som (xl)]]-Table256[[#This Row],[signal_som (py)]]</f>
        <v>2</v>
      </c>
    </row>
    <row r="70" spans="1:8" x14ac:dyDescent="0.25">
      <c r="A70" s="14">
        <v>39539</v>
      </c>
      <c r="B70" s="32">
        <v>-1</v>
      </c>
      <c r="C70" s="33">
        <v>-1</v>
      </c>
      <c r="D70" s="35">
        <v>-1</v>
      </c>
      <c r="E70" s="35">
        <v>1</v>
      </c>
      <c r="G70">
        <f>Table256[[#This Row],[signal_eom (xl)]]-Table256[[#This Row],[signal_eom (py)]]</f>
        <v>0</v>
      </c>
      <c r="H70">
        <f>Table256[[#This Row],[signal_som (xl)]]-Table256[[#This Row],[signal_som (py)]]</f>
        <v>-2</v>
      </c>
    </row>
    <row r="71" spans="1:8" x14ac:dyDescent="0.25">
      <c r="A71" s="14">
        <v>39569</v>
      </c>
      <c r="B71" s="32">
        <v>-1</v>
      </c>
      <c r="C71" s="33">
        <v>1</v>
      </c>
      <c r="D71" s="35">
        <v>-1</v>
      </c>
      <c r="E71" s="35">
        <v>1</v>
      </c>
      <c r="G71">
        <f>Table256[[#This Row],[signal_eom (xl)]]-Table256[[#This Row],[signal_eom (py)]]</f>
        <v>0</v>
      </c>
      <c r="H71">
        <f>Table256[[#This Row],[signal_som (xl)]]-Table256[[#This Row],[signal_som (py)]]</f>
        <v>0</v>
      </c>
    </row>
    <row r="72" spans="1:8" x14ac:dyDescent="0.25">
      <c r="A72" s="14">
        <v>39600</v>
      </c>
      <c r="B72" s="32">
        <v>1</v>
      </c>
      <c r="C72" s="33">
        <v>1</v>
      </c>
      <c r="D72" s="35">
        <v>1</v>
      </c>
      <c r="E72" s="35">
        <v>-1</v>
      </c>
      <c r="G72">
        <f>Table256[[#This Row],[signal_eom (xl)]]-Table256[[#This Row],[signal_eom (py)]]</f>
        <v>0</v>
      </c>
      <c r="H72">
        <f>Table256[[#This Row],[signal_som (xl)]]-Table256[[#This Row],[signal_som (py)]]</f>
        <v>2</v>
      </c>
    </row>
    <row r="73" spans="1:8" x14ac:dyDescent="0.25">
      <c r="A73" s="14">
        <v>39630</v>
      </c>
      <c r="B73" s="32">
        <v>-1</v>
      </c>
      <c r="C73" s="33">
        <v>-1</v>
      </c>
      <c r="D73" s="35">
        <v>-1</v>
      </c>
      <c r="E73" s="35">
        <v>1</v>
      </c>
      <c r="G73">
        <f>Table256[[#This Row],[signal_eom (xl)]]-Table256[[#This Row],[signal_eom (py)]]</f>
        <v>0</v>
      </c>
      <c r="H73">
        <f>Table256[[#This Row],[signal_som (xl)]]-Table256[[#This Row],[signal_som (py)]]</f>
        <v>-2</v>
      </c>
    </row>
    <row r="74" spans="1:8" x14ac:dyDescent="0.25">
      <c r="A74" s="14">
        <v>39661</v>
      </c>
      <c r="B74" s="32">
        <v>1</v>
      </c>
      <c r="C74" s="33">
        <v>1</v>
      </c>
      <c r="D74" s="35">
        <v>1</v>
      </c>
      <c r="E74" s="35">
        <v>-1</v>
      </c>
      <c r="G74">
        <f>Table256[[#This Row],[signal_eom (xl)]]-Table256[[#This Row],[signal_eom (py)]]</f>
        <v>0</v>
      </c>
      <c r="H74">
        <f>Table256[[#This Row],[signal_som (xl)]]-Table256[[#This Row],[signal_som (py)]]</f>
        <v>2</v>
      </c>
    </row>
    <row r="75" spans="1:8" x14ac:dyDescent="0.25">
      <c r="A75" s="14">
        <v>39692</v>
      </c>
      <c r="B75" s="32">
        <v>1</v>
      </c>
      <c r="C75" s="33">
        <v>-1</v>
      </c>
      <c r="D75" s="35">
        <v>1</v>
      </c>
      <c r="E75" s="35">
        <v>-1</v>
      </c>
      <c r="G75">
        <f>Table256[[#This Row],[signal_eom (xl)]]-Table256[[#This Row],[signal_eom (py)]]</f>
        <v>0</v>
      </c>
      <c r="H75">
        <f>Table256[[#This Row],[signal_som (xl)]]-Table256[[#This Row],[signal_som (py)]]</f>
        <v>0</v>
      </c>
    </row>
    <row r="76" spans="1:8" x14ac:dyDescent="0.25">
      <c r="A76" s="14">
        <v>39722</v>
      </c>
      <c r="B76" s="32">
        <v>1</v>
      </c>
      <c r="C76" s="33">
        <v>-1</v>
      </c>
      <c r="D76" s="35">
        <v>1</v>
      </c>
      <c r="E76" s="35">
        <v>-1</v>
      </c>
      <c r="G76">
        <f>Table256[[#This Row],[signal_eom (xl)]]-Table256[[#This Row],[signal_eom (py)]]</f>
        <v>0</v>
      </c>
      <c r="H76">
        <f>Table256[[#This Row],[signal_som (xl)]]-Table256[[#This Row],[signal_som (py)]]</f>
        <v>0</v>
      </c>
    </row>
    <row r="77" spans="1:8" x14ac:dyDescent="0.25">
      <c r="A77" s="14">
        <v>39753</v>
      </c>
      <c r="B77" s="32">
        <v>1</v>
      </c>
      <c r="C77" s="33">
        <v>-1</v>
      </c>
      <c r="D77" s="35">
        <v>1</v>
      </c>
      <c r="E77" s="35">
        <v>-1</v>
      </c>
      <c r="G77">
        <f>Table256[[#This Row],[signal_eom (xl)]]-Table256[[#This Row],[signal_eom (py)]]</f>
        <v>0</v>
      </c>
      <c r="H77">
        <f>Table256[[#This Row],[signal_som (xl)]]-Table256[[#This Row],[signal_som (py)]]</f>
        <v>0</v>
      </c>
    </row>
    <row r="78" spans="1:8" x14ac:dyDescent="0.25">
      <c r="A78" s="14">
        <v>39783</v>
      </c>
      <c r="B78" s="32">
        <v>1</v>
      </c>
      <c r="C78" s="33">
        <v>-1</v>
      </c>
      <c r="D78" s="35">
        <v>1</v>
      </c>
      <c r="E78" s="35">
        <v>-1</v>
      </c>
      <c r="G78">
        <f>Table256[[#This Row],[signal_eom (xl)]]-Table256[[#This Row],[signal_eom (py)]]</f>
        <v>0</v>
      </c>
      <c r="H78">
        <f>Table256[[#This Row],[signal_som (xl)]]-Table256[[#This Row],[signal_som (py)]]</f>
        <v>0</v>
      </c>
    </row>
    <row r="79" spans="1:8" x14ac:dyDescent="0.25">
      <c r="A79" s="14">
        <v>39814</v>
      </c>
      <c r="B79" s="32">
        <v>-1</v>
      </c>
      <c r="C79" s="33">
        <v>-1</v>
      </c>
      <c r="D79" s="35">
        <v>-1</v>
      </c>
      <c r="E79" s="35">
        <v>1</v>
      </c>
      <c r="G79">
        <f>Table256[[#This Row],[signal_eom (xl)]]-Table256[[#This Row],[signal_eom (py)]]</f>
        <v>0</v>
      </c>
      <c r="H79">
        <f>Table256[[#This Row],[signal_som (xl)]]-Table256[[#This Row],[signal_som (py)]]</f>
        <v>-2</v>
      </c>
    </row>
    <row r="80" spans="1:8" x14ac:dyDescent="0.25">
      <c r="A80" s="14">
        <v>39845</v>
      </c>
      <c r="B80" s="32">
        <v>1</v>
      </c>
      <c r="C80" s="33">
        <v>1</v>
      </c>
      <c r="D80" s="35">
        <v>1</v>
      </c>
      <c r="E80" s="35">
        <v>-1</v>
      </c>
      <c r="G80">
        <f>Table256[[#This Row],[signal_eom (xl)]]-Table256[[#This Row],[signal_eom (py)]]</f>
        <v>0</v>
      </c>
      <c r="H80">
        <f>Table256[[#This Row],[signal_som (xl)]]-Table256[[#This Row],[signal_som (py)]]</f>
        <v>2</v>
      </c>
    </row>
    <row r="81" spans="1:8" x14ac:dyDescent="0.25">
      <c r="A81" s="14">
        <v>39873</v>
      </c>
      <c r="B81" s="32">
        <v>-1</v>
      </c>
      <c r="C81" s="33">
        <v>-1</v>
      </c>
      <c r="D81" s="35">
        <v>-1</v>
      </c>
      <c r="E81" s="35">
        <v>1</v>
      </c>
      <c r="G81">
        <f>Table256[[#This Row],[signal_eom (xl)]]-Table256[[#This Row],[signal_eom (py)]]</f>
        <v>0</v>
      </c>
      <c r="H81">
        <f>Table256[[#This Row],[signal_som (xl)]]-Table256[[#This Row],[signal_som (py)]]</f>
        <v>-2</v>
      </c>
    </row>
    <row r="82" spans="1:8" x14ac:dyDescent="0.25">
      <c r="A82" s="14">
        <v>39904</v>
      </c>
      <c r="B82" s="32">
        <v>-1</v>
      </c>
      <c r="C82" s="33">
        <v>1</v>
      </c>
      <c r="D82" s="35">
        <v>-1</v>
      </c>
      <c r="E82" s="35">
        <v>1</v>
      </c>
      <c r="G82">
        <f>Table256[[#This Row],[signal_eom (xl)]]-Table256[[#This Row],[signal_eom (py)]]</f>
        <v>0</v>
      </c>
      <c r="H82">
        <f>Table256[[#This Row],[signal_som (xl)]]-Table256[[#This Row],[signal_som (py)]]</f>
        <v>0</v>
      </c>
    </row>
    <row r="83" spans="1:8" x14ac:dyDescent="0.25">
      <c r="A83" s="14">
        <v>39934</v>
      </c>
      <c r="B83" s="32">
        <v>-1</v>
      </c>
      <c r="C83" s="33">
        <v>1</v>
      </c>
      <c r="D83" s="35">
        <v>-1</v>
      </c>
      <c r="E83" s="35">
        <v>1</v>
      </c>
      <c r="G83">
        <f>Table256[[#This Row],[signal_eom (xl)]]-Table256[[#This Row],[signal_eom (py)]]</f>
        <v>0</v>
      </c>
      <c r="H83">
        <f>Table256[[#This Row],[signal_som (xl)]]-Table256[[#This Row],[signal_som (py)]]</f>
        <v>0</v>
      </c>
    </row>
    <row r="84" spans="1:8" x14ac:dyDescent="0.25">
      <c r="A84" s="14">
        <v>39965</v>
      </c>
      <c r="B84" s="32">
        <v>-1</v>
      </c>
      <c r="C84" s="33">
        <v>1</v>
      </c>
      <c r="D84" s="35">
        <v>-1</v>
      </c>
      <c r="E84" s="35">
        <v>1</v>
      </c>
      <c r="G84">
        <f>Table256[[#This Row],[signal_eom (xl)]]-Table256[[#This Row],[signal_eom (py)]]</f>
        <v>0</v>
      </c>
      <c r="H84">
        <f>Table256[[#This Row],[signal_som (xl)]]-Table256[[#This Row],[signal_som (py)]]</f>
        <v>0</v>
      </c>
    </row>
    <row r="85" spans="1:8" x14ac:dyDescent="0.25">
      <c r="A85" s="14">
        <v>39995</v>
      </c>
      <c r="B85" s="32">
        <v>-1</v>
      </c>
      <c r="C85" s="33">
        <v>1</v>
      </c>
      <c r="D85" s="35">
        <v>-1</v>
      </c>
      <c r="E85" s="35">
        <v>1</v>
      </c>
      <c r="G85">
        <f>Table256[[#This Row],[signal_eom (xl)]]-Table256[[#This Row],[signal_eom (py)]]</f>
        <v>0</v>
      </c>
      <c r="H85">
        <f>Table256[[#This Row],[signal_som (xl)]]-Table256[[#This Row],[signal_som (py)]]</f>
        <v>0</v>
      </c>
    </row>
    <row r="86" spans="1:8" x14ac:dyDescent="0.25">
      <c r="A86" s="14">
        <v>40026</v>
      </c>
      <c r="B86" s="32">
        <v>-1</v>
      </c>
      <c r="C86" s="33">
        <v>1</v>
      </c>
      <c r="D86" s="35">
        <v>-1</v>
      </c>
      <c r="E86" s="35">
        <v>1</v>
      </c>
      <c r="G86">
        <f>Table256[[#This Row],[signal_eom (xl)]]-Table256[[#This Row],[signal_eom (py)]]</f>
        <v>0</v>
      </c>
      <c r="H86">
        <f>Table256[[#This Row],[signal_som (xl)]]-Table256[[#This Row],[signal_som (py)]]</f>
        <v>0</v>
      </c>
    </row>
    <row r="87" spans="1:8" x14ac:dyDescent="0.25">
      <c r="A87" s="14">
        <v>40057</v>
      </c>
      <c r="B87" s="32">
        <v>-1</v>
      </c>
      <c r="C87" s="33">
        <v>1</v>
      </c>
      <c r="D87" s="35">
        <v>-1</v>
      </c>
      <c r="E87" s="35">
        <v>1</v>
      </c>
      <c r="G87">
        <f>Table256[[#This Row],[signal_eom (xl)]]-Table256[[#This Row],[signal_eom (py)]]</f>
        <v>0</v>
      </c>
      <c r="H87">
        <f>Table256[[#This Row],[signal_som (xl)]]-Table256[[#This Row],[signal_som (py)]]</f>
        <v>0</v>
      </c>
    </row>
    <row r="88" spans="1:8" x14ac:dyDescent="0.25">
      <c r="A88" s="14">
        <v>40087</v>
      </c>
      <c r="B88" s="32">
        <v>-1</v>
      </c>
      <c r="C88" s="33">
        <v>1</v>
      </c>
      <c r="D88" s="35">
        <v>-1</v>
      </c>
      <c r="E88" s="35">
        <v>1</v>
      </c>
      <c r="G88">
        <f>Table256[[#This Row],[signal_eom (xl)]]-Table256[[#This Row],[signal_eom (py)]]</f>
        <v>0</v>
      </c>
      <c r="H88">
        <f>Table256[[#This Row],[signal_som (xl)]]-Table256[[#This Row],[signal_som (py)]]</f>
        <v>0</v>
      </c>
    </row>
    <row r="89" spans="1:8" x14ac:dyDescent="0.25">
      <c r="A89" s="14">
        <v>40118</v>
      </c>
      <c r="B89" s="32">
        <v>-1</v>
      </c>
      <c r="C89" s="33">
        <v>1</v>
      </c>
      <c r="D89" s="35">
        <v>-1</v>
      </c>
      <c r="E89" s="35">
        <v>1</v>
      </c>
      <c r="G89">
        <f>Table256[[#This Row],[signal_eom (xl)]]-Table256[[#This Row],[signal_eom (py)]]</f>
        <v>0</v>
      </c>
      <c r="H89">
        <f>Table256[[#This Row],[signal_som (xl)]]-Table256[[#This Row],[signal_som (py)]]</f>
        <v>0</v>
      </c>
    </row>
    <row r="90" spans="1:8" x14ac:dyDescent="0.25">
      <c r="A90" s="14">
        <v>40148</v>
      </c>
      <c r="B90" s="32">
        <v>-1</v>
      </c>
      <c r="C90" s="33">
        <v>1</v>
      </c>
      <c r="D90" s="35">
        <v>-1</v>
      </c>
      <c r="E90" s="35">
        <v>1</v>
      </c>
      <c r="G90">
        <f>Table256[[#This Row],[signal_eom (xl)]]-Table256[[#This Row],[signal_eom (py)]]</f>
        <v>0</v>
      </c>
      <c r="H90">
        <f>Table256[[#This Row],[signal_som (xl)]]-Table256[[#This Row],[signal_som (py)]]</f>
        <v>0</v>
      </c>
    </row>
    <row r="91" spans="1:8" x14ac:dyDescent="0.25">
      <c r="A91" s="14">
        <v>40179</v>
      </c>
      <c r="B91" s="32">
        <v>1</v>
      </c>
      <c r="C91" s="33">
        <v>1</v>
      </c>
      <c r="D91" s="35">
        <v>1</v>
      </c>
      <c r="E91" s="35">
        <v>-1</v>
      </c>
      <c r="G91">
        <f>Table256[[#This Row],[signal_eom (xl)]]-Table256[[#This Row],[signal_eom (py)]]</f>
        <v>0</v>
      </c>
      <c r="H91">
        <f>Table256[[#This Row],[signal_som (xl)]]-Table256[[#This Row],[signal_som (py)]]</f>
        <v>2</v>
      </c>
    </row>
    <row r="92" spans="1:8" x14ac:dyDescent="0.25">
      <c r="A92" s="14">
        <v>40210</v>
      </c>
      <c r="B92" s="32">
        <v>-1</v>
      </c>
      <c r="C92" s="33">
        <v>-1</v>
      </c>
      <c r="D92" s="35">
        <v>-1</v>
      </c>
      <c r="E92" s="35">
        <v>1</v>
      </c>
      <c r="G92">
        <f>Table256[[#This Row],[signal_eom (xl)]]-Table256[[#This Row],[signal_eom (py)]]</f>
        <v>0</v>
      </c>
      <c r="H92">
        <f>Table256[[#This Row],[signal_som (xl)]]-Table256[[#This Row],[signal_som (py)]]</f>
        <v>-2</v>
      </c>
    </row>
    <row r="93" spans="1:8" x14ac:dyDescent="0.25">
      <c r="A93" s="14">
        <v>40238</v>
      </c>
      <c r="B93" s="32">
        <v>-1</v>
      </c>
      <c r="C93" s="33">
        <v>1</v>
      </c>
      <c r="D93" s="35">
        <v>-1</v>
      </c>
      <c r="E93" s="35">
        <v>1</v>
      </c>
      <c r="G93">
        <f>Table256[[#This Row],[signal_eom (xl)]]-Table256[[#This Row],[signal_eom (py)]]</f>
        <v>0</v>
      </c>
      <c r="H93">
        <f>Table256[[#This Row],[signal_som (xl)]]-Table256[[#This Row],[signal_som (py)]]</f>
        <v>0</v>
      </c>
    </row>
    <row r="94" spans="1:8" x14ac:dyDescent="0.25">
      <c r="A94" s="14">
        <v>40269</v>
      </c>
      <c r="B94" s="32">
        <v>-1</v>
      </c>
      <c r="C94" s="33">
        <v>1</v>
      </c>
      <c r="D94" s="35">
        <v>-1</v>
      </c>
      <c r="E94" s="35">
        <v>1</v>
      </c>
      <c r="G94">
        <f>Table256[[#This Row],[signal_eom (xl)]]-Table256[[#This Row],[signal_eom (py)]]</f>
        <v>0</v>
      </c>
      <c r="H94">
        <f>Table256[[#This Row],[signal_som (xl)]]-Table256[[#This Row],[signal_som (py)]]</f>
        <v>0</v>
      </c>
    </row>
    <row r="95" spans="1:8" x14ac:dyDescent="0.25">
      <c r="A95" s="14">
        <v>40299</v>
      </c>
      <c r="B95" s="32">
        <v>1</v>
      </c>
      <c r="C95" s="33">
        <v>1</v>
      </c>
      <c r="D95" s="35">
        <v>1</v>
      </c>
      <c r="E95" s="35">
        <v>-1</v>
      </c>
      <c r="G95">
        <f>Table256[[#This Row],[signal_eom (xl)]]-Table256[[#This Row],[signal_eom (py)]]</f>
        <v>0</v>
      </c>
      <c r="H95">
        <f>Table256[[#This Row],[signal_som (xl)]]-Table256[[#This Row],[signal_som (py)]]</f>
        <v>2</v>
      </c>
    </row>
    <row r="96" spans="1:8" x14ac:dyDescent="0.25">
      <c r="A96" s="14">
        <v>40330</v>
      </c>
      <c r="B96" s="32">
        <v>-1</v>
      </c>
      <c r="C96" s="33">
        <v>-1</v>
      </c>
      <c r="D96" s="35">
        <v>-1</v>
      </c>
      <c r="E96" s="35">
        <v>1</v>
      </c>
      <c r="G96">
        <f>Table256[[#This Row],[signal_eom (xl)]]-Table256[[#This Row],[signal_eom (py)]]</f>
        <v>0</v>
      </c>
      <c r="H96">
        <f>Table256[[#This Row],[signal_som (xl)]]-Table256[[#This Row],[signal_som (py)]]</f>
        <v>-2</v>
      </c>
    </row>
    <row r="97" spans="1:8" x14ac:dyDescent="0.25">
      <c r="A97" s="14">
        <v>40360</v>
      </c>
      <c r="B97" s="32">
        <v>-1</v>
      </c>
      <c r="C97" s="33">
        <v>1</v>
      </c>
      <c r="D97" s="35">
        <v>-1</v>
      </c>
      <c r="E97" s="35">
        <v>1</v>
      </c>
      <c r="G97">
        <f>Table256[[#This Row],[signal_eom (xl)]]-Table256[[#This Row],[signal_eom (py)]]</f>
        <v>0</v>
      </c>
      <c r="H97">
        <f>Table256[[#This Row],[signal_som (xl)]]-Table256[[#This Row],[signal_som (py)]]</f>
        <v>0</v>
      </c>
    </row>
    <row r="98" spans="1:8" x14ac:dyDescent="0.25">
      <c r="A98" s="14">
        <v>40391</v>
      </c>
      <c r="B98" s="32">
        <v>1</v>
      </c>
      <c r="C98" s="33">
        <v>1</v>
      </c>
      <c r="D98" s="35">
        <v>1</v>
      </c>
      <c r="E98" s="35">
        <v>-1</v>
      </c>
      <c r="G98">
        <f>Table256[[#This Row],[signal_eom (xl)]]-Table256[[#This Row],[signal_eom (py)]]</f>
        <v>0</v>
      </c>
      <c r="H98">
        <f>Table256[[#This Row],[signal_som (xl)]]-Table256[[#This Row],[signal_som (py)]]</f>
        <v>2</v>
      </c>
    </row>
    <row r="99" spans="1:8" x14ac:dyDescent="0.25">
      <c r="A99" s="14">
        <v>40422</v>
      </c>
      <c r="B99" s="32">
        <v>-1</v>
      </c>
      <c r="C99" s="33">
        <v>-1</v>
      </c>
      <c r="D99" s="35">
        <v>-1</v>
      </c>
      <c r="E99" s="35">
        <v>1</v>
      </c>
      <c r="G99">
        <f>Table256[[#This Row],[signal_eom (xl)]]-Table256[[#This Row],[signal_eom (py)]]</f>
        <v>0</v>
      </c>
      <c r="H99">
        <f>Table256[[#This Row],[signal_som (xl)]]-Table256[[#This Row],[signal_som (py)]]</f>
        <v>-2</v>
      </c>
    </row>
    <row r="100" spans="1:8" x14ac:dyDescent="0.25">
      <c r="A100" s="14">
        <v>40452</v>
      </c>
      <c r="B100" s="32">
        <v>-1</v>
      </c>
      <c r="C100" s="33">
        <v>1</v>
      </c>
      <c r="D100" s="35">
        <v>-1</v>
      </c>
      <c r="E100" s="35">
        <v>1</v>
      </c>
      <c r="G100">
        <f>Table256[[#This Row],[signal_eom (xl)]]-Table256[[#This Row],[signal_eom (py)]]</f>
        <v>0</v>
      </c>
      <c r="H100">
        <f>Table256[[#This Row],[signal_som (xl)]]-Table256[[#This Row],[signal_som (py)]]</f>
        <v>0</v>
      </c>
    </row>
    <row r="101" spans="1:8" x14ac:dyDescent="0.25">
      <c r="A101" s="14">
        <v>40483</v>
      </c>
      <c r="B101" s="32">
        <v>-1</v>
      </c>
      <c r="C101" s="33">
        <v>1</v>
      </c>
      <c r="D101" s="35">
        <v>-1</v>
      </c>
      <c r="E101" s="35">
        <v>1</v>
      </c>
      <c r="G101">
        <f>Table256[[#This Row],[signal_eom (xl)]]-Table256[[#This Row],[signal_eom (py)]]</f>
        <v>0</v>
      </c>
      <c r="H101">
        <f>Table256[[#This Row],[signal_som (xl)]]-Table256[[#This Row],[signal_som (py)]]</f>
        <v>0</v>
      </c>
    </row>
    <row r="102" spans="1:8" x14ac:dyDescent="0.25">
      <c r="A102" s="14">
        <v>40513</v>
      </c>
      <c r="B102" s="32">
        <v>-1</v>
      </c>
      <c r="C102" s="33">
        <v>1</v>
      </c>
      <c r="D102" s="35">
        <v>-1</v>
      </c>
      <c r="E102" s="35">
        <v>1</v>
      </c>
      <c r="G102">
        <f>Table256[[#This Row],[signal_eom (xl)]]-Table256[[#This Row],[signal_eom (py)]]</f>
        <v>0</v>
      </c>
      <c r="H102">
        <f>Table256[[#This Row],[signal_som (xl)]]-Table256[[#This Row],[signal_som (py)]]</f>
        <v>0</v>
      </c>
    </row>
    <row r="103" spans="1:8" x14ac:dyDescent="0.25">
      <c r="A103" s="14">
        <v>40544</v>
      </c>
      <c r="B103" s="32">
        <v>-1</v>
      </c>
      <c r="C103" s="33">
        <v>1</v>
      </c>
      <c r="D103" s="35">
        <v>-1</v>
      </c>
      <c r="E103" s="35">
        <v>1</v>
      </c>
      <c r="G103">
        <f>Table256[[#This Row],[signal_eom (xl)]]-Table256[[#This Row],[signal_eom (py)]]</f>
        <v>0</v>
      </c>
      <c r="H103">
        <f>Table256[[#This Row],[signal_som (xl)]]-Table256[[#This Row],[signal_som (py)]]</f>
        <v>0</v>
      </c>
    </row>
    <row r="104" spans="1:8" x14ac:dyDescent="0.25">
      <c r="A104" s="14">
        <v>40575</v>
      </c>
      <c r="B104" s="32">
        <v>-1</v>
      </c>
      <c r="C104" s="33">
        <v>1</v>
      </c>
      <c r="D104" s="35">
        <v>-1</v>
      </c>
      <c r="E104" s="35">
        <v>1</v>
      </c>
      <c r="G104">
        <f>Table256[[#This Row],[signal_eom (xl)]]-Table256[[#This Row],[signal_eom (py)]]</f>
        <v>0</v>
      </c>
      <c r="H104">
        <f>Table256[[#This Row],[signal_som (xl)]]-Table256[[#This Row],[signal_som (py)]]</f>
        <v>0</v>
      </c>
    </row>
    <row r="105" spans="1:8" x14ac:dyDescent="0.25">
      <c r="A105" s="14">
        <v>40603</v>
      </c>
      <c r="B105" s="32">
        <v>1</v>
      </c>
      <c r="C105" s="33">
        <v>1</v>
      </c>
      <c r="D105" s="35">
        <v>1</v>
      </c>
      <c r="E105" s="35">
        <v>-1</v>
      </c>
      <c r="G105">
        <f>Table256[[#This Row],[signal_eom (xl)]]-Table256[[#This Row],[signal_eom (py)]]</f>
        <v>0</v>
      </c>
      <c r="H105">
        <f>Table256[[#This Row],[signal_som (xl)]]-Table256[[#This Row],[signal_som (py)]]</f>
        <v>2</v>
      </c>
    </row>
    <row r="106" spans="1:8" x14ac:dyDescent="0.25">
      <c r="A106" s="14">
        <v>40634</v>
      </c>
      <c r="B106" s="32">
        <v>1</v>
      </c>
      <c r="C106" s="33">
        <v>-1</v>
      </c>
      <c r="D106" s="35">
        <v>1</v>
      </c>
      <c r="E106" s="35">
        <v>-1</v>
      </c>
      <c r="G106">
        <f>Table256[[#This Row],[signal_eom (xl)]]-Table256[[#This Row],[signal_eom (py)]]</f>
        <v>0</v>
      </c>
      <c r="H106">
        <f>Table256[[#This Row],[signal_som (xl)]]-Table256[[#This Row],[signal_som (py)]]</f>
        <v>0</v>
      </c>
    </row>
    <row r="107" spans="1:8" x14ac:dyDescent="0.25">
      <c r="A107" s="14">
        <v>40664</v>
      </c>
      <c r="B107" s="32">
        <v>1</v>
      </c>
      <c r="C107" s="33">
        <v>-1</v>
      </c>
      <c r="D107" s="35">
        <v>1</v>
      </c>
      <c r="E107" s="35">
        <v>-1</v>
      </c>
      <c r="G107">
        <f>Table256[[#This Row],[signal_eom (xl)]]-Table256[[#This Row],[signal_eom (py)]]</f>
        <v>0</v>
      </c>
      <c r="H107">
        <f>Table256[[#This Row],[signal_som (xl)]]-Table256[[#This Row],[signal_som (py)]]</f>
        <v>0</v>
      </c>
    </row>
    <row r="108" spans="1:8" x14ac:dyDescent="0.25">
      <c r="A108" s="14">
        <v>40695</v>
      </c>
      <c r="B108" s="32">
        <v>1</v>
      </c>
      <c r="C108" s="33">
        <v>-1</v>
      </c>
      <c r="D108" s="35">
        <v>1</v>
      </c>
      <c r="E108" s="35">
        <v>-1</v>
      </c>
      <c r="G108">
        <f>Table256[[#This Row],[signal_eom (xl)]]-Table256[[#This Row],[signal_eom (py)]]</f>
        <v>0</v>
      </c>
      <c r="H108">
        <f>Table256[[#This Row],[signal_som (xl)]]-Table256[[#This Row],[signal_som (py)]]</f>
        <v>0</v>
      </c>
    </row>
    <row r="109" spans="1:8" x14ac:dyDescent="0.25">
      <c r="A109" s="14">
        <v>40725</v>
      </c>
      <c r="B109" s="32">
        <v>1</v>
      </c>
      <c r="C109" s="33">
        <v>-1</v>
      </c>
      <c r="D109" s="35">
        <v>1</v>
      </c>
      <c r="E109" s="35">
        <v>-1</v>
      </c>
      <c r="G109">
        <f>Table256[[#This Row],[signal_eom (xl)]]-Table256[[#This Row],[signal_eom (py)]]</f>
        <v>0</v>
      </c>
      <c r="H109">
        <f>Table256[[#This Row],[signal_som (xl)]]-Table256[[#This Row],[signal_som (py)]]</f>
        <v>0</v>
      </c>
    </row>
    <row r="110" spans="1:8" x14ac:dyDescent="0.25">
      <c r="A110" s="14">
        <v>40756</v>
      </c>
      <c r="B110" s="32">
        <v>1</v>
      </c>
      <c r="C110" s="33">
        <v>-1</v>
      </c>
      <c r="D110" s="35">
        <v>1</v>
      </c>
      <c r="E110" s="35">
        <v>-1</v>
      </c>
      <c r="G110">
        <f>Table256[[#This Row],[signal_eom (xl)]]-Table256[[#This Row],[signal_eom (py)]]</f>
        <v>0</v>
      </c>
      <c r="H110">
        <f>Table256[[#This Row],[signal_som (xl)]]-Table256[[#This Row],[signal_som (py)]]</f>
        <v>0</v>
      </c>
    </row>
    <row r="111" spans="1:8" x14ac:dyDescent="0.25">
      <c r="A111" s="14">
        <v>40787</v>
      </c>
      <c r="B111" s="32">
        <v>1</v>
      </c>
      <c r="C111" s="33">
        <v>-1</v>
      </c>
      <c r="D111" s="35">
        <v>1</v>
      </c>
      <c r="E111" s="35">
        <v>-1</v>
      </c>
      <c r="G111">
        <f>Table256[[#This Row],[signal_eom (xl)]]-Table256[[#This Row],[signal_eom (py)]]</f>
        <v>0</v>
      </c>
      <c r="H111">
        <f>Table256[[#This Row],[signal_som (xl)]]-Table256[[#This Row],[signal_som (py)]]</f>
        <v>0</v>
      </c>
    </row>
    <row r="112" spans="1:8" x14ac:dyDescent="0.25">
      <c r="A112" s="14">
        <v>40817</v>
      </c>
      <c r="B112" s="32">
        <v>-1</v>
      </c>
      <c r="C112" s="33">
        <v>-1</v>
      </c>
      <c r="D112" s="35">
        <v>-1</v>
      </c>
      <c r="E112" s="35">
        <v>1</v>
      </c>
      <c r="G112">
        <f>Table256[[#This Row],[signal_eom (xl)]]-Table256[[#This Row],[signal_eom (py)]]</f>
        <v>0</v>
      </c>
      <c r="H112">
        <f>Table256[[#This Row],[signal_som (xl)]]-Table256[[#This Row],[signal_som (py)]]</f>
        <v>-2</v>
      </c>
    </row>
    <row r="113" spans="1:8" x14ac:dyDescent="0.25">
      <c r="A113" s="14">
        <v>40848</v>
      </c>
      <c r="B113" s="32">
        <v>1</v>
      </c>
      <c r="C113" s="33">
        <v>1</v>
      </c>
      <c r="D113" s="35">
        <v>1</v>
      </c>
      <c r="E113" s="35">
        <v>-1</v>
      </c>
      <c r="G113">
        <f>Table256[[#This Row],[signal_eom (xl)]]-Table256[[#This Row],[signal_eom (py)]]</f>
        <v>0</v>
      </c>
      <c r="H113">
        <f>Table256[[#This Row],[signal_som (xl)]]-Table256[[#This Row],[signal_som (py)]]</f>
        <v>2</v>
      </c>
    </row>
    <row r="114" spans="1:8" x14ac:dyDescent="0.25">
      <c r="A114" s="14">
        <v>40878</v>
      </c>
      <c r="B114" s="32">
        <v>1</v>
      </c>
      <c r="C114" s="33">
        <v>-1</v>
      </c>
      <c r="D114" s="35">
        <v>1</v>
      </c>
      <c r="E114" s="35">
        <v>-1</v>
      </c>
      <c r="G114">
        <f>Table256[[#This Row],[signal_eom (xl)]]-Table256[[#This Row],[signal_eom (py)]]</f>
        <v>0</v>
      </c>
      <c r="H114">
        <f>Table256[[#This Row],[signal_som (xl)]]-Table256[[#This Row],[signal_som (py)]]</f>
        <v>0</v>
      </c>
    </row>
    <row r="115" spans="1:8" x14ac:dyDescent="0.25">
      <c r="A115" s="14">
        <v>40909</v>
      </c>
      <c r="B115" s="32">
        <v>-1</v>
      </c>
      <c r="C115" s="33">
        <v>-1</v>
      </c>
      <c r="D115" s="35">
        <v>-1</v>
      </c>
      <c r="E115" s="35">
        <v>1</v>
      </c>
      <c r="G115">
        <f>Table256[[#This Row],[signal_eom (xl)]]-Table256[[#This Row],[signal_eom (py)]]</f>
        <v>0</v>
      </c>
      <c r="H115">
        <f>Table256[[#This Row],[signal_som (xl)]]-Table256[[#This Row],[signal_som (py)]]</f>
        <v>-2</v>
      </c>
    </row>
    <row r="116" spans="1:8" x14ac:dyDescent="0.25">
      <c r="A116" s="14">
        <v>40940</v>
      </c>
      <c r="B116" s="32">
        <v>-1</v>
      </c>
      <c r="C116" s="33">
        <v>1</v>
      </c>
      <c r="D116" s="35">
        <v>-1</v>
      </c>
      <c r="E116" s="35">
        <v>1</v>
      </c>
      <c r="G116">
        <f>Table256[[#This Row],[signal_eom (xl)]]-Table256[[#This Row],[signal_eom (py)]]</f>
        <v>0</v>
      </c>
      <c r="H116">
        <f>Table256[[#This Row],[signal_som (xl)]]-Table256[[#This Row],[signal_som (py)]]</f>
        <v>0</v>
      </c>
    </row>
    <row r="117" spans="1:8" x14ac:dyDescent="0.25">
      <c r="A117" s="14">
        <v>40969</v>
      </c>
      <c r="B117" s="32">
        <v>-1</v>
      </c>
      <c r="C117" s="33">
        <v>1</v>
      </c>
      <c r="D117" s="35">
        <v>-1</v>
      </c>
      <c r="E117" s="35">
        <v>1</v>
      </c>
      <c r="G117">
        <f>Table256[[#This Row],[signal_eom (xl)]]-Table256[[#This Row],[signal_eom (py)]]</f>
        <v>0</v>
      </c>
      <c r="H117">
        <f>Table256[[#This Row],[signal_som (xl)]]-Table256[[#This Row],[signal_som (py)]]</f>
        <v>0</v>
      </c>
    </row>
    <row r="118" spans="1:8" x14ac:dyDescent="0.25">
      <c r="A118" s="14">
        <v>41000</v>
      </c>
      <c r="B118" s="32">
        <v>1</v>
      </c>
      <c r="C118" s="33">
        <v>1</v>
      </c>
      <c r="D118" s="35">
        <v>1</v>
      </c>
      <c r="E118" s="35">
        <v>-1</v>
      </c>
      <c r="G118">
        <f>Table256[[#This Row],[signal_eom (xl)]]-Table256[[#This Row],[signal_eom (py)]]</f>
        <v>0</v>
      </c>
      <c r="H118">
        <f>Table256[[#This Row],[signal_som (xl)]]-Table256[[#This Row],[signal_som (py)]]</f>
        <v>2</v>
      </c>
    </row>
    <row r="119" spans="1:8" x14ac:dyDescent="0.25">
      <c r="A119" s="14">
        <v>41030</v>
      </c>
      <c r="B119" s="32">
        <v>1</v>
      </c>
      <c r="C119" s="33">
        <v>-1</v>
      </c>
      <c r="D119" s="35">
        <v>1</v>
      </c>
      <c r="E119" s="35">
        <v>-1</v>
      </c>
      <c r="G119">
        <f>Table256[[#This Row],[signal_eom (xl)]]-Table256[[#This Row],[signal_eom (py)]]</f>
        <v>0</v>
      </c>
      <c r="H119">
        <f>Table256[[#This Row],[signal_som (xl)]]-Table256[[#This Row],[signal_som (py)]]</f>
        <v>0</v>
      </c>
    </row>
    <row r="120" spans="1:8" x14ac:dyDescent="0.25">
      <c r="A120" s="14">
        <v>41061</v>
      </c>
      <c r="B120" s="32">
        <v>-1</v>
      </c>
      <c r="C120" s="33">
        <v>-1</v>
      </c>
      <c r="D120" s="35">
        <v>-1</v>
      </c>
      <c r="E120" s="35">
        <v>1</v>
      </c>
      <c r="G120">
        <f>Table256[[#This Row],[signal_eom (xl)]]-Table256[[#This Row],[signal_eom (py)]]</f>
        <v>0</v>
      </c>
      <c r="H120">
        <f>Table256[[#This Row],[signal_som (xl)]]-Table256[[#This Row],[signal_som (py)]]</f>
        <v>-2</v>
      </c>
    </row>
    <row r="121" spans="1:8" x14ac:dyDescent="0.25">
      <c r="A121" s="14">
        <v>41091</v>
      </c>
      <c r="B121" s="32">
        <v>1</v>
      </c>
      <c r="C121" s="33">
        <v>1</v>
      </c>
      <c r="D121" s="35">
        <v>1</v>
      </c>
      <c r="E121" s="35">
        <v>-1</v>
      </c>
      <c r="G121">
        <f>Table256[[#This Row],[signal_eom (xl)]]-Table256[[#This Row],[signal_eom (py)]]</f>
        <v>0</v>
      </c>
      <c r="H121">
        <f>Table256[[#This Row],[signal_som (xl)]]-Table256[[#This Row],[signal_som (py)]]</f>
        <v>2</v>
      </c>
    </row>
    <row r="122" spans="1:8" x14ac:dyDescent="0.25">
      <c r="A122" s="14">
        <v>41122</v>
      </c>
      <c r="B122" s="32">
        <v>-1</v>
      </c>
      <c r="C122" s="33">
        <v>-1</v>
      </c>
      <c r="D122" s="35">
        <v>-1</v>
      </c>
      <c r="E122" s="35">
        <v>1</v>
      </c>
      <c r="G122">
        <f>Table256[[#This Row],[signal_eom (xl)]]-Table256[[#This Row],[signal_eom (py)]]</f>
        <v>0</v>
      </c>
      <c r="H122">
        <f>Table256[[#This Row],[signal_som (xl)]]-Table256[[#This Row],[signal_som (py)]]</f>
        <v>-2</v>
      </c>
    </row>
    <row r="123" spans="1:8" x14ac:dyDescent="0.25">
      <c r="A123" s="14">
        <v>41153</v>
      </c>
      <c r="B123" s="32">
        <v>-1</v>
      </c>
      <c r="C123" s="33">
        <v>1</v>
      </c>
      <c r="D123" s="35">
        <v>-1</v>
      </c>
      <c r="E123" s="35">
        <v>1</v>
      </c>
      <c r="G123">
        <f>Table256[[#This Row],[signal_eom (xl)]]-Table256[[#This Row],[signal_eom (py)]]</f>
        <v>0</v>
      </c>
      <c r="H123">
        <f>Table256[[#This Row],[signal_som (xl)]]-Table256[[#This Row],[signal_som (py)]]</f>
        <v>0</v>
      </c>
    </row>
    <row r="124" spans="1:8" x14ac:dyDescent="0.25">
      <c r="A124" s="14">
        <v>41183</v>
      </c>
      <c r="B124" s="32">
        <v>-1</v>
      </c>
      <c r="C124" s="33">
        <v>1</v>
      </c>
      <c r="D124" s="35">
        <v>-1</v>
      </c>
      <c r="E124" s="35">
        <v>1</v>
      </c>
      <c r="G124">
        <f>Table256[[#This Row],[signal_eom (xl)]]-Table256[[#This Row],[signal_eom (py)]]</f>
        <v>0</v>
      </c>
      <c r="H124">
        <f>Table256[[#This Row],[signal_som (xl)]]-Table256[[#This Row],[signal_som (py)]]</f>
        <v>0</v>
      </c>
    </row>
    <row r="125" spans="1:8" x14ac:dyDescent="0.25">
      <c r="A125" s="14">
        <v>41214</v>
      </c>
      <c r="B125" s="32">
        <v>1</v>
      </c>
      <c r="C125" s="33">
        <v>1</v>
      </c>
      <c r="D125" s="35">
        <v>1</v>
      </c>
      <c r="E125" s="35">
        <v>-1</v>
      </c>
      <c r="G125">
        <f>Table256[[#This Row],[signal_eom (xl)]]-Table256[[#This Row],[signal_eom (py)]]</f>
        <v>0</v>
      </c>
      <c r="H125">
        <f>Table256[[#This Row],[signal_som (xl)]]-Table256[[#This Row],[signal_som (py)]]</f>
        <v>2</v>
      </c>
    </row>
    <row r="126" spans="1:8" x14ac:dyDescent="0.25">
      <c r="A126" s="14">
        <v>41244</v>
      </c>
      <c r="B126" s="32">
        <v>-1</v>
      </c>
      <c r="C126" s="33">
        <v>-1</v>
      </c>
      <c r="D126" s="35">
        <v>-1</v>
      </c>
      <c r="E126" s="35">
        <v>1</v>
      </c>
      <c r="G126">
        <f>Table256[[#This Row],[signal_eom (xl)]]-Table256[[#This Row],[signal_eom (py)]]</f>
        <v>0</v>
      </c>
      <c r="H126">
        <f>Table256[[#This Row],[signal_som (xl)]]-Table256[[#This Row],[signal_som (py)]]</f>
        <v>-2</v>
      </c>
    </row>
    <row r="127" spans="1:8" x14ac:dyDescent="0.25">
      <c r="A127" s="14">
        <v>41275</v>
      </c>
      <c r="B127" s="32">
        <v>-1</v>
      </c>
      <c r="C127" s="33">
        <v>1</v>
      </c>
      <c r="D127" s="35">
        <v>-1</v>
      </c>
      <c r="E127" s="35">
        <v>1</v>
      </c>
      <c r="G127">
        <f>Table256[[#This Row],[signal_eom (xl)]]-Table256[[#This Row],[signal_eom (py)]]</f>
        <v>0</v>
      </c>
      <c r="H127">
        <f>Table256[[#This Row],[signal_som (xl)]]-Table256[[#This Row],[signal_som (py)]]</f>
        <v>0</v>
      </c>
    </row>
    <row r="128" spans="1:8" x14ac:dyDescent="0.25">
      <c r="A128" s="14">
        <v>41306</v>
      </c>
      <c r="B128" s="32">
        <v>-1</v>
      </c>
      <c r="C128" s="33">
        <v>1</v>
      </c>
      <c r="D128" s="35">
        <v>-1</v>
      </c>
      <c r="E128" s="35">
        <v>1</v>
      </c>
      <c r="G128">
        <f>Table256[[#This Row],[signal_eom (xl)]]-Table256[[#This Row],[signal_eom (py)]]</f>
        <v>0</v>
      </c>
      <c r="H128">
        <f>Table256[[#This Row],[signal_som (xl)]]-Table256[[#This Row],[signal_som (py)]]</f>
        <v>0</v>
      </c>
    </row>
    <row r="129" spans="1:8" x14ac:dyDescent="0.25">
      <c r="A129" s="14">
        <v>41334</v>
      </c>
      <c r="B129" s="32">
        <v>-1</v>
      </c>
      <c r="C129" s="33">
        <v>1</v>
      </c>
      <c r="D129" s="35">
        <v>-1</v>
      </c>
      <c r="E129" s="35">
        <v>1</v>
      </c>
      <c r="G129">
        <f>Table256[[#This Row],[signal_eom (xl)]]-Table256[[#This Row],[signal_eom (py)]]</f>
        <v>0</v>
      </c>
      <c r="H129">
        <f>Table256[[#This Row],[signal_som (xl)]]-Table256[[#This Row],[signal_som (py)]]</f>
        <v>0</v>
      </c>
    </row>
    <row r="130" spans="1:8" x14ac:dyDescent="0.25">
      <c r="A130" s="14">
        <v>41365</v>
      </c>
      <c r="B130" s="32">
        <v>1</v>
      </c>
      <c r="C130" s="33">
        <v>1</v>
      </c>
      <c r="D130" s="35">
        <v>1</v>
      </c>
      <c r="E130" s="35">
        <v>-1</v>
      </c>
      <c r="G130">
        <f>Table256[[#This Row],[signal_eom (xl)]]-Table256[[#This Row],[signal_eom (py)]]</f>
        <v>0</v>
      </c>
      <c r="H130">
        <f>Table256[[#This Row],[signal_som (xl)]]-Table256[[#This Row],[signal_som (py)]]</f>
        <v>2</v>
      </c>
    </row>
    <row r="131" spans="1:8" x14ac:dyDescent="0.25">
      <c r="A131" s="14">
        <v>41395</v>
      </c>
      <c r="B131" s="32">
        <v>-1</v>
      </c>
      <c r="C131" s="33">
        <v>-1</v>
      </c>
      <c r="D131" s="35">
        <v>-1</v>
      </c>
      <c r="E131" s="35">
        <v>1</v>
      </c>
      <c r="G131">
        <f>Table256[[#This Row],[signal_eom (xl)]]-Table256[[#This Row],[signal_eom (py)]]</f>
        <v>0</v>
      </c>
      <c r="H131">
        <f>Table256[[#This Row],[signal_som (xl)]]-Table256[[#This Row],[signal_som (py)]]</f>
        <v>-2</v>
      </c>
    </row>
    <row r="132" spans="1:8" x14ac:dyDescent="0.25">
      <c r="A132" s="14">
        <v>41426</v>
      </c>
      <c r="B132" s="32">
        <v>-1</v>
      </c>
      <c r="C132" s="33">
        <v>1</v>
      </c>
      <c r="D132" s="35">
        <v>-1</v>
      </c>
      <c r="E132" s="35">
        <v>1</v>
      </c>
      <c r="G132">
        <f>Table256[[#This Row],[signal_eom (xl)]]-Table256[[#This Row],[signal_eom (py)]]</f>
        <v>0</v>
      </c>
      <c r="H132">
        <f>Table256[[#This Row],[signal_som (xl)]]-Table256[[#This Row],[signal_som (py)]]</f>
        <v>0</v>
      </c>
    </row>
    <row r="133" spans="1:8" x14ac:dyDescent="0.25">
      <c r="A133" s="14">
        <v>41456</v>
      </c>
      <c r="B133" s="32">
        <v>-1</v>
      </c>
      <c r="C133" s="33">
        <v>1</v>
      </c>
      <c r="D133" s="35">
        <v>-1</v>
      </c>
      <c r="E133" s="35">
        <v>1</v>
      </c>
      <c r="G133">
        <f>Table256[[#This Row],[signal_eom (xl)]]-Table256[[#This Row],[signal_eom (py)]]</f>
        <v>0</v>
      </c>
      <c r="H133">
        <f>Table256[[#This Row],[signal_som (xl)]]-Table256[[#This Row],[signal_som (py)]]</f>
        <v>0</v>
      </c>
    </row>
    <row r="134" spans="1:8" x14ac:dyDescent="0.25">
      <c r="A134" s="14">
        <v>41487</v>
      </c>
      <c r="B134" s="32">
        <v>-1</v>
      </c>
      <c r="C134" s="33">
        <v>1</v>
      </c>
      <c r="D134" s="35">
        <v>-1</v>
      </c>
      <c r="E134" s="35">
        <v>1</v>
      </c>
      <c r="G134">
        <f>Table256[[#This Row],[signal_eom (xl)]]-Table256[[#This Row],[signal_eom (py)]]</f>
        <v>0</v>
      </c>
      <c r="H134">
        <f>Table256[[#This Row],[signal_som (xl)]]-Table256[[#This Row],[signal_som (py)]]</f>
        <v>0</v>
      </c>
    </row>
    <row r="135" spans="1:8" x14ac:dyDescent="0.25">
      <c r="A135" s="14">
        <v>41518</v>
      </c>
      <c r="B135" s="32">
        <v>-1</v>
      </c>
      <c r="C135" s="33">
        <v>1</v>
      </c>
      <c r="D135" s="35">
        <v>-1</v>
      </c>
      <c r="E135" s="35">
        <v>1</v>
      </c>
      <c r="G135">
        <f>Table256[[#This Row],[signal_eom (xl)]]-Table256[[#This Row],[signal_eom (py)]]</f>
        <v>0</v>
      </c>
      <c r="H135">
        <f>Table256[[#This Row],[signal_som (xl)]]-Table256[[#This Row],[signal_som (py)]]</f>
        <v>0</v>
      </c>
    </row>
    <row r="136" spans="1:8" x14ac:dyDescent="0.25">
      <c r="A136" s="14">
        <v>41548</v>
      </c>
      <c r="B136" s="32">
        <v>-1</v>
      </c>
      <c r="C136" s="33">
        <v>1</v>
      </c>
      <c r="D136" s="35">
        <v>-1</v>
      </c>
      <c r="E136" s="35">
        <v>1</v>
      </c>
      <c r="G136">
        <f>Table256[[#This Row],[signal_eom (xl)]]-Table256[[#This Row],[signal_eom (py)]]</f>
        <v>0</v>
      </c>
      <c r="H136">
        <f>Table256[[#This Row],[signal_som (xl)]]-Table256[[#This Row],[signal_som (py)]]</f>
        <v>0</v>
      </c>
    </row>
    <row r="137" spans="1:8" x14ac:dyDescent="0.25">
      <c r="A137" s="14">
        <v>41579</v>
      </c>
      <c r="B137" s="32">
        <v>-1</v>
      </c>
      <c r="C137" s="33">
        <v>1</v>
      </c>
      <c r="D137" s="35">
        <v>-1</v>
      </c>
      <c r="E137" s="35">
        <v>1</v>
      </c>
      <c r="G137">
        <f>Table256[[#This Row],[signal_eom (xl)]]-Table256[[#This Row],[signal_eom (py)]]</f>
        <v>0</v>
      </c>
      <c r="H137">
        <f>Table256[[#This Row],[signal_som (xl)]]-Table256[[#This Row],[signal_som (py)]]</f>
        <v>0</v>
      </c>
    </row>
    <row r="138" spans="1:8" x14ac:dyDescent="0.25">
      <c r="A138" s="14">
        <v>41609</v>
      </c>
      <c r="B138" s="32">
        <v>-1</v>
      </c>
      <c r="C138" s="33">
        <v>1</v>
      </c>
      <c r="D138" s="35">
        <v>-1</v>
      </c>
      <c r="E138" s="35">
        <v>1</v>
      </c>
      <c r="G138">
        <f>Table256[[#This Row],[signal_eom (xl)]]-Table256[[#This Row],[signal_eom (py)]]</f>
        <v>0</v>
      </c>
      <c r="H138">
        <f>Table256[[#This Row],[signal_som (xl)]]-Table256[[#This Row],[signal_som (py)]]</f>
        <v>0</v>
      </c>
    </row>
    <row r="139" spans="1:8" x14ac:dyDescent="0.25">
      <c r="A139" s="14">
        <v>41640</v>
      </c>
      <c r="B139" s="32">
        <v>1</v>
      </c>
      <c r="C139" s="33">
        <v>1</v>
      </c>
      <c r="D139" s="35">
        <v>1</v>
      </c>
      <c r="E139" s="35">
        <v>-1</v>
      </c>
      <c r="G139">
        <f>Table256[[#This Row],[signal_eom (xl)]]-Table256[[#This Row],[signal_eom (py)]]</f>
        <v>0</v>
      </c>
      <c r="H139">
        <f>Table256[[#This Row],[signal_som (xl)]]-Table256[[#This Row],[signal_som (py)]]</f>
        <v>2</v>
      </c>
    </row>
    <row r="140" spans="1:8" x14ac:dyDescent="0.25">
      <c r="A140" s="14">
        <v>41671</v>
      </c>
      <c r="B140" s="32">
        <v>-1</v>
      </c>
      <c r="C140" s="33">
        <v>-1</v>
      </c>
      <c r="D140" s="35">
        <v>-1</v>
      </c>
      <c r="E140" s="35">
        <v>1</v>
      </c>
      <c r="G140">
        <f>Table256[[#This Row],[signal_eom (xl)]]-Table256[[#This Row],[signal_eom (py)]]</f>
        <v>0</v>
      </c>
      <c r="H140">
        <f>Table256[[#This Row],[signal_som (xl)]]-Table256[[#This Row],[signal_som (py)]]</f>
        <v>-2</v>
      </c>
    </row>
    <row r="141" spans="1:8" x14ac:dyDescent="0.25">
      <c r="A141" s="14">
        <v>41699</v>
      </c>
      <c r="B141" s="32">
        <v>-1</v>
      </c>
      <c r="C141" s="33">
        <v>1</v>
      </c>
      <c r="D141" s="35">
        <v>-1</v>
      </c>
      <c r="E141" s="35">
        <v>1</v>
      </c>
      <c r="G141">
        <f>Table256[[#This Row],[signal_eom (xl)]]-Table256[[#This Row],[signal_eom (py)]]</f>
        <v>0</v>
      </c>
      <c r="H141">
        <f>Table256[[#This Row],[signal_som (xl)]]-Table256[[#This Row],[signal_som (py)]]</f>
        <v>0</v>
      </c>
    </row>
    <row r="142" spans="1:8" x14ac:dyDescent="0.25">
      <c r="A142" s="14">
        <v>41730</v>
      </c>
      <c r="B142" s="32">
        <v>1</v>
      </c>
      <c r="C142" s="33">
        <v>1</v>
      </c>
      <c r="D142" s="35">
        <v>1</v>
      </c>
      <c r="E142" s="35">
        <v>-1</v>
      </c>
      <c r="G142">
        <f>Table256[[#This Row],[signal_eom (xl)]]-Table256[[#This Row],[signal_eom (py)]]</f>
        <v>0</v>
      </c>
      <c r="H142">
        <f>Table256[[#This Row],[signal_som (xl)]]-Table256[[#This Row],[signal_som (py)]]</f>
        <v>2</v>
      </c>
    </row>
    <row r="143" spans="1:8" x14ac:dyDescent="0.25">
      <c r="A143" s="14">
        <v>41760</v>
      </c>
      <c r="B143" s="32">
        <v>1</v>
      </c>
      <c r="C143" s="33">
        <v>-1</v>
      </c>
      <c r="D143" s="35">
        <v>1</v>
      </c>
      <c r="E143" s="35">
        <v>-1</v>
      </c>
      <c r="G143">
        <f>Table256[[#This Row],[signal_eom (xl)]]-Table256[[#This Row],[signal_eom (py)]]</f>
        <v>0</v>
      </c>
      <c r="H143">
        <f>Table256[[#This Row],[signal_som (xl)]]-Table256[[#This Row],[signal_som (py)]]</f>
        <v>0</v>
      </c>
    </row>
    <row r="144" spans="1:8" x14ac:dyDescent="0.25">
      <c r="A144" s="14">
        <v>41791</v>
      </c>
      <c r="B144" s="32">
        <v>-1</v>
      </c>
      <c r="C144" s="33">
        <v>-1</v>
      </c>
      <c r="D144" s="35">
        <v>-1</v>
      </c>
      <c r="E144" s="35">
        <v>1</v>
      </c>
      <c r="G144">
        <f>Table256[[#This Row],[signal_eom (xl)]]-Table256[[#This Row],[signal_eom (py)]]</f>
        <v>0</v>
      </c>
      <c r="H144">
        <f>Table256[[#This Row],[signal_som (xl)]]-Table256[[#This Row],[signal_som (py)]]</f>
        <v>-2</v>
      </c>
    </row>
    <row r="145" spans="1:8" x14ac:dyDescent="0.25">
      <c r="A145" s="14">
        <v>41821</v>
      </c>
      <c r="B145" s="32">
        <v>1</v>
      </c>
      <c r="C145" s="33">
        <v>1</v>
      </c>
      <c r="D145" s="35">
        <v>1</v>
      </c>
      <c r="E145" s="35">
        <v>-1</v>
      </c>
      <c r="G145">
        <f>Table256[[#This Row],[signal_eom (xl)]]-Table256[[#This Row],[signal_eom (py)]]</f>
        <v>0</v>
      </c>
      <c r="H145">
        <f>Table256[[#This Row],[signal_som (xl)]]-Table256[[#This Row],[signal_som (py)]]</f>
        <v>2</v>
      </c>
    </row>
    <row r="146" spans="1:8" x14ac:dyDescent="0.25">
      <c r="A146" s="14">
        <v>41852</v>
      </c>
      <c r="B146" s="32">
        <v>-1</v>
      </c>
      <c r="C146" s="33">
        <v>-1</v>
      </c>
      <c r="D146" s="35">
        <v>-1</v>
      </c>
      <c r="E146" s="35">
        <v>1</v>
      </c>
      <c r="G146">
        <f>Table256[[#This Row],[signal_eom (xl)]]-Table256[[#This Row],[signal_eom (py)]]</f>
        <v>0</v>
      </c>
      <c r="H146">
        <f>Table256[[#This Row],[signal_som (xl)]]-Table256[[#This Row],[signal_som (py)]]</f>
        <v>-2</v>
      </c>
    </row>
    <row r="147" spans="1:8" x14ac:dyDescent="0.25">
      <c r="A147" s="14">
        <v>41883</v>
      </c>
      <c r="B147" s="32">
        <v>-1</v>
      </c>
      <c r="C147" s="33">
        <v>1</v>
      </c>
      <c r="D147" s="35">
        <v>-1</v>
      </c>
      <c r="E147" s="35">
        <v>1</v>
      </c>
      <c r="G147">
        <f>Table256[[#This Row],[signal_eom (xl)]]-Table256[[#This Row],[signal_eom (py)]]</f>
        <v>0</v>
      </c>
      <c r="H147">
        <f>Table256[[#This Row],[signal_som (xl)]]-Table256[[#This Row],[signal_som (py)]]</f>
        <v>0</v>
      </c>
    </row>
    <row r="148" spans="1:8" x14ac:dyDescent="0.25">
      <c r="A148" s="14">
        <v>41913</v>
      </c>
      <c r="B148" s="32">
        <v>1</v>
      </c>
      <c r="C148" s="33">
        <v>1</v>
      </c>
      <c r="D148" s="35">
        <v>1</v>
      </c>
      <c r="E148" s="35">
        <v>-1</v>
      </c>
      <c r="G148">
        <f>Table256[[#This Row],[signal_eom (xl)]]-Table256[[#This Row],[signal_eom (py)]]</f>
        <v>0</v>
      </c>
      <c r="H148">
        <f>Table256[[#This Row],[signal_som (xl)]]-Table256[[#This Row],[signal_som (py)]]</f>
        <v>2</v>
      </c>
    </row>
    <row r="149" spans="1:8" x14ac:dyDescent="0.25">
      <c r="A149" s="14">
        <v>41944</v>
      </c>
      <c r="B149" s="32">
        <v>-1</v>
      </c>
      <c r="C149" s="33">
        <v>-1</v>
      </c>
      <c r="D149" s="35">
        <v>-1</v>
      </c>
      <c r="E149" s="35">
        <v>1</v>
      </c>
      <c r="G149">
        <f>Table256[[#This Row],[signal_eom (xl)]]-Table256[[#This Row],[signal_eom (py)]]</f>
        <v>0</v>
      </c>
      <c r="H149">
        <f>Table256[[#This Row],[signal_som (xl)]]-Table256[[#This Row],[signal_som (py)]]</f>
        <v>-2</v>
      </c>
    </row>
    <row r="150" spans="1:8" x14ac:dyDescent="0.25">
      <c r="A150" s="14">
        <v>41974</v>
      </c>
      <c r="B150" s="32">
        <v>1</v>
      </c>
      <c r="C150" s="33">
        <v>1</v>
      </c>
      <c r="D150" s="35">
        <v>1</v>
      </c>
      <c r="E150" s="35">
        <v>-1</v>
      </c>
      <c r="G150">
        <f>Table256[[#This Row],[signal_eom (xl)]]-Table256[[#This Row],[signal_eom (py)]]</f>
        <v>0</v>
      </c>
      <c r="H150">
        <f>Table256[[#This Row],[signal_som (xl)]]-Table256[[#This Row],[signal_som (py)]]</f>
        <v>2</v>
      </c>
    </row>
    <row r="151" spans="1:8" x14ac:dyDescent="0.25">
      <c r="A151" s="14">
        <v>42005</v>
      </c>
      <c r="B151" s="32">
        <v>1</v>
      </c>
      <c r="C151" s="33">
        <v>-1</v>
      </c>
      <c r="D151" s="35">
        <v>1</v>
      </c>
      <c r="E151" s="35">
        <v>-1</v>
      </c>
      <c r="G151">
        <f>Table256[[#This Row],[signal_eom (xl)]]-Table256[[#This Row],[signal_eom (py)]]</f>
        <v>0</v>
      </c>
      <c r="H151">
        <f>Table256[[#This Row],[signal_som (xl)]]-Table256[[#This Row],[signal_som (py)]]</f>
        <v>0</v>
      </c>
    </row>
    <row r="152" spans="1:8" x14ac:dyDescent="0.25">
      <c r="A152" s="14">
        <v>42036</v>
      </c>
      <c r="B152" s="32">
        <v>-1</v>
      </c>
      <c r="C152" s="33">
        <v>-1</v>
      </c>
      <c r="D152" s="35">
        <v>-1</v>
      </c>
      <c r="E152" s="35">
        <v>1</v>
      </c>
      <c r="G152">
        <f>Table256[[#This Row],[signal_eom (xl)]]-Table256[[#This Row],[signal_eom (py)]]</f>
        <v>0</v>
      </c>
      <c r="H152">
        <f>Table256[[#This Row],[signal_som (xl)]]-Table256[[#This Row],[signal_som (py)]]</f>
        <v>-2</v>
      </c>
    </row>
    <row r="153" spans="1:8" x14ac:dyDescent="0.25">
      <c r="A153" s="14">
        <v>42064</v>
      </c>
      <c r="B153" s="32">
        <v>1</v>
      </c>
      <c r="C153" s="33">
        <v>1</v>
      </c>
      <c r="D153" s="35">
        <v>1</v>
      </c>
      <c r="E153" s="35">
        <v>-1</v>
      </c>
      <c r="G153">
        <f>Table256[[#This Row],[signal_eom (xl)]]-Table256[[#This Row],[signal_eom (py)]]</f>
        <v>0</v>
      </c>
      <c r="H153">
        <f>Table256[[#This Row],[signal_som (xl)]]-Table256[[#This Row],[signal_som (py)]]</f>
        <v>2</v>
      </c>
    </row>
    <row r="154" spans="1:8" x14ac:dyDescent="0.25">
      <c r="A154" s="14">
        <v>42095</v>
      </c>
      <c r="B154" s="32">
        <v>-1</v>
      </c>
      <c r="C154" s="33">
        <v>-1</v>
      </c>
      <c r="D154" s="35">
        <v>-1</v>
      </c>
      <c r="E154" s="35">
        <v>1</v>
      </c>
      <c r="G154">
        <f>Table256[[#This Row],[signal_eom (xl)]]-Table256[[#This Row],[signal_eom (py)]]</f>
        <v>0</v>
      </c>
      <c r="H154">
        <f>Table256[[#This Row],[signal_som (xl)]]-Table256[[#This Row],[signal_som (py)]]</f>
        <v>-2</v>
      </c>
    </row>
    <row r="155" spans="1:8" x14ac:dyDescent="0.25">
      <c r="A155" s="14">
        <v>42125</v>
      </c>
      <c r="B155" s="32">
        <v>-1</v>
      </c>
      <c r="C155" s="33">
        <v>1</v>
      </c>
      <c r="D155" s="35">
        <v>-1</v>
      </c>
      <c r="E155" s="35">
        <v>1</v>
      </c>
      <c r="G155">
        <f>Table256[[#This Row],[signal_eom (xl)]]-Table256[[#This Row],[signal_eom (py)]]</f>
        <v>0</v>
      </c>
      <c r="H155">
        <f>Table256[[#This Row],[signal_som (xl)]]-Table256[[#This Row],[signal_som (py)]]</f>
        <v>0</v>
      </c>
    </row>
    <row r="156" spans="1:8" x14ac:dyDescent="0.25">
      <c r="A156" s="14">
        <v>42156</v>
      </c>
      <c r="B156" s="32">
        <v>-1</v>
      </c>
      <c r="C156" s="33">
        <v>1</v>
      </c>
      <c r="D156" s="35">
        <v>-1</v>
      </c>
      <c r="E156" s="35">
        <v>1</v>
      </c>
      <c r="G156">
        <f>Table256[[#This Row],[signal_eom (xl)]]-Table256[[#This Row],[signal_eom (py)]]</f>
        <v>0</v>
      </c>
      <c r="H156">
        <f>Table256[[#This Row],[signal_som (xl)]]-Table256[[#This Row],[signal_som (py)]]</f>
        <v>0</v>
      </c>
    </row>
    <row r="157" spans="1:8" x14ac:dyDescent="0.25">
      <c r="A157" s="14">
        <v>42186</v>
      </c>
      <c r="B157" s="32">
        <v>-1</v>
      </c>
      <c r="C157" s="33">
        <v>1</v>
      </c>
      <c r="D157" s="35">
        <v>-1</v>
      </c>
      <c r="E157" s="35">
        <v>1</v>
      </c>
      <c r="G157">
        <f>Table256[[#This Row],[signal_eom (xl)]]-Table256[[#This Row],[signal_eom (py)]]</f>
        <v>0</v>
      </c>
      <c r="H157">
        <f>Table256[[#This Row],[signal_som (xl)]]-Table256[[#This Row],[signal_som (py)]]</f>
        <v>0</v>
      </c>
    </row>
    <row r="158" spans="1:8" x14ac:dyDescent="0.25">
      <c r="A158" s="14">
        <v>42217</v>
      </c>
      <c r="B158" s="32">
        <v>1</v>
      </c>
      <c r="C158" s="33">
        <v>1</v>
      </c>
      <c r="D158" s="35">
        <v>1</v>
      </c>
      <c r="E158" s="35">
        <v>-1</v>
      </c>
      <c r="G158">
        <f>Table256[[#This Row],[signal_eom (xl)]]-Table256[[#This Row],[signal_eom (py)]]</f>
        <v>0</v>
      </c>
      <c r="H158">
        <f>Table256[[#This Row],[signal_som (xl)]]-Table256[[#This Row],[signal_som (py)]]</f>
        <v>2</v>
      </c>
    </row>
    <row r="159" spans="1:8" x14ac:dyDescent="0.25">
      <c r="A159" s="14">
        <v>42248</v>
      </c>
      <c r="B159" s="32">
        <v>1</v>
      </c>
      <c r="C159" s="33">
        <v>-1</v>
      </c>
      <c r="D159" s="35">
        <v>1</v>
      </c>
      <c r="E159" s="35">
        <v>-1</v>
      </c>
      <c r="G159">
        <f>Table256[[#This Row],[signal_eom (xl)]]-Table256[[#This Row],[signal_eom (py)]]</f>
        <v>0</v>
      </c>
      <c r="H159">
        <f>Table256[[#This Row],[signal_som (xl)]]-Table256[[#This Row],[signal_som (py)]]</f>
        <v>0</v>
      </c>
    </row>
    <row r="160" spans="1:8" x14ac:dyDescent="0.25">
      <c r="A160" s="14">
        <v>42278</v>
      </c>
      <c r="B160" s="32">
        <v>-1</v>
      </c>
      <c r="C160" s="33">
        <v>-1</v>
      </c>
      <c r="D160" s="35">
        <v>-1</v>
      </c>
      <c r="E160" s="35">
        <v>1</v>
      </c>
      <c r="G160">
        <f>Table256[[#This Row],[signal_eom (xl)]]-Table256[[#This Row],[signal_eom (py)]]</f>
        <v>0</v>
      </c>
      <c r="H160">
        <f>Table256[[#This Row],[signal_som (xl)]]-Table256[[#This Row],[signal_som (py)]]</f>
        <v>-2</v>
      </c>
    </row>
    <row r="161" spans="1:8" x14ac:dyDescent="0.25">
      <c r="A161" s="14">
        <v>42309</v>
      </c>
      <c r="B161" s="32">
        <v>-1</v>
      </c>
      <c r="C161" s="33">
        <v>1</v>
      </c>
      <c r="D161" s="35">
        <v>-1</v>
      </c>
      <c r="E161" s="35">
        <v>1</v>
      </c>
      <c r="G161">
        <f>Table256[[#This Row],[signal_eom (xl)]]-Table256[[#This Row],[signal_eom (py)]]</f>
        <v>0</v>
      </c>
      <c r="H161">
        <f>Table256[[#This Row],[signal_som (xl)]]-Table256[[#This Row],[signal_som (py)]]</f>
        <v>0</v>
      </c>
    </row>
    <row r="162" spans="1:8" x14ac:dyDescent="0.25">
      <c r="A162" s="14">
        <v>42339</v>
      </c>
      <c r="B162" s="32">
        <v>1</v>
      </c>
      <c r="C162" s="33">
        <v>1</v>
      </c>
      <c r="D162" s="35">
        <v>1</v>
      </c>
      <c r="E162" s="35">
        <v>-1</v>
      </c>
      <c r="G162">
        <f>Table256[[#This Row],[signal_eom (xl)]]-Table256[[#This Row],[signal_eom (py)]]</f>
        <v>0</v>
      </c>
      <c r="H162">
        <f>Table256[[#This Row],[signal_som (xl)]]-Table256[[#This Row],[signal_som (py)]]</f>
        <v>2</v>
      </c>
    </row>
    <row r="163" spans="1:8" x14ac:dyDescent="0.25">
      <c r="A163" s="14">
        <v>42370</v>
      </c>
      <c r="B163" s="32">
        <v>1</v>
      </c>
      <c r="C163" s="33">
        <v>-1</v>
      </c>
      <c r="D163" s="35">
        <v>1</v>
      </c>
      <c r="E163" s="35">
        <v>-1</v>
      </c>
      <c r="G163">
        <f>Table256[[#This Row],[signal_eom (xl)]]-Table256[[#This Row],[signal_eom (py)]]</f>
        <v>0</v>
      </c>
      <c r="H163">
        <f>Table256[[#This Row],[signal_som (xl)]]-Table256[[#This Row],[signal_som (py)]]</f>
        <v>0</v>
      </c>
    </row>
    <row r="164" spans="1:8" x14ac:dyDescent="0.25">
      <c r="A164" s="14">
        <v>42401</v>
      </c>
      <c r="B164" s="32">
        <v>1</v>
      </c>
      <c r="C164" s="33">
        <v>-1</v>
      </c>
      <c r="D164" s="35">
        <v>1</v>
      </c>
      <c r="E164" s="35">
        <v>-1</v>
      </c>
      <c r="G164">
        <f>Table256[[#This Row],[signal_eom (xl)]]-Table256[[#This Row],[signal_eom (py)]]</f>
        <v>0</v>
      </c>
      <c r="H164">
        <f>Table256[[#This Row],[signal_som (xl)]]-Table256[[#This Row],[signal_som (py)]]</f>
        <v>0</v>
      </c>
    </row>
    <row r="165" spans="1:8" x14ac:dyDescent="0.25">
      <c r="A165" s="14">
        <v>42430</v>
      </c>
      <c r="B165" s="32">
        <v>-1</v>
      </c>
      <c r="C165" s="33">
        <v>-1</v>
      </c>
      <c r="D165" s="35">
        <v>-1</v>
      </c>
      <c r="E165" s="35">
        <v>1</v>
      </c>
      <c r="G165">
        <f>Table256[[#This Row],[signal_eom (xl)]]-Table256[[#This Row],[signal_eom (py)]]</f>
        <v>0</v>
      </c>
      <c r="H165">
        <f>Table256[[#This Row],[signal_som (xl)]]-Table256[[#This Row],[signal_som (py)]]</f>
        <v>-2</v>
      </c>
    </row>
    <row r="166" spans="1:8" x14ac:dyDescent="0.25">
      <c r="A166" s="14">
        <v>42461</v>
      </c>
      <c r="B166" s="32">
        <v>-1</v>
      </c>
      <c r="C166" s="33">
        <v>1</v>
      </c>
      <c r="D166" s="35">
        <v>-1</v>
      </c>
      <c r="E166" s="35">
        <v>1</v>
      </c>
      <c r="G166">
        <f>Table256[[#This Row],[signal_eom (xl)]]-Table256[[#This Row],[signal_eom (py)]]</f>
        <v>0</v>
      </c>
      <c r="H166">
        <f>Table256[[#This Row],[signal_som (xl)]]-Table256[[#This Row],[signal_som (py)]]</f>
        <v>0</v>
      </c>
    </row>
    <row r="167" spans="1:8" x14ac:dyDescent="0.25">
      <c r="A167" s="14">
        <v>42491</v>
      </c>
      <c r="B167" s="32">
        <v>1</v>
      </c>
      <c r="C167" s="33">
        <v>1</v>
      </c>
      <c r="D167" s="35">
        <v>1</v>
      </c>
      <c r="E167" s="35">
        <v>-1</v>
      </c>
      <c r="G167">
        <f>Table256[[#This Row],[signal_eom (xl)]]-Table256[[#This Row],[signal_eom (py)]]</f>
        <v>0</v>
      </c>
      <c r="H167">
        <f>Table256[[#This Row],[signal_som (xl)]]-Table256[[#This Row],[signal_som (py)]]</f>
        <v>2</v>
      </c>
    </row>
    <row r="168" spans="1:8" x14ac:dyDescent="0.25">
      <c r="A168" s="14">
        <v>42522</v>
      </c>
      <c r="B168" s="32">
        <v>1</v>
      </c>
      <c r="C168" s="33">
        <v>-1</v>
      </c>
      <c r="D168" s="35">
        <v>1</v>
      </c>
      <c r="E168" s="35">
        <v>-1</v>
      </c>
      <c r="G168">
        <f>Table256[[#This Row],[signal_eom (xl)]]-Table256[[#This Row],[signal_eom (py)]]</f>
        <v>0</v>
      </c>
      <c r="H168">
        <f>Table256[[#This Row],[signal_som (xl)]]-Table256[[#This Row],[signal_som (py)]]</f>
        <v>0</v>
      </c>
    </row>
    <row r="169" spans="1:8" x14ac:dyDescent="0.25">
      <c r="A169" s="14">
        <v>42552</v>
      </c>
      <c r="B169" s="32">
        <v>-1</v>
      </c>
      <c r="C169" s="33">
        <v>-1</v>
      </c>
      <c r="D169" s="35">
        <v>-1</v>
      </c>
      <c r="E169" s="35">
        <v>1</v>
      </c>
      <c r="G169">
        <f>Table256[[#This Row],[signal_eom (xl)]]-Table256[[#This Row],[signal_eom (py)]]</f>
        <v>0</v>
      </c>
      <c r="H169">
        <f>Table256[[#This Row],[signal_som (xl)]]-Table256[[#This Row],[signal_som (py)]]</f>
        <v>-2</v>
      </c>
    </row>
    <row r="170" spans="1:8" x14ac:dyDescent="0.25">
      <c r="A170" s="14">
        <v>42583</v>
      </c>
      <c r="B170" s="32">
        <v>-1</v>
      </c>
      <c r="C170" s="33">
        <v>1</v>
      </c>
      <c r="D170" s="35">
        <v>-1</v>
      </c>
      <c r="E170" s="35">
        <v>1</v>
      </c>
      <c r="G170">
        <f>Table256[[#This Row],[signal_eom (xl)]]-Table256[[#This Row],[signal_eom (py)]]</f>
        <v>0</v>
      </c>
      <c r="H170">
        <f>Table256[[#This Row],[signal_som (xl)]]-Table256[[#This Row],[signal_som (py)]]</f>
        <v>0</v>
      </c>
    </row>
    <row r="171" spans="1:8" x14ac:dyDescent="0.25">
      <c r="A171" s="14">
        <v>42614</v>
      </c>
      <c r="B171" s="32">
        <v>-1</v>
      </c>
      <c r="C171" s="33">
        <v>1</v>
      </c>
      <c r="D171" s="35">
        <v>-1</v>
      </c>
      <c r="E171" s="35">
        <v>1</v>
      </c>
      <c r="G171">
        <f>Table256[[#This Row],[signal_eom (xl)]]-Table256[[#This Row],[signal_eom (py)]]</f>
        <v>0</v>
      </c>
      <c r="H171">
        <f>Table256[[#This Row],[signal_som (xl)]]-Table256[[#This Row],[signal_som (py)]]</f>
        <v>0</v>
      </c>
    </row>
    <row r="172" spans="1:8" x14ac:dyDescent="0.25">
      <c r="A172" s="14">
        <v>42644</v>
      </c>
      <c r="B172" s="32">
        <v>-1</v>
      </c>
      <c r="C172" s="33">
        <v>1</v>
      </c>
      <c r="D172" s="35">
        <v>-1</v>
      </c>
      <c r="E172" s="35">
        <v>1</v>
      </c>
      <c r="G172">
        <f>Table256[[#This Row],[signal_eom (xl)]]-Table256[[#This Row],[signal_eom (py)]]</f>
        <v>0</v>
      </c>
      <c r="H172">
        <f>Table256[[#This Row],[signal_som (xl)]]-Table256[[#This Row],[signal_som (py)]]</f>
        <v>0</v>
      </c>
    </row>
    <row r="173" spans="1:8" x14ac:dyDescent="0.25">
      <c r="A173" s="14">
        <v>42675</v>
      </c>
      <c r="B173" s="32">
        <v>-1</v>
      </c>
      <c r="C173" s="33">
        <v>1</v>
      </c>
      <c r="D173" s="35">
        <v>-1</v>
      </c>
      <c r="E173" s="35">
        <v>1</v>
      </c>
      <c r="G173">
        <f>Table256[[#This Row],[signal_eom (xl)]]-Table256[[#This Row],[signal_eom (py)]]</f>
        <v>0</v>
      </c>
      <c r="H173">
        <f>Table256[[#This Row],[signal_som (xl)]]-Table256[[#This Row],[signal_som (py)]]</f>
        <v>0</v>
      </c>
    </row>
    <row r="174" spans="1:8" x14ac:dyDescent="0.25">
      <c r="A174" s="14">
        <v>42705</v>
      </c>
      <c r="B174" s="32">
        <v>-1</v>
      </c>
      <c r="C174" s="33">
        <v>1</v>
      </c>
      <c r="D174" s="35">
        <v>-1</v>
      </c>
      <c r="E174" s="35">
        <v>1</v>
      </c>
      <c r="G174">
        <f>Table256[[#This Row],[signal_eom (xl)]]-Table256[[#This Row],[signal_eom (py)]]</f>
        <v>0</v>
      </c>
      <c r="H174">
        <f>Table256[[#This Row],[signal_som (xl)]]-Table256[[#This Row],[signal_som (py)]]</f>
        <v>0</v>
      </c>
    </row>
    <row r="175" spans="1:8" x14ac:dyDescent="0.25">
      <c r="A175" s="14">
        <v>42736</v>
      </c>
      <c r="B175" s="32">
        <v>-1</v>
      </c>
      <c r="C175" s="33">
        <v>1</v>
      </c>
      <c r="D175" s="35">
        <v>-1</v>
      </c>
      <c r="E175" s="35">
        <v>1</v>
      </c>
      <c r="G175">
        <f>Table256[[#This Row],[signal_eom (xl)]]-Table256[[#This Row],[signal_eom (py)]]</f>
        <v>0</v>
      </c>
      <c r="H175">
        <f>Table256[[#This Row],[signal_som (xl)]]-Table256[[#This Row],[signal_som (py)]]</f>
        <v>0</v>
      </c>
    </row>
    <row r="176" spans="1:8" x14ac:dyDescent="0.25">
      <c r="A176" s="14">
        <v>42767</v>
      </c>
      <c r="B176" s="32">
        <v>-1</v>
      </c>
      <c r="C176" s="33">
        <v>1</v>
      </c>
      <c r="D176" s="35">
        <v>-1</v>
      </c>
      <c r="E176" s="35">
        <v>1</v>
      </c>
      <c r="G176">
        <f>Table256[[#This Row],[signal_eom (xl)]]-Table256[[#This Row],[signal_eom (py)]]</f>
        <v>0</v>
      </c>
      <c r="H176">
        <f>Table256[[#This Row],[signal_som (xl)]]-Table256[[#This Row],[signal_som (py)]]</f>
        <v>0</v>
      </c>
    </row>
    <row r="177" spans="1:8" x14ac:dyDescent="0.25">
      <c r="A177" s="14">
        <v>42795</v>
      </c>
      <c r="B177" s="32">
        <v>-1</v>
      </c>
      <c r="C177" s="33">
        <v>1</v>
      </c>
      <c r="D177" s="35">
        <v>-1</v>
      </c>
      <c r="E177" s="35">
        <v>1</v>
      </c>
      <c r="G177">
        <f>Table256[[#This Row],[signal_eom (xl)]]-Table256[[#This Row],[signal_eom (py)]]</f>
        <v>0</v>
      </c>
      <c r="H177">
        <f>Table256[[#This Row],[signal_som (xl)]]-Table256[[#This Row],[signal_som (py)]]</f>
        <v>0</v>
      </c>
    </row>
    <row r="178" spans="1:8" x14ac:dyDescent="0.25">
      <c r="A178" s="14">
        <v>42826</v>
      </c>
      <c r="B178" s="32">
        <v>1</v>
      </c>
      <c r="C178" s="33">
        <v>1</v>
      </c>
      <c r="D178" s="35">
        <v>1</v>
      </c>
      <c r="E178" s="35">
        <v>-1</v>
      </c>
      <c r="G178">
        <f>Table256[[#This Row],[signal_eom (xl)]]-Table256[[#This Row],[signal_eom (py)]]</f>
        <v>0</v>
      </c>
      <c r="H178">
        <f>Table256[[#This Row],[signal_som (xl)]]-Table256[[#This Row],[signal_som (py)]]</f>
        <v>2</v>
      </c>
    </row>
    <row r="179" spans="1:8" x14ac:dyDescent="0.25">
      <c r="A179" s="14">
        <v>42856</v>
      </c>
      <c r="B179" s="32">
        <v>1</v>
      </c>
      <c r="C179" s="33">
        <v>-1</v>
      </c>
      <c r="D179" s="35">
        <v>1</v>
      </c>
      <c r="E179" s="35">
        <v>-1</v>
      </c>
      <c r="G179">
        <f>Table256[[#This Row],[signal_eom (xl)]]-Table256[[#This Row],[signal_eom (py)]]</f>
        <v>0</v>
      </c>
      <c r="H179">
        <f>Table256[[#This Row],[signal_som (xl)]]-Table256[[#This Row],[signal_som (py)]]</f>
        <v>0</v>
      </c>
    </row>
    <row r="180" spans="1:8" x14ac:dyDescent="0.25">
      <c r="A180" s="14">
        <v>42887</v>
      </c>
      <c r="B180" s="32">
        <v>1</v>
      </c>
      <c r="C180" s="33">
        <v>-1</v>
      </c>
      <c r="D180" s="35">
        <v>1</v>
      </c>
      <c r="E180" s="35">
        <v>-1</v>
      </c>
      <c r="G180">
        <f>Table256[[#This Row],[signal_eom (xl)]]-Table256[[#This Row],[signal_eom (py)]]</f>
        <v>0</v>
      </c>
      <c r="H180">
        <f>Table256[[#This Row],[signal_som (xl)]]-Table256[[#This Row],[signal_som (py)]]</f>
        <v>0</v>
      </c>
    </row>
    <row r="181" spans="1:8" x14ac:dyDescent="0.25">
      <c r="A181" s="14">
        <v>42917</v>
      </c>
      <c r="B181" s="32">
        <v>-1</v>
      </c>
      <c r="C181" s="33">
        <v>-1</v>
      </c>
      <c r="D181" s="35">
        <v>-1</v>
      </c>
      <c r="E181" s="35">
        <v>1</v>
      </c>
      <c r="G181">
        <f>Table256[[#This Row],[signal_eom (xl)]]-Table256[[#This Row],[signal_eom (py)]]</f>
        <v>0</v>
      </c>
      <c r="H181">
        <f>Table256[[#This Row],[signal_som (xl)]]-Table256[[#This Row],[signal_som (py)]]</f>
        <v>-2</v>
      </c>
    </row>
    <row r="182" spans="1:8" x14ac:dyDescent="0.25">
      <c r="A182" s="14">
        <v>42948</v>
      </c>
      <c r="B182" s="32">
        <v>1</v>
      </c>
      <c r="C182" s="33">
        <v>1</v>
      </c>
      <c r="D182" s="35">
        <v>1</v>
      </c>
      <c r="E182" s="35">
        <v>-1</v>
      </c>
      <c r="G182">
        <f>Table256[[#This Row],[signal_eom (xl)]]-Table256[[#This Row],[signal_eom (py)]]</f>
        <v>0</v>
      </c>
      <c r="H182">
        <f>Table256[[#This Row],[signal_som (xl)]]-Table256[[#This Row],[signal_som (py)]]</f>
        <v>2</v>
      </c>
    </row>
    <row r="183" spans="1:8" x14ac:dyDescent="0.25">
      <c r="A183" s="14">
        <v>42979</v>
      </c>
      <c r="B183" s="32">
        <v>-1</v>
      </c>
      <c r="C183" s="33">
        <v>-1</v>
      </c>
      <c r="D183" s="35">
        <v>-1</v>
      </c>
      <c r="E183" s="35">
        <v>1</v>
      </c>
      <c r="G183">
        <f>Table256[[#This Row],[signal_eom (xl)]]-Table256[[#This Row],[signal_eom (py)]]</f>
        <v>0</v>
      </c>
      <c r="H183">
        <f>Table256[[#This Row],[signal_som (xl)]]-Table256[[#This Row],[signal_som (py)]]</f>
        <v>-2</v>
      </c>
    </row>
    <row r="184" spans="1:8" x14ac:dyDescent="0.25">
      <c r="A184" s="14">
        <v>43009</v>
      </c>
      <c r="B184" s="32">
        <v>-1</v>
      </c>
      <c r="C184" s="33">
        <v>1</v>
      </c>
      <c r="D184" s="35">
        <v>-1</v>
      </c>
      <c r="E184" s="35">
        <v>1</v>
      </c>
      <c r="G184">
        <f>Table256[[#This Row],[signal_eom (xl)]]-Table256[[#This Row],[signal_eom (py)]]</f>
        <v>0</v>
      </c>
      <c r="H184">
        <f>Table256[[#This Row],[signal_som (xl)]]-Table256[[#This Row],[signal_som (py)]]</f>
        <v>0</v>
      </c>
    </row>
    <row r="185" spans="1:8" x14ac:dyDescent="0.25">
      <c r="A185" s="14">
        <v>43040</v>
      </c>
      <c r="B185" s="32">
        <v>1</v>
      </c>
      <c r="C185" s="33">
        <v>1</v>
      </c>
      <c r="D185" s="35">
        <v>1</v>
      </c>
      <c r="E185" s="35">
        <v>-1</v>
      </c>
      <c r="G185">
        <f>Table256[[#This Row],[signal_eom (xl)]]-Table256[[#This Row],[signal_eom (py)]]</f>
        <v>0</v>
      </c>
      <c r="H185">
        <f>Table256[[#This Row],[signal_som (xl)]]-Table256[[#This Row],[signal_som (py)]]</f>
        <v>2</v>
      </c>
    </row>
    <row r="186" spans="1:8" x14ac:dyDescent="0.25">
      <c r="A186" s="14">
        <v>43070</v>
      </c>
      <c r="B186" s="32">
        <v>-1</v>
      </c>
      <c r="C186" s="33">
        <v>-1</v>
      </c>
      <c r="D186" s="35">
        <v>-1</v>
      </c>
      <c r="E186" s="35">
        <v>1</v>
      </c>
      <c r="G186">
        <f>Table256[[#This Row],[signal_eom (xl)]]-Table256[[#This Row],[signal_eom (py)]]</f>
        <v>0</v>
      </c>
      <c r="H186">
        <f>Table256[[#This Row],[signal_som (xl)]]-Table256[[#This Row],[signal_som (py)]]</f>
        <v>-2</v>
      </c>
    </row>
    <row r="187" spans="1:8" x14ac:dyDescent="0.25">
      <c r="A187" s="14">
        <v>43101</v>
      </c>
      <c r="B187" s="32">
        <v>-1</v>
      </c>
      <c r="C187" s="33">
        <v>1</v>
      </c>
      <c r="D187" s="35">
        <v>-1</v>
      </c>
      <c r="E187" s="35">
        <v>1</v>
      </c>
      <c r="G187">
        <f>Table256[[#This Row],[signal_eom (xl)]]-Table256[[#This Row],[signal_eom (py)]]</f>
        <v>0</v>
      </c>
      <c r="H187">
        <f>Table256[[#This Row],[signal_som (xl)]]-Table256[[#This Row],[signal_som (py)]]</f>
        <v>0</v>
      </c>
    </row>
    <row r="188" spans="1:8" x14ac:dyDescent="0.25">
      <c r="A188" s="14">
        <v>43132</v>
      </c>
      <c r="B188" s="32">
        <v>-1</v>
      </c>
      <c r="C188" s="33">
        <v>1</v>
      </c>
      <c r="D188" s="35">
        <v>-1</v>
      </c>
      <c r="E188" s="35">
        <v>1</v>
      </c>
      <c r="G188">
        <f>Table256[[#This Row],[signal_eom (xl)]]-Table256[[#This Row],[signal_eom (py)]]</f>
        <v>0</v>
      </c>
      <c r="H188">
        <f>Table256[[#This Row],[signal_som (xl)]]-Table256[[#This Row],[signal_som (py)]]</f>
        <v>0</v>
      </c>
    </row>
    <row r="189" spans="1:8" x14ac:dyDescent="0.25">
      <c r="A189" s="14">
        <v>43160</v>
      </c>
      <c r="B189" s="32">
        <v>1</v>
      </c>
      <c r="C189" s="33">
        <v>1</v>
      </c>
      <c r="D189" s="35">
        <v>1</v>
      </c>
      <c r="E189" s="35">
        <v>-1</v>
      </c>
      <c r="G189">
        <f>Table256[[#This Row],[signal_eom (xl)]]-Table256[[#This Row],[signal_eom (py)]]</f>
        <v>0</v>
      </c>
      <c r="H189">
        <f>Table256[[#This Row],[signal_som (xl)]]-Table256[[#This Row],[signal_som (py)]]</f>
        <v>2</v>
      </c>
    </row>
    <row r="190" spans="1:8" x14ac:dyDescent="0.25">
      <c r="A190" s="14">
        <v>43191</v>
      </c>
      <c r="B190" s="32">
        <v>-1</v>
      </c>
      <c r="C190" s="33">
        <v>-1</v>
      </c>
      <c r="D190" s="35">
        <v>-1</v>
      </c>
      <c r="E190" s="35">
        <v>1</v>
      </c>
      <c r="G190">
        <f>Table256[[#This Row],[signal_eom (xl)]]-Table256[[#This Row],[signal_eom (py)]]</f>
        <v>0</v>
      </c>
      <c r="H190">
        <f>Table256[[#This Row],[signal_som (xl)]]-Table256[[#This Row],[signal_som (py)]]</f>
        <v>-2</v>
      </c>
    </row>
    <row r="191" spans="1:8" x14ac:dyDescent="0.25">
      <c r="A191" s="14">
        <v>43221</v>
      </c>
      <c r="B191" s="32">
        <v>-1</v>
      </c>
      <c r="C191" s="33">
        <v>1</v>
      </c>
      <c r="D191" s="35">
        <v>-1</v>
      </c>
      <c r="E191" s="35">
        <v>1</v>
      </c>
      <c r="G191">
        <f>Table256[[#This Row],[signal_eom (xl)]]-Table256[[#This Row],[signal_eom (py)]]</f>
        <v>0</v>
      </c>
      <c r="H191">
        <f>Table256[[#This Row],[signal_som (xl)]]-Table256[[#This Row],[signal_som (py)]]</f>
        <v>0</v>
      </c>
    </row>
    <row r="192" spans="1:8" x14ac:dyDescent="0.25">
      <c r="A192" s="14">
        <v>43252</v>
      </c>
      <c r="B192" s="32">
        <v>-1</v>
      </c>
      <c r="C192" s="33">
        <v>1</v>
      </c>
      <c r="D192" s="35">
        <v>-1</v>
      </c>
      <c r="E192" s="35">
        <v>1</v>
      </c>
      <c r="G192">
        <f>Table256[[#This Row],[signal_eom (xl)]]-Table256[[#This Row],[signal_eom (py)]]</f>
        <v>0</v>
      </c>
      <c r="H192">
        <f>Table256[[#This Row],[signal_som (xl)]]-Table256[[#This Row],[signal_som (py)]]</f>
        <v>0</v>
      </c>
    </row>
    <row r="193" spans="1:8" x14ac:dyDescent="0.25">
      <c r="A193" s="14">
        <v>43282</v>
      </c>
      <c r="B193" s="32">
        <v>-1</v>
      </c>
      <c r="C193" s="33">
        <v>1</v>
      </c>
      <c r="D193" s="35">
        <v>-1</v>
      </c>
      <c r="E193" s="35">
        <v>1</v>
      </c>
      <c r="G193">
        <f>Table256[[#This Row],[signal_eom (xl)]]-Table256[[#This Row],[signal_eom (py)]]</f>
        <v>0</v>
      </c>
      <c r="H193">
        <f>Table256[[#This Row],[signal_som (xl)]]-Table256[[#This Row],[signal_som (py)]]</f>
        <v>0</v>
      </c>
    </row>
    <row r="194" spans="1:8" x14ac:dyDescent="0.25">
      <c r="A194" s="14">
        <v>43313</v>
      </c>
      <c r="B194" s="32">
        <v>-1</v>
      </c>
      <c r="C194" s="33">
        <v>1</v>
      </c>
      <c r="D194" s="35">
        <v>-1</v>
      </c>
      <c r="E194" s="35">
        <v>1</v>
      </c>
      <c r="G194">
        <f>Table256[[#This Row],[signal_eom (xl)]]-Table256[[#This Row],[signal_eom (py)]]</f>
        <v>0</v>
      </c>
      <c r="H194">
        <f>Table256[[#This Row],[signal_som (xl)]]-Table256[[#This Row],[signal_som (py)]]</f>
        <v>0</v>
      </c>
    </row>
    <row r="195" spans="1:8" x14ac:dyDescent="0.25">
      <c r="A195" s="14">
        <v>43344</v>
      </c>
      <c r="B195" s="32">
        <v>-1</v>
      </c>
      <c r="C195" s="33">
        <v>1</v>
      </c>
      <c r="D195" s="35">
        <v>-1</v>
      </c>
      <c r="E195" s="35">
        <v>1</v>
      </c>
      <c r="G195">
        <f>Table256[[#This Row],[signal_eom (xl)]]-Table256[[#This Row],[signal_eom (py)]]</f>
        <v>0</v>
      </c>
      <c r="H195">
        <f>Table256[[#This Row],[signal_som (xl)]]-Table256[[#This Row],[signal_som (py)]]</f>
        <v>0</v>
      </c>
    </row>
    <row r="196" spans="1:8" x14ac:dyDescent="0.25">
      <c r="A196" s="14">
        <v>43374</v>
      </c>
      <c r="B196" s="32">
        <v>1</v>
      </c>
      <c r="C196" s="33">
        <v>1</v>
      </c>
      <c r="D196" s="35">
        <v>1</v>
      </c>
      <c r="E196" s="35">
        <v>-1</v>
      </c>
      <c r="G196">
        <f>Table256[[#This Row],[signal_eom (xl)]]-Table256[[#This Row],[signal_eom (py)]]</f>
        <v>0</v>
      </c>
      <c r="H196">
        <f>Table256[[#This Row],[signal_som (xl)]]-Table256[[#This Row],[signal_som (py)]]</f>
        <v>2</v>
      </c>
    </row>
    <row r="197" spans="1:8" x14ac:dyDescent="0.25">
      <c r="A197" s="14">
        <v>43405</v>
      </c>
      <c r="B197" s="32">
        <v>1</v>
      </c>
      <c r="C197" s="33">
        <v>-1</v>
      </c>
      <c r="D197" s="35">
        <v>1</v>
      </c>
      <c r="E197" s="35">
        <v>-1</v>
      </c>
      <c r="G197">
        <f>Table256[[#This Row],[signal_eom (xl)]]-Table256[[#This Row],[signal_eom (py)]]</f>
        <v>0</v>
      </c>
      <c r="H197">
        <f>Table256[[#This Row],[signal_som (xl)]]-Table256[[#This Row],[signal_som (py)]]</f>
        <v>0</v>
      </c>
    </row>
    <row r="198" spans="1:8" x14ac:dyDescent="0.25">
      <c r="A198" s="14">
        <v>43435</v>
      </c>
      <c r="B198" s="32">
        <v>1</v>
      </c>
      <c r="C198" s="33">
        <v>-1</v>
      </c>
      <c r="D198" s="35">
        <v>1</v>
      </c>
      <c r="E198" s="35">
        <v>-1</v>
      </c>
      <c r="G198">
        <f>Table256[[#This Row],[signal_eom (xl)]]-Table256[[#This Row],[signal_eom (py)]]</f>
        <v>0</v>
      </c>
      <c r="H198">
        <f>Table256[[#This Row],[signal_som (xl)]]-Table256[[#This Row],[signal_som (py)]]</f>
        <v>0</v>
      </c>
    </row>
    <row r="199" spans="1:8" x14ac:dyDescent="0.25">
      <c r="A199" s="14">
        <v>43466</v>
      </c>
      <c r="B199" s="32">
        <v>-1</v>
      </c>
      <c r="C199" s="33">
        <v>-1</v>
      </c>
      <c r="D199" s="35">
        <v>-1</v>
      </c>
      <c r="E199" s="35">
        <v>1</v>
      </c>
      <c r="G199">
        <f>Table256[[#This Row],[signal_eom (xl)]]-Table256[[#This Row],[signal_eom (py)]]</f>
        <v>0</v>
      </c>
      <c r="H199">
        <f>Table256[[#This Row],[signal_som (xl)]]-Table256[[#This Row],[signal_som (py)]]</f>
        <v>-2</v>
      </c>
    </row>
    <row r="200" spans="1:8" x14ac:dyDescent="0.25">
      <c r="A200" s="14">
        <v>43497</v>
      </c>
      <c r="B200" s="32">
        <v>-1</v>
      </c>
      <c r="C200" s="33">
        <v>1</v>
      </c>
      <c r="D200" s="35">
        <v>-1</v>
      </c>
      <c r="E200" s="35">
        <v>1</v>
      </c>
      <c r="G200">
        <f>Table256[[#This Row],[signal_eom (xl)]]-Table256[[#This Row],[signal_eom (py)]]</f>
        <v>0</v>
      </c>
      <c r="H200">
        <f>Table256[[#This Row],[signal_som (xl)]]-Table256[[#This Row],[signal_som (py)]]</f>
        <v>0</v>
      </c>
    </row>
    <row r="201" spans="1:8" x14ac:dyDescent="0.25">
      <c r="A201" s="14">
        <v>43525</v>
      </c>
      <c r="B201" s="32">
        <v>1</v>
      </c>
      <c r="C201" s="33">
        <v>1</v>
      </c>
      <c r="D201" s="35">
        <v>1</v>
      </c>
      <c r="E201" s="35">
        <v>-1</v>
      </c>
      <c r="G201">
        <f>Table256[[#This Row],[signal_eom (xl)]]-Table256[[#This Row],[signal_eom (py)]]</f>
        <v>0</v>
      </c>
      <c r="H201">
        <f>Table256[[#This Row],[signal_som (xl)]]-Table256[[#This Row],[signal_som (py)]]</f>
        <v>2</v>
      </c>
    </row>
    <row r="202" spans="1:8" x14ac:dyDescent="0.25">
      <c r="A202" s="14">
        <v>43556</v>
      </c>
      <c r="B202" s="32">
        <v>-1</v>
      </c>
      <c r="C202" s="33">
        <v>-1</v>
      </c>
      <c r="D202" s="35">
        <v>-1</v>
      </c>
      <c r="E202" s="35">
        <v>1</v>
      </c>
      <c r="G202">
        <f>Table256[[#This Row],[signal_eom (xl)]]-Table256[[#This Row],[signal_eom (py)]]</f>
        <v>0</v>
      </c>
      <c r="H202">
        <f>Table256[[#This Row],[signal_som (xl)]]-Table256[[#This Row],[signal_som (py)]]</f>
        <v>-2</v>
      </c>
    </row>
    <row r="203" spans="1:8" x14ac:dyDescent="0.25">
      <c r="A203" s="14">
        <v>43586</v>
      </c>
      <c r="B203" s="32">
        <v>1</v>
      </c>
      <c r="C203" s="33">
        <v>1</v>
      </c>
      <c r="D203" s="35">
        <v>1</v>
      </c>
      <c r="E203" s="35">
        <v>-1</v>
      </c>
      <c r="G203">
        <f>Table256[[#This Row],[signal_eom (xl)]]-Table256[[#This Row],[signal_eom (py)]]</f>
        <v>0</v>
      </c>
      <c r="H203">
        <f>Table256[[#This Row],[signal_som (xl)]]-Table256[[#This Row],[signal_som (py)]]</f>
        <v>2</v>
      </c>
    </row>
    <row r="204" spans="1:8" x14ac:dyDescent="0.25">
      <c r="A204" s="14">
        <v>43617</v>
      </c>
      <c r="B204" s="32">
        <v>-1</v>
      </c>
      <c r="C204" s="33">
        <v>-1</v>
      </c>
      <c r="D204" s="35">
        <v>-1</v>
      </c>
      <c r="E204" s="35">
        <v>1</v>
      </c>
      <c r="G204">
        <f>Table256[[#This Row],[signal_eom (xl)]]-Table256[[#This Row],[signal_eom (py)]]</f>
        <v>0</v>
      </c>
      <c r="H204">
        <f>Table256[[#This Row],[signal_som (xl)]]-Table256[[#This Row],[signal_som (py)]]</f>
        <v>-2</v>
      </c>
    </row>
    <row r="205" spans="1:8" x14ac:dyDescent="0.25">
      <c r="A205" s="14">
        <v>43647</v>
      </c>
      <c r="B205" s="32">
        <v>-1</v>
      </c>
      <c r="C205" s="33">
        <v>1</v>
      </c>
      <c r="D205" s="35">
        <v>-1</v>
      </c>
      <c r="E205" s="35">
        <v>1</v>
      </c>
      <c r="G205">
        <f>Table256[[#This Row],[signal_eom (xl)]]-Table256[[#This Row],[signal_eom (py)]]</f>
        <v>0</v>
      </c>
      <c r="H205">
        <f>Table256[[#This Row],[signal_som (xl)]]-Table256[[#This Row],[signal_som (py)]]</f>
        <v>0</v>
      </c>
    </row>
    <row r="206" spans="1:8" x14ac:dyDescent="0.25">
      <c r="A206" s="14">
        <v>43678</v>
      </c>
      <c r="B206" s="32">
        <v>1</v>
      </c>
      <c r="C206" s="33">
        <v>1</v>
      </c>
      <c r="D206" s="35">
        <v>1</v>
      </c>
      <c r="E206" s="35">
        <v>-1</v>
      </c>
      <c r="G206">
        <f>Table256[[#This Row],[signal_eom (xl)]]-Table256[[#This Row],[signal_eom (py)]]</f>
        <v>0</v>
      </c>
      <c r="H206">
        <f>Table256[[#This Row],[signal_som (xl)]]-Table256[[#This Row],[signal_som (py)]]</f>
        <v>2</v>
      </c>
    </row>
    <row r="207" spans="1:8" x14ac:dyDescent="0.25">
      <c r="A207" s="14">
        <v>43709</v>
      </c>
      <c r="B207" s="32">
        <v>-1</v>
      </c>
      <c r="C207" s="33">
        <v>-1</v>
      </c>
      <c r="D207" s="35">
        <v>-1</v>
      </c>
      <c r="E207" s="35">
        <v>1</v>
      </c>
      <c r="G207">
        <f>Table256[[#This Row],[signal_eom (xl)]]-Table256[[#This Row],[signal_eom (py)]]</f>
        <v>0</v>
      </c>
      <c r="H207">
        <f>Table256[[#This Row],[signal_som (xl)]]-Table256[[#This Row],[signal_som (py)]]</f>
        <v>-2</v>
      </c>
    </row>
    <row r="208" spans="1:8" x14ac:dyDescent="0.25">
      <c r="A208" s="14">
        <v>43739</v>
      </c>
      <c r="B208" s="32">
        <v>-1</v>
      </c>
      <c r="C208" s="33">
        <v>1</v>
      </c>
      <c r="D208" s="35">
        <v>-1</v>
      </c>
      <c r="E208" s="35">
        <v>1</v>
      </c>
      <c r="G208">
        <f>Table256[[#This Row],[signal_eom (xl)]]-Table256[[#This Row],[signal_eom (py)]]</f>
        <v>0</v>
      </c>
      <c r="H208">
        <f>Table256[[#This Row],[signal_som (xl)]]-Table256[[#This Row],[signal_som (py)]]</f>
        <v>0</v>
      </c>
    </row>
    <row r="209" spans="1:8" x14ac:dyDescent="0.25">
      <c r="A209" s="14">
        <v>43770</v>
      </c>
      <c r="B209" s="32">
        <v>-1</v>
      </c>
      <c r="C209" s="33">
        <v>1</v>
      </c>
      <c r="D209" s="35">
        <v>-1</v>
      </c>
      <c r="E209" s="35">
        <v>1</v>
      </c>
      <c r="G209">
        <f>Table256[[#This Row],[signal_eom (xl)]]-Table256[[#This Row],[signal_eom (py)]]</f>
        <v>0</v>
      </c>
      <c r="H209">
        <f>Table256[[#This Row],[signal_som (xl)]]-Table256[[#This Row],[signal_som (py)]]</f>
        <v>0</v>
      </c>
    </row>
    <row r="210" spans="1:8" x14ac:dyDescent="0.25">
      <c r="A210" s="14">
        <v>43800</v>
      </c>
      <c r="B210" s="32">
        <v>-1</v>
      </c>
      <c r="C210" s="33">
        <v>1</v>
      </c>
      <c r="D210" s="35">
        <v>-1</v>
      </c>
      <c r="E210" s="35">
        <v>1</v>
      </c>
      <c r="G210">
        <f>Table256[[#This Row],[signal_eom (xl)]]-Table256[[#This Row],[signal_eom (py)]]</f>
        <v>0</v>
      </c>
      <c r="H210">
        <f>Table256[[#This Row],[signal_som (xl)]]-Table256[[#This Row],[signal_som (py)]]</f>
        <v>0</v>
      </c>
    </row>
    <row r="211" spans="1:8" x14ac:dyDescent="0.25">
      <c r="A211" s="14">
        <v>43831</v>
      </c>
      <c r="B211" s="32">
        <v>1</v>
      </c>
      <c r="C211" s="33">
        <v>1</v>
      </c>
      <c r="D211" s="35">
        <v>1</v>
      </c>
      <c r="E211" s="35">
        <v>-1</v>
      </c>
      <c r="G211">
        <f>Table256[[#This Row],[signal_eom (xl)]]-Table256[[#This Row],[signal_eom (py)]]</f>
        <v>0</v>
      </c>
      <c r="H211">
        <f>Table256[[#This Row],[signal_som (xl)]]-Table256[[#This Row],[signal_som (py)]]</f>
        <v>2</v>
      </c>
    </row>
    <row r="212" spans="1:8" x14ac:dyDescent="0.25">
      <c r="A212" s="14">
        <v>43862</v>
      </c>
      <c r="B212" s="32">
        <v>1</v>
      </c>
      <c r="C212" s="33">
        <v>-1</v>
      </c>
      <c r="D212" s="35">
        <v>1</v>
      </c>
      <c r="E212" s="35">
        <v>-1</v>
      </c>
      <c r="G212">
        <f>Table256[[#This Row],[signal_eom (xl)]]-Table256[[#This Row],[signal_eom (py)]]</f>
        <v>0</v>
      </c>
      <c r="H212">
        <f>Table256[[#This Row],[signal_som (xl)]]-Table256[[#This Row],[signal_som (py)]]</f>
        <v>0</v>
      </c>
    </row>
    <row r="213" spans="1:8" x14ac:dyDescent="0.25">
      <c r="A213" s="14">
        <v>43891</v>
      </c>
      <c r="B213" s="32">
        <v>1</v>
      </c>
      <c r="C213" s="33">
        <v>-1</v>
      </c>
      <c r="D213" s="35">
        <v>1</v>
      </c>
      <c r="E213" s="35">
        <v>-1</v>
      </c>
      <c r="G213">
        <f>Table256[[#This Row],[signal_eom (xl)]]-Table256[[#This Row],[signal_eom (py)]]</f>
        <v>0</v>
      </c>
      <c r="H213">
        <f>Table256[[#This Row],[signal_som (xl)]]-Table256[[#This Row],[signal_som (py)]]</f>
        <v>0</v>
      </c>
    </row>
    <row r="214" spans="1:8" x14ac:dyDescent="0.25">
      <c r="A214" s="14">
        <v>43922</v>
      </c>
      <c r="B214" s="32">
        <v>-1</v>
      </c>
      <c r="C214" s="33">
        <v>-1</v>
      </c>
      <c r="D214" s="35">
        <v>-1</v>
      </c>
      <c r="E214" s="35">
        <v>1</v>
      </c>
      <c r="G214">
        <f>Table256[[#This Row],[signal_eom (xl)]]-Table256[[#This Row],[signal_eom (py)]]</f>
        <v>0</v>
      </c>
      <c r="H214">
        <f>Table256[[#This Row],[signal_som (xl)]]-Table256[[#This Row],[signal_som (py)]]</f>
        <v>-2</v>
      </c>
    </row>
    <row r="215" spans="1:8" x14ac:dyDescent="0.25">
      <c r="A215" s="14">
        <v>43952</v>
      </c>
      <c r="B215" s="32">
        <v>-1</v>
      </c>
      <c r="C215" s="33">
        <v>1</v>
      </c>
      <c r="D215" s="35">
        <v>-1</v>
      </c>
      <c r="E215" s="35">
        <v>1</v>
      </c>
      <c r="G215">
        <f>Table256[[#This Row],[signal_eom (xl)]]-Table256[[#This Row],[signal_eom (py)]]</f>
        <v>0</v>
      </c>
      <c r="H215">
        <f>Table256[[#This Row],[signal_som (xl)]]-Table256[[#This Row],[signal_som (py)]]</f>
        <v>0</v>
      </c>
    </row>
    <row r="216" spans="1:8" x14ac:dyDescent="0.25">
      <c r="A216" s="14">
        <v>43983</v>
      </c>
      <c r="B216" s="32">
        <v>-1</v>
      </c>
      <c r="C216" s="33">
        <v>1</v>
      </c>
      <c r="D216" s="35">
        <v>-1</v>
      </c>
      <c r="E216" s="35">
        <v>1</v>
      </c>
      <c r="G216">
        <f>Table256[[#This Row],[signal_eom (xl)]]-Table256[[#This Row],[signal_eom (py)]]</f>
        <v>0</v>
      </c>
      <c r="H216">
        <f>Table256[[#This Row],[signal_som (xl)]]-Table256[[#This Row],[signal_som (py)]]</f>
        <v>0</v>
      </c>
    </row>
    <row r="217" spans="1:8" x14ac:dyDescent="0.25">
      <c r="A217" s="14">
        <v>44013</v>
      </c>
      <c r="B217" s="32">
        <v>-1</v>
      </c>
      <c r="C217" s="33">
        <v>1</v>
      </c>
      <c r="D217" s="35">
        <v>-1</v>
      </c>
      <c r="E217" s="35">
        <v>1</v>
      </c>
      <c r="G217">
        <f>Table256[[#This Row],[signal_eom (xl)]]-Table256[[#This Row],[signal_eom (py)]]</f>
        <v>0</v>
      </c>
      <c r="H217">
        <f>Table256[[#This Row],[signal_som (xl)]]-Table256[[#This Row],[signal_som (py)]]</f>
        <v>0</v>
      </c>
    </row>
    <row r="218" spans="1:8" x14ac:dyDescent="0.25">
      <c r="A218" s="14">
        <v>44044</v>
      </c>
      <c r="B218" s="32">
        <v>-1</v>
      </c>
      <c r="C218" s="33">
        <v>1</v>
      </c>
      <c r="D218" s="35">
        <v>-1</v>
      </c>
      <c r="E218" s="35">
        <v>1</v>
      </c>
      <c r="G218">
        <f>Table256[[#This Row],[signal_eom (xl)]]-Table256[[#This Row],[signal_eom (py)]]</f>
        <v>0</v>
      </c>
      <c r="H218">
        <f>Table256[[#This Row],[signal_som (xl)]]-Table256[[#This Row],[signal_som (py)]]</f>
        <v>0</v>
      </c>
    </row>
    <row r="219" spans="1:8" x14ac:dyDescent="0.25">
      <c r="A219" s="14">
        <v>44075</v>
      </c>
      <c r="B219" s="32">
        <v>1</v>
      </c>
      <c r="C219" s="33">
        <v>1</v>
      </c>
      <c r="D219" s="35">
        <v>1</v>
      </c>
      <c r="E219" s="35">
        <v>-1</v>
      </c>
      <c r="G219">
        <f>Table256[[#This Row],[signal_eom (xl)]]-Table256[[#This Row],[signal_eom (py)]]</f>
        <v>0</v>
      </c>
      <c r="H219">
        <f>Table256[[#This Row],[signal_som (xl)]]-Table256[[#This Row],[signal_som (py)]]</f>
        <v>2</v>
      </c>
    </row>
    <row r="220" spans="1:8" x14ac:dyDescent="0.25">
      <c r="A220" s="14">
        <v>44105</v>
      </c>
      <c r="B220" s="32">
        <v>-1</v>
      </c>
      <c r="C220" s="33">
        <v>-1</v>
      </c>
      <c r="D220" s="35">
        <v>-1</v>
      </c>
      <c r="E220" s="35">
        <v>1</v>
      </c>
      <c r="G220">
        <f>Table256[[#This Row],[signal_eom (xl)]]-Table256[[#This Row],[signal_eom (py)]]</f>
        <v>0</v>
      </c>
      <c r="H220">
        <f>Table256[[#This Row],[signal_som (xl)]]-Table256[[#This Row],[signal_som (py)]]</f>
        <v>-2</v>
      </c>
    </row>
    <row r="221" spans="1:8" x14ac:dyDescent="0.25">
      <c r="A221" s="14">
        <v>44136</v>
      </c>
      <c r="B221" s="32">
        <v>-1</v>
      </c>
      <c r="C221" s="33">
        <v>1</v>
      </c>
      <c r="D221" s="35">
        <v>-1</v>
      </c>
      <c r="E221" s="35">
        <v>1</v>
      </c>
      <c r="G221">
        <f>Table256[[#This Row],[signal_eom (xl)]]-Table256[[#This Row],[signal_eom (py)]]</f>
        <v>0</v>
      </c>
      <c r="H221">
        <f>Table256[[#This Row],[signal_som (xl)]]-Table256[[#This Row],[signal_som (py)]]</f>
        <v>0</v>
      </c>
    </row>
    <row r="222" spans="1:8" x14ac:dyDescent="0.25">
      <c r="A222" s="14">
        <v>44166</v>
      </c>
      <c r="B222" s="32">
        <v>-1</v>
      </c>
      <c r="C222" s="33">
        <v>1</v>
      </c>
      <c r="D222" s="35">
        <v>-1</v>
      </c>
      <c r="E222" s="35">
        <v>1</v>
      </c>
      <c r="G222">
        <f>Table256[[#This Row],[signal_eom (xl)]]-Table256[[#This Row],[signal_eom (py)]]</f>
        <v>0</v>
      </c>
      <c r="H222">
        <f>Table256[[#This Row],[signal_som (xl)]]-Table256[[#This Row],[signal_som (py)]]</f>
        <v>0</v>
      </c>
    </row>
    <row r="223" spans="1:8" x14ac:dyDescent="0.25">
      <c r="A223" s="14">
        <v>44197</v>
      </c>
      <c r="B223" s="32">
        <v>-1</v>
      </c>
      <c r="C223" s="33">
        <v>1</v>
      </c>
      <c r="D223" s="35">
        <v>-1</v>
      </c>
      <c r="E223" s="35">
        <v>1</v>
      </c>
      <c r="G223">
        <f>Table256[[#This Row],[signal_eom (xl)]]-Table256[[#This Row],[signal_eom (py)]]</f>
        <v>0</v>
      </c>
      <c r="H223">
        <f>Table256[[#This Row],[signal_som (xl)]]-Table256[[#This Row],[signal_som (py)]]</f>
        <v>0</v>
      </c>
    </row>
    <row r="224" spans="1:8" x14ac:dyDescent="0.25">
      <c r="A224" s="14">
        <v>44228</v>
      </c>
      <c r="B224" s="32">
        <v>-1</v>
      </c>
      <c r="C224" s="33">
        <v>1</v>
      </c>
      <c r="D224" s="35">
        <v>-1</v>
      </c>
      <c r="E224" s="35">
        <v>1</v>
      </c>
      <c r="G224">
        <f>Table256[[#This Row],[signal_eom (xl)]]-Table256[[#This Row],[signal_eom (py)]]</f>
        <v>0</v>
      </c>
      <c r="H224">
        <f>Table256[[#This Row],[signal_som (xl)]]-Table256[[#This Row],[signal_som (py)]]</f>
        <v>0</v>
      </c>
    </row>
    <row r="225" spans="1:8" x14ac:dyDescent="0.25">
      <c r="A225" s="14">
        <v>44256</v>
      </c>
      <c r="B225" s="32">
        <v>-1</v>
      </c>
      <c r="C225" s="33">
        <v>1</v>
      </c>
      <c r="D225" s="35">
        <v>-1</v>
      </c>
      <c r="E225" s="35">
        <v>1</v>
      </c>
      <c r="G225">
        <f>Table256[[#This Row],[signal_eom (xl)]]-Table256[[#This Row],[signal_eom (py)]]</f>
        <v>0</v>
      </c>
      <c r="H225">
        <f>Table256[[#This Row],[signal_som (xl)]]-Table256[[#This Row],[signal_som (py)]]</f>
        <v>0</v>
      </c>
    </row>
    <row r="226" spans="1:8" x14ac:dyDescent="0.25">
      <c r="A226" s="14">
        <v>44287</v>
      </c>
      <c r="B226" s="32">
        <v>-1</v>
      </c>
      <c r="C226" s="33">
        <v>1</v>
      </c>
      <c r="D226" s="35">
        <v>-1</v>
      </c>
      <c r="E226" s="35">
        <v>1</v>
      </c>
      <c r="G226">
        <f>Table256[[#This Row],[signal_eom (xl)]]-Table256[[#This Row],[signal_eom (py)]]</f>
        <v>0</v>
      </c>
      <c r="H226">
        <f>Table256[[#This Row],[signal_som (xl)]]-Table256[[#This Row],[signal_som (py)]]</f>
        <v>0</v>
      </c>
    </row>
    <row r="227" spans="1:8" x14ac:dyDescent="0.25">
      <c r="A227" s="14">
        <v>44317</v>
      </c>
      <c r="B227" s="32">
        <v>1</v>
      </c>
      <c r="C227" s="33">
        <v>1</v>
      </c>
      <c r="D227" s="35">
        <v>-1</v>
      </c>
      <c r="E227" s="35">
        <v>1</v>
      </c>
      <c r="G227">
        <f>Table256[[#This Row],[signal_eom (xl)]]-Table256[[#This Row],[signal_eom (py)]]</f>
        <v>2</v>
      </c>
      <c r="H227">
        <f>Table256[[#This Row],[signal_som (xl)]]-Table256[[#This Row],[signal_som (py)]]</f>
        <v>0</v>
      </c>
    </row>
    <row r="228" spans="1:8" x14ac:dyDescent="0.25">
      <c r="A228" s="14">
        <v>44348</v>
      </c>
      <c r="B228" s="32">
        <v>1</v>
      </c>
      <c r="C228" s="33">
        <v>-1</v>
      </c>
      <c r="D228" s="35">
        <v>1</v>
      </c>
      <c r="E228" s="35">
        <v>-1</v>
      </c>
      <c r="G228">
        <f>Table256[[#This Row],[signal_eom (xl)]]-Table256[[#This Row],[signal_eom (py)]]</f>
        <v>0</v>
      </c>
      <c r="H228">
        <f>Table256[[#This Row],[signal_som (xl)]]-Table256[[#This Row],[signal_som (py)]]</f>
        <v>0</v>
      </c>
    </row>
    <row r="229" spans="1:8" x14ac:dyDescent="0.25">
      <c r="A229" s="14">
        <v>44378</v>
      </c>
      <c r="B229" s="32">
        <v>1</v>
      </c>
      <c r="C229" s="33">
        <v>-1</v>
      </c>
      <c r="D229" s="35">
        <v>1</v>
      </c>
      <c r="E229" s="35">
        <v>-1</v>
      </c>
      <c r="G229">
        <f>Table256[[#This Row],[signal_eom (xl)]]-Table256[[#This Row],[signal_eom (py)]]</f>
        <v>0</v>
      </c>
      <c r="H229">
        <f>Table256[[#This Row],[signal_som (xl)]]-Table256[[#This Row],[signal_som (py)]]</f>
        <v>0</v>
      </c>
    </row>
    <row r="230" spans="1:8" x14ac:dyDescent="0.25">
      <c r="A230" s="14">
        <v>44409</v>
      </c>
      <c r="B230" s="32">
        <v>-1</v>
      </c>
      <c r="C230" s="33">
        <v>-1</v>
      </c>
      <c r="D230" s="35">
        <v>-1</v>
      </c>
      <c r="E230" s="35">
        <v>1</v>
      </c>
      <c r="G230">
        <f>Table256[[#This Row],[signal_eom (xl)]]-Table256[[#This Row],[signal_eom (py)]]</f>
        <v>0</v>
      </c>
      <c r="H230">
        <f>Table256[[#This Row],[signal_som (xl)]]-Table256[[#This Row],[signal_som (py)]]</f>
        <v>-2</v>
      </c>
    </row>
    <row r="231" spans="1:8" x14ac:dyDescent="0.25">
      <c r="A231" s="14">
        <v>44440</v>
      </c>
      <c r="B231" s="32">
        <v>1</v>
      </c>
      <c r="C231" s="33">
        <v>1</v>
      </c>
      <c r="D231" s="35">
        <v>1</v>
      </c>
      <c r="E231" s="35">
        <v>-1</v>
      </c>
      <c r="G231">
        <f>Table256[[#This Row],[signal_eom (xl)]]-Table256[[#This Row],[signal_eom (py)]]</f>
        <v>0</v>
      </c>
      <c r="H231">
        <f>Table256[[#This Row],[signal_som (xl)]]-Table256[[#This Row],[signal_som (py)]]</f>
        <v>2</v>
      </c>
    </row>
    <row r="232" spans="1:8" x14ac:dyDescent="0.25">
      <c r="A232" s="14">
        <v>44470</v>
      </c>
      <c r="B232" s="32">
        <v>-1</v>
      </c>
      <c r="C232" s="33">
        <v>-1</v>
      </c>
      <c r="D232" s="35">
        <v>-1</v>
      </c>
      <c r="E232" s="35">
        <v>1</v>
      </c>
      <c r="G232">
        <f>Table256[[#This Row],[signal_eom (xl)]]-Table256[[#This Row],[signal_eom (py)]]</f>
        <v>0</v>
      </c>
      <c r="H232">
        <f>Table256[[#This Row],[signal_som (xl)]]-Table256[[#This Row],[signal_som (py)]]</f>
        <v>-2</v>
      </c>
    </row>
    <row r="233" spans="1:8" x14ac:dyDescent="0.25">
      <c r="A233" s="14">
        <v>44501</v>
      </c>
      <c r="B233" s="32">
        <v>-1</v>
      </c>
      <c r="C233" s="33">
        <v>1</v>
      </c>
      <c r="D233" s="35">
        <v>-1</v>
      </c>
      <c r="E233" s="35">
        <v>1</v>
      </c>
      <c r="G233">
        <f>Table256[[#This Row],[signal_eom (xl)]]-Table256[[#This Row],[signal_eom (py)]]</f>
        <v>0</v>
      </c>
      <c r="H233">
        <f>Table256[[#This Row],[signal_som (xl)]]-Table256[[#This Row],[signal_som (py)]]</f>
        <v>0</v>
      </c>
    </row>
    <row r="234" spans="1:8" x14ac:dyDescent="0.25">
      <c r="A234" s="14">
        <v>44531</v>
      </c>
      <c r="B234" s="32">
        <v>-1</v>
      </c>
      <c r="C234" s="33">
        <v>1</v>
      </c>
      <c r="D234" s="35">
        <v>-1</v>
      </c>
      <c r="E234" s="35">
        <v>1</v>
      </c>
      <c r="G234">
        <f>Table256[[#This Row],[signal_eom (xl)]]-Table256[[#This Row],[signal_eom (py)]]</f>
        <v>0</v>
      </c>
      <c r="H234">
        <f>Table256[[#This Row],[signal_som (xl)]]-Table256[[#This Row],[signal_som (py)]]</f>
        <v>0</v>
      </c>
    </row>
    <row r="235" spans="1:8" x14ac:dyDescent="0.25">
      <c r="A235" s="14">
        <v>44562</v>
      </c>
      <c r="B235" s="32">
        <v>1</v>
      </c>
      <c r="C235" s="33">
        <v>1</v>
      </c>
      <c r="D235" s="35">
        <v>1</v>
      </c>
      <c r="E235" s="35">
        <v>-1</v>
      </c>
      <c r="G235">
        <f>Table256[[#This Row],[signal_eom (xl)]]-Table256[[#This Row],[signal_eom (py)]]</f>
        <v>0</v>
      </c>
      <c r="H235">
        <f>Table256[[#This Row],[signal_som (xl)]]-Table256[[#This Row],[signal_som (py)]]</f>
        <v>2</v>
      </c>
    </row>
    <row r="236" spans="1:8" x14ac:dyDescent="0.25">
      <c r="A236" s="14">
        <v>44593</v>
      </c>
      <c r="B236" s="32">
        <v>1</v>
      </c>
      <c r="C236" s="33">
        <v>-1</v>
      </c>
      <c r="D236" s="35">
        <v>1</v>
      </c>
      <c r="E236" s="35">
        <v>-1</v>
      </c>
      <c r="G236">
        <f>Table256[[#This Row],[signal_eom (xl)]]-Table256[[#This Row],[signal_eom (py)]]</f>
        <v>0</v>
      </c>
      <c r="H236">
        <f>Table256[[#This Row],[signal_som (xl)]]-Table256[[#This Row],[signal_som (py)]]</f>
        <v>0</v>
      </c>
    </row>
    <row r="237" spans="1:8" x14ac:dyDescent="0.25">
      <c r="A237" s="14">
        <v>44621</v>
      </c>
      <c r="B237" s="32">
        <v>-1</v>
      </c>
      <c r="C237" s="33">
        <v>-1</v>
      </c>
      <c r="D237" s="35">
        <v>-1</v>
      </c>
      <c r="E237" s="35">
        <v>1</v>
      </c>
      <c r="G237">
        <f>Table256[[#This Row],[signal_eom (xl)]]-Table256[[#This Row],[signal_eom (py)]]</f>
        <v>0</v>
      </c>
      <c r="H237">
        <f>Table256[[#This Row],[signal_som (xl)]]-Table256[[#This Row],[signal_som (py)]]</f>
        <v>-2</v>
      </c>
    </row>
    <row r="238" spans="1:8" x14ac:dyDescent="0.25">
      <c r="A238" s="14">
        <v>44652</v>
      </c>
      <c r="B238" s="32">
        <v>-1</v>
      </c>
      <c r="C238" s="33">
        <v>1</v>
      </c>
      <c r="D238" s="35">
        <v>-1</v>
      </c>
      <c r="E238" s="35">
        <v>1</v>
      </c>
      <c r="G238">
        <f>Table256[[#This Row],[signal_eom (xl)]]-Table256[[#This Row],[signal_eom (py)]]</f>
        <v>0</v>
      </c>
      <c r="H238">
        <f>Table256[[#This Row],[signal_som (xl)]]-Table256[[#This Row],[signal_som (py)]]</f>
        <v>0</v>
      </c>
    </row>
    <row r="239" spans="1:8" x14ac:dyDescent="0.25">
      <c r="A239" s="14">
        <v>44682</v>
      </c>
      <c r="B239" s="32">
        <v>1</v>
      </c>
      <c r="C239" s="33">
        <v>1</v>
      </c>
      <c r="D239" s="35">
        <v>1</v>
      </c>
      <c r="E239" s="35">
        <v>-1</v>
      </c>
      <c r="G239">
        <f>Table256[[#This Row],[signal_eom (xl)]]-Table256[[#This Row],[signal_eom (py)]]</f>
        <v>0</v>
      </c>
      <c r="H239">
        <f>Table256[[#This Row],[signal_som (xl)]]-Table256[[#This Row],[signal_som (py)]]</f>
        <v>2</v>
      </c>
    </row>
    <row r="240" spans="1:8" x14ac:dyDescent="0.25">
      <c r="A240" s="14">
        <v>44713</v>
      </c>
      <c r="B240" s="32">
        <v>1</v>
      </c>
      <c r="C240" s="33">
        <v>-1</v>
      </c>
      <c r="D240" s="35">
        <v>1</v>
      </c>
      <c r="E240" s="35">
        <v>-1</v>
      </c>
      <c r="G240">
        <f>Table256[[#This Row],[signal_eom (xl)]]-Table256[[#This Row],[signal_eom (py)]]</f>
        <v>0</v>
      </c>
      <c r="H240">
        <f>Table256[[#This Row],[signal_som (xl)]]-Table256[[#This Row],[signal_som (py)]]</f>
        <v>0</v>
      </c>
    </row>
    <row r="241" spans="1:8" x14ac:dyDescent="0.25">
      <c r="A241" s="14">
        <v>44743</v>
      </c>
      <c r="B241" s="32">
        <v>-1</v>
      </c>
      <c r="C241" s="33">
        <v>-1</v>
      </c>
      <c r="D241" s="35">
        <v>-1</v>
      </c>
      <c r="E241" s="35">
        <v>1</v>
      </c>
      <c r="G241">
        <f>Table256[[#This Row],[signal_eom (xl)]]-Table256[[#This Row],[signal_eom (py)]]</f>
        <v>0</v>
      </c>
      <c r="H241">
        <f>Table256[[#This Row],[signal_som (xl)]]-Table256[[#This Row],[signal_som (py)]]</f>
        <v>-2</v>
      </c>
    </row>
    <row r="242" spans="1:8" x14ac:dyDescent="0.25">
      <c r="A242" s="14">
        <v>44774</v>
      </c>
      <c r="B242" s="32">
        <v>-1</v>
      </c>
      <c r="C242" s="33">
        <v>1</v>
      </c>
      <c r="D242" s="35">
        <v>-1</v>
      </c>
      <c r="E242" s="35">
        <v>1</v>
      </c>
      <c r="G242">
        <f>Table256[[#This Row],[signal_eom (xl)]]-Table256[[#This Row],[signal_eom (py)]]</f>
        <v>0</v>
      </c>
      <c r="H242">
        <f>Table256[[#This Row],[signal_som (xl)]]-Table256[[#This Row],[signal_som (py)]]</f>
        <v>0</v>
      </c>
    </row>
    <row r="243" spans="1:8" x14ac:dyDescent="0.25">
      <c r="A243" s="14">
        <v>44805</v>
      </c>
      <c r="B243" s="32">
        <v>-1</v>
      </c>
      <c r="C243" s="33">
        <v>1</v>
      </c>
      <c r="D243" s="35">
        <v>-1</v>
      </c>
      <c r="E243" s="35">
        <v>1</v>
      </c>
      <c r="G243">
        <f>Table256[[#This Row],[signal_eom (xl)]]-Table256[[#This Row],[signal_eom (py)]]</f>
        <v>0</v>
      </c>
      <c r="H243">
        <f>Table256[[#This Row],[signal_som (xl)]]-Table256[[#This Row],[signal_som (py)]]</f>
        <v>0</v>
      </c>
    </row>
    <row r="244" spans="1:8" x14ac:dyDescent="0.25">
      <c r="A244" s="14">
        <v>44835</v>
      </c>
      <c r="B244" s="32">
        <v>-1</v>
      </c>
      <c r="C244" s="33">
        <v>1</v>
      </c>
      <c r="D244" s="35">
        <v>-1</v>
      </c>
      <c r="E244" s="35">
        <v>1</v>
      </c>
      <c r="G244">
        <f>Table256[[#This Row],[signal_eom (xl)]]-Table256[[#This Row],[signal_eom (py)]]</f>
        <v>0</v>
      </c>
      <c r="H244">
        <f>Table256[[#This Row],[signal_som (xl)]]-Table256[[#This Row],[signal_som (py)]]</f>
        <v>0</v>
      </c>
    </row>
    <row r="245" spans="1:8" x14ac:dyDescent="0.25">
      <c r="A245" s="14">
        <v>44866</v>
      </c>
      <c r="B245" s="32">
        <v>1</v>
      </c>
      <c r="C245" s="33">
        <v>1</v>
      </c>
      <c r="D245" s="35">
        <v>1</v>
      </c>
      <c r="E245" s="35">
        <v>-1</v>
      </c>
      <c r="G245">
        <f>Table256[[#This Row],[signal_eom (xl)]]-Table256[[#This Row],[signal_eom (py)]]</f>
        <v>0</v>
      </c>
      <c r="H245">
        <f>Table256[[#This Row],[signal_som (xl)]]-Table256[[#This Row],[signal_som (py)]]</f>
        <v>2</v>
      </c>
    </row>
    <row r="246" spans="1:8" x14ac:dyDescent="0.25">
      <c r="A246" s="14">
        <v>44896</v>
      </c>
      <c r="B246" s="32">
        <v>1</v>
      </c>
      <c r="C246" s="33">
        <v>-1</v>
      </c>
      <c r="D246" s="35">
        <v>1</v>
      </c>
      <c r="E246" s="35">
        <v>-1</v>
      </c>
      <c r="G246">
        <f>Table256[[#This Row],[signal_eom (xl)]]-Table256[[#This Row],[signal_eom (py)]]</f>
        <v>0</v>
      </c>
      <c r="H246">
        <f>Table256[[#This Row],[signal_som (xl)]]-Table256[[#This Row],[signal_som (py)]]</f>
        <v>0</v>
      </c>
    </row>
    <row r="247" spans="1:8" x14ac:dyDescent="0.25">
      <c r="A247" s="14">
        <v>44927</v>
      </c>
      <c r="B247" s="32">
        <v>1</v>
      </c>
      <c r="C247" s="33">
        <v>-1</v>
      </c>
      <c r="D247" s="35">
        <v>1</v>
      </c>
      <c r="E247" s="35">
        <v>-1</v>
      </c>
      <c r="G247">
        <f>Table256[[#This Row],[signal_eom (xl)]]-Table256[[#This Row],[signal_eom (py)]]</f>
        <v>0</v>
      </c>
      <c r="H247">
        <f>Table256[[#This Row],[signal_som (xl)]]-Table256[[#This Row],[signal_som (py)]]</f>
        <v>0</v>
      </c>
    </row>
    <row r="248" spans="1:8" x14ac:dyDescent="0.25">
      <c r="A248" s="14">
        <v>44958</v>
      </c>
      <c r="B248" s="32">
        <v>-1</v>
      </c>
      <c r="C248" s="33">
        <v>-1</v>
      </c>
      <c r="D248" s="35">
        <v>-1</v>
      </c>
      <c r="E248" s="35">
        <v>1</v>
      </c>
      <c r="G248">
        <f>Table256[[#This Row],[signal_eom (xl)]]-Table256[[#This Row],[signal_eom (py)]]</f>
        <v>0</v>
      </c>
      <c r="H248">
        <f>Table256[[#This Row],[signal_som (xl)]]-Table256[[#This Row],[signal_som (py)]]</f>
        <v>-2</v>
      </c>
    </row>
    <row r="249" spans="1:8" x14ac:dyDescent="0.25">
      <c r="A249" s="14">
        <v>44986</v>
      </c>
      <c r="B249" s="32">
        <v>1</v>
      </c>
      <c r="C249" s="33">
        <v>1</v>
      </c>
      <c r="D249" s="35">
        <v>1</v>
      </c>
      <c r="E249" s="35">
        <v>-1</v>
      </c>
      <c r="G249">
        <f>Table256[[#This Row],[signal_eom (xl)]]-Table256[[#This Row],[signal_eom (py)]]</f>
        <v>0</v>
      </c>
      <c r="H249">
        <f>Table256[[#This Row],[signal_som (xl)]]-Table256[[#This Row],[signal_som (py)]]</f>
        <v>2</v>
      </c>
    </row>
    <row r="250" spans="1:8" x14ac:dyDescent="0.25">
      <c r="A250" s="14">
        <v>45017</v>
      </c>
      <c r="B250" s="32">
        <v>-1</v>
      </c>
      <c r="C250" s="33">
        <v>-1</v>
      </c>
      <c r="D250" s="35">
        <v>-1</v>
      </c>
      <c r="E250" s="35">
        <v>1</v>
      </c>
      <c r="G250">
        <f>Table256[[#This Row],[signal_eom (xl)]]-Table256[[#This Row],[signal_eom (py)]]</f>
        <v>0</v>
      </c>
      <c r="H250">
        <f>Table256[[#This Row],[signal_som (xl)]]-Table256[[#This Row],[signal_som (py)]]</f>
        <v>-2</v>
      </c>
    </row>
    <row r="251" spans="1:8" x14ac:dyDescent="0.25">
      <c r="A251" s="14">
        <v>45047</v>
      </c>
      <c r="B251" s="32">
        <v>-1</v>
      </c>
      <c r="C251" s="33">
        <v>1</v>
      </c>
      <c r="D251" s="35">
        <v>-1</v>
      </c>
      <c r="E251" s="35">
        <v>1</v>
      </c>
      <c r="G251">
        <f>Table256[[#This Row],[signal_eom (xl)]]-Table256[[#This Row],[signal_eom (py)]]</f>
        <v>0</v>
      </c>
      <c r="H251">
        <f>Table256[[#This Row],[signal_som (xl)]]-Table256[[#This Row],[signal_som (py)]]</f>
        <v>0</v>
      </c>
    </row>
    <row r="252" spans="1:8" x14ac:dyDescent="0.25">
      <c r="A252" s="14">
        <v>45078</v>
      </c>
      <c r="B252" s="32">
        <v>-1</v>
      </c>
      <c r="C252" s="33">
        <v>1</v>
      </c>
      <c r="D252" s="35">
        <v>-1</v>
      </c>
      <c r="E252" s="35">
        <v>1</v>
      </c>
      <c r="G252">
        <f>Table256[[#This Row],[signal_eom (xl)]]-Table256[[#This Row],[signal_eom (py)]]</f>
        <v>0</v>
      </c>
      <c r="H252">
        <f>Table256[[#This Row],[signal_som (xl)]]-Table256[[#This Row],[signal_som (py)]]</f>
        <v>0</v>
      </c>
    </row>
    <row r="253" spans="1:8" x14ac:dyDescent="0.25">
      <c r="A253" s="14">
        <v>45108</v>
      </c>
      <c r="B253" s="32">
        <v>-1</v>
      </c>
      <c r="C253" s="33">
        <v>1</v>
      </c>
      <c r="D253" s="35">
        <v>-1</v>
      </c>
      <c r="E253" s="35">
        <v>1</v>
      </c>
      <c r="G253">
        <f>Table256[[#This Row],[signal_eom (xl)]]-Table256[[#This Row],[signal_eom (py)]]</f>
        <v>0</v>
      </c>
      <c r="H253">
        <f>Table256[[#This Row],[signal_som (xl)]]-Table256[[#This Row],[signal_som (py)]]</f>
        <v>0</v>
      </c>
    </row>
    <row r="254" spans="1:8" x14ac:dyDescent="0.25">
      <c r="A254" s="14">
        <v>45139</v>
      </c>
      <c r="B254" s="32">
        <v>-1</v>
      </c>
      <c r="C254" s="33">
        <v>1</v>
      </c>
      <c r="D254" s="35">
        <v>-1</v>
      </c>
      <c r="E254" s="35">
        <v>1</v>
      </c>
      <c r="G254">
        <f>Table256[[#This Row],[signal_eom (xl)]]-Table256[[#This Row],[signal_eom (py)]]</f>
        <v>0</v>
      </c>
      <c r="H254">
        <f>Table256[[#This Row],[signal_som (xl)]]-Table256[[#This Row],[signal_som (py)]]</f>
        <v>0</v>
      </c>
    </row>
    <row r="255" spans="1:8" x14ac:dyDescent="0.25">
      <c r="A255" s="14">
        <v>45170</v>
      </c>
      <c r="B255" s="32">
        <v>-1</v>
      </c>
      <c r="C255" s="33">
        <v>1</v>
      </c>
      <c r="D255" s="35">
        <v>-1</v>
      </c>
      <c r="E255" s="35">
        <v>1</v>
      </c>
      <c r="G255">
        <f>Table256[[#This Row],[signal_eom (xl)]]-Table256[[#This Row],[signal_eom (py)]]</f>
        <v>0</v>
      </c>
      <c r="H255">
        <f>Table256[[#This Row],[signal_som (xl)]]-Table256[[#This Row],[signal_som (py)]]</f>
        <v>0</v>
      </c>
    </row>
    <row r="256" spans="1:8" x14ac:dyDescent="0.25">
      <c r="A256" s="14">
        <v>45200</v>
      </c>
      <c r="B256" s="32">
        <v>-1</v>
      </c>
      <c r="C256" s="33">
        <v>1</v>
      </c>
      <c r="D256" s="35">
        <v>-1</v>
      </c>
      <c r="E256" s="35">
        <v>1</v>
      </c>
      <c r="G256">
        <f>Table256[[#This Row],[signal_eom (xl)]]-Table256[[#This Row],[signal_eom (py)]]</f>
        <v>0</v>
      </c>
      <c r="H256">
        <f>Table256[[#This Row],[signal_som (xl)]]-Table256[[#This Row],[signal_som (py)]]</f>
        <v>0</v>
      </c>
    </row>
    <row r="257" spans="1:8" x14ac:dyDescent="0.25">
      <c r="A257" s="14">
        <v>45231</v>
      </c>
      <c r="B257" s="32">
        <v>1</v>
      </c>
      <c r="C257" s="33">
        <v>1</v>
      </c>
      <c r="D257" s="35">
        <v>1</v>
      </c>
      <c r="E257" s="35">
        <v>-1</v>
      </c>
      <c r="G257">
        <f>Table256[[#This Row],[signal_eom (xl)]]-Table256[[#This Row],[signal_eom (py)]]</f>
        <v>0</v>
      </c>
      <c r="H257">
        <f>Table256[[#This Row],[signal_som (xl)]]-Table256[[#This Row],[signal_som (py)]]</f>
        <v>2</v>
      </c>
    </row>
    <row r="258" spans="1:8" x14ac:dyDescent="0.25">
      <c r="A258" s="14">
        <v>45261</v>
      </c>
      <c r="B258" s="32">
        <v>1</v>
      </c>
      <c r="C258" s="33">
        <v>-1</v>
      </c>
      <c r="D258" s="35">
        <v>1</v>
      </c>
      <c r="E258" s="35">
        <v>-1</v>
      </c>
      <c r="G258">
        <f>Table256[[#This Row],[signal_eom (xl)]]-Table256[[#This Row],[signal_eom (py)]]</f>
        <v>0</v>
      </c>
      <c r="H258">
        <f>Table256[[#This Row],[signal_som (xl)]]-Table256[[#This Row],[signal_som (py)]]</f>
        <v>0</v>
      </c>
    </row>
    <row r="259" spans="1:8" x14ac:dyDescent="0.25">
      <c r="A259" s="14">
        <v>45292</v>
      </c>
      <c r="B259" s="32">
        <v>-1</v>
      </c>
      <c r="C259" s="33">
        <v>-1</v>
      </c>
      <c r="D259" s="35">
        <v>-1</v>
      </c>
      <c r="E259" s="35">
        <v>1</v>
      </c>
      <c r="G259">
        <f>Table256[[#This Row],[signal_eom (xl)]]-Table256[[#This Row],[signal_eom (py)]]</f>
        <v>0</v>
      </c>
      <c r="H259">
        <f>Table256[[#This Row],[signal_som (xl)]]-Table256[[#This Row],[signal_som (py)]]</f>
        <v>-2</v>
      </c>
    </row>
    <row r="260" spans="1:8" x14ac:dyDescent="0.25">
      <c r="A260" s="14">
        <v>45323</v>
      </c>
      <c r="B260" s="32">
        <v>-1</v>
      </c>
      <c r="C260" s="33">
        <v>1</v>
      </c>
      <c r="D260" s="35">
        <v>-1</v>
      </c>
      <c r="E260" s="35">
        <v>1</v>
      </c>
      <c r="G260">
        <f>Table256[[#This Row],[signal_eom (xl)]]-Table256[[#This Row],[signal_eom (py)]]</f>
        <v>0</v>
      </c>
      <c r="H260">
        <f>Table256[[#This Row],[signal_som (xl)]]-Table256[[#This Row],[signal_som (py)]]</f>
        <v>0</v>
      </c>
    </row>
    <row r="261" spans="1:8" x14ac:dyDescent="0.25">
      <c r="A261" s="14">
        <v>45352</v>
      </c>
      <c r="B261" s="32">
        <v>-1</v>
      </c>
      <c r="C261" s="33">
        <v>1</v>
      </c>
      <c r="D261" s="35">
        <v>-1</v>
      </c>
      <c r="E261" s="35">
        <v>1</v>
      </c>
      <c r="G261">
        <f>Table256[[#This Row],[signal_eom (xl)]]-Table256[[#This Row],[signal_eom (py)]]</f>
        <v>0</v>
      </c>
      <c r="H261">
        <f>Table256[[#This Row],[signal_som (xl)]]-Table256[[#This Row],[signal_som (py)]]</f>
        <v>0</v>
      </c>
    </row>
    <row r="262" spans="1:8" x14ac:dyDescent="0.25">
      <c r="A262" s="14">
        <v>45383</v>
      </c>
      <c r="B262" s="32">
        <v>-1</v>
      </c>
      <c r="C262" s="33">
        <v>1</v>
      </c>
      <c r="D262" s="35">
        <v>-1</v>
      </c>
      <c r="E262" s="35">
        <v>1</v>
      </c>
      <c r="G262">
        <f>Table256[[#This Row],[signal_eom (xl)]]-Table256[[#This Row],[signal_eom (py)]]</f>
        <v>0</v>
      </c>
      <c r="H262">
        <f>Table256[[#This Row],[signal_som (xl)]]-Table256[[#This Row],[signal_som (py)]]</f>
        <v>0</v>
      </c>
    </row>
    <row r="263" spans="1:8" x14ac:dyDescent="0.25">
      <c r="A263" s="14">
        <v>45413</v>
      </c>
      <c r="B263" s="32">
        <v>-1</v>
      </c>
      <c r="C263" s="33">
        <v>1</v>
      </c>
      <c r="D263" s="35">
        <v>-1</v>
      </c>
      <c r="E263" s="35">
        <v>1</v>
      </c>
      <c r="G263">
        <f>Table256[[#This Row],[signal_eom (xl)]]-Table256[[#This Row],[signal_eom (py)]]</f>
        <v>0</v>
      </c>
      <c r="H263">
        <f>Table256[[#This Row],[signal_som (xl)]]-Table256[[#This Row],[signal_som (py)]]</f>
        <v>0</v>
      </c>
    </row>
    <row r="264" spans="1:8" x14ac:dyDescent="0.25">
      <c r="A264" s="14">
        <v>45444</v>
      </c>
      <c r="B264" s="32">
        <v>1</v>
      </c>
      <c r="C264" s="33">
        <v>1</v>
      </c>
      <c r="D264" s="35">
        <v>1</v>
      </c>
      <c r="E264" s="35">
        <v>-1</v>
      </c>
      <c r="G264">
        <f>Table256[[#This Row],[signal_eom (xl)]]-Table256[[#This Row],[signal_eom (py)]]</f>
        <v>0</v>
      </c>
      <c r="H264">
        <f>Table256[[#This Row],[signal_som (xl)]]-Table256[[#This Row],[signal_som (py)]]</f>
        <v>2</v>
      </c>
    </row>
    <row r="265" spans="1:8" x14ac:dyDescent="0.25">
      <c r="A265" s="14">
        <v>45474</v>
      </c>
      <c r="B265" s="32">
        <v>-1</v>
      </c>
      <c r="C265" s="33">
        <v>-1</v>
      </c>
      <c r="D265" s="35">
        <v>-1</v>
      </c>
      <c r="E265" s="35">
        <v>1</v>
      </c>
      <c r="G265">
        <f>Table256[[#This Row],[signal_eom (xl)]]-Table256[[#This Row],[signal_eom (py)]]</f>
        <v>0</v>
      </c>
      <c r="H265">
        <f>Table256[[#This Row],[signal_som (xl)]]-Table256[[#This Row],[signal_som (py)]]</f>
        <v>-2</v>
      </c>
    </row>
    <row r="266" spans="1:8" x14ac:dyDescent="0.25">
      <c r="A266" s="14">
        <v>45505</v>
      </c>
      <c r="B266" s="32">
        <v>1</v>
      </c>
      <c r="C266" s="33">
        <v>1</v>
      </c>
      <c r="D266" s="35">
        <v>1</v>
      </c>
      <c r="E266" s="35">
        <v>-1</v>
      </c>
      <c r="G266">
        <f>Table256[[#This Row],[signal_eom (xl)]]-Table256[[#This Row],[signal_eom (py)]]</f>
        <v>0</v>
      </c>
      <c r="H266">
        <f>Table256[[#This Row],[signal_som (xl)]]-Table256[[#This Row],[signal_som (py)]]</f>
        <v>2</v>
      </c>
    </row>
    <row r="267" spans="1:8" x14ac:dyDescent="0.25">
      <c r="A267" s="14">
        <v>45536</v>
      </c>
      <c r="B267" s="32">
        <v>1</v>
      </c>
      <c r="C267" s="33">
        <v>-1</v>
      </c>
      <c r="D267" s="35">
        <v>1</v>
      </c>
      <c r="E267" s="35">
        <v>-1</v>
      </c>
      <c r="G267">
        <f>Table256[[#This Row],[signal_eom (xl)]]-Table256[[#This Row],[signal_eom (py)]]</f>
        <v>0</v>
      </c>
      <c r="H267">
        <f>Table256[[#This Row],[signal_som (xl)]]-Table256[[#This Row],[signal_som (py)]]</f>
        <v>0</v>
      </c>
    </row>
    <row r="268" spans="1:8" x14ac:dyDescent="0.25">
      <c r="A268" s="14">
        <v>45566</v>
      </c>
      <c r="B268" s="32">
        <v>-1</v>
      </c>
      <c r="C268" s="33">
        <v>-1</v>
      </c>
      <c r="D268" s="35">
        <v>-1</v>
      </c>
      <c r="E268" s="35">
        <v>1</v>
      </c>
      <c r="G268">
        <f>Table256[[#This Row],[signal_eom (xl)]]-Table256[[#This Row],[signal_eom (py)]]</f>
        <v>0</v>
      </c>
      <c r="H268">
        <f>Table256[[#This Row],[signal_som (xl)]]-Table256[[#This Row],[signal_som (py)]]</f>
        <v>-2</v>
      </c>
    </row>
    <row r="269" spans="1:8" x14ac:dyDescent="0.25">
      <c r="A269" s="14">
        <v>45597</v>
      </c>
      <c r="B269" s="32">
        <v>-1</v>
      </c>
      <c r="C269" s="33">
        <v>1</v>
      </c>
      <c r="D269" s="35">
        <v>-1</v>
      </c>
      <c r="E269" s="35">
        <v>1</v>
      </c>
      <c r="G269">
        <f>Table256[[#This Row],[signal_eom (xl)]]-Table256[[#This Row],[signal_eom (py)]]</f>
        <v>0</v>
      </c>
      <c r="H269">
        <f>Table256[[#This Row],[signal_som (xl)]]-Table256[[#This Row],[signal_som (py)]]</f>
        <v>0</v>
      </c>
    </row>
    <row r="270" spans="1:8" x14ac:dyDescent="0.25">
      <c r="A270" s="14">
        <v>45627</v>
      </c>
      <c r="B270" s="32">
        <v>-1</v>
      </c>
      <c r="C270" s="33">
        <v>1</v>
      </c>
      <c r="D270" s="35">
        <v>-1</v>
      </c>
      <c r="E270" s="35">
        <v>1</v>
      </c>
      <c r="G270">
        <f>Table256[[#This Row],[signal_eom (xl)]]-Table256[[#This Row],[signal_eom (py)]]</f>
        <v>0</v>
      </c>
      <c r="H270">
        <f>Table256[[#This Row],[signal_som (xl)]]-Table256[[#This Row],[signal_som (py)]]</f>
        <v>0</v>
      </c>
    </row>
    <row r="271" spans="1:8" x14ac:dyDescent="0.25">
      <c r="A271" s="14">
        <v>45658</v>
      </c>
      <c r="B271" s="32">
        <v>-1</v>
      </c>
      <c r="C271" s="33">
        <v>1</v>
      </c>
      <c r="D271" s="35">
        <v>-1</v>
      </c>
      <c r="E271" s="35">
        <v>1</v>
      </c>
      <c r="G271">
        <f>Table256[[#This Row],[signal_eom (xl)]]-Table256[[#This Row],[signal_eom (py)]]</f>
        <v>0</v>
      </c>
      <c r="H271">
        <f>Table256[[#This Row],[signal_som (xl)]]-Table256[[#This Row],[signal_som (py)]]</f>
        <v>0</v>
      </c>
    </row>
    <row r="272" spans="1:8" x14ac:dyDescent="0.25">
      <c r="A272" s="14">
        <v>45689</v>
      </c>
      <c r="B272" s="32">
        <v>1</v>
      </c>
      <c r="C272" s="33">
        <v>1</v>
      </c>
      <c r="D272" s="35">
        <v>1</v>
      </c>
      <c r="E272" s="35">
        <v>-1</v>
      </c>
      <c r="G272">
        <f>Table256[[#This Row],[signal_eom (xl)]]-Table256[[#This Row],[signal_eom (py)]]</f>
        <v>0</v>
      </c>
      <c r="H272">
        <f>Table256[[#This Row],[signal_som (xl)]]-Table256[[#This Row],[signal_som (py)]]</f>
        <v>2</v>
      </c>
    </row>
    <row r="273" spans="1:11" x14ac:dyDescent="0.25">
      <c r="A273" s="14">
        <v>45717</v>
      </c>
      <c r="B273" s="32">
        <v>1</v>
      </c>
      <c r="C273" s="33">
        <v>-1</v>
      </c>
      <c r="D273" s="35">
        <v>1</v>
      </c>
      <c r="E273" s="35">
        <v>-1</v>
      </c>
      <c r="G273">
        <f>Table256[[#This Row],[signal_eom (xl)]]-Table256[[#This Row],[signal_eom (py)]]</f>
        <v>0</v>
      </c>
      <c r="H273">
        <f>Table256[[#This Row],[signal_som (xl)]]-Table256[[#This Row],[signal_som (py)]]</f>
        <v>0</v>
      </c>
    </row>
    <row r="274" spans="1:11" x14ac:dyDescent="0.25">
      <c r="A274" s="14">
        <v>45748</v>
      </c>
      <c r="B274" s="32">
        <v>1</v>
      </c>
      <c r="C274" s="33">
        <v>-1</v>
      </c>
      <c r="D274" s="35">
        <v>1</v>
      </c>
      <c r="E274" s="35">
        <v>-1</v>
      </c>
      <c r="G274">
        <f>Table256[[#This Row],[signal_eom (xl)]]-Table256[[#This Row],[signal_eom (py)]]</f>
        <v>0</v>
      </c>
      <c r="H274">
        <f>Table256[[#This Row],[signal_som (xl)]]-Table256[[#This Row],[signal_som (py)]]</f>
        <v>0</v>
      </c>
    </row>
    <row r="275" spans="1:11" x14ac:dyDescent="0.25">
      <c r="A275" s="14">
        <v>45778</v>
      </c>
      <c r="B275" s="32">
        <v>-1</v>
      </c>
      <c r="C275" s="33">
        <v>-1</v>
      </c>
      <c r="D275" s="35">
        <v>-1</v>
      </c>
      <c r="E275" s="35">
        <v>1</v>
      </c>
      <c r="G275">
        <f>Table256[[#This Row],[signal_eom (xl)]]-Table256[[#This Row],[signal_eom (py)]]</f>
        <v>0</v>
      </c>
      <c r="H275">
        <f>Table256[[#This Row],[signal_som (xl)]]-Table256[[#This Row],[signal_som (py)]]</f>
        <v>-2</v>
      </c>
    </row>
    <row r="276" spans="1:11" x14ac:dyDescent="0.25">
      <c r="A276" s="14">
        <v>45809</v>
      </c>
      <c r="B276" s="32">
        <v>-1</v>
      </c>
      <c r="C276" s="33">
        <v>1</v>
      </c>
      <c r="D276" s="35">
        <v>-1</v>
      </c>
      <c r="E276" s="35">
        <v>1</v>
      </c>
      <c r="G276">
        <f>Table256[[#This Row],[signal_eom (xl)]]-Table256[[#This Row],[signal_eom (py)]]</f>
        <v>0</v>
      </c>
      <c r="H276">
        <f>Table256[[#This Row],[signal_som (xl)]]-Table256[[#This Row],[signal_som (py)]]</f>
        <v>0</v>
      </c>
    </row>
    <row r="277" spans="1:11" x14ac:dyDescent="0.25">
      <c r="A277" s="14">
        <v>45839</v>
      </c>
      <c r="B277" s="32">
        <v>-1</v>
      </c>
      <c r="C277" s="33">
        <v>1</v>
      </c>
      <c r="D277" s="35">
        <v>-1</v>
      </c>
      <c r="E277" s="35">
        <v>1</v>
      </c>
      <c r="G277">
        <f>Table256[[#This Row],[signal_eom (xl)]]-Table256[[#This Row],[signal_eom (py)]]</f>
        <v>0</v>
      </c>
      <c r="H277">
        <f>Table256[[#This Row],[signal_som (xl)]]-Table256[[#This Row],[signal_som (py)]]</f>
        <v>0</v>
      </c>
    </row>
    <row r="278" spans="1:11" ht="15.75" thickBot="1" x14ac:dyDescent="0.3">
      <c r="A278" s="20">
        <v>45870</v>
      </c>
      <c r="B278" s="32">
        <v>-1</v>
      </c>
      <c r="C278" s="33">
        <v>1</v>
      </c>
      <c r="D278" s="35">
        <v>-1</v>
      </c>
      <c r="E278" s="35">
        <v>1</v>
      </c>
      <c r="G278">
        <f>Table256[[#This Row],[signal_eom (xl)]]-Table256[[#This Row],[signal_eom (py)]]</f>
        <v>0</v>
      </c>
      <c r="H278">
        <f>Table256[[#This Row],[signal_som (xl)]]-Table256[[#This Row],[signal_som (py)]]</f>
        <v>0</v>
      </c>
    </row>
    <row r="279" spans="1:11" x14ac:dyDescent="0.25">
      <c r="A279" s="37" t="s">
        <v>25</v>
      </c>
      <c r="B279" s="32">
        <f>SUBTOTAL(109,Table256[signal_eom (xl)])</f>
        <v>-71</v>
      </c>
      <c r="C279" s="33">
        <f>SUBTOTAL(109,Table256[signal_som (xl)])</f>
        <v>70</v>
      </c>
      <c r="D279" s="36">
        <f>SUBTOTAL(109,Table256[signal_eom (py)])</f>
        <v>-73</v>
      </c>
      <c r="E279" s="36">
        <f>SUBTOTAL(109,Table256[signal_som (py)])</f>
        <v>72</v>
      </c>
    </row>
    <row r="285" spans="1:11" x14ac:dyDescent="0.25">
      <c r="K285" s="38" t="s">
        <v>28</v>
      </c>
    </row>
    <row r="286" spans="1:11" x14ac:dyDescent="0.25">
      <c r="K286" t="s">
        <v>29</v>
      </c>
    </row>
    <row r="288" spans="1:11" x14ac:dyDescent="0.25">
      <c r="K288" s="38" t="s">
        <v>30</v>
      </c>
    </row>
  </sheetData>
  <autoFilter ref="G1:H278" xr:uid="{1EDFB7CC-96A1-468E-B489-445CAF08D23C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Sheet1 (2)</vt:lpstr>
      <vt:lpstr>Sheet2 (2)</vt:lpstr>
      <vt:lpstr>signals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Calligaro</cp:lastModifiedBy>
  <dcterms:created xsi:type="dcterms:W3CDTF">2025-11-04T14:24:22Z</dcterms:created>
  <dcterms:modified xsi:type="dcterms:W3CDTF">2025-11-04T20:03:00Z</dcterms:modified>
</cp:coreProperties>
</file>